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ustomProperty1.bin" ContentType="application/vnd.openxmlformats-officedocument.spreadsheetml.customProperty"/>
  <Override PartName="/xl/drawings/drawing2.xml" ContentType="application/vnd.openxmlformats-officedocument.drawing+xml"/>
  <Override PartName="/xl/charts/chart2.xml" ContentType="application/vnd.openxmlformats-officedocument.drawingml.chart+xml"/>
  <Override PartName="/xl/theme/themeOverride1.xml" ContentType="application/vnd.openxmlformats-officedocument.themeOverrid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3.xml" ContentType="application/vnd.openxmlformats-officedocument.drawingml.chart+xml"/>
  <Override PartName="/xl/theme/themeOverride2.xml" ContentType="application/vnd.openxmlformats-officedocument.themeOverride+xml"/>
  <Override PartName="/xl/charts/chart4.xml" ContentType="application/vnd.openxmlformats-officedocument.drawingml.chart+xml"/>
  <Override PartName="/xl/theme/themeOverride3.xml" ContentType="application/vnd.openxmlformats-officedocument.themeOverride+xml"/>
  <Override PartName="/xl/drawings/drawing4.xml" ContentType="application/vnd.openxmlformats-officedocument.drawing+xml"/>
  <Override PartName="/xl/charts/chart5.xml" ContentType="application/vnd.openxmlformats-officedocument.drawingml.chart+xml"/>
  <Override PartName="/xl/theme/themeOverride4.xml" ContentType="application/vnd.openxmlformats-officedocument.themeOverride+xml"/>
  <Override PartName="/xl/charts/chart6.xml" ContentType="application/vnd.openxmlformats-officedocument.drawingml.chart+xml"/>
  <Override PartName="/xl/theme/themeOverride5.xml" ContentType="application/vnd.openxmlformats-officedocument.themeOverride+xml"/>
  <Override PartName="/xl/drawings/drawing5.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7.xml" ContentType="application/vnd.openxmlformats-officedocument.drawingml.chart+xml"/>
  <Override PartName="/xl/theme/themeOverride6.xml" ContentType="application/vnd.openxmlformats-officedocument.themeOverride+xml"/>
  <Override PartName="/xl/charts/chart8.xml" ContentType="application/vnd.openxmlformats-officedocument.drawingml.chart+xml"/>
  <Override PartName="/xl/theme/themeOverride7.xml" ContentType="application/vnd.openxmlformats-officedocument.themeOverride+xml"/>
  <Override PartName="/xl/drawings/drawing6.xml" ContentType="application/vnd.openxmlformats-officedocument.drawing+xml"/>
  <Override PartName="/xl/charts/chart9.xml" ContentType="application/vnd.openxmlformats-officedocument.drawingml.chart+xml"/>
  <Override PartName="/xl/theme/themeOverride8.xml" ContentType="application/vnd.openxmlformats-officedocument.themeOverride+xml"/>
  <Override PartName="/xl/drawings/drawing7.xml" ContentType="application/vnd.openxmlformats-officedocument.drawing+xml"/>
  <Override PartName="/xl/charts/chart10.xml" ContentType="application/vnd.openxmlformats-officedocument.drawingml.chart+xml"/>
  <Override PartName="/xl/theme/themeOverride9.xml" ContentType="application/vnd.openxmlformats-officedocument.themeOverride+xml"/>
  <Override PartName="/xl/drawings/drawing8.xml" ContentType="application/vnd.openxmlformats-officedocument.drawing+xml"/>
  <Override PartName="/xl/charts/chart11.xml" ContentType="application/vnd.openxmlformats-officedocument.drawingml.chart+xml"/>
  <Override PartName="/xl/theme/themeOverride10.xml" ContentType="application/vnd.openxmlformats-officedocument.themeOverride+xml"/>
  <Override PartName="/xl/drawings/drawing9.xml" ContentType="application/vnd.openxmlformats-officedocument.drawing+xml"/>
  <Override PartName="/xl/charts/chart12.xml" ContentType="application/vnd.openxmlformats-officedocument.drawingml.chart+xml"/>
  <Override PartName="/xl/theme/themeOverride11.xml" ContentType="application/vnd.openxmlformats-officedocument.themeOverride+xml"/>
  <Override PartName="/xl/drawings/drawing10.xml" ContentType="application/vnd.openxmlformats-officedocument.drawing+xml"/>
  <Override PartName="/xl/charts/chart13.xml" ContentType="application/vnd.openxmlformats-officedocument.drawingml.chart+xml"/>
  <Override PartName="/xl/theme/themeOverride12.xml" ContentType="application/vnd.openxmlformats-officedocument.themeOverride+xml"/>
  <Override PartName="/xl/drawings/drawing11.xml" ContentType="application/vnd.openxmlformats-officedocument.drawing+xml"/>
  <Override PartName="/xl/charts/chart14.xml" ContentType="application/vnd.openxmlformats-officedocument.drawingml.chart+xml"/>
  <Override PartName="/xl/theme/themeOverride13.xml" ContentType="application/vnd.openxmlformats-officedocument.themeOverride+xml"/>
  <Override PartName="/xl/drawings/drawing12.xml" ContentType="application/vnd.openxmlformats-officedocument.drawing+xml"/>
  <Override PartName="/xl/charts/chart15.xml" ContentType="application/vnd.openxmlformats-officedocument.drawingml.chart+xml"/>
  <Override PartName="/xl/charts/style1.xml" ContentType="application/vnd.ms-office.chartstyle+xml"/>
  <Override PartName="/xl/charts/colors1.xml" ContentType="application/vnd.ms-office.chartcolorstyle+xml"/>
  <Override PartName="/xl/charts/chart16.xml" ContentType="application/vnd.openxmlformats-officedocument.drawingml.chart+xml"/>
  <Override PartName="/xl/charts/style2.xml" ContentType="application/vnd.ms-office.chartstyle+xml"/>
  <Override PartName="/xl/charts/colors2.xml" ContentType="application/vnd.ms-office.chartcolorstyle+xml"/>
  <Override PartName="/xl/charts/chart17.xml" ContentType="application/vnd.openxmlformats-officedocument.drawingml.chart+xml"/>
  <Override PartName="/xl/charts/style3.xml" ContentType="application/vnd.ms-office.chartstyle+xml"/>
  <Override PartName="/xl/charts/colors3.xml" ContentType="application/vnd.ms-office.chartcolorstyle+xml"/>
  <Override PartName="/xl/charts/chart18.xml" ContentType="application/vnd.openxmlformats-officedocument.drawingml.chart+xml"/>
  <Override PartName="/xl/charts/style4.xml" ContentType="application/vnd.ms-office.chartstyle+xml"/>
  <Override PartName="/xl/charts/colors4.xml" ContentType="application/vnd.ms-office.chartcolorstyle+xml"/>
  <Override PartName="/xl/charts/chart19.xml" ContentType="application/vnd.openxmlformats-officedocument.drawingml.chart+xml"/>
  <Override PartName="/xl/charts/style5.xml" ContentType="application/vnd.ms-office.chartstyle+xml"/>
  <Override PartName="/xl/charts/colors5.xml" ContentType="application/vnd.ms-office.chartcolorstyle+xml"/>
  <Override PartName="/xl/charts/chart20.xml" ContentType="application/vnd.openxmlformats-officedocument.drawingml.chart+xml"/>
  <Override PartName="/xl/charts/style6.xml" ContentType="application/vnd.ms-office.chartstyle+xml"/>
  <Override PartName="/xl/charts/colors6.xml" ContentType="application/vnd.ms-office.chartcolorstyle+xml"/>
  <Override PartName="/xl/charts/chart21.xml" ContentType="application/vnd.openxmlformats-officedocument.drawingml.chart+xml"/>
  <Override PartName="/xl/charts/style7.xml" ContentType="application/vnd.ms-office.chartstyle+xml"/>
  <Override PartName="/xl/charts/colors7.xml" ContentType="application/vnd.ms-office.chartcolorstyle+xml"/>
  <Override PartName="/xl/charts/chart22.xml" ContentType="application/vnd.openxmlformats-officedocument.drawingml.chart+xml"/>
  <Override PartName="/xl/charts/style8.xml" ContentType="application/vnd.ms-office.chartstyle+xml"/>
  <Override PartName="/xl/charts/colors8.xml" ContentType="application/vnd.ms-office.chartcolorstyle+xml"/>
  <Override PartName="/xl/charts/chart23.xml" ContentType="application/vnd.openxmlformats-officedocument.drawingml.chart+xml"/>
  <Override PartName="/xl/charts/style9.xml" ContentType="application/vnd.ms-office.chartstyle+xml"/>
  <Override PartName="/xl/charts/colors9.xml" ContentType="application/vnd.ms-office.chartcolorstyle+xml"/>
  <Override PartName="/xl/charts/chart24.xml" ContentType="application/vnd.openxmlformats-officedocument.drawingml.chart+xml"/>
  <Override PartName="/xl/charts/style10.xml" ContentType="application/vnd.ms-office.chartstyle+xml"/>
  <Override PartName="/xl/charts/colors10.xml" ContentType="application/vnd.ms-office.chartcolorstyle+xml"/>
  <Override PartName="/xl/charts/chart25.xml" ContentType="application/vnd.openxmlformats-officedocument.drawingml.chart+xml"/>
  <Override PartName="/xl/charts/style11.xml" ContentType="application/vnd.ms-office.chartstyle+xml"/>
  <Override PartName="/xl/charts/colors11.xml" ContentType="application/vnd.ms-office.chartcolorstyle+xml"/>
  <Override PartName="/xl/charts/chart26.xml" ContentType="application/vnd.openxmlformats-officedocument.drawingml.chart+xml"/>
  <Override PartName="/xl/charts/style12.xml" ContentType="application/vnd.ms-office.chartstyle+xml"/>
  <Override PartName="/xl/charts/colors12.xml" ContentType="application/vnd.ms-office.chartcolorstyle+xml"/>
  <Override PartName="/xl/charts/chart27.xml" ContentType="application/vnd.openxmlformats-officedocument.drawingml.chart+xml"/>
  <Override PartName="/xl/charts/style13.xml" ContentType="application/vnd.ms-office.chartstyle+xml"/>
  <Override PartName="/xl/charts/colors13.xml" ContentType="application/vnd.ms-office.chartcolorstyle+xml"/>
  <Override PartName="/xl/charts/chart28.xml" ContentType="application/vnd.openxmlformats-officedocument.drawingml.chart+xml"/>
  <Override PartName="/xl/charts/style14.xml" ContentType="application/vnd.ms-office.chartstyle+xml"/>
  <Override PartName="/xl/charts/colors14.xml" ContentType="application/vnd.ms-office.chartcolorstyle+xml"/>
  <Override PartName="/xl/charts/chart29.xml" ContentType="application/vnd.openxmlformats-officedocument.drawingml.chart+xml"/>
  <Override PartName="/xl/charts/style15.xml" ContentType="application/vnd.ms-office.chartstyle+xml"/>
  <Override PartName="/xl/charts/colors15.xml" ContentType="application/vnd.ms-office.chartcolorstyle+xml"/>
  <Override PartName="/xl/charts/chart30.xml" ContentType="application/vnd.openxmlformats-officedocument.drawingml.chart+xml"/>
  <Override PartName="/xl/charts/style16.xml" ContentType="application/vnd.ms-office.chartstyle+xml"/>
  <Override PartName="/xl/charts/colors16.xml" ContentType="application/vnd.ms-office.chartcolorstyle+xml"/>
  <Override PartName="/xl/charts/chart31.xml" ContentType="application/vnd.openxmlformats-officedocument.drawingml.chart+xml"/>
  <Override PartName="/xl/charts/style17.xml" ContentType="application/vnd.ms-office.chartstyle+xml"/>
  <Override PartName="/xl/charts/colors17.xml" ContentType="application/vnd.ms-office.chartcolorstyle+xml"/>
  <Override PartName="/xl/charts/chart32.xml" ContentType="application/vnd.openxmlformats-officedocument.drawingml.chart+xml"/>
  <Override PartName="/xl/charts/style18.xml" ContentType="application/vnd.ms-office.chartstyle+xml"/>
  <Override PartName="/xl/charts/colors18.xml" ContentType="application/vnd.ms-office.chartcolorstyle+xml"/>
  <Override PartName="/xl/charts/chart33.xml" ContentType="application/vnd.openxmlformats-officedocument.drawingml.chart+xml"/>
  <Override PartName="/xl/charts/style19.xml" ContentType="application/vnd.ms-office.chartstyle+xml"/>
  <Override PartName="/xl/charts/colors19.xml" ContentType="application/vnd.ms-office.chartcolorstyle+xml"/>
  <Override PartName="/xl/charts/chart34.xml" ContentType="application/vnd.openxmlformats-officedocument.drawingml.chart+xml"/>
  <Override PartName="/xl/charts/style20.xml" ContentType="application/vnd.ms-office.chartstyle+xml"/>
  <Override PartName="/xl/charts/colors20.xml" ContentType="application/vnd.ms-office.chartcolorstyle+xml"/>
  <Override PartName="/xl/charts/chart35.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3.xml" ContentType="application/vnd.openxmlformats-officedocument.drawing+xml"/>
  <Override PartName="/xl/charts/chart36.xml" ContentType="application/vnd.openxmlformats-officedocument.drawingml.chart+xml"/>
  <Override PartName="/xl/theme/themeOverride14.xml" ContentType="application/vnd.openxmlformats-officedocument.themeOverride+xml"/>
  <Override PartName="/xl/drawings/drawing14.xml" ContentType="application/vnd.openxmlformats-officedocument.drawing+xml"/>
  <Override PartName="/xl/charts/chart37.xml" ContentType="application/vnd.openxmlformats-officedocument.drawingml.chart+xml"/>
  <Override PartName="/xl/theme/themeOverride15.xml" ContentType="application/vnd.openxmlformats-officedocument.themeOverride+xml"/>
  <Override PartName="/xl/drawings/drawing15.xml" ContentType="application/vnd.openxmlformats-officedocument.drawing+xml"/>
  <Override PartName="/xl/charts/chart38.xml" ContentType="application/vnd.openxmlformats-officedocument.drawingml.chart+xml"/>
  <Override PartName="/xl/theme/themeOverride16.xml" ContentType="application/vnd.openxmlformats-officedocument.themeOverride+xml"/>
  <Override PartName="/xl/charts/chart39.xml" ContentType="application/vnd.openxmlformats-officedocument.drawingml.chart+xml"/>
  <Override PartName="/xl/theme/themeOverride17.xml" ContentType="application/vnd.openxmlformats-officedocument.themeOverride+xml"/>
  <Override PartName="/xl/drawings/drawing16.xml" ContentType="application/vnd.openxmlformats-officedocument.drawing+xml"/>
  <Override PartName="/xl/charts/chart40.xml" ContentType="application/vnd.openxmlformats-officedocument.drawingml.chart+xml"/>
  <Override PartName="/xl/theme/themeOverride18.xml" ContentType="application/vnd.openxmlformats-officedocument.themeOverride+xml"/>
  <Override PartName="/xl/drawings/drawing17.xml" ContentType="application/vnd.openxmlformats-officedocument.drawing+xml"/>
  <Override PartName="/xl/charts/chart41.xml" ContentType="application/vnd.openxmlformats-officedocument.drawingml.chart+xml"/>
  <Override PartName="/xl/theme/themeOverride19.xml" ContentType="application/vnd.openxmlformats-officedocument.themeOverrid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T:\Clients\Hudbay\Projects\2026\2026-05 EC and DC Benchmarking\EC\Analysis\"/>
    </mc:Choice>
  </mc:AlternateContent>
  <xr:revisionPtr revIDLastSave="0" documentId="13_ncr:1_{10D125DC-21DB-4EBB-AA12-14BA60DA4CB5}" xr6:coauthVersionLast="47" xr6:coauthVersionMax="47" xr10:uidLastSave="{00000000-0000-0000-0000-000000000000}"/>
  <bookViews>
    <workbookView xWindow="28690" yWindow="-110" windowWidth="29020" windowHeight="15700" tabRatio="826" firstSheet="3" activeTab="7" xr2:uid="{12BA13AB-D9A6-4FB6-98EC-1A5A1FA7B4F5}"/>
  </bookViews>
  <sheets>
    <sheet name="__snloffice" sheetId="951" state="veryHidden" r:id="rId1"/>
    <sheet name="Instructions" sheetId="425" r:id="rId2"/>
    <sheet name="Import 2024 Data" sheetId="957" r:id="rId3"/>
    <sheet name="Raw Data" sheetId="2" r:id="rId4"/>
    <sheet name="Master - Summary" sheetId="4" state="hidden" r:id="rId5"/>
    <sheet name="Master - Charts" sheetId="51" state="hidden" r:id="rId6"/>
    <sheet name="TC Chart" sheetId="881" r:id="rId7"/>
    <sheet name="CEO" sheetId="346" r:id="rId8"/>
    <sheet name="CFO" sheetId="701" r:id="rId9"/>
    <sheet name="NEO3" sheetId="702" r:id="rId10"/>
    <sheet name="NEO4" sheetId="703" r:id="rId11"/>
    <sheet name="NEO5" sheetId="704" r:id="rId12"/>
    <sheet name="Legal" sheetId="706" r:id="rId13"/>
    <sheet name="COO" sheetId="705" r:id="rId14"/>
    <sheet name="Tech" sheetId="707" r:id="rId15"/>
    <sheet name="Region" sheetId="708" r:id="rId16"/>
    <sheet name="2nd Highest" sheetId="932" r:id="rId17"/>
    <sheet name="CEO - YoY" sheetId="715" r:id="rId18"/>
    <sheet name="CFO - YoY" sheetId="729" r:id="rId19"/>
    <sheet name="COO - YoY" sheetId="730" r:id="rId20"/>
    <sheet name="_CIQHiddenCacheSheet" sheetId="1097" state="veryHidden" r:id="rId21"/>
    <sheet name="Legal+NEO5 - YoY" sheetId="731" r:id="rId22"/>
    <sheet name="SVP US" sheetId="840" state="hidden" r:id="rId23"/>
    <sheet name="SVP-Explo." sheetId="778" state="hidden" r:id="rId24"/>
    <sheet name="CIQ_LinkingNames" sheetId="740" state="hidden" r:id="rId25"/>
    <sheet name="SVP Canada" sheetId="786" state="hidden" r:id="rId26"/>
    <sheet name="NEO4&amp;Regional - Charts" sheetId="516" r:id="rId27"/>
    <sheet name="NEO5&amp;Tech - Charts" sheetId="517" r:id="rId28"/>
    <sheet name="Cash vs Equity" sheetId="739" r:id="rId29"/>
    <sheet name="NEO5 - Charts" sheetId="985" r:id="rId30"/>
    <sheet name="CEO - Charts" sheetId="351" r:id="rId31"/>
    <sheet name="CFO - Charts" sheetId="411" r:id="rId32"/>
    <sheet name="COO - Charts" sheetId="984" r:id="rId33"/>
    <sheet name="CLO - Charts" sheetId="414" r:id="rId34"/>
    <sheet name="Footnotes" sheetId="474" r:id="rId35"/>
    <sheet name="Peer Group" sheetId="475" r:id="rId36"/>
    <sheet name="Sheet2" sheetId="756" r:id="rId37"/>
    <sheet name="Master - LTI Review" sheetId="52" state="hidden" r:id="rId38"/>
    <sheet name="Tab-Sort" sheetId="74" state="hidden" r:id="rId39"/>
  </sheets>
  <definedNames>
    <definedName name="_asda" hidden="1">"2e0383b1-b143-44be-8760-5df9344b0314"</definedName>
    <definedName name="_xlnm._FilterDatabase" localSheetId="16" hidden="1">'2nd Highest'!$C$1:$W$47</definedName>
    <definedName name="_xlnm._FilterDatabase" localSheetId="7" hidden="1">CEO!$C$1:$W$48</definedName>
    <definedName name="_xlnm._FilterDatabase" localSheetId="8" hidden="1">CFO!$C$1:$W$48</definedName>
    <definedName name="_xlnm._FilterDatabase" localSheetId="13" hidden="1">COO!$C$1:$W$42</definedName>
    <definedName name="_xlnm._FilterDatabase" localSheetId="12" hidden="1">Legal!$C$1:$W$39</definedName>
    <definedName name="_xlnm._FilterDatabase" localSheetId="4" hidden="1">'Master - Summary'!$C$1:$V$44</definedName>
    <definedName name="_xlnm._FilterDatabase" localSheetId="9" hidden="1">'NEO3'!$C$1:$W$48</definedName>
    <definedName name="_xlnm._FilterDatabase" localSheetId="10" hidden="1">'NEO4'!$C$1:$W$43</definedName>
    <definedName name="_xlnm._FilterDatabase" localSheetId="11" hidden="1">'NEO5'!$C$1:$W$48</definedName>
    <definedName name="_xlnm._FilterDatabase" localSheetId="35" hidden="1">'Peer Group'!$C$4:$H$5</definedName>
    <definedName name="_xlnm._FilterDatabase" localSheetId="15" hidden="1">Region!$C$1:$W$36</definedName>
    <definedName name="_xlnm._FilterDatabase" localSheetId="14" hidden="1">Tech!$C$1:$W$36</definedName>
    <definedName name="_Hlk3298152" localSheetId="1">Instructions!$B$32</definedName>
    <definedName name="_Order1" hidden="1">255</definedName>
    <definedName name="_Order2" hidden="1">0</definedName>
    <definedName name="CFO" localSheetId="5">#REF!</definedName>
    <definedName name="CFO" localSheetId="37">#REF!</definedName>
    <definedName name="CIQANR_0496f49c141d40ca922532388c34c87c" hidden="1">Region!$C$28:$W$28</definedName>
    <definedName name="CIQANR_0b4f34ab9e0843cda50ab80fa02a4cde" localSheetId="26" hidden="1">#REF!</definedName>
    <definedName name="CIQANR_0b4f34ab9e0843cda50ab80fa02a4cde" localSheetId="27" hidden="1">#REF!</definedName>
    <definedName name="CIQANR_0b4f34ab9e0843cda50ab80fa02a4cde" localSheetId="35" hidden="1">#REF!</definedName>
    <definedName name="CIQANR_0b4f34ab9e0843cda50ab80fa02a4cde" hidden="1">#REF!</definedName>
    <definedName name="CIQANR_0e0771adc8574da5968d1ed535a73d56" hidden="1">Region!$C$6:$W$28</definedName>
    <definedName name="CIQANR_1e1dcf74151944c4b47b17216f152940" localSheetId="26" hidden="1">#REF!</definedName>
    <definedName name="CIQANR_1e1dcf74151944c4b47b17216f152940" localSheetId="27" hidden="1">#REF!</definedName>
    <definedName name="CIQANR_1e1dcf74151944c4b47b17216f152940" localSheetId="35" hidden="1">#REF!</definedName>
    <definedName name="CIQANR_1e1dcf74151944c4b47b17216f152940" hidden="1">#REF!</definedName>
    <definedName name="CIQANR_26600e768372443680d94e4528127142" hidden="1">CFO!$C$28:$W$40</definedName>
    <definedName name="CIQANR_2acdcd61614543c3a871da0fad46acef" hidden="1">'NEO4'!$C$23:$W$35</definedName>
    <definedName name="CIQANR_2d6de563ff32482484ad4eccdb652f99" localSheetId="26" hidden="1">#REF!</definedName>
    <definedName name="CIQANR_2d6de563ff32482484ad4eccdb652f99" localSheetId="27" hidden="1">#REF!</definedName>
    <definedName name="CIQANR_2d6de563ff32482484ad4eccdb652f99" localSheetId="35" hidden="1">#REF!</definedName>
    <definedName name="CIQANR_2d6de563ff32482484ad4eccdb652f99" hidden="1">#REF!</definedName>
    <definedName name="CIQANR_2e526af303a54606a736f51bc2d64618" hidden="1">COO!$AL$6:$AM$26</definedName>
    <definedName name="CIQANR_33b277f9efef412a9e79a7725ba81ba0" localSheetId="35" hidden="1">'Peer Group'!$C$3:$H$29</definedName>
    <definedName name="CIQANR_35e782c967864f71a3f5bae4c80fa43e" hidden="1">CEO!$C$6:$W$22</definedName>
    <definedName name="CIQANR_3c6df3b5b1424c17aa0aa8bce9bd8145" hidden="1">CFO!$C$28:$Y$32</definedName>
    <definedName name="CIQANR_43210c266ffd4ea79648618234c0a936" localSheetId="35" hidden="1">'Peer Group'!$C$3:$H$28</definedName>
    <definedName name="CIQANR_45cbd66fa6ee4bf29f93b8467003bf93" hidden="1">'Peer Group'!$C$3:$H$27</definedName>
    <definedName name="CIQANR_505032af17024bdbb4b3447568783357" hidden="1">CEO!$AL$6:$AN$32</definedName>
    <definedName name="CIQANR_50bfbf846e6c4121ad9928caa78cdf1e" hidden="1">CFO!$C$6:$W$40</definedName>
    <definedName name="CIQANR_52f1777a2f51466dad16b2218173e9b7" hidden="1">Tech!$C$6:$W$28</definedName>
    <definedName name="CIQANR_531351b3872847c89f80f04c8840f981" localSheetId="26" hidden="1">#REF!</definedName>
    <definedName name="CIQANR_531351b3872847c89f80f04c8840f981" localSheetId="27" hidden="1">#REF!</definedName>
    <definedName name="CIQANR_531351b3872847c89f80f04c8840f981" hidden="1">#REF!</definedName>
    <definedName name="CIQANR_563023160dea4d47a4e7276d225af8eb" hidden="1">CFO!$C$6:$W$22</definedName>
    <definedName name="CIQANR_5955b1aa498d433396a10bf58cc92e19" hidden="1">Tech!$C$6:$W$15</definedName>
    <definedName name="CIQANR_5df27b4e98544a7d9ae19b02e6935259" hidden="1">'NEO4'!$C$6:$W$35</definedName>
    <definedName name="CIQANR_67c2c82c46c34926817cb3c87fac5fe7" hidden="1">'NEO5'!$C$6:$W$21</definedName>
    <definedName name="CIQANR_7163765b26ea437f8a2ffcd60ab67df8" hidden="1">COO!$C$6:$W$34</definedName>
    <definedName name="CIQANR_7768d445105b46648408b1c741d0801e" hidden="1">CEO!$C$6:$AA$40</definedName>
    <definedName name="CIQANR_7c95319b74114f3d90fefc8e4c7db287" hidden="1">'Peer Group'!$C$30:$H$32</definedName>
    <definedName name="CIQANR_81ac6ed7eea6466eaf08cc70120c60c2" hidden="1">CEO!$C$6:$W$40</definedName>
    <definedName name="CIQANR_826a25d1b0a54148a79848e6bfac150e" hidden="1">'NEO5'!$C$22:$W$32</definedName>
    <definedName name="CIQANR_886f17b8800c41ba99e155fe78edd40f" hidden="1">CEO!$C$28:$W$37</definedName>
    <definedName name="CIQANR_8be4db1b42954a01ae74f73002cca721" hidden="1">CFO!$AL$6:$AM$32</definedName>
    <definedName name="CIQANR_8cd94e50ba3248358acc8619eb6bd4cf" hidden="1">CEO!$C$28:$W$40</definedName>
    <definedName name="CIQANR_90fe3f2cb30d425ea19a4a869bd7cf11" localSheetId="26" hidden="1">#REF!</definedName>
    <definedName name="CIQANR_90fe3f2cb30d425ea19a4a869bd7cf11" localSheetId="27" hidden="1">#REF!</definedName>
    <definedName name="CIQANR_90fe3f2cb30d425ea19a4a869bd7cf11" hidden="1">#REF!</definedName>
    <definedName name="CIQANR_935657cce6f84a3cbef0867455c5cd07" hidden="1">CEO!$AL$6:$AN$33</definedName>
    <definedName name="CIQANR_96e9ccc78e4441a19f85f5b8e8e83d82" hidden="1">'2nd Highest'!$C$6:$W$39</definedName>
    <definedName name="CIQANR_9b7364f6f35846baba7337c8fd8412b7" localSheetId="35" hidden="1">'Peer Group'!$C$3:$H$29</definedName>
    <definedName name="CIQANR_a7825ea25b164c989b56e01e19713c22" hidden="1">CEO!$C$6:$U$22</definedName>
    <definedName name="CIQANR_ac8bc0d90e134daeb0555f5f9c954483" localSheetId="26" hidden="1">#REF!</definedName>
    <definedName name="CIQANR_ac8bc0d90e134daeb0555f5f9c954483" localSheetId="27" hidden="1">#REF!</definedName>
    <definedName name="CIQANR_ac8bc0d90e134daeb0555f5f9c954483" localSheetId="35" hidden="1">#REF!</definedName>
    <definedName name="CIQANR_ac8bc0d90e134daeb0555f5f9c954483" hidden="1">#REF!</definedName>
    <definedName name="CIQANR_bacaca6f7d754fbb8cd2f04d0213fc32" hidden="1">CEO!$C$28:$U$40</definedName>
    <definedName name="CIQANR_baf1cbd8518c4df39fd9e290113ce102" hidden="1">'2nd Highest'!$C$27:$W$39</definedName>
    <definedName name="CIQANR_bb96a34d658148189c5c39ae67e5877e" hidden="1">Tech!$C$16:$W$28</definedName>
    <definedName name="CIQANR_bbcdf40974154674afdd61ceb0cae10b" localSheetId="26" hidden="1">#REF!</definedName>
    <definedName name="CIQANR_bbcdf40974154674afdd61ceb0cae10b" localSheetId="27" hidden="1">#REF!</definedName>
    <definedName name="CIQANR_bbcdf40974154674afdd61ceb0cae10b" localSheetId="35" hidden="1">#REF!</definedName>
    <definedName name="CIQANR_bbcdf40974154674afdd61ceb0cae10b" hidden="1">#REF!</definedName>
    <definedName name="CIQANR_bc0d86c552034050a7eb7af441fb313c" hidden="1">'NEO4'!$C$6:$W$21</definedName>
    <definedName name="CIQANR_c6004537e54f492e8dcf6eb3c5146553" hidden="1">Tech!$C$6:$W$27</definedName>
    <definedName name="CIQANR_cec7c08ea9464581b54e606f269601c5" hidden="1">'2nd Highest'!$C$6:$W$22</definedName>
    <definedName name="CIQANR_d4d0063c1c474477bfb7fe47b194abae" hidden="1">Region!$C$6:$W$8</definedName>
    <definedName name="CIQANR_f0736372724d46219734bf846b8205d5" localSheetId="26" hidden="1">#REF!</definedName>
    <definedName name="CIQANR_f0736372724d46219734bf846b8205d5" localSheetId="27" hidden="1">#REF!</definedName>
    <definedName name="CIQANR_f0736372724d46219734bf846b8205d5" hidden="1">#REF!</definedName>
    <definedName name="CIQANR_fe4269565cac4142aa726f19f9c264f9" localSheetId="26" hidden="1">#REF!</definedName>
    <definedName name="CIQANR_fe4269565cac4142aa726f19f9c264f9" localSheetId="27" hidden="1">#REF!</definedName>
    <definedName name="CIQANR_fe4269565cac4142aa726f19f9c264f9" localSheetId="35" hidden="1">#REF!</definedName>
    <definedName name="CIQANR_fe4269565cac4142aa726f19f9c264f9" hidden="1">#REF!</definedName>
    <definedName name="CIQANR_fe4775b8796e4a84a6f97fa62b427df4" hidden="1">'NEO5'!$C$33:$W$36</definedName>
    <definedName name="CIQANR_fe48c8d0fcdc4cb2be3129160775cf5d" hidden="1">CEO!$AL$6:$AM$32</definedName>
    <definedName name="CIQWBGuid" localSheetId="4" hidden="1">"d22c400b-f230-4092-aa19-2bdf3392b229"</definedName>
    <definedName name="CIQWBGuid" hidden="1">"71d3d8c0-a75c-4b4e-8fad-58e0dd516cc0"</definedName>
    <definedName name="CIQWBInfo" hidden="1">"{ ""CIQVersion"":""9.53.6531.4508"" }"</definedName>
    <definedName name="Client_Ticker" localSheetId="5">#REF!</definedName>
    <definedName name="Client_Ticker" localSheetId="37">#REF!</definedName>
    <definedName name="Component">'Raw Data'!$B$31:$BA$31</definedName>
    <definedName name="Currency_CAD" localSheetId="5">#REF!</definedName>
    <definedName name="Currency_CAD" localSheetId="37">#REF!</definedName>
    <definedName name="fff" localSheetId="26" hidden="1">#REF!</definedName>
    <definedName name="fff" localSheetId="27" hidden="1">#REF!</definedName>
    <definedName name="fff" localSheetId="35" hidden="1">#REF!</definedName>
    <definedName name="fff" hidden="1">#REF!</definedName>
    <definedName name="FX_2011" localSheetId="5">#REF!</definedName>
    <definedName name="FX_2011" localSheetId="37">#REF!</definedName>
    <definedName name="FX_2012" localSheetId="5">#REF!</definedName>
    <definedName name="FX_2012" localSheetId="37">#REF!</definedName>
    <definedName name="FX_2013" localSheetId="5">#REF!</definedName>
    <definedName name="FX_2013" localSheetId="37">#REF!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SSET_BACKED_FDIC" hidden="1">"c6301"</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SH_DIVIDENDS_NET_INCOME_FDIC" hidden="1">"c6738"</definedName>
    <definedName name="IQ_CASH_IN_PROCESS_FDIC" hidden="1">"c6386"</definedName>
    <definedName name="IQ_CCE_FDIC" hidden="1">"c6296"</definedName>
    <definedName name="IQ_CH">110000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FDIC" hidden="1">"c6350"</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Y">10000</definedName>
    <definedName name="IQ_DAILY">500000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S_COVERAGE_NET_CHARGE_OFFS_FDIC" hidden="1">"c6735"</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IMATED_ASSESSABLE_DEPOSITS_FDIC" hidden="1">"c6490"</definedName>
    <definedName name="IQ_ESTIMATED_INSURED_DEPOSITS_FDIC" hidden="1">"c6491"</definedName>
    <definedName name="IQ_EXPENSE_CODE_" hidden="1">"019802400"</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H">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500</definedName>
    <definedName name="IQ_FREE_OPERATING_CASH_FLOW_DEBT_CSD" hidden="1">"c27718"</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_CONTRACTS_FDIC" hidden="1">"c6517"</definedName>
    <definedName name="IQ_FX_CONTRACTS_SPOT_FDIC" hidden="1">"c6356"</definedName>
    <definedName name="IQ_FY">1000</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HELD_MATURITY_FDIC" hidden="1">"c6408"</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TOTAL_FDIC" hidden="1">"c6569"</definedName>
    <definedName name="IQ_INT_FED_FUNDS_FDIC" hidden="1">"c6566"</definedName>
    <definedName name="IQ_INT_FOREIGN_DEPOSITS_FDIC" hidden="1">"c6565"</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M">2000</definedName>
    <definedName name="IQ_LTMMONTH" hidden="1">120000</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ONEY_MARKET_DEPOSIT_ACCOUNTS_FDIC" hidden="1">"c6553"</definedName>
    <definedName name="IQ_MONTH">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"04/27/2026 18:37:10"</definedName>
    <definedName name="IQ_NAV_ACT_OR_EST" hidden="1">"c2225"</definedName>
    <definedName name="IQ_NET_CHARGE_OFFS_FDIC" hidden="1">"c6641"</definedName>
    <definedName name="IQ_NET_CHARGE_OFFS_LOANS_FDIC" hidden="1">"c6751"</definedName>
    <definedName name="IQ_NET_INCOME_FDIC" hidden="1">"c6587"</definedName>
    <definedName name="IQ_NET_INT_INC_BNK_FDIC" hidden="1">"c6570"</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PENED55" hidden="1">1</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SSETS_FDIC" hidden="1">"c6338"</definedName>
    <definedName name="IQ_OTHER_BORROWED_FUNDS_FDIC" hidden="1">"c6345"</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INSURANCE_FEES_FDIC" hidden="1">"c6672"</definedName>
    <definedName name="IQ_OTHER_INTANGIBLE_FDIC" hidden="1">"c6337"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MINING_REVENUE_COAL" hidden="1">"c15931"</definedName>
    <definedName name="IQ_OTHER_NON_INT_EXP_FDIC" hidden="1">"c6578"</definedName>
    <definedName name="IQ_OTHER_NON_INT_EXPENSE_FDIC" hidden="1">"c6679"</definedName>
    <definedName name="IQ_OTHER_NON_INT_INC_FDIC" hidden="1">"c6676"</definedName>
    <definedName name="IQ_OTHER_OFF_BS_LIAB_FDIC" hidden="1">"c6533"</definedName>
    <definedName name="IQ_OTHER_RE_OWNED_FDIC" hidden="1">"c6330"</definedName>
    <definedName name="IQ_OTHER_SAVINGS_DEPOSITS_FDIC" hidden="1">"c6554"</definedName>
    <definedName name="IQ_OTHER_TRANSACTIONS_FDIC" hidden="1">"c6504"</definedName>
    <definedName name="IQ_OTHER_UNUSED_COMMITMENTS_FDIC" hidden="1">"c6530"</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D_DATE" hidden="1">"c28809"</definedName>
    <definedName name="IQ_PD_SCORE" hidden="1">"c28808"</definedName>
    <definedName name="IQ_PD_Z_SCORE" hidden="1">"c28810"</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INSURED_FDIC" hidden="1">"c6374"</definedName>
    <definedName name="IQ_PERIODDATE_FDIC" hidden="1">"c13646"</definedName>
    <definedName name="IQ_PLEDGED_SECURITIES_FDIC" hidden="1">"c6401"</definedName>
    <definedName name="IQ_PRE_TAX_INCOME_FDIC" hidden="1">"c6581"</definedName>
    <definedName name="IQ_PREFERRED_FDIC" hidden="1">"c6349"</definedName>
    <definedName name="IQ_PREMISES_EQUIPMENT_FDIC" hidden="1">"c6577"</definedName>
    <definedName name="IQ_PRETAX_RETURN_ASSETS_FDIC" hidden="1">"c6731"</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TATEMENTS_NET_FDIC" hidden="1">"c6500"</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FDIC" hidden="1">"c6730"</definedName>
    <definedName name="IQ_RETURN_EQUITY_FDIC" hidden="1">"c6732"</definedName>
    <definedName name="IQ_REVALUATION_GAINS_FDIC" hidden="1">"c6428"</definedName>
    <definedName name="IQ_REVALUATION_LOSSES_FDIC" hidden="1">"c6429"</definedName>
    <definedName name="IQ_RISK_WEIGHTED_ASSETS_FDIC" hidden="1">"c6370"</definedName>
    <definedName name="IQ_ROYALTY_REVENUE_COAL" hidden="1">"c15932"</definedName>
    <definedName name="IQ_SALARY_FDIC" hidden="1">"c6576"</definedName>
    <definedName name="IQ_SALE_CONVERSION_RETIREMENT_STOCK_FDIC" hidden="1">"c6661"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SSETS_FDIC" hidden="1">"c6339"</definedName>
    <definedName name="IQ_TOTAL_CHARGE_OFFS_FDIC" hidden="1">"c6603"</definedName>
    <definedName name="IQ_TOTAL_DEBT_SECURITIES_FDIC" hidden="1">"c6410"</definedName>
    <definedName name="IQ_TOTAL_DEPOSITS_FDIC" hidden="1">"c6342"</definedName>
    <definedName name="IQ_TOTAL_EMPLOYEES_FDIC" hidden="1">"c6355"</definedName>
    <definedName name="IQ_TOTAL_LIAB_EQUITY_FDIC" hidden="1">"c6354"</definedName>
    <definedName name="IQ_TOTAL_LIABILITIES_FDIC" hidden="1">"c6348"</definedName>
    <definedName name="IQ_TOTAL_RECOVERIES_FDIC" hidden="1">"c6622"</definedName>
    <definedName name="IQ_TOTAL_REV_BNK_FDIC" hidden="1">"c6786"</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50000</definedName>
    <definedName name="IQ_WRITTEN_OPTION_CONTRACTS_FDIC" hidden="1">"c6509"</definedName>
    <definedName name="IQ_WRITTEN_OPTION_CONTRACTS_FX_RISK_FDIC" hidden="1">"c6514"</definedName>
    <definedName name="IQ_WRITTEN_OPTION_CONTRACTS_NON_FX_IR_FDIC" hidden="1">"c6519"</definedName>
    <definedName name="IQ_YTD">3000</definedName>
    <definedName name="IQ_YTDMONTH" hidden="1">130000</definedName>
    <definedName name="IQB_BOOKMARK_COUNT" hidden="1">1</definedName>
    <definedName name="IQB_BOOKMARK_LOCATION_0" hidden="1">'TC Chart'!$C$3</definedName>
    <definedName name="IQR1YearDailyB3" localSheetId="26" hidden="1">#REF!</definedName>
    <definedName name="IQR1YearDailyB3" localSheetId="27" hidden="1">#REF!</definedName>
    <definedName name="IQR1YearDailyB3" localSheetId="35" hidden="1">#REF!</definedName>
    <definedName name="IQR1YearDailyB3" hidden="1">#REF!</definedName>
    <definedName name="IQR3YearDailyB3" localSheetId="26" hidden="1">#REF!</definedName>
    <definedName name="IQR3YearDailyB3" localSheetId="27" hidden="1">#REF!</definedName>
    <definedName name="IQR3YearDailyB3" localSheetId="35" hidden="1">#REF!</definedName>
    <definedName name="IQR3YearDailyB3" hidden="1">#REF!</definedName>
    <definedName name="IQRA4" hidden="1">"$A$5:$A$13"</definedName>
    <definedName name="IQRAA4" hidden="1">"$AA$5:$AA$6"</definedName>
    <definedName name="IQRAB4" hidden="1">"$AB$5"</definedName>
    <definedName name="IQRAC4" hidden="1">"$AC$5"</definedName>
    <definedName name="IQRAD4" hidden="1">"$AD$5"</definedName>
    <definedName name="IQRAE4" hidden="1">"$AE$5"</definedName>
    <definedName name="IQRAF4" hidden="1">"$AF$5"</definedName>
    <definedName name="IQRAG4" hidden="1">"$AG$5"</definedName>
    <definedName name="IQRAH4" hidden="1">"$AH$5:$AH$18"</definedName>
    <definedName name="IQRAI4" hidden="1">"$AI$5:$AI$18"</definedName>
    <definedName name="IQRB2" hidden="1">"$B$3:$B$1260"</definedName>
    <definedName name="IQRB3" hidden="1">"$B$4:$B$757"</definedName>
    <definedName name="IQRB4" hidden="1">"$B$5:$B$13"</definedName>
    <definedName name="IQRC4" hidden="1">"$C$5:$C$25"</definedName>
    <definedName name="IQRC5" hidden="1">"$C$6:$C$25"</definedName>
    <definedName name="IQRC6" hidden="1">"$C$7:$C$26"</definedName>
    <definedName name="IQRcoppervs.hudbayA3" hidden="1">#REF!</definedName>
    <definedName name="IQRD37" hidden="1">"$D$38"</definedName>
    <definedName name="IQRD4" hidden="1">"$D$5:$D$8"</definedName>
    <definedName name="IQRD5" hidden="1">"$D$6:$D$26"</definedName>
    <definedName name="IQRE4" hidden="1">"$E$5:$E$8"</definedName>
    <definedName name="IQRE5" hidden="1">"$E$6:$E$25"</definedName>
    <definedName name="IQRE6" hidden="1">"$E$7:$E$26"</definedName>
    <definedName name="IQREBITDAB2" localSheetId="26" hidden="1">#REF!</definedName>
    <definedName name="IQREBITDAB2" localSheetId="27" hidden="1">#REF!</definedName>
    <definedName name="IQREBITDAB2" localSheetId="35" hidden="1">#REF!</definedName>
    <definedName name="IQREBITDAB2" hidden="1">#REF!</definedName>
    <definedName name="IQRF4" hidden="1">"$F$5:$F$13"</definedName>
    <definedName name="IQRF5" hidden="1">"$F$6:$F$25"</definedName>
    <definedName name="IQRG4" hidden="1">"$G$5:$G$9"</definedName>
    <definedName name="IQRG5" hidden="1">"$G$6:$G$25"</definedName>
    <definedName name="IQRG6" hidden="1">"$G$7:$G$26"</definedName>
    <definedName name="IQRH4" hidden="1">"$H$5"</definedName>
    <definedName name="IQRH5" hidden="1">"$H$6:$H$14"</definedName>
    <definedName name="IQRI4" hidden="1">"$I$5"</definedName>
    <definedName name="IQRI5" hidden="1">"$I$6:$I$25"</definedName>
    <definedName name="IQRI6" hidden="1">"$I$7:$I$26"</definedName>
    <definedName name="IQRJ4" hidden="1">"$J$5:$J$17"</definedName>
    <definedName name="IQRK4" hidden="1">"$K$5:$K$17"</definedName>
    <definedName name="IQRK5" hidden="1">"$K$6:$K$25"</definedName>
    <definedName name="IQRK6" hidden="1">"$K$7:$K$26"</definedName>
    <definedName name="IQRL4" hidden="1">"$L$5:$L$15"</definedName>
    <definedName name="IQRM4" hidden="1">"$M$5:$M$15"</definedName>
    <definedName name="IQRN4" hidden="1">"$N$5:$N$7"</definedName>
    <definedName name="IQRO4" hidden="1">"$O$5:$O$7"</definedName>
    <definedName name="IQRP4" hidden="1">"$P$5:$P$10"</definedName>
    <definedName name="IQRQ4" hidden="1">"$Q$5:$Q$10"</definedName>
    <definedName name="IQRR4" hidden="1">"$R$5:$R$9"</definedName>
    <definedName name="IQRS4" hidden="1">"$S$5:$S$9"</definedName>
    <definedName name="IQRSheet1C4" localSheetId="26" hidden="1">#REF!</definedName>
    <definedName name="IQRSheet1C4" localSheetId="27" hidden="1">#REF!</definedName>
    <definedName name="IQRSheet1C4" localSheetId="35" hidden="1">#REF!</definedName>
    <definedName name="IQRSheet1C4" hidden="1">#REF!</definedName>
    <definedName name="IQRSheet1C5" localSheetId="26" hidden="1">#REF!</definedName>
    <definedName name="IQRSheet1C5" localSheetId="27" hidden="1">#REF!</definedName>
    <definedName name="IQRSheet1C5" localSheetId="35" hidden="1">#REF!</definedName>
    <definedName name="IQRSheet1C5" hidden="1">#REF!</definedName>
    <definedName name="IQRSheet1C6" localSheetId="26" hidden="1">#REF!</definedName>
    <definedName name="IQRSheet1C6" localSheetId="27" hidden="1">#REF!</definedName>
    <definedName name="IQRSheet1C6" localSheetId="35" hidden="1">#REF!</definedName>
    <definedName name="IQRSheet1C6" hidden="1">#REF!</definedName>
    <definedName name="IQRSheet2B2" localSheetId="26" hidden="1">#REF!</definedName>
    <definedName name="IQRSheet2B2" localSheetId="27" hidden="1">#REF!</definedName>
    <definedName name="IQRSheet2B2" localSheetId="35" hidden="1">#REF!</definedName>
    <definedName name="IQRSheet2B2" hidden="1">#REF!</definedName>
    <definedName name="IQRSheet2C2" localSheetId="26" hidden="1">#REF!</definedName>
    <definedName name="IQRSheet2C2" localSheetId="27" hidden="1">#REF!</definedName>
    <definedName name="IQRSheet2C2" localSheetId="35" hidden="1">#REF!</definedName>
    <definedName name="IQRSheet2C2" hidden="1">#REF!</definedName>
    <definedName name="IQRSheet2D2" localSheetId="26" hidden="1">#REF!</definedName>
    <definedName name="IQRSheet2D2" localSheetId="27" hidden="1">#REF!</definedName>
    <definedName name="IQRSheet2D2" localSheetId="35" hidden="1">#REF!</definedName>
    <definedName name="IQRSheet2D2" hidden="1">#REF!</definedName>
    <definedName name="IQRSheet2D3" localSheetId="26" hidden="1">#REF!</definedName>
    <definedName name="IQRSheet2D3" localSheetId="27" hidden="1">#REF!</definedName>
    <definedName name="IQRSheet2D3" localSheetId="35" hidden="1">#REF!</definedName>
    <definedName name="IQRSheet2D3" hidden="1">#REF!</definedName>
    <definedName name="IQRSheet2E2" localSheetId="26" hidden="1">#REF!</definedName>
    <definedName name="IQRSheet2E2" localSheetId="27" hidden="1">#REF!</definedName>
    <definedName name="IQRSheet2E2" localSheetId="35" hidden="1">#REF!</definedName>
    <definedName name="IQRSheet2E2" hidden="1">#REF!</definedName>
    <definedName name="IQRSheet2F2" localSheetId="26" hidden="1">#REF!</definedName>
    <definedName name="IQRSheet2F2" localSheetId="27" hidden="1">#REF!</definedName>
    <definedName name="IQRSheet2F2" localSheetId="35" hidden="1">#REF!</definedName>
    <definedName name="IQRSheet2F2" hidden="1">#REF!</definedName>
    <definedName name="IQRSheet2G2" localSheetId="26" hidden="1">#REF!</definedName>
    <definedName name="IQRSheet2G2" localSheetId="27" hidden="1">#REF!</definedName>
    <definedName name="IQRSheet2G2" localSheetId="35" hidden="1">#REF!</definedName>
    <definedName name="IQRSheet2G2" hidden="1">#REF!</definedName>
    <definedName name="IQRSheet2H2" localSheetId="26" hidden="1">#REF!</definedName>
    <definedName name="IQRSheet2H2" localSheetId="27" hidden="1">#REF!</definedName>
    <definedName name="IQRSheet2H2" localSheetId="35" hidden="1">#REF!</definedName>
    <definedName name="IQRSheet2H2" hidden="1">#REF!</definedName>
    <definedName name="IQRSheet2I2" localSheetId="26" hidden="1">#REF!</definedName>
    <definedName name="IQRSheet2I2" localSheetId="27" hidden="1">#REF!</definedName>
    <definedName name="IQRSheet2I2" localSheetId="35" hidden="1">#REF!</definedName>
    <definedName name="IQRSheet2I2" hidden="1">#REF!</definedName>
    <definedName name="IQRSheet2J2" localSheetId="26" hidden="1">#REF!</definedName>
    <definedName name="IQRSheet2J2" localSheetId="27" hidden="1">#REF!</definedName>
    <definedName name="IQRSheet2J2" localSheetId="35" hidden="1">#REF!</definedName>
    <definedName name="IQRSheet2J2" hidden="1">#REF!</definedName>
    <definedName name="IQRSheet2K2" localSheetId="26" hidden="1">#REF!</definedName>
    <definedName name="IQRSheet2K2" localSheetId="27" hidden="1">#REF!</definedName>
    <definedName name="IQRSheet2K2" localSheetId="35" hidden="1">#REF!</definedName>
    <definedName name="IQRSheet2K2" hidden="1">#REF!</definedName>
    <definedName name="IQRSheet2L2" localSheetId="26" hidden="1">#REF!</definedName>
    <definedName name="IQRSheet2L2" localSheetId="27" hidden="1">#REF!</definedName>
    <definedName name="IQRSheet2L2" localSheetId="35" hidden="1">#REF!</definedName>
    <definedName name="IQRSheet2L2" hidden="1">#REF!</definedName>
    <definedName name="IQRSheet2M2" localSheetId="26" hidden="1">#REF!</definedName>
    <definedName name="IQRSheet2M2" localSheetId="27" hidden="1">#REF!</definedName>
    <definedName name="IQRSheet2M2" localSheetId="35" hidden="1">#REF!</definedName>
    <definedName name="IQRSheet2M2" hidden="1">#REF!</definedName>
    <definedName name="IQRSheet2N2" localSheetId="26" hidden="1">#REF!</definedName>
    <definedName name="IQRSheet2N2" localSheetId="27" hidden="1">#REF!</definedName>
    <definedName name="IQRSheet2N2" localSheetId="35" hidden="1">#REF!</definedName>
    <definedName name="IQRSheet2N2" hidden="1">#REF!</definedName>
    <definedName name="IQRSheet2O2" localSheetId="26" hidden="1">#REF!</definedName>
    <definedName name="IQRSheet2O2" localSheetId="27" hidden="1">#REF!</definedName>
    <definedName name="IQRSheet2O2" localSheetId="35" hidden="1">#REF!</definedName>
    <definedName name="IQRSheet2O2" hidden="1">#REF!</definedName>
    <definedName name="IQRSheet2P2" localSheetId="26" hidden="1">#REF!</definedName>
    <definedName name="IQRSheet2P2" localSheetId="27" hidden="1">#REF!</definedName>
    <definedName name="IQRSheet2P2" localSheetId="35" hidden="1">#REF!</definedName>
    <definedName name="IQRSheet2P2" hidden="1">#REF!</definedName>
    <definedName name="IQRSheet2Q2" localSheetId="26" hidden="1">#REF!</definedName>
    <definedName name="IQRSheet2Q2" localSheetId="27" hidden="1">#REF!</definedName>
    <definedName name="IQRSheet2Q2" localSheetId="35" hidden="1">#REF!</definedName>
    <definedName name="IQRSheet2Q2" hidden="1">#REF!</definedName>
    <definedName name="IQRSheet2R2" localSheetId="26" hidden="1">#REF!</definedName>
    <definedName name="IQRSheet2R2" localSheetId="27" hidden="1">#REF!</definedName>
    <definedName name="IQRSheet2R2" localSheetId="35" hidden="1">#REF!</definedName>
    <definedName name="IQRSheet2R2" hidden="1">#REF!</definedName>
    <definedName name="IQRSheet2S2" localSheetId="26" hidden="1">#REF!</definedName>
    <definedName name="IQRSheet2S2" localSheetId="27" hidden="1">#REF!</definedName>
    <definedName name="IQRSheet2S2" localSheetId="35" hidden="1">#REF!</definedName>
    <definedName name="IQRSheet2S2" hidden="1">#REF!</definedName>
    <definedName name="IQRSheet2T2" localSheetId="26" hidden="1">#REF!</definedName>
    <definedName name="IQRSheet2T2" localSheetId="27" hidden="1">#REF!</definedName>
    <definedName name="IQRSheet2T2" localSheetId="35" hidden="1">#REF!</definedName>
    <definedName name="IQRSheet2T2" hidden="1">#REF!</definedName>
    <definedName name="IQRSheet2U2" localSheetId="26" hidden="1">#REF!</definedName>
    <definedName name="IQRSheet2U2" localSheetId="27" hidden="1">#REF!</definedName>
    <definedName name="IQRSheet2U2" localSheetId="35" hidden="1">#REF!</definedName>
    <definedName name="IQRSheet2U2" hidden="1">#REF!</definedName>
    <definedName name="IQRSheet2V2" localSheetId="26" hidden="1">#REF!</definedName>
    <definedName name="IQRSheet2V2" localSheetId="27" hidden="1">#REF!</definedName>
    <definedName name="IQRSheet2V2" localSheetId="35" hidden="1">#REF!</definedName>
    <definedName name="IQRSheet2V2" hidden="1">#REF!</definedName>
    <definedName name="IQRSheet2W2" localSheetId="26" hidden="1">#REF!</definedName>
    <definedName name="IQRSheet2W2" localSheetId="27" hidden="1">#REF!</definedName>
    <definedName name="IQRSheet2W2" localSheetId="35" hidden="1">#REF!</definedName>
    <definedName name="IQRSheet2W2" hidden="1">#REF!</definedName>
    <definedName name="IQRT4" hidden="1">"$T$5"</definedName>
    <definedName name="IQRTrailing5yrTSRA4" hidden="1">#REF!</definedName>
    <definedName name="IQRTSX602B2" localSheetId="26" hidden="1">#REF!</definedName>
    <definedName name="IQRTSX602B2" localSheetId="27" hidden="1">#REF!</definedName>
    <definedName name="IQRTSX602B2" localSheetId="35" hidden="1">#REF!</definedName>
    <definedName name="IQRTSX602B2" hidden="1">#REF!</definedName>
    <definedName name="IQRTSX60A1" localSheetId="26" hidden="1">#REF!</definedName>
    <definedName name="IQRTSX60A1" localSheetId="27" hidden="1">#REF!</definedName>
    <definedName name="IQRTSX60A1" localSheetId="35" hidden="1">#REF!</definedName>
    <definedName name="IQRTSX60A1" hidden="1">#REF!</definedName>
    <definedName name="IQRTSX60E3" localSheetId="26" hidden="1">#REF!</definedName>
    <definedName name="IQRTSX60E3" localSheetId="27" hidden="1">#REF!</definedName>
    <definedName name="IQRTSX60E3" localSheetId="35" hidden="1">#REF!</definedName>
    <definedName name="IQRTSX60E3" hidden="1">#REF!</definedName>
    <definedName name="IQRU4" hidden="1">"$U$5:$U$11"</definedName>
    <definedName name="IQRV4" hidden="1">"$V$5:$V$8"</definedName>
    <definedName name="IQRW4" hidden="1">"$W$5:$W$8"</definedName>
    <definedName name="IQRX4" hidden="1">"$X$5:$X$14"</definedName>
    <definedName name="IQRY4" hidden="1">"$Y$5:$Y$14"</definedName>
    <definedName name="IQRZ4" hidden="1">"$Z$5:$Z$6"</definedName>
    <definedName name="ListOffset" hidden="1">1</definedName>
    <definedName name="Look_Up">'Raw Data'!$B$31:$B$1048576</definedName>
    <definedName name="Look_Up2">'Raw Data'!$A$31:$A$1048576</definedName>
    <definedName name="Look_Up3">'Raw Data'!$C$31:$C$1048576</definedName>
    <definedName name="new" localSheetId="26" hidden="1">#REF!</definedName>
    <definedName name="new" localSheetId="27" hidden="1">#REF!</definedName>
    <definedName name="new" localSheetId="35" hidden="1">#REF!</definedName>
    <definedName name="new" hidden="1">#REF!</definedName>
    <definedName name="newname" localSheetId="26" hidden="1">#REF!</definedName>
    <definedName name="newname" localSheetId="27" hidden="1">#REF!</definedName>
    <definedName name="newname" localSheetId="35" hidden="1">#REF!</definedName>
    <definedName name="newname" hidden="1">#REF!</definedName>
    <definedName name="Peer_1_Ticker" localSheetId="5">#REF!</definedName>
    <definedName name="Peer_1_Ticker" localSheetId="37">#REF!</definedName>
    <definedName name="Peer_10_Ticker" localSheetId="5">#REF!</definedName>
    <definedName name="Peer_10_Ticker" localSheetId="37">#REF!</definedName>
    <definedName name="Peer_12_Ticker" localSheetId="5">#REF!</definedName>
    <definedName name="Peer_12_Ticker" localSheetId="37">#REF!</definedName>
    <definedName name="Peer_13_Ticker" localSheetId="5">#REF!</definedName>
    <definedName name="Peer_13_Ticker" localSheetId="37">#REF!</definedName>
    <definedName name="Peer_14_Ticker" localSheetId="5">#REF!</definedName>
    <definedName name="Peer_14_Ticker" localSheetId="37">#REF!</definedName>
    <definedName name="Peer_2_Ticker" localSheetId="5">#REF!</definedName>
    <definedName name="Peer_2_Ticker" localSheetId="37">#REF!</definedName>
    <definedName name="Peer_3_Ticker" localSheetId="5">#REF!</definedName>
    <definedName name="Peer_3_Ticker" localSheetId="37">#REF!</definedName>
    <definedName name="Peer_4_Ticker" localSheetId="5">#REF!</definedName>
    <definedName name="Peer_4_Ticker" localSheetId="37">#REF!</definedName>
    <definedName name="Peer_5_Ticker" localSheetId="5">#REF!</definedName>
    <definedName name="Peer_5_Ticker" localSheetId="37">#REF!</definedName>
    <definedName name="Peer_6_Ticker" localSheetId="5">#REF!</definedName>
    <definedName name="Peer_6_Ticker" localSheetId="37">#REF!</definedName>
    <definedName name="Peer_7_Ticker" localSheetId="5">#REF!</definedName>
    <definedName name="Peer_7_Ticker" localSheetId="37">#REF!</definedName>
    <definedName name="Peer_8_Ticker" localSheetId="5">#REF!</definedName>
    <definedName name="Peer_8_Ticker" localSheetId="37">#REF!</definedName>
    <definedName name="Peer_9_Ticker" localSheetId="5">#REF!</definedName>
    <definedName name="Peer_9_Ticker" localSheetId="37">#REF!</definedName>
    <definedName name="_xlnm.Print_Area" localSheetId="16">'2nd Highest'!$C$5:$W$41</definedName>
    <definedName name="_xlnm.Print_Area" localSheetId="7">CEO!$C$5:$W$42</definedName>
    <definedName name="_xlnm.Print_Area" localSheetId="8">CFO!$C$5:$W$42</definedName>
    <definedName name="_xlnm.Print_Area" localSheetId="13">COO!$C$5:$W$36</definedName>
    <definedName name="_xlnm.Print_Area" localSheetId="12">Legal!$C$5:$W$33</definedName>
    <definedName name="_xlnm.Print_Area" localSheetId="4">'Master - Summary'!$C$5:$V$38</definedName>
    <definedName name="_xlnm.Print_Area" localSheetId="9">'NEO3'!$C$5:$W$42</definedName>
    <definedName name="_xlnm.Print_Area" localSheetId="10">'NEO4'!$C$5:$W$37</definedName>
    <definedName name="_xlnm.Print_Area" localSheetId="11">'NEO5'!$C$5:$W$42</definedName>
    <definedName name="_xlnm.Print_Area" localSheetId="15">Region!$C$5:$W$30</definedName>
    <definedName name="_xlnm.Print_Area" localSheetId="14">Tech!$C$5:$W$30</definedName>
    <definedName name="raw" localSheetId="5">#REF!</definedName>
    <definedName name="raw" localSheetId="37">#REF!</definedName>
    <definedName name="Raw_Data" localSheetId="5">#REF!</definedName>
    <definedName name="Raw_Data" localSheetId="37">#REF!</definedName>
    <definedName name="Raw_Data">'Raw Data'!$B$31:$BA$1048576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8" i="346" l="1" a="1"/>
  <c r="AL8" i="346" s="1"/>
  <c r="AM8" i="346" a="1"/>
  <c r="AM8" i="346" s="1"/>
  <c r="AL9" i="346" a="1"/>
  <c r="AL9" i="346"/>
  <c r="AM9" i="346" a="1"/>
  <c r="AM9" i="346"/>
  <c r="AL10" i="346" a="1"/>
  <c r="AL10" i="346"/>
  <c r="AM10" i="346" a="1"/>
  <c r="AM10" i="346" s="1"/>
  <c r="AL11" i="346" a="1"/>
  <c r="AL11" i="346" s="1"/>
  <c r="AM11" i="346" a="1"/>
  <c r="AM11" i="346"/>
  <c r="AL12" i="346" a="1"/>
  <c r="AL12" i="346" s="1"/>
  <c r="AM12" i="346" a="1"/>
  <c r="AM12" i="346" s="1"/>
  <c r="AL13" i="346" a="1"/>
  <c r="AL13" i="346" s="1"/>
  <c r="AM13" i="346" a="1"/>
  <c r="AM13" i="346" s="1"/>
  <c r="AL14" i="346" a="1"/>
  <c r="AL14" i="346" s="1"/>
  <c r="AM14" i="346" a="1"/>
  <c r="AM14" i="346"/>
  <c r="AL15" i="346" a="1"/>
  <c r="AL15" i="346"/>
  <c r="AM15" i="346" a="1"/>
  <c r="AM15" i="346" s="1"/>
  <c r="AL16" i="346" a="1"/>
  <c r="AL16" i="346" s="1"/>
  <c r="AM16" i="346" a="1"/>
  <c r="AM16" i="346"/>
  <c r="AL17" i="346" a="1"/>
  <c r="AL17" i="346" s="1"/>
  <c r="AM17" i="346" a="1"/>
  <c r="AM17" i="346"/>
  <c r="AL18" i="346" a="1"/>
  <c r="AL18" i="346" s="1"/>
  <c r="AM18" i="346" a="1"/>
  <c r="AM18" i="346" s="1"/>
  <c r="AL19" i="346" a="1"/>
  <c r="AL19" i="346"/>
  <c r="AM19" i="346" a="1"/>
  <c r="AM19" i="346"/>
  <c r="AL20" i="346" a="1"/>
  <c r="AL20" i="346"/>
  <c r="AM20" i="346" a="1"/>
  <c r="AM20" i="346" s="1"/>
  <c r="AL21" i="346" a="1"/>
  <c r="AL21" i="346" s="1"/>
  <c r="AM21" i="346" a="1"/>
  <c r="AM21" i="346"/>
  <c r="AL22" i="346" a="1"/>
  <c r="AL22" i="346" s="1"/>
  <c r="AM22" i="346" a="1"/>
  <c r="AM22" i="346"/>
  <c r="J34" i="346"/>
  <c r="K34" i="346"/>
  <c r="L34" i="346"/>
  <c r="J35" i="346"/>
  <c r="K35" i="346"/>
  <c r="L35" i="346"/>
  <c r="J36" i="346"/>
  <c r="K36" i="346"/>
  <c r="L36" i="346"/>
  <c r="J37" i="346"/>
  <c r="K37" i="346"/>
  <c r="L37" i="346"/>
  <c r="AM29" i="346" l="1"/>
  <c r="AM31" i="346"/>
  <c r="AM32" i="346"/>
  <c r="AM30" i="346"/>
  <c r="AL29" i="346"/>
  <c r="AL30" i="346"/>
  <c r="AL31" i="346"/>
  <c r="AL32" i="346"/>
  <c r="C8" i="705"/>
  <c r="D8" i="705"/>
  <c r="E8" i="705"/>
  <c r="F8" i="705" l="1"/>
  <c r="G8" i="705"/>
  <c r="H8" i="705"/>
  <c r="I8" i="705"/>
  <c r="J8" i="705"/>
  <c r="K8" i="705"/>
  <c r="L8" i="705"/>
  <c r="M8" i="705"/>
  <c r="N8" i="705"/>
  <c r="O8" i="705"/>
  <c r="P8" i="705"/>
  <c r="Q8" i="705"/>
  <c r="R8" i="705"/>
  <c r="S8" i="705"/>
  <c r="T8" i="705"/>
  <c r="U8" i="705"/>
  <c r="V8" i="705"/>
  <c r="W8" i="705"/>
  <c r="C9" i="705"/>
  <c r="D9" i="705"/>
  <c r="E9" i="705"/>
  <c r="F9" i="705"/>
  <c r="G9" i="705"/>
  <c r="H9" i="705"/>
  <c r="I9" i="705"/>
  <c r="J9" i="705"/>
  <c r="K9" i="705"/>
  <c r="L9" i="705"/>
  <c r="M9" i="705"/>
  <c r="N9" i="705"/>
  <c r="O9" i="705"/>
  <c r="P9" i="705"/>
  <c r="Q9" i="705"/>
  <c r="R9" i="705"/>
  <c r="S9" i="705"/>
  <c r="T9" i="705"/>
  <c r="U9" i="705"/>
  <c r="V9" i="705"/>
  <c r="W9" i="705"/>
  <c r="C10" i="705"/>
  <c r="D10" i="705"/>
  <c r="E10" i="705"/>
  <c r="F10" i="705"/>
  <c r="G10" i="705"/>
  <c r="H10" i="705"/>
  <c r="I10" i="705"/>
  <c r="J10" i="705"/>
  <c r="K10" i="705"/>
  <c r="L10" i="705"/>
  <c r="M10" i="705"/>
  <c r="N10" i="705"/>
  <c r="O10" i="705"/>
  <c r="P10" i="705"/>
  <c r="Q10" i="705"/>
  <c r="R10" i="705"/>
  <c r="S10" i="705"/>
  <c r="T10" i="705"/>
  <c r="U10" i="705"/>
  <c r="V10" i="705"/>
  <c r="W10" i="705"/>
  <c r="C11" i="705"/>
  <c r="D11" i="705"/>
  <c r="E11" i="705"/>
  <c r="F11" i="705"/>
  <c r="G11" i="705"/>
  <c r="H11" i="705"/>
  <c r="I11" i="705"/>
  <c r="J11" i="705"/>
  <c r="K11" i="705"/>
  <c r="L11" i="705"/>
  <c r="M11" i="705"/>
  <c r="N11" i="705"/>
  <c r="O11" i="705"/>
  <c r="P11" i="705"/>
  <c r="Q11" i="705"/>
  <c r="R11" i="705"/>
  <c r="S11" i="705"/>
  <c r="T11" i="705"/>
  <c r="U11" i="705"/>
  <c r="V11" i="705"/>
  <c r="W11" i="705"/>
  <c r="C12" i="705"/>
  <c r="D12" i="705"/>
  <c r="E12" i="705"/>
  <c r="F12" i="705"/>
  <c r="G12" i="705"/>
  <c r="H12" i="705"/>
  <c r="I12" i="705"/>
  <c r="J12" i="705"/>
  <c r="K12" i="705"/>
  <c r="L12" i="705"/>
  <c r="M12" i="705"/>
  <c r="N12" i="705"/>
  <c r="O12" i="705"/>
  <c r="P12" i="705"/>
  <c r="Q12" i="705"/>
  <c r="R12" i="705"/>
  <c r="S12" i="705"/>
  <c r="T12" i="705"/>
  <c r="U12" i="705"/>
  <c r="V12" i="705"/>
  <c r="W12" i="705"/>
  <c r="C13" i="705"/>
  <c r="D13" i="705"/>
  <c r="E13" i="705"/>
  <c r="F13" i="705"/>
  <c r="G13" i="705"/>
  <c r="H13" i="705"/>
  <c r="I13" i="705"/>
  <c r="J13" i="705"/>
  <c r="K13" i="705"/>
  <c r="L13" i="705"/>
  <c r="M13" i="705"/>
  <c r="N13" i="705"/>
  <c r="O13" i="705"/>
  <c r="P13" i="705"/>
  <c r="Q13" i="705"/>
  <c r="R13" i="705"/>
  <c r="S13" i="705"/>
  <c r="T13" i="705"/>
  <c r="U13" i="705"/>
  <c r="V13" i="705"/>
  <c r="W13" i="705"/>
  <c r="C14" i="705"/>
  <c r="D14" i="705"/>
  <c r="E14" i="705"/>
  <c r="F14" i="705"/>
  <c r="G14" i="705"/>
  <c r="H14" i="705"/>
  <c r="I14" i="705"/>
  <c r="J14" i="705"/>
  <c r="K14" i="705"/>
  <c r="L14" i="705"/>
  <c r="M14" i="705"/>
  <c r="N14" i="705"/>
  <c r="O14" i="705"/>
  <c r="P14" i="705"/>
  <c r="Q14" i="705"/>
  <c r="R14" i="705"/>
  <c r="S14" i="705"/>
  <c r="T14" i="705"/>
  <c r="U14" i="705"/>
  <c r="V14" i="705"/>
  <c r="W14" i="705"/>
  <c r="C15" i="705"/>
  <c r="D15" i="705"/>
  <c r="E15" i="705"/>
  <c r="F15" i="705"/>
  <c r="G15" i="705"/>
  <c r="H15" i="705"/>
  <c r="I15" i="705"/>
  <c r="J15" i="705"/>
  <c r="K15" i="705"/>
  <c r="L15" i="705"/>
  <c r="M15" i="705"/>
  <c r="N15" i="705"/>
  <c r="O15" i="705"/>
  <c r="P15" i="705"/>
  <c r="Q15" i="705"/>
  <c r="R15" i="705"/>
  <c r="S15" i="705"/>
  <c r="T15" i="705"/>
  <c r="U15" i="705"/>
  <c r="V15" i="705"/>
  <c r="W15" i="705"/>
  <c r="C16" i="705"/>
  <c r="D16" i="705"/>
  <c r="E16" i="705"/>
  <c r="F16" i="705"/>
  <c r="G16" i="705"/>
  <c r="H16" i="705"/>
  <c r="I16" i="705"/>
  <c r="J16" i="705"/>
  <c r="K16" i="705"/>
  <c r="L16" i="705"/>
  <c r="M16" i="705"/>
  <c r="N16" i="705"/>
  <c r="O16" i="705"/>
  <c r="P16" i="705"/>
  <c r="Q16" i="705"/>
  <c r="R16" i="705"/>
  <c r="S16" i="705"/>
  <c r="T16" i="705"/>
  <c r="U16" i="705"/>
  <c r="V16" i="705"/>
  <c r="W16" i="705"/>
  <c r="C17" i="705"/>
  <c r="D17" i="705"/>
  <c r="E17" i="705"/>
  <c r="F17" i="705"/>
  <c r="G17" i="705"/>
  <c r="H17" i="705"/>
  <c r="I17" i="705"/>
  <c r="J17" i="705"/>
  <c r="K17" i="705"/>
  <c r="L17" i="705"/>
  <c r="M17" i="705"/>
  <c r="N17" i="705"/>
  <c r="O17" i="705"/>
  <c r="P17" i="705"/>
  <c r="Q17" i="705"/>
  <c r="R17" i="705"/>
  <c r="S17" i="705"/>
  <c r="T17" i="705"/>
  <c r="U17" i="705"/>
  <c r="V17" i="705"/>
  <c r="W17" i="705"/>
  <c r="C18" i="705"/>
  <c r="D18" i="705"/>
  <c r="E18" i="705"/>
  <c r="F18" i="705"/>
  <c r="G18" i="705"/>
  <c r="H18" i="705"/>
  <c r="I18" i="705"/>
  <c r="J18" i="705"/>
  <c r="K18" i="705"/>
  <c r="L18" i="705"/>
  <c r="M18" i="705"/>
  <c r="N18" i="705"/>
  <c r="O18" i="705"/>
  <c r="P18" i="705"/>
  <c r="Q18" i="705"/>
  <c r="R18" i="705"/>
  <c r="S18" i="705"/>
  <c r="T18" i="705"/>
  <c r="U18" i="705"/>
  <c r="V18" i="705"/>
  <c r="W18" i="705"/>
  <c r="C19" i="705"/>
  <c r="D19" i="705"/>
  <c r="E19" i="705"/>
  <c r="F19" i="705"/>
  <c r="G19" i="705"/>
  <c r="H19" i="705"/>
  <c r="I19" i="705"/>
  <c r="J19" i="705"/>
  <c r="K19" i="705"/>
  <c r="L19" i="705"/>
  <c r="M19" i="705"/>
  <c r="N19" i="705"/>
  <c r="O19" i="705"/>
  <c r="P19" i="705"/>
  <c r="Q19" i="705"/>
  <c r="R19" i="705"/>
  <c r="S19" i="705"/>
  <c r="T19" i="705"/>
  <c r="U19" i="705"/>
  <c r="V19" i="705"/>
  <c r="W19" i="705"/>
  <c r="C20" i="705"/>
  <c r="D20" i="705"/>
  <c r="E20" i="705"/>
  <c r="F20" i="705"/>
  <c r="G20" i="705"/>
  <c r="H20" i="705"/>
  <c r="I20" i="705"/>
  <c r="J20" i="705"/>
  <c r="K20" i="705"/>
  <c r="L20" i="705"/>
  <c r="M20" i="705"/>
  <c r="N20" i="705"/>
  <c r="O20" i="705"/>
  <c r="P20" i="705"/>
  <c r="Q20" i="705"/>
  <c r="R20" i="705"/>
  <c r="S20" i="705"/>
  <c r="U20" i="705" s="1"/>
  <c r="T20" i="705"/>
  <c r="V20" i="705"/>
  <c r="W20" i="705"/>
  <c r="C21" i="705"/>
  <c r="D21" i="705"/>
  <c r="E21" i="705"/>
  <c r="F21" i="705"/>
  <c r="G21" i="705"/>
  <c r="H21" i="705"/>
  <c r="I21" i="705"/>
  <c r="J21" i="705"/>
  <c r="J23" i="705" s="1"/>
  <c r="K21" i="705"/>
  <c r="K24" i="705" s="1"/>
  <c r="L21" i="705"/>
  <c r="L24" i="705" s="1"/>
  <c r="M21" i="705"/>
  <c r="M24" i="705" s="1"/>
  <c r="N21" i="705"/>
  <c r="N25" i="705" s="1"/>
  <c r="O21" i="705"/>
  <c r="O25" i="705" s="1"/>
  <c r="P21" i="705"/>
  <c r="P23" i="705" s="1"/>
  <c r="Q21" i="705"/>
  <c r="Q26" i="705" s="1"/>
  <c r="R21" i="705"/>
  <c r="R23" i="705" s="1"/>
  <c r="S21" i="705"/>
  <c r="S26" i="705" s="1"/>
  <c r="T21" i="705"/>
  <c r="T23" i="705" s="1"/>
  <c r="U21" i="705"/>
  <c r="U26" i="705" s="1"/>
  <c r="V21" i="705"/>
  <c r="V23" i="705" s="1"/>
  <c r="W21" i="705"/>
  <c r="W25" i="705" s="1"/>
  <c r="C22" i="705"/>
  <c r="D23" i="705"/>
  <c r="D31" i="705" s="1"/>
  <c r="E23" i="705"/>
  <c r="I23" i="705"/>
  <c r="D24" i="705"/>
  <c r="E24" i="705"/>
  <c r="I24" i="705"/>
  <c r="J24" i="705"/>
  <c r="D25" i="705"/>
  <c r="E25" i="705"/>
  <c r="I25" i="705"/>
  <c r="J25" i="705"/>
  <c r="K25" i="705"/>
  <c r="L25" i="705"/>
  <c r="M25" i="705"/>
  <c r="D26" i="705"/>
  <c r="E26" i="705"/>
  <c r="I26" i="705"/>
  <c r="J26" i="705"/>
  <c r="K26" i="705"/>
  <c r="L26" i="705"/>
  <c r="M26" i="705"/>
  <c r="N26" i="705"/>
  <c r="O26" i="705"/>
  <c r="P26" i="705"/>
  <c r="C27" i="705"/>
  <c r="D28" i="705"/>
  <c r="E28" i="705"/>
  <c r="I28" i="705"/>
  <c r="J28" i="705"/>
  <c r="K28" i="705"/>
  <c r="L28" i="705"/>
  <c r="N28" i="705"/>
  <c r="Q28" i="705"/>
  <c r="R28" i="705"/>
  <c r="S28" i="705"/>
  <c r="D29" i="705"/>
  <c r="E29" i="705"/>
  <c r="I29" i="705"/>
  <c r="J29" i="705"/>
  <c r="K29" i="705"/>
  <c r="L29" i="705"/>
  <c r="Q29" i="705"/>
  <c r="R29" i="705"/>
  <c r="S29" i="705"/>
  <c r="D30" i="705"/>
  <c r="E30" i="705"/>
  <c r="I30" i="705"/>
  <c r="J30" i="705"/>
  <c r="K30" i="705"/>
  <c r="L30" i="705"/>
  <c r="Q30" i="705"/>
  <c r="R30" i="705"/>
  <c r="S30" i="705"/>
  <c r="E31" i="705"/>
  <c r="I31" i="705"/>
  <c r="J31" i="705"/>
  <c r="K31" i="705"/>
  <c r="L31" i="705"/>
  <c r="Q31" i="705"/>
  <c r="R31" i="705"/>
  <c r="S31" i="705"/>
  <c r="C33" i="705"/>
  <c r="D33" i="705"/>
  <c r="E33" i="705"/>
  <c r="U29" i="705" l="1"/>
  <c r="W23" i="705"/>
  <c r="V24" i="705"/>
  <c r="S23" i="705"/>
  <c r="U24" i="705"/>
  <c r="T24" i="705"/>
  <c r="W26" i="705"/>
  <c r="V26" i="705"/>
  <c r="U23" i="705"/>
  <c r="U31" i="705" s="1"/>
  <c r="W24" i="705"/>
  <c r="U30" i="705"/>
  <c r="V25" i="705"/>
  <c r="O23" i="705"/>
  <c r="T25" i="705"/>
  <c r="N23" i="705"/>
  <c r="S25" i="705"/>
  <c r="L23" i="705"/>
  <c r="T26" i="705"/>
  <c r="Q25" i="705"/>
  <c r="N24" i="705"/>
  <c r="N31" i="705" s="1"/>
  <c r="K23" i="705"/>
  <c r="Q23" i="705"/>
  <c r="S24" i="705"/>
  <c r="M23" i="705"/>
  <c r="R25" i="705"/>
  <c r="P25" i="705"/>
  <c r="U25" i="705"/>
  <c r="R24" i="705"/>
  <c r="Q24" i="705"/>
  <c r="N30" i="705"/>
  <c r="P24" i="705"/>
  <c r="O24" i="705"/>
  <c r="U28" i="705"/>
  <c r="R26" i="705"/>
  <c r="N29" i="705"/>
  <c r="F33" i="705"/>
  <c r="G33" i="705"/>
  <c r="H33" i="705"/>
  <c r="I33" i="705"/>
  <c r="J33" i="705"/>
  <c r="K33" i="705"/>
  <c r="L33" i="705"/>
  <c r="M33" i="705"/>
  <c r="N33" i="705"/>
  <c r="N34" i="705" s="1"/>
  <c r="P33" i="705"/>
  <c r="Q33" i="705"/>
  <c r="Q34" i="705" s="1"/>
  <c r="R33" i="705"/>
  <c r="R34" i="705" s="1"/>
  <c r="S33" i="705"/>
  <c r="S34" i="705" s="1"/>
  <c r="T33" i="705"/>
  <c r="U33" i="705"/>
  <c r="U34" i="705" s="1"/>
  <c r="W33" i="705"/>
  <c r="D34" i="705"/>
  <c r="E34" i="705"/>
  <c r="I34" i="705"/>
  <c r="J34" i="705"/>
  <c r="K34" i="705"/>
  <c r="L34" i="705"/>
  <c r="AL8" i="705" a="1"/>
  <c r="AL8" i="705"/>
  <c r="AL25" i="705" s="1"/>
  <c r="AM8" i="705" a="1"/>
  <c r="AM8" i="705"/>
  <c r="AL9" i="705" a="1"/>
  <c r="AL9" i="705"/>
  <c r="AM9" i="705" a="1"/>
  <c r="AM9" i="705"/>
  <c r="AL10" i="705" a="1"/>
  <c r="AL10" i="705"/>
  <c r="AM10" i="705" a="1"/>
  <c r="AM10" i="705"/>
  <c r="AL11" i="705" a="1"/>
  <c r="AL11" i="705" s="1"/>
  <c r="AM11" i="705" a="1"/>
  <c r="AM11" i="705" s="1"/>
  <c r="AL12" i="705" a="1"/>
  <c r="AL12" i="705"/>
  <c r="AM12" i="705" a="1"/>
  <c r="AM12" i="705"/>
  <c r="AL13" i="705" a="1"/>
  <c r="AL13" i="705"/>
  <c r="AM13" i="705" a="1"/>
  <c r="AM13" i="705"/>
  <c r="AL14" i="705" a="1"/>
  <c r="AL14" i="705"/>
  <c r="AM14" i="705" a="1"/>
  <c r="AM14" i="705"/>
  <c r="AL15" i="705" a="1"/>
  <c r="AL15" i="705"/>
  <c r="AM15" i="705" a="1"/>
  <c r="AM15" i="705"/>
  <c r="AL16" i="705" a="1"/>
  <c r="AL16" i="705" s="1"/>
  <c r="AM16" i="705" a="1"/>
  <c r="AM16" i="705" s="1"/>
  <c r="AL17" i="705" a="1"/>
  <c r="AL17" i="705" s="1"/>
  <c r="AM17" i="705" a="1"/>
  <c r="AM17" i="705"/>
  <c r="AL18" i="705" a="1"/>
  <c r="AL18" i="705"/>
  <c r="AM18" i="705" a="1"/>
  <c r="AM18" i="705"/>
  <c r="AL19" i="705" a="1"/>
  <c r="AL19" i="705"/>
  <c r="AM19" i="705" a="1"/>
  <c r="AM19" i="705"/>
  <c r="AL20" i="705" a="1"/>
  <c r="AL20" i="705"/>
  <c r="AM20" i="705" a="1"/>
  <c r="AM20" i="705"/>
  <c r="AL21" i="705" a="1"/>
  <c r="AL21" i="705" s="1"/>
  <c r="AM21" i="705" a="1"/>
  <c r="AM21" i="705" s="1"/>
  <c r="C8" i="704"/>
  <c r="F8" i="704"/>
  <c r="G8" i="704"/>
  <c r="H8" i="704"/>
  <c r="I8" i="704"/>
  <c r="J8" i="704"/>
  <c r="K8" i="704"/>
  <c r="L8" i="704"/>
  <c r="M8" i="704"/>
  <c r="N8" i="704"/>
  <c r="O8" i="704"/>
  <c r="P8" i="704"/>
  <c r="Q8" i="704"/>
  <c r="R8" i="704"/>
  <c r="S8" i="704"/>
  <c r="T8" i="704"/>
  <c r="U8" i="704"/>
  <c r="V8" i="704"/>
  <c r="W8" i="704"/>
  <c r="C9" i="704"/>
  <c r="F9" i="704"/>
  <c r="G9" i="704"/>
  <c r="H9" i="704"/>
  <c r="I9" i="704"/>
  <c r="J9" i="704"/>
  <c r="K9" i="704"/>
  <c r="L9" i="704"/>
  <c r="M9" i="704"/>
  <c r="N9" i="704"/>
  <c r="O9" i="704"/>
  <c r="P9" i="704"/>
  <c r="Q9" i="704"/>
  <c r="R9" i="704"/>
  <c r="S9" i="704"/>
  <c r="T9" i="704"/>
  <c r="U9" i="704"/>
  <c r="V9" i="704"/>
  <c r="W9" i="704"/>
  <c r="C10" i="704"/>
  <c r="F10" i="704"/>
  <c r="G10" i="704"/>
  <c r="H10" i="704"/>
  <c r="I10" i="704"/>
  <c r="J10" i="704"/>
  <c r="K10" i="704"/>
  <c r="L10" i="704"/>
  <c r="M10" i="704"/>
  <c r="N10" i="704"/>
  <c r="O10" i="704"/>
  <c r="P10" i="704"/>
  <c r="Q10" i="704"/>
  <c r="R10" i="704"/>
  <c r="S10" i="704"/>
  <c r="U10" i="704" s="1"/>
  <c r="T10" i="704"/>
  <c r="V10" i="704"/>
  <c r="W10" i="704"/>
  <c r="C11" i="704"/>
  <c r="F11" i="704"/>
  <c r="G11" i="704"/>
  <c r="H11" i="704"/>
  <c r="I11" i="704"/>
  <c r="J11" i="704"/>
  <c r="K11" i="704"/>
  <c r="L11" i="704"/>
  <c r="M11" i="704"/>
  <c r="N11" i="704"/>
  <c r="O11" i="704"/>
  <c r="P11" i="704"/>
  <c r="Q11" i="704"/>
  <c r="R11" i="704"/>
  <c r="S11" i="704"/>
  <c r="T11" i="704"/>
  <c r="U11" i="704"/>
  <c r="V11" i="704"/>
  <c r="W11" i="704"/>
  <c r="C12" i="704"/>
  <c r="F12" i="704"/>
  <c r="G12" i="704"/>
  <c r="H12" i="704"/>
  <c r="I12" i="704"/>
  <c r="J12" i="704"/>
  <c r="K12" i="704"/>
  <c r="L12" i="704"/>
  <c r="M12" i="704"/>
  <c r="N12" i="704"/>
  <c r="O12" i="704"/>
  <c r="P12" i="704"/>
  <c r="Q12" i="704"/>
  <c r="R12" i="704"/>
  <c r="S12" i="704"/>
  <c r="U12" i="704" s="1"/>
  <c r="T12" i="704"/>
  <c r="V12" i="704"/>
  <c r="W12" i="704"/>
  <c r="C13" i="704"/>
  <c r="F13" i="704"/>
  <c r="G13" i="704"/>
  <c r="H13" i="704"/>
  <c r="I13" i="704"/>
  <c r="J13" i="704"/>
  <c r="K13" i="704"/>
  <c r="L13" i="704"/>
  <c r="M13" i="704"/>
  <c r="N13" i="704"/>
  <c r="O13" i="704"/>
  <c r="P13" i="704"/>
  <c r="Q13" i="704"/>
  <c r="R13" i="704"/>
  <c r="S13" i="704"/>
  <c r="T13" i="704"/>
  <c r="U13" i="704"/>
  <c r="V13" i="704"/>
  <c r="W13" i="704"/>
  <c r="C14" i="704"/>
  <c r="F14" i="704"/>
  <c r="G14" i="704"/>
  <c r="H14" i="704"/>
  <c r="I14" i="704"/>
  <c r="J14" i="704"/>
  <c r="K14" i="704"/>
  <c r="L14" i="704"/>
  <c r="M14" i="704"/>
  <c r="N14" i="704"/>
  <c r="O14" i="704"/>
  <c r="P14" i="704"/>
  <c r="Q14" i="704"/>
  <c r="R14" i="704"/>
  <c r="S14" i="704"/>
  <c r="T14" i="704"/>
  <c r="U14" i="704"/>
  <c r="V14" i="704"/>
  <c r="W14" i="704"/>
  <c r="C15" i="704"/>
  <c r="F15" i="704"/>
  <c r="G15" i="704"/>
  <c r="H15" i="704"/>
  <c r="I15" i="704"/>
  <c r="J15" i="704"/>
  <c r="K15" i="704"/>
  <c r="L15" i="704"/>
  <c r="M15" i="704"/>
  <c r="N15" i="704"/>
  <c r="O15" i="704"/>
  <c r="P15" i="704"/>
  <c r="Q15" i="704"/>
  <c r="R15" i="704"/>
  <c r="S15" i="704"/>
  <c r="T15" i="704"/>
  <c r="U15" i="704"/>
  <c r="V15" i="704"/>
  <c r="W15" i="704"/>
  <c r="C16" i="704"/>
  <c r="F16" i="704"/>
  <c r="G16" i="704"/>
  <c r="H16" i="704"/>
  <c r="I16" i="704"/>
  <c r="J16" i="704"/>
  <c r="K16" i="704"/>
  <c r="L16" i="704"/>
  <c r="M16" i="704"/>
  <c r="N16" i="704"/>
  <c r="O16" i="704"/>
  <c r="P16" i="704"/>
  <c r="Q16" i="704"/>
  <c r="R16" i="704"/>
  <c r="S16" i="704"/>
  <c r="T16" i="704"/>
  <c r="U16" i="704"/>
  <c r="V16" i="704"/>
  <c r="W16" i="704"/>
  <c r="C17" i="704"/>
  <c r="F17" i="704"/>
  <c r="G17" i="704"/>
  <c r="H17" i="704"/>
  <c r="I17" i="704"/>
  <c r="J17" i="704"/>
  <c r="K17" i="704"/>
  <c r="L17" i="704"/>
  <c r="M17" i="704"/>
  <c r="N17" i="704"/>
  <c r="O17" i="704"/>
  <c r="P17" i="704"/>
  <c r="Q17" i="704"/>
  <c r="R17" i="704"/>
  <c r="S17" i="704"/>
  <c r="T17" i="704"/>
  <c r="U17" i="704"/>
  <c r="V17" i="704"/>
  <c r="W17" i="704"/>
  <c r="C18" i="704"/>
  <c r="F18" i="704"/>
  <c r="G18" i="704"/>
  <c r="H18" i="704"/>
  <c r="I18" i="704"/>
  <c r="J18" i="704"/>
  <c r="K18" i="704"/>
  <c r="L18" i="704"/>
  <c r="M18" i="704"/>
  <c r="N18" i="704"/>
  <c r="O18" i="704"/>
  <c r="P18" i="704"/>
  <c r="Q18" i="704"/>
  <c r="R18" i="704"/>
  <c r="S18" i="704"/>
  <c r="T18" i="704"/>
  <c r="U18" i="704"/>
  <c r="V18" i="704"/>
  <c r="W18" i="704"/>
  <c r="C19" i="704"/>
  <c r="F19" i="704"/>
  <c r="G19" i="704"/>
  <c r="H19" i="704"/>
  <c r="I19" i="704"/>
  <c r="J19" i="704"/>
  <c r="K19" i="704"/>
  <c r="L19" i="704"/>
  <c r="M19" i="704"/>
  <c r="N19" i="704"/>
  <c r="O19" i="704"/>
  <c r="P19" i="704"/>
  <c r="Q19" i="704"/>
  <c r="R19" i="704"/>
  <c r="S19" i="704"/>
  <c r="T19" i="704"/>
  <c r="U19" i="704"/>
  <c r="V19" i="704"/>
  <c r="W19" i="704"/>
  <c r="C20" i="704"/>
  <c r="F20" i="704"/>
  <c r="G20" i="704"/>
  <c r="H20" i="704"/>
  <c r="I20" i="704"/>
  <c r="J20" i="704"/>
  <c r="K20" i="704"/>
  <c r="L20" i="704"/>
  <c r="M20" i="704"/>
  <c r="N20" i="704"/>
  <c r="O20" i="704"/>
  <c r="P20" i="704"/>
  <c r="Q20" i="704"/>
  <c r="R20" i="704"/>
  <c r="S20" i="704"/>
  <c r="T20" i="704"/>
  <c r="U20" i="704"/>
  <c r="V20" i="704"/>
  <c r="W20" i="704"/>
  <c r="C21" i="704"/>
  <c r="F21" i="704"/>
  <c r="G21" i="704"/>
  <c r="H21" i="704"/>
  <c r="I21" i="704"/>
  <c r="J21" i="704"/>
  <c r="K21" i="704"/>
  <c r="L21" i="704"/>
  <c r="M21" i="704"/>
  <c r="N21" i="704"/>
  <c r="O21" i="704"/>
  <c r="P21" i="704"/>
  <c r="Q21" i="704"/>
  <c r="R21" i="704"/>
  <c r="S21" i="704"/>
  <c r="T21" i="704"/>
  <c r="U21" i="704"/>
  <c r="V21" i="704"/>
  <c r="W21" i="704"/>
  <c r="C8" i="707"/>
  <c r="F8" i="707"/>
  <c r="G8" i="707"/>
  <c r="H8" i="707"/>
  <c r="I8" i="707"/>
  <c r="J8" i="707"/>
  <c r="K8" i="707"/>
  <c r="L8" i="707"/>
  <c r="M8" i="707"/>
  <c r="N8" i="707"/>
  <c r="O8" i="707"/>
  <c r="P8" i="707"/>
  <c r="Q8" i="707"/>
  <c r="R8" i="707"/>
  <c r="S8" i="707"/>
  <c r="T8" i="707"/>
  <c r="U8" i="707"/>
  <c r="V8" i="707"/>
  <c r="W8" i="707"/>
  <c r="C9" i="707"/>
  <c r="F9" i="707"/>
  <c r="G9" i="707"/>
  <c r="H9" i="707"/>
  <c r="I9" i="707"/>
  <c r="J9" i="707"/>
  <c r="K9" i="707"/>
  <c r="L9" i="707"/>
  <c r="M9" i="707"/>
  <c r="N9" i="707"/>
  <c r="O9" i="707"/>
  <c r="P9" i="707"/>
  <c r="Q9" i="707"/>
  <c r="R9" i="707"/>
  <c r="S9" i="707"/>
  <c r="T9" i="707"/>
  <c r="U9" i="707"/>
  <c r="V9" i="707"/>
  <c r="W9" i="707"/>
  <c r="C10" i="707"/>
  <c r="F10" i="707"/>
  <c r="G10" i="707"/>
  <c r="H10" i="707"/>
  <c r="I10" i="707"/>
  <c r="J10" i="707"/>
  <c r="K10" i="707"/>
  <c r="L10" i="707"/>
  <c r="M10" i="707"/>
  <c r="N10" i="707"/>
  <c r="O10" i="707"/>
  <c r="P10" i="707"/>
  <c r="Q10" i="707"/>
  <c r="R10" i="707"/>
  <c r="S10" i="707"/>
  <c r="U10" i="707" s="1"/>
  <c r="T10" i="707"/>
  <c r="V10" i="707"/>
  <c r="W10" i="707"/>
  <c r="C11" i="707"/>
  <c r="F11" i="707"/>
  <c r="G11" i="707"/>
  <c r="H11" i="707"/>
  <c r="I11" i="707"/>
  <c r="J11" i="707"/>
  <c r="K11" i="707"/>
  <c r="L11" i="707"/>
  <c r="M11" i="707"/>
  <c r="N11" i="707"/>
  <c r="O11" i="707"/>
  <c r="P11" i="707"/>
  <c r="Q11" i="707"/>
  <c r="R11" i="707"/>
  <c r="S11" i="707"/>
  <c r="T11" i="707"/>
  <c r="U11" i="707"/>
  <c r="V11" i="707"/>
  <c r="W11" i="707"/>
  <c r="C12" i="707"/>
  <c r="F12" i="707"/>
  <c r="G12" i="707"/>
  <c r="H12" i="707"/>
  <c r="I12" i="707"/>
  <c r="J12" i="707"/>
  <c r="K12" i="707"/>
  <c r="L12" i="707"/>
  <c r="M12" i="707"/>
  <c r="N12" i="707"/>
  <c r="O12" i="707"/>
  <c r="P12" i="707"/>
  <c r="Q12" i="707"/>
  <c r="R12" i="707"/>
  <c r="S12" i="707"/>
  <c r="T12" i="707"/>
  <c r="U12" i="707"/>
  <c r="V12" i="707"/>
  <c r="W12" i="707"/>
  <c r="C13" i="707"/>
  <c r="F13" i="707"/>
  <c r="G13" i="707"/>
  <c r="H13" i="707"/>
  <c r="I13" i="707"/>
  <c r="J13" i="707"/>
  <c r="K13" i="707"/>
  <c r="L13" i="707"/>
  <c r="M13" i="707"/>
  <c r="N13" i="707"/>
  <c r="O13" i="707"/>
  <c r="P13" i="707"/>
  <c r="Q13" i="707"/>
  <c r="R13" i="707"/>
  <c r="S13" i="707"/>
  <c r="U13" i="707" s="1"/>
  <c r="T13" i="707"/>
  <c r="V13" i="707"/>
  <c r="W13" i="707"/>
  <c r="C14" i="707"/>
  <c r="F14" i="707"/>
  <c r="G14" i="707"/>
  <c r="H14" i="707"/>
  <c r="I14" i="707"/>
  <c r="J14" i="707"/>
  <c r="K14" i="707"/>
  <c r="L14" i="707"/>
  <c r="M14" i="707"/>
  <c r="N14" i="707"/>
  <c r="O14" i="707"/>
  <c r="P14" i="707"/>
  <c r="Q14" i="707"/>
  <c r="R14" i="707"/>
  <c r="S14" i="707"/>
  <c r="T14" i="707"/>
  <c r="U14" i="707"/>
  <c r="V14" i="707"/>
  <c r="W14" i="707"/>
  <c r="C15" i="707"/>
  <c r="F15" i="707"/>
  <c r="G15" i="707"/>
  <c r="H15" i="707"/>
  <c r="I15" i="707"/>
  <c r="J15" i="707"/>
  <c r="K15" i="707"/>
  <c r="L15" i="707"/>
  <c r="M15" i="707"/>
  <c r="N15" i="707"/>
  <c r="O15" i="707"/>
  <c r="P15" i="707"/>
  <c r="Q15" i="707"/>
  <c r="R15" i="707"/>
  <c r="S15" i="707"/>
  <c r="T15" i="707"/>
  <c r="U15" i="707"/>
  <c r="V15" i="707"/>
  <c r="W15" i="707"/>
  <c r="C8" i="932"/>
  <c r="F8" i="932"/>
  <c r="G8" i="932"/>
  <c r="H8" i="932"/>
  <c r="I8" i="932"/>
  <c r="J8" i="932"/>
  <c r="K8" i="932"/>
  <c r="L8" i="932"/>
  <c r="M8" i="932"/>
  <c r="N8" i="932"/>
  <c r="O8" i="932"/>
  <c r="P8" i="932"/>
  <c r="Q8" i="932"/>
  <c r="R8" i="932"/>
  <c r="S8" i="932"/>
  <c r="T8" i="932"/>
  <c r="U8" i="932"/>
  <c r="V8" i="932"/>
  <c r="W8" i="932"/>
  <c r="C9" i="932"/>
  <c r="F9" i="932"/>
  <c r="G9" i="932"/>
  <c r="H9" i="932"/>
  <c r="I9" i="932"/>
  <c r="J9" i="932"/>
  <c r="K9" i="932"/>
  <c r="L9" i="932"/>
  <c r="M9" i="932"/>
  <c r="N9" i="932"/>
  <c r="O9" i="932"/>
  <c r="P9" i="932"/>
  <c r="Q9" i="932"/>
  <c r="R9" i="932"/>
  <c r="S9" i="932"/>
  <c r="U9" i="932" s="1"/>
  <c r="T9" i="932"/>
  <c r="V9" i="932"/>
  <c r="W9" i="932"/>
  <c r="C10" i="932"/>
  <c r="F10" i="932"/>
  <c r="G10" i="932"/>
  <c r="H10" i="932"/>
  <c r="I10" i="932"/>
  <c r="J10" i="932"/>
  <c r="K10" i="932"/>
  <c r="L10" i="932"/>
  <c r="M10" i="932"/>
  <c r="N10" i="932"/>
  <c r="O10" i="932"/>
  <c r="P10" i="932"/>
  <c r="Q10" i="932"/>
  <c r="R10" i="932"/>
  <c r="S10" i="932"/>
  <c r="U10" i="932" s="1"/>
  <c r="T10" i="932"/>
  <c r="V10" i="932"/>
  <c r="W10" i="932"/>
  <c r="C11" i="932"/>
  <c r="F11" i="932"/>
  <c r="G11" i="932"/>
  <c r="H11" i="932"/>
  <c r="I11" i="932"/>
  <c r="J11" i="932"/>
  <c r="K11" i="932"/>
  <c r="L11" i="932"/>
  <c r="M11" i="932"/>
  <c r="N11" i="932"/>
  <c r="O11" i="932"/>
  <c r="P11" i="932"/>
  <c r="Q11" i="932"/>
  <c r="R11" i="932"/>
  <c r="S11" i="932"/>
  <c r="T11" i="932"/>
  <c r="U11" i="932"/>
  <c r="V11" i="932"/>
  <c r="W11" i="932"/>
  <c r="C12" i="932"/>
  <c r="F12" i="932"/>
  <c r="G12" i="932"/>
  <c r="H12" i="932"/>
  <c r="I12" i="932"/>
  <c r="J12" i="932"/>
  <c r="K12" i="932"/>
  <c r="L12" i="932"/>
  <c r="M12" i="932"/>
  <c r="N12" i="932"/>
  <c r="O12" i="932"/>
  <c r="P12" i="932"/>
  <c r="Q12" i="932"/>
  <c r="R12" i="932"/>
  <c r="S12" i="932"/>
  <c r="T12" i="932"/>
  <c r="U12" i="932"/>
  <c r="V12" i="932"/>
  <c r="W12" i="932"/>
  <c r="C13" i="932"/>
  <c r="F13" i="932"/>
  <c r="G13" i="932"/>
  <c r="H13" i="932"/>
  <c r="I13" i="932"/>
  <c r="J13" i="932"/>
  <c r="K13" i="932"/>
  <c r="L13" i="932"/>
  <c r="M13" i="932"/>
  <c r="N13" i="932"/>
  <c r="O13" i="932"/>
  <c r="P13" i="932"/>
  <c r="Q13" i="932"/>
  <c r="R13" i="932"/>
  <c r="S13" i="932"/>
  <c r="T13" i="932"/>
  <c r="U13" i="932"/>
  <c r="V13" i="932"/>
  <c r="W13" i="932"/>
  <c r="C14" i="932"/>
  <c r="F14" i="932"/>
  <c r="G14" i="932"/>
  <c r="H14" i="932"/>
  <c r="I14" i="932"/>
  <c r="J14" i="932"/>
  <c r="K14" i="932"/>
  <c r="L14" i="932"/>
  <c r="M14" i="932"/>
  <c r="N14" i="932"/>
  <c r="O14" i="932"/>
  <c r="P14" i="932"/>
  <c r="Q14" i="932"/>
  <c r="R14" i="932"/>
  <c r="S14" i="932"/>
  <c r="T14" i="932"/>
  <c r="U14" i="932"/>
  <c r="V14" i="932"/>
  <c r="W14" i="932"/>
  <c r="C15" i="932"/>
  <c r="F15" i="932"/>
  <c r="G15" i="932"/>
  <c r="H15" i="932"/>
  <c r="I15" i="932"/>
  <c r="J15" i="932"/>
  <c r="K15" i="932"/>
  <c r="L15" i="932"/>
  <c r="M15" i="932"/>
  <c r="N15" i="932"/>
  <c r="O15" i="932"/>
  <c r="P15" i="932"/>
  <c r="Q15" i="932"/>
  <c r="R15" i="932"/>
  <c r="S15" i="932"/>
  <c r="T15" i="932"/>
  <c r="U15" i="932"/>
  <c r="V15" i="932"/>
  <c r="W15" i="932"/>
  <c r="C16" i="932"/>
  <c r="F16" i="932"/>
  <c r="G16" i="932"/>
  <c r="H16" i="932"/>
  <c r="I16" i="932"/>
  <c r="J16" i="932"/>
  <c r="K16" i="932"/>
  <c r="L16" i="932"/>
  <c r="M16" i="932"/>
  <c r="N16" i="932"/>
  <c r="O16" i="932"/>
  <c r="P16" i="932"/>
  <c r="Q16" i="932"/>
  <c r="R16" i="932"/>
  <c r="S16" i="932"/>
  <c r="T16" i="932"/>
  <c r="U16" i="932"/>
  <c r="V16" i="932"/>
  <c r="W16" i="932"/>
  <c r="C17" i="932"/>
  <c r="F17" i="932"/>
  <c r="G17" i="932"/>
  <c r="H17" i="932"/>
  <c r="I17" i="932"/>
  <c r="J17" i="932"/>
  <c r="K17" i="932"/>
  <c r="L17" i="932"/>
  <c r="M17" i="932"/>
  <c r="N17" i="932"/>
  <c r="O17" i="932"/>
  <c r="P17" i="932"/>
  <c r="Q17" i="932"/>
  <c r="R17" i="932"/>
  <c r="S17" i="932"/>
  <c r="T17" i="932"/>
  <c r="U17" i="932"/>
  <c r="V17" i="932"/>
  <c r="W17" i="932"/>
  <c r="C18" i="932"/>
  <c r="F18" i="932"/>
  <c r="G18" i="932"/>
  <c r="H18" i="932"/>
  <c r="I18" i="932"/>
  <c r="J18" i="932"/>
  <c r="K18" i="932"/>
  <c r="L18" i="932"/>
  <c r="M18" i="932"/>
  <c r="N18" i="932"/>
  <c r="O18" i="932"/>
  <c r="P18" i="932"/>
  <c r="Q18" i="932"/>
  <c r="R18" i="932"/>
  <c r="S18" i="932"/>
  <c r="T18" i="932"/>
  <c r="U18" i="932"/>
  <c r="V18" i="932"/>
  <c r="W18" i="932"/>
  <c r="C19" i="932"/>
  <c r="F19" i="932"/>
  <c r="G19" i="932"/>
  <c r="H19" i="932"/>
  <c r="I19" i="932"/>
  <c r="J19" i="932"/>
  <c r="K19" i="932"/>
  <c r="L19" i="932"/>
  <c r="M19" i="932"/>
  <c r="N19" i="932"/>
  <c r="O19" i="932"/>
  <c r="P19" i="932"/>
  <c r="Q19" i="932"/>
  <c r="R19" i="932"/>
  <c r="S19" i="932"/>
  <c r="T19" i="932"/>
  <c r="U19" i="932"/>
  <c r="V19" i="932"/>
  <c r="W19" i="932"/>
  <c r="C20" i="932"/>
  <c r="F20" i="932"/>
  <c r="G20" i="932"/>
  <c r="H20" i="932"/>
  <c r="I20" i="932"/>
  <c r="J20" i="932"/>
  <c r="K20" i="932"/>
  <c r="L20" i="932"/>
  <c r="M20" i="932"/>
  <c r="N20" i="932"/>
  <c r="O20" i="932"/>
  <c r="P20" i="932"/>
  <c r="Q20" i="932"/>
  <c r="R20" i="932"/>
  <c r="S20" i="932"/>
  <c r="T20" i="932"/>
  <c r="U20" i="932"/>
  <c r="V20" i="932"/>
  <c r="W20" i="932"/>
  <c r="C21" i="932"/>
  <c r="F21" i="932"/>
  <c r="G21" i="932"/>
  <c r="H21" i="932"/>
  <c r="I21" i="932"/>
  <c r="J21" i="932"/>
  <c r="K21" i="932"/>
  <c r="L21" i="932"/>
  <c r="M21" i="932"/>
  <c r="N21" i="932"/>
  <c r="O21" i="932"/>
  <c r="P21" i="932"/>
  <c r="Q21" i="932"/>
  <c r="R21" i="932"/>
  <c r="S21" i="932"/>
  <c r="T21" i="932"/>
  <c r="U21" i="932"/>
  <c r="V21" i="932"/>
  <c r="W21" i="932"/>
  <c r="C22" i="932"/>
  <c r="F22" i="932"/>
  <c r="G22" i="932"/>
  <c r="H22" i="932"/>
  <c r="I22" i="932"/>
  <c r="J22" i="932"/>
  <c r="K22" i="932"/>
  <c r="L22" i="932"/>
  <c r="M22" i="932"/>
  <c r="N22" i="932"/>
  <c r="O22" i="932"/>
  <c r="P22" i="932"/>
  <c r="Q22" i="932"/>
  <c r="R22" i="932"/>
  <c r="S22" i="932"/>
  <c r="T22" i="932"/>
  <c r="U22" i="932"/>
  <c r="V22" i="932"/>
  <c r="W22" i="932"/>
  <c r="C8" i="708"/>
  <c r="D12" i="704"/>
  <c r="D17" i="704"/>
  <c r="D18" i="704"/>
  <c r="E18" i="704"/>
  <c r="D8" i="704"/>
  <c r="E12" i="704"/>
  <c r="D13" i="704"/>
  <c r="E14" i="704"/>
  <c r="E17" i="704"/>
  <c r="E19" i="704"/>
  <c r="D20" i="704"/>
  <c r="E20" i="704"/>
  <c r="D21" i="704"/>
  <c r="E8" i="704"/>
  <c r="D9" i="704"/>
  <c r="D14" i="704"/>
  <c r="E9" i="704"/>
  <c r="D10" i="704"/>
  <c r="E11" i="704"/>
  <c r="D19" i="704"/>
  <c r="E21" i="704"/>
  <c r="E10" i="704"/>
  <c r="D11" i="704"/>
  <c r="E13" i="704"/>
  <c r="D15" i="704"/>
  <c r="E15" i="704"/>
  <c r="D16" i="704"/>
  <c r="E16" i="704"/>
  <c r="E13" i="707"/>
  <c r="D8" i="707"/>
  <c r="D12" i="707"/>
  <c r="E8" i="707"/>
  <c r="D9" i="707"/>
  <c r="E11" i="707"/>
  <c r="D14" i="707"/>
  <c r="E9" i="707"/>
  <c r="D10" i="707"/>
  <c r="E12" i="707"/>
  <c r="D13" i="707"/>
  <c r="E10" i="707"/>
  <c r="D11" i="707"/>
  <c r="E14" i="707"/>
  <c r="D15" i="707"/>
  <c r="E15" i="707"/>
  <c r="D8" i="932"/>
  <c r="E8" i="932"/>
  <c r="D9" i="932"/>
  <c r="E9" i="932"/>
  <c r="D10" i="932"/>
  <c r="E10" i="932"/>
  <c r="D11" i="932"/>
  <c r="E11" i="932"/>
  <c r="D12" i="932"/>
  <c r="E12" i="932"/>
  <c r="D13" i="932"/>
  <c r="D14" i="932"/>
  <c r="E16" i="932"/>
  <c r="D17" i="932"/>
  <c r="D18" i="932"/>
  <c r="E17" i="932"/>
  <c r="E18" i="932"/>
  <c r="D19" i="932"/>
  <c r="E19" i="932"/>
  <c r="D20" i="932"/>
  <c r="E20" i="932"/>
  <c r="D21" i="932"/>
  <c r="E21" i="932"/>
  <c r="D22" i="932"/>
  <c r="E22" i="932"/>
  <c r="E13" i="932"/>
  <c r="E14" i="932"/>
  <c r="D15" i="932"/>
  <c r="E15" i="932"/>
  <c r="D16" i="932"/>
  <c r="D8" i="708"/>
  <c r="E8" i="708"/>
  <c r="AL26" i="705" l="1"/>
  <c r="AM26" i="705"/>
  <c r="AM23" i="705"/>
  <c r="AM25" i="705"/>
  <c r="AM24" i="705"/>
  <c r="AL24" i="705"/>
  <c r="AL23" i="705"/>
  <c r="F8" i="708"/>
  <c r="G8" i="708"/>
  <c r="H8" i="708"/>
  <c r="I8" i="708"/>
  <c r="J8" i="708"/>
  <c r="K8" i="708"/>
  <c r="L8" i="708"/>
  <c r="M8" i="708"/>
  <c r="N8" i="708"/>
  <c r="O8" i="708"/>
  <c r="P8" i="708"/>
  <c r="Q8" i="708"/>
  <c r="R8" i="708"/>
  <c r="S8" i="708"/>
  <c r="T8" i="708"/>
  <c r="U8" i="708"/>
  <c r="V8" i="708"/>
  <c r="W8" i="708"/>
  <c r="C28" i="708"/>
  <c r="F28" i="708"/>
  <c r="G28" i="708"/>
  <c r="H28" i="708"/>
  <c r="I28" i="708"/>
  <c r="J28" i="708"/>
  <c r="K28" i="708"/>
  <c r="L28" i="708"/>
  <c r="M28" i="708"/>
  <c r="N28" i="708"/>
  <c r="P28" i="708"/>
  <c r="Q28" i="708"/>
  <c r="R28" i="708"/>
  <c r="S28" i="708"/>
  <c r="T28" i="708"/>
  <c r="U28" i="708"/>
  <c r="W28" i="708"/>
  <c r="D28" i="708"/>
  <c r="E28" i="708"/>
  <c r="C27" i="932" l="1"/>
  <c r="D28" i="932"/>
  <c r="E28" i="932"/>
  <c r="E36" i="932" s="1"/>
  <c r="I28" i="932"/>
  <c r="J28" i="932"/>
  <c r="K28" i="932"/>
  <c r="L28" i="932"/>
  <c r="M28" i="932"/>
  <c r="N28" i="932"/>
  <c r="O28" i="932"/>
  <c r="P28" i="932"/>
  <c r="Q28" i="932"/>
  <c r="R28" i="932"/>
  <c r="S28" i="932"/>
  <c r="T28" i="932"/>
  <c r="U28" i="932"/>
  <c r="U36" i="932" s="1"/>
  <c r="V28" i="932"/>
  <c r="W28" i="932"/>
  <c r="D29" i="932"/>
  <c r="E29" i="932"/>
  <c r="I29" i="932"/>
  <c r="J29" i="932"/>
  <c r="K29" i="932"/>
  <c r="L29" i="932"/>
  <c r="M29" i="932"/>
  <c r="N29" i="932"/>
  <c r="O29" i="932"/>
  <c r="P29" i="932"/>
  <c r="Q29" i="932"/>
  <c r="R29" i="932"/>
  <c r="S29" i="932"/>
  <c r="T29" i="932"/>
  <c r="U29" i="932"/>
  <c r="V29" i="932"/>
  <c r="W29" i="932"/>
  <c r="D30" i="932"/>
  <c r="E30" i="932"/>
  <c r="I30" i="932"/>
  <c r="J30" i="932"/>
  <c r="K30" i="932"/>
  <c r="L30" i="932"/>
  <c r="M30" i="932"/>
  <c r="N30" i="932"/>
  <c r="O30" i="932"/>
  <c r="P30" i="932"/>
  <c r="Q30" i="932"/>
  <c r="R30" i="932"/>
  <c r="S30" i="932"/>
  <c r="T30" i="932"/>
  <c r="U30" i="932"/>
  <c r="V30" i="932"/>
  <c r="W30" i="932"/>
  <c r="D31" i="932"/>
  <c r="E31" i="932"/>
  <c r="I31" i="932"/>
  <c r="J31" i="932"/>
  <c r="K31" i="932"/>
  <c r="L31" i="932"/>
  <c r="M31" i="932"/>
  <c r="N31" i="932"/>
  <c r="O31" i="932"/>
  <c r="P31" i="932"/>
  <c r="Q31" i="932"/>
  <c r="R31" i="932"/>
  <c r="S31" i="932"/>
  <c r="T31" i="932"/>
  <c r="U31" i="932"/>
  <c r="V31" i="932"/>
  <c r="W31" i="932"/>
  <c r="C32" i="932"/>
  <c r="D33" i="932"/>
  <c r="E33" i="932"/>
  <c r="I33" i="932"/>
  <c r="J33" i="932"/>
  <c r="K33" i="932"/>
  <c r="L33" i="932"/>
  <c r="N33" i="932"/>
  <c r="U33" i="932"/>
  <c r="D34" i="932"/>
  <c r="E34" i="932"/>
  <c r="I34" i="932"/>
  <c r="J34" i="932"/>
  <c r="K34" i="932"/>
  <c r="L34" i="932"/>
  <c r="N34" i="932"/>
  <c r="U34" i="932"/>
  <c r="D35" i="932"/>
  <c r="E35" i="932"/>
  <c r="I35" i="932"/>
  <c r="J35" i="932"/>
  <c r="K35" i="932"/>
  <c r="L35" i="932"/>
  <c r="N35" i="932"/>
  <c r="U35" i="932"/>
  <c r="D36" i="932"/>
  <c r="I36" i="932"/>
  <c r="J36" i="932"/>
  <c r="K36" i="932"/>
  <c r="L36" i="932"/>
  <c r="C38" i="932"/>
  <c r="D38" i="932"/>
  <c r="E38" i="932"/>
  <c r="F38" i="932"/>
  <c r="G38" i="932"/>
  <c r="H38" i="932"/>
  <c r="I38" i="932"/>
  <c r="J38" i="932"/>
  <c r="J39" i="932" s="1"/>
  <c r="K38" i="932"/>
  <c r="K39" i="932" s="1"/>
  <c r="L38" i="932"/>
  <c r="M38" i="932"/>
  <c r="N38" i="932"/>
  <c r="N39" i="932" s="1"/>
  <c r="P38" i="932"/>
  <c r="Q38" i="932"/>
  <c r="R38" i="932"/>
  <c r="S38" i="932"/>
  <c r="T38" i="932"/>
  <c r="U38" i="932"/>
  <c r="U39" i="932" s="1"/>
  <c r="W38" i="932"/>
  <c r="D39" i="932"/>
  <c r="E39" i="932"/>
  <c r="I39" i="932"/>
  <c r="L39" i="932"/>
  <c r="T57" i="932"/>
  <c r="B61" i="932"/>
  <c r="B60" i="932"/>
  <c r="B59" i="932"/>
  <c r="B58" i="932"/>
  <c r="A61" i="932"/>
  <c r="A60" i="932"/>
  <c r="A59" i="932"/>
  <c r="A58" i="932"/>
  <c r="B57" i="932"/>
  <c r="A57" i="932"/>
  <c r="M18" i="707"/>
  <c r="N23" i="707"/>
  <c r="U18" i="707"/>
  <c r="D18" i="707"/>
  <c r="E18" i="707"/>
  <c r="I18" i="707"/>
  <c r="J18" i="707"/>
  <c r="K18" i="707"/>
  <c r="L18" i="707"/>
  <c r="N18" i="707"/>
  <c r="O18" i="707"/>
  <c r="P18" i="707"/>
  <c r="Q18" i="707"/>
  <c r="R18" i="707"/>
  <c r="S18" i="707"/>
  <c r="T18" i="707"/>
  <c r="V18" i="707"/>
  <c r="W18" i="707"/>
  <c r="D19" i="707"/>
  <c r="E19" i="707"/>
  <c r="I19" i="707"/>
  <c r="J19" i="707"/>
  <c r="K19" i="707"/>
  <c r="L19" i="707"/>
  <c r="N19" i="707"/>
  <c r="O19" i="707"/>
  <c r="P19" i="707"/>
  <c r="Q19" i="707"/>
  <c r="R19" i="707"/>
  <c r="S19" i="707"/>
  <c r="T19" i="707"/>
  <c r="V19" i="707"/>
  <c r="W19" i="707"/>
  <c r="D20" i="707"/>
  <c r="E20" i="707"/>
  <c r="I20" i="707"/>
  <c r="J20" i="707"/>
  <c r="K20" i="707"/>
  <c r="L20" i="707"/>
  <c r="N20" i="707"/>
  <c r="O20" i="707"/>
  <c r="P20" i="707"/>
  <c r="Q20" i="707"/>
  <c r="R20" i="707"/>
  <c r="S20" i="707"/>
  <c r="T20" i="707"/>
  <c r="V20" i="707"/>
  <c r="W20" i="707"/>
  <c r="C21" i="707"/>
  <c r="D22" i="707"/>
  <c r="E22" i="707"/>
  <c r="I22" i="707"/>
  <c r="Q22" i="707"/>
  <c r="R22" i="707"/>
  <c r="S22" i="707"/>
  <c r="V22" i="707"/>
  <c r="D23" i="707"/>
  <c r="E23" i="707"/>
  <c r="I23" i="707"/>
  <c r="Q23" i="707"/>
  <c r="R23" i="707"/>
  <c r="S23" i="707"/>
  <c r="V23" i="707"/>
  <c r="D24" i="707"/>
  <c r="E24" i="707"/>
  <c r="I24" i="707"/>
  <c r="N24" i="707"/>
  <c r="Q24" i="707"/>
  <c r="R24" i="707"/>
  <c r="S24" i="707"/>
  <c r="V24" i="707"/>
  <c r="I25" i="707"/>
  <c r="Q25" i="707"/>
  <c r="R25" i="707"/>
  <c r="S25" i="707"/>
  <c r="C27" i="707"/>
  <c r="D27" i="707"/>
  <c r="E27" i="707"/>
  <c r="N36" i="932" l="1"/>
  <c r="N22" i="707"/>
  <c r="U23" i="707"/>
  <c r="U24" i="707"/>
  <c r="U20" i="707"/>
  <c r="M20" i="707"/>
  <c r="U19" i="707"/>
  <c r="M19" i="707"/>
  <c r="U22" i="707"/>
  <c r="F27" i="707"/>
  <c r="G27" i="707"/>
  <c r="H27" i="707"/>
  <c r="I27" i="707"/>
  <c r="M27" i="707"/>
  <c r="N27" i="707"/>
  <c r="N28" i="707" s="1"/>
  <c r="P27" i="707"/>
  <c r="Q27" i="707"/>
  <c r="Q28" i="707" s="1"/>
  <c r="R27" i="707"/>
  <c r="S27" i="707"/>
  <c r="T27" i="707"/>
  <c r="U27" i="707"/>
  <c r="U28" i="707" s="1"/>
  <c r="W27" i="707"/>
  <c r="D28" i="707"/>
  <c r="E28" i="707"/>
  <c r="I28" i="707"/>
  <c r="R28" i="707"/>
  <c r="S28" i="707"/>
  <c r="W29" i="707" l="1"/>
  <c r="C16" i="707"/>
  <c r="D28" i="704"/>
  <c r="E28" i="704"/>
  <c r="I28" i="704"/>
  <c r="J28" i="704"/>
  <c r="K28" i="704"/>
  <c r="L28" i="704"/>
  <c r="N28" i="704"/>
  <c r="Q28" i="704"/>
  <c r="R28" i="704"/>
  <c r="S28" i="704"/>
  <c r="U28" i="704"/>
  <c r="D29" i="704"/>
  <c r="E29" i="704"/>
  <c r="I29" i="704"/>
  <c r="J29" i="704"/>
  <c r="K29" i="704"/>
  <c r="L29" i="704"/>
  <c r="N29" i="704"/>
  <c r="Q29" i="704"/>
  <c r="R29" i="704"/>
  <c r="S29" i="704"/>
  <c r="U29" i="704"/>
  <c r="D30" i="704"/>
  <c r="E30" i="704"/>
  <c r="I30" i="704"/>
  <c r="J30" i="704"/>
  <c r="K30" i="704"/>
  <c r="L30" i="704"/>
  <c r="N30" i="704"/>
  <c r="Q30" i="704"/>
  <c r="R30" i="704"/>
  <c r="S30" i="704"/>
  <c r="U30" i="704"/>
  <c r="I31" i="704"/>
  <c r="J31" i="704"/>
  <c r="K31" i="704"/>
  <c r="L31" i="704"/>
  <c r="Q31" i="704"/>
  <c r="R31" i="704"/>
  <c r="S31" i="704"/>
  <c r="C33" i="704"/>
  <c r="D33" i="704"/>
  <c r="E33" i="704"/>
  <c r="F33" i="704" l="1"/>
  <c r="G33" i="704"/>
  <c r="H33" i="704"/>
  <c r="I33" i="704"/>
  <c r="I34" i="704" s="1"/>
  <c r="J33" i="704"/>
  <c r="K33" i="704"/>
  <c r="L33" i="704"/>
  <c r="L34" i="704" s="1"/>
  <c r="M33" i="704"/>
  <c r="N33" i="704"/>
  <c r="N34" i="704" s="1"/>
  <c r="P33" i="704"/>
  <c r="Q33" i="704"/>
  <c r="R33" i="704"/>
  <c r="R34" i="704" s="1"/>
  <c r="S33" i="704"/>
  <c r="S34" i="704" s="1"/>
  <c r="T33" i="704"/>
  <c r="U33" i="704"/>
  <c r="U34" i="704" s="1"/>
  <c r="W33" i="704"/>
  <c r="D34" i="704"/>
  <c r="E34" i="704"/>
  <c r="J34" i="704"/>
  <c r="K34" i="704"/>
  <c r="Q34" i="704"/>
  <c r="C35" i="704"/>
  <c r="D35" i="704"/>
  <c r="E35" i="704"/>
  <c r="F35" i="704"/>
  <c r="G35" i="704"/>
  <c r="H35" i="704"/>
  <c r="I35" i="704"/>
  <c r="J35" i="704"/>
  <c r="J36" i="704" s="1"/>
  <c r="K35" i="704"/>
  <c r="L35" i="704"/>
  <c r="M35" i="704"/>
  <c r="N35" i="704"/>
  <c r="N36" i="704" s="1"/>
  <c r="P35" i="704"/>
  <c r="Q35" i="704"/>
  <c r="R35" i="704"/>
  <c r="S35" i="704"/>
  <c r="S36" i="704" s="1"/>
  <c r="T35" i="704"/>
  <c r="U35" i="704"/>
  <c r="U36" i="704" s="1"/>
  <c r="W35" i="704"/>
  <c r="D36" i="704"/>
  <c r="E36" i="704"/>
  <c r="I36" i="704"/>
  <c r="K36" i="704"/>
  <c r="L36" i="704"/>
  <c r="Q36" i="704"/>
  <c r="R36" i="704"/>
  <c r="C37" i="704"/>
  <c r="D37" i="704"/>
  <c r="E37" i="704"/>
  <c r="F37" i="704"/>
  <c r="G37" i="704"/>
  <c r="H37" i="704"/>
  <c r="I37" i="704"/>
  <c r="J37" i="704"/>
  <c r="K37" i="704"/>
  <c r="L37" i="704"/>
  <c r="M37" i="704"/>
  <c r="N37" i="704"/>
  <c r="P37" i="704"/>
  <c r="Q37" i="704"/>
  <c r="R37" i="704"/>
  <c r="S37" i="704"/>
  <c r="S38" i="704" s="1"/>
  <c r="T37" i="704"/>
  <c r="U37" i="704"/>
  <c r="W37" i="704"/>
  <c r="D38" i="704"/>
  <c r="E38" i="704"/>
  <c r="I38" i="704"/>
  <c r="J38" i="704"/>
  <c r="K38" i="704"/>
  <c r="L38" i="704"/>
  <c r="N38" i="704"/>
  <c r="Q38" i="704"/>
  <c r="R38" i="704"/>
  <c r="U38" i="704"/>
  <c r="W39" i="704"/>
  <c r="C28" i="703"/>
  <c r="D29" i="703"/>
  <c r="E29" i="703"/>
  <c r="I29" i="703"/>
  <c r="J29" i="703"/>
  <c r="K29" i="703"/>
  <c r="L29" i="703"/>
  <c r="M29" i="703"/>
  <c r="N29" i="703"/>
  <c r="P29" i="703"/>
  <c r="Q29" i="703"/>
  <c r="R29" i="703"/>
  <c r="S29" i="703"/>
  <c r="T29" i="703"/>
  <c r="U29" i="703"/>
  <c r="W29" i="703"/>
  <c r="D30" i="703"/>
  <c r="E30" i="703"/>
  <c r="I30" i="703"/>
  <c r="J30" i="703"/>
  <c r="K30" i="703"/>
  <c r="L30" i="703"/>
  <c r="M30" i="703"/>
  <c r="N30" i="703"/>
  <c r="P30" i="703"/>
  <c r="Q30" i="703"/>
  <c r="R30" i="703"/>
  <c r="S30" i="703"/>
  <c r="T30" i="703"/>
  <c r="U30" i="703"/>
  <c r="W30" i="703"/>
  <c r="D31" i="703"/>
  <c r="E31" i="703"/>
  <c r="I31" i="703"/>
  <c r="J31" i="703"/>
  <c r="K31" i="703"/>
  <c r="L31" i="703"/>
  <c r="M31" i="703"/>
  <c r="N31" i="703"/>
  <c r="P31" i="703"/>
  <c r="Q31" i="703"/>
  <c r="R31" i="703"/>
  <c r="S31" i="703"/>
  <c r="T31" i="703"/>
  <c r="U31" i="703"/>
  <c r="W31" i="703"/>
  <c r="D32" i="703"/>
  <c r="E32" i="703"/>
  <c r="I32" i="703"/>
  <c r="J32" i="703"/>
  <c r="K32" i="703"/>
  <c r="L32" i="703"/>
  <c r="M32" i="703"/>
  <c r="N32" i="703"/>
  <c r="P32" i="703"/>
  <c r="Q32" i="703"/>
  <c r="R32" i="703"/>
  <c r="S32" i="703"/>
  <c r="T32" i="703"/>
  <c r="U32" i="703"/>
  <c r="W32" i="703"/>
  <c r="C34" i="703"/>
  <c r="D34" i="703"/>
  <c r="E34" i="703"/>
  <c r="F34" i="703"/>
  <c r="G34" i="703"/>
  <c r="H34" i="703"/>
  <c r="I34" i="703"/>
  <c r="J34" i="703"/>
  <c r="J35" i="703" s="1"/>
  <c r="K34" i="703"/>
  <c r="L34" i="703"/>
  <c r="M34" i="703"/>
  <c r="M35" i="703" s="1"/>
  <c r="N34" i="703"/>
  <c r="N35" i="703" s="1"/>
  <c r="P34" i="703"/>
  <c r="Q34" i="703"/>
  <c r="R34" i="703"/>
  <c r="S34" i="703"/>
  <c r="S35" i="703" s="1"/>
  <c r="T34" i="703"/>
  <c r="U34" i="703"/>
  <c r="U35" i="703" s="1"/>
  <c r="W34" i="703"/>
  <c r="W39" i="703" s="1"/>
  <c r="D35" i="703"/>
  <c r="E35" i="703"/>
  <c r="I35" i="703"/>
  <c r="K35" i="703"/>
  <c r="L35" i="703"/>
  <c r="P35" i="703"/>
  <c r="Q35" i="703"/>
  <c r="R35" i="703"/>
  <c r="T35" i="703"/>
  <c r="C8" i="703"/>
  <c r="D8" i="703"/>
  <c r="E8" i="703"/>
  <c r="W35" i="703" l="1"/>
  <c r="W36" i="703"/>
  <c r="F8" i="703"/>
  <c r="G8" i="703"/>
  <c r="H8" i="703"/>
  <c r="I8" i="703"/>
  <c r="J8" i="703"/>
  <c r="K8" i="703"/>
  <c r="L8" i="703"/>
  <c r="M8" i="703"/>
  <c r="N8" i="703"/>
  <c r="O8" i="703"/>
  <c r="P8" i="703"/>
  <c r="Q8" i="703"/>
  <c r="R8" i="703"/>
  <c r="S8" i="703"/>
  <c r="T8" i="703"/>
  <c r="U8" i="703"/>
  <c r="V8" i="703"/>
  <c r="W8" i="703"/>
  <c r="C9" i="703"/>
  <c r="D9" i="703"/>
  <c r="E9" i="703"/>
  <c r="W38" i="703" l="1"/>
  <c r="W37" i="703"/>
  <c r="F9" i="703"/>
  <c r="G9" i="703"/>
  <c r="H9" i="703"/>
  <c r="I9" i="703"/>
  <c r="J9" i="703"/>
  <c r="K9" i="703"/>
  <c r="L9" i="703"/>
  <c r="M9" i="703"/>
  <c r="N9" i="703"/>
  <c r="O9" i="703"/>
  <c r="P9" i="703"/>
  <c r="Q9" i="703"/>
  <c r="R9" i="703"/>
  <c r="S9" i="703"/>
  <c r="T9" i="703"/>
  <c r="U9" i="703"/>
  <c r="V9" i="703"/>
  <c r="W9" i="703"/>
  <c r="C10" i="703"/>
  <c r="D10" i="703"/>
  <c r="E10" i="703"/>
  <c r="F10" i="703"/>
  <c r="G10" i="703"/>
  <c r="H10" i="703"/>
  <c r="I10" i="703"/>
  <c r="J10" i="703"/>
  <c r="K10" i="703"/>
  <c r="L10" i="703"/>
  <c r="M10" i="703"/>
  <c r="N10" i="703"/>
  <c r="O10" i="703"/>
  <c r="P10" i="703"/>
  <c r="Q10" i="703"/>
  <c r="R10" i="703"/>
  <c r="S10" i="703"/>
  <c r="T10" i="703"/>
  <c r="U10" i="703"/>
  <c r="V10" i="703"/>
  <c r="W10" i="703"/>
  <c r="C11" i="703"/>
  <c r="D11" i="703"/>
  <c r="E11" i="703"/>
  <c r="F11" i="703"/>
  <c r="G11" i="703"/>
  <c r="H11" i="703"/>
  <c r="I11" i="703"/>
  <c r="J11" i="703"/>
  <c r="K11" i="703"/>
  <c r="L11" i="703"/>
  <c r="M11" i="703"/>
  <c r="N11" i="703"/>
  <c r="O11" i="703"/>
  <c r="P11" i="703"/>
  <c r="Q11" i="703"/>
  <c r="R11" i="703"/>
  <c r="S11" i="703"/>
  <c r="T11" i="703"/>
  <c r="U11" i="703"/>
  <c r="V11" i="703"/>
  <c r="W11" i="703"/>
  <c r="C12" i="703"/>
  <c r="D12" i="703"/>
  <c r="E12" i="703"/>
  <c r="F12" i="703"/>
  <c r="G12" i="703"/>
  <c r="H12" i="703"/>
  <c r="I12" i="703"/>
  <c r="J12" i="703"/>
  <c r="K12" i="703"/>
  <c r="L12" i="703"/>
  <c r="M12" i="703"/>
  <c r="N12" i="703"/>
  <c r="O12" i="703"/>
  <c r="P12" i="703"/>
  <c r="Q12" i="703"/>
  <c r="R12" i="703"/>
  <c r="S12" i="703"/>
  <c r="T12" i="703"/>
  <c r="U12" i="703"/>
  <c r="V12" i="703"/>
  <c r="W12" i="703"/>
  <c r="C13" i="703"/>
  <c r="D13" i="703"/>
  <c r="E13" i="703"/>
  <c r="F13" i="703"/>
  <c r="G13" i="703"/>
  <c r="H13" i="703"/>
  <c r="I13" i="703"/>
  <c r="J13" i="703"/>
  <c r="K13" i="703"/>
  <c r="L13" i="703"/>
  <c r="M13" i="703"/>
  <c r="N13" i="703"/>
  <c r="O13" i="703"/>
  <c r="P13" i="703"/>
  <c r="Q13" i="703"/>
  <c r="R13" i="703"/>
  <c r="S13" i="703"/>
  <c r="T13" i="703"/>
  <c r="U13" i="703"/>
  <c r="V13" i="703"/>
  <c r="W13" i="703"/>
  <c r="C14" i="703"/>
  <c r="D14" i="703"/>
  <c r="E14" i="703"/>
  <c r="F14" i="703"/>
  <c r="G14" i="703"/>
  <c r="H14" i="703"/>
  <c r="I14" i="703"/>
  <c r="J14" i="703"/>
  <c r="K14" i="703"/>
  <c r="L14" i="703"/>
  <c r="M14" i="703"/>
  <c r="N14" i="703"/>
  <c r="O14" i="703"/>
  <c r="P14" i="703"/>
  <c r="Q14" i="703"/>
  <c r="R14" i="703"/>
  <c r="S14" i="703"/>
  <c r="T14" i="703"/>
  <c r="U14" i="703"/>
  <c r="V14" i="703"/>
  <c r="W14" i="703"/>
  <c r="C15" i="703"/>
  <c r="D15" i="703"/>
  <c r="E15" i="703"/>
  <c r="F15" i="703"/>
  <c r="G15" i="703"/>
  <c r="H15" i="703"/>
  <c r="I15" i="703"/>
  <c r="J15" i="703"/>
  <c r="K15" i="703"/>
  <c r="L15" i="703"/>
  <c r="M15" i="703"/>
  <c r="N15" i="703"/>
  <c r="O15" i="703"/>
  <c r="P15" i="703"/>
  <c r="Q15" i="703"/>
  <c r="R15" i="703"/>
  <c r="S15" i="703"/>
  <c r="T15" i="703"/>
  <c r="U15" i="703"/>
  <c r="V15" i="703"/>
  <c r="W15" i="703"/>
  <c r="C16" i="703"/>
  <c r="D16" i="703"/>
  <c r="E16" i="703"/>
  <c r="F16" i="703"/>
  <c r="G16" i="703"/>
  <c r="H16" i="703"/>
  <c r="I16" i="703"/>
  <c r="J16" i="703"/>
  <c r="K16" i="703"/>
  <c r="L16" i="703"/>
  <c r="M16" i="703"/>
  <c r="N16" i="703"/>
  <c r="O16" i="703"/>
  <c r="P16" i="703"/>
  <c r="Q16" i="703"/>
  <c r="R16" i="703"/>
  <c r="S16" i="703"/>
  <c r="T16" i="703"/>
  <c r="U16" i="703"/>
  <c r="V16" i="703"/>
  <c r="W16" i="703"/>
  <c r="C17" i="703"/>
  <c r="D17" i="703"/>
  <c r="E17" i="703"/>
  <c r="F17" i="703"/>
  <c r="G17" i="703"/>
  <c r="H17" i="703"/>
  <c r="I17" i="703"/>
  <c r="J17" i="703"/>
  <c r="K17" i="703"/>
  <c r="L17" i="703"/>
  <c r="M17" i="703"/>
  <c r="N17" i="703"/>
  <c r="O17" i="703"/>
  <c r="P17" i="703"/>
  <c r="Q17" i="703"/>
  <c r="R17" i="703"/>
  <c r="S17" i="703"/>
  <c r="T17" i="703"/>
  <c r="U17" i="703"/>
  <c r="V17" i="703"/>
  <c r="W17" i="703"/>
  <c r="C18" i="703"/>
  <c r="D18" i="703"/>
  <c r="E18" i="703"/>
  <c r="F18" i="703"/>
  <c r="G18" i="703"/>
  <c r="H18" i="703"/>
  <c r="I18" i="703"/>
  <c r="J18" i="703"/>
  <c r="K18" i="703"/>
  <c r="L18" i="703"/>
  <c r="M18" i="703"/>
  <c r="N18" i="703"/>
  <c r="O18" i="703"/>
  <c r="P18" i="703"/>
  <c r="Q18" i="703"/>
  <c r="R18" i="703"/>
  <c r="S18" i="703"/>
  <c r="U18" i="703" s="1"/>
  <c r="T18" i="703"/>
  <c r="V18" i="703"/>
  <c r="W18" i="703"/>
  <c r="C19" i="703"/>
  <c r="D19" i="703"/>
  <c r="E19" i="703"/>
  <c r="F19" i="703"/>
  <c r="G19" i="703"/>
  <c r="H19" i="703"/>
  <c r="I19" i="703"/>
  <c r="J19" i="703"/>
  <c r="K19" i="703"/>
  <c r="L19" i="703"/>
  <c r="M19" i="703"/>
  <c r="N19" i="703"/>
  <c r="O19" i="703"/>
  <c r="P19" i="703"/>
  <c r="Q19" i="703"/>
  <c r="R19" i="703"/>
  <c r="S19" i="703"/>
  <c r="T19" i="703"/>
  <c r="U19" i="703"/>
  <c r="V19" i="703"/>
  <c r="W19" i="703"/>
  <c r="C20" i="703"/>
  <c r="D20" i="703"/>
  <c r="E20" i="703"/>
  <c r="F20" i="703"/>
  <c r="G20" i="703"/>
  <c r="H20" i="703"/>
  <c r="I20" i="703"/>
  <c r="J20" i="703"/>
  <c r="K20" i="703"/>
  <c r="L20" i="703"/>
  <c r="M20" i="703"/>
  <c r="N20" i="703"/>
  <c r="O20" i="703"/>
  <c r="P20" i="703"/>
  <c r="Q20" i="703"/>
  <c r="R20" i="703"/>
  <c r="S20" i="703"/>
  <c r="U20" i="703" s="1"/>
  <c r="T20" i="703"/>
  <c r="V20" i="703"/>
  <c r="W20" i="703"/>
  <c r="C21" i="703"/>
  <c r="D21" i="703"/>
  <c r="E21" i="703"/>
  <c r="F21" i="703"/>
  <c r="G21" i="703"/>
  <c r="H21" i="703"/>
  <c r="I21" i="703"/>
  <c r="J21" i="703"/>
  <c r="K21" i="703"/>
  <c r="L21" i="703"/>
  <c r="M21" i="703"/>
  <c r="N21" i="703"/>
  <c r="O21" i="703"/>
  <c r="P21" i="703"/>
  <c r="Q21" i="703"/>
  <c r="R21" i="703"/>
  <c r="S21" i="703"/>
  <c r="T21" i="703"/>
  <c r="U21" i="703"/>
  <c r="V21" i="703"/>
  <c r="W21" i="703"/>
  <c r="Y37" i="703" l="1"/>
  <c r="B22" i="703" l="1"/>
  <c r="D22" i="703"/>
  <c r="E22" i="703"/>
  <c r="AE22" i="703" l="1"/>
  <c r="AG22" i="703" s="1" a="1"/>
  <c r="AG22" i="703" s="1"/>
  <c r="AM22" i="703" l="1" a="1"/>
  <c r="AM22" i="703" s="1"/>
  <c r="AH22" i="703" a="1"/>
  <c r="AH22" i="703" s="1"/>
  <c r="AL22" i="703" a="1"/>
  <c r="AL22" i="703" s="1"/>
  <c r="AK22" i="703" a="1"/>
  <c r="AK22" i="703" s="1"/>
  <c r="B61" i="704" l="1"/>
  <c r="B21" i="704"/>
  <c r="B60" i="704" s="1"/>
  <c r="B20" i="704"/>
  <c r="B59" i="704" s="1"/>
  <c r="B11" i="704" l="1"/>
  <c r="B50" i="704" s="1"/>
  <c r="AQ18" i="706"/>
  <c r="AQ17" i="706"/>
  <c r="AQ16" i="706"/>
  <c r="AQ15" i="706"/>
  <c r="AQ14" i="706"/>
  <c r="AQ13" i="706"/>
  <c r="AQ12" i="706"/>
  <c r="AQ11" i="706"/>
  <c r="AQ10" i="706"/>
  <c r="AQ9" i="706"/>
  <c r="AQ8" i="706"/>
  <c r="W34" i="706"/>
  <c r="AA49" i="706"/>
  <c r="AA48" i="706"/>
  <c r="AA47" i="706"/>
  <c r="AA46" i="706"/>
  <c r="AA45" i="706"/>
  <c r="AA44" i="706"/>
  <c r="AA43" i="706"/>
  <c r="AA42" i="706"/>
  <c r="AA41" i="706"/>
  <c r="AA40" i="706"/>
  <c r="AA39" i="706"/>
  <c r="AA38" i="706"/>
  <c r="W39" i="706"/>
  <c r="T39" i="706"/>
  <c r="T57" i="706"/>
  <c r="P57" i="706"/>
  <c r="T56" i="706"/>
  <c r="P56" i="706"/>
  <c r="T55" i="706"/>
  <c r="P55" i="706"/>
  <c r="T54" i="706"/>
  <c r="P54" i="706"/>
  <c r="T53" i="706"/>
  <c r="P53" i="706"/>
  <c r="T52" i="706"/>
  <c r="P52" i="706"/>
  <c r="T51" i="706"/>
  <c r="P51" i="706"/>
  <c r="T50" i="706"/>
  <c r="P50" i="706"/>
  <c r="T49" i="706"/>
  <c r="P49" i="706"/>
  <c r="T48" i="706"/>
  <c r="P48" i="706"/>
  <c r="T47" i="706"/>
  <c r="P47" i="706"/>
  <c r="T46" i="706"/>
  <c r="P46" i="706"/>
  <c r="T45" i="706"/>
  <c r="P45" i="706"/>
  <c r="T44" i="706"/>
  <c r="P44" i="706"/>
  <c r="T43" i="706"/>
  <c r="P43" i="706"/>
  <c r="T42" i="706"/>
  <c r="P42" i="706"/>
  <c r="T41" i="706"/>
  <c r="P41" i="706"/>
  <c r="T40" i="706"/>
  <c r="P40" i="706"/>
  <c r="P39" i="706"/>
  <c r="T38" i="706"/>
  <c r="I57" i="706"/>
  <c r="M57" i="706" s="1"/>
  <c r="M56" i="706"/>
  <c r="I56" i="706"/>
  <c r="M55" i="706"/>
  <c r="I55" i="706"/>
  <c r="I54" i="706"/>
  <c r="M54" i="706" s="1"/>
  <c r="I53" i="706"/>
  <c r="M53" i="706" s="1"/>
  <c r="M52" i="706"/>
  <c r="I52" i="706"/>
  <c r="I51" i="706"/>
  <c r="M51" i="706" s="1"/>
  <c r="I50" i="706"/>
  <c r="M50" i="706" s="1"/>
  <c r="I49" i="706"/>
  <c r="M49" i="706" s="1"/>
  <c r="I48" i="706"/>
  <c r="M48" i="706" s="1"/>
  <c r="I47" i="706"/>
  <c r="M47" i="706" s="1"/>
  <c r="I46" i="706"/>
  <c r="M46" i="706" s="1"/>
  <c r="I45" i="706"/>
  <c r="M45" i="706" s="1"/>
  <c r="I44" i="706"/>
  <c r="M44" i="706" s="1"/>
  <c r="I43" i="706"/>
  <c r="M43" i="706" s="1"/>
  <c r="I42" i="706"/>
  <c r="M42" i="706" s="1"/>
  <c r="I41" i="706"/>
  <c r="M41" i="706" s="1"/>
  <c r="I40" i="706"/>
  <c r="M40" i="706" s="1"/>
  <c r="I39" i="706"/>
  <c r="M39" i="706" s="1"/>
  <c r="M38" i="706"/>
  <c r="H32" i="475"/>
  <c r="D32" i="475"/>
  <c r="F32" i="475"/>
  <c r="E32" i="475"/>
  <c r="G32" i="475"/>
  <c r="F31" i="475"/>
  <c r="G31" i="475"/>
  <c r="H31" i="475"/>
  <c r="C32" i="475"/>
  <c r="E31" i="475"/>
  <c r="C31" i="475"/>
  <c r="D31" i="475"/>
  <c r="A6" i="52" l="1"/>
  <c r="A7" i="52"/>
  <c r="A8" i="52"/>
  <c r="A9" i="52"/>
  <c r="A10" i="52"/>
  <c r="A11" i="52"/>
  <c r="A12" i="52"/>
  <c r="A13" i="52"/>
  <c r="A14" i="52"/>
  <c r="A15" i="52"/>
  <c r="A16" i="52"/>
  <c r="A17" i="52"/>
  <c r="A18" i="52"/>
  <c r="A19" i="52"/>
  <c r="A20" i="52"/>
  <c r="A21" i="52"/>
  <c r="A22" i="52"/>
  <c r="A23" i="52"/>
  <c r="A24" i="52"/>
  <c r="A25" i="52"/>
  <c r="A29" i="52"/>
  <c r="A26" i="475"/>
  <c r="A4" i="475"/>
  <c r="A6" i="475"/>
  <c r="A7" i="475"/>
  <c r="A8" i="475"/>
  <c r="A9" i="475"/>
  <c r="A10" i="475"/>
  <c r="A11" i="475"/>
  <c r="A12" i="475"/>
  <c r="A13" i="475"/>
  <c r="A14" i="475"/>
  <c r="A15" i="475"/>
  <c r="A16" i="475"/>
  <c r="A17" i="475"/>
  <c r="A18" i="475"/>
  <c r="A19" i="475"/>
  <c r="A20" i="475"/>
  <c r="C28" i="475"/>
  <c r="A1" i="474"/>
  <c r="C5" i="474"/>
  <c r="C10" i="474"/>
  <c r="A10" i="474" s="1"/>
  <c r="C11" i="474"/>
  <c r="C15" i="474"/>
  <c r="C16" i="474" s="1"/>
  <c r="A15" i="474"/>
  <c r="A16" i="474"/>
  <c r="C17" i="474"/>
  <c r="A17" i="474" s="1"/>
  <c r="C18" i="474"/>
  <c r="C20" i="474"/>
  <c r="A20" i="474"/>
  <c r="C21" i="474"/>
  <c r="A21" i="474" s="1"/>
  <c r="C25" i="474"/>
  <c r="C26" i="474"/>
  <c r="A26" i="474"/>
  <c r="C27" i="474"/>
  <c r="C28" i="474" s="1"/>
  <c r="A27" i="474"/>
  <c r="A28" i="474"/>
  <c r="C29" i="474"/>
  <c r="A29" i="474" s="1"/>
  <c r="C30" i="474"/>
  <c r="C35" i="474"/>
  <c r="C40" i="474"/>
  <c r="C45" i="474"/>
  <c r="A45" i="474"/>
  <c r="C46" i="474"/>
  <c r="C47" i="474"/>
  <c r="C48" i="474" s="1"/>
  <c r="A47" i="474"/>
  <c r="A48" i="474"/>
  <c r="C49" i="474"/>
  <c r="A49" i="474" s="1"/>
  <c r="C50" i="474"/>
  <c r="A50" i="474"/>
  <c r="C51" i="474"/>
  <c r="C55" i="474"/>
  <c r="C60" i="474"/>
  <c r="C61" i="474" s="1"/>
  <c r="C65" i="474"/>
  <c r="A65" i="474"/>
  <c r="C66" i="474"/>
  <c r="C69" i="474"/>
  <c r="A69" i="474"/>
  <c r="C70" i="474"/>
  <c r="A70" i="474" s="1"/>
  <c r="C71" i="474"/>
  <c r="C72" i="474" s="1"/>
  <c r="C73" i="474" s="1"/>
  <c r="C74" i="474" s="1"/>
  <c r="A74" i="474" s="1"/>
  <c r="A71" i="474"/>
  <c r="A72" i="474"/>
  <c r="C75" i="474"/>
  <c r="C76" i="474" s="1"/>
  <c r="A75" i="474"/>
  <c r="C80" i="474"/>
  <c r="C81" i="474" s="1"/>
  <c r="C82" i="474" s="1"/>
  <c r="A80" i="474"/>
  <c r="A81" i="474"/>
  <c r="C85" i="474"/>
  <c r="A85" i="474"/>
  <c r="C86" i="474"/>
  <c r="A86" i="474" s="1"/>
  <c r="C87" i="474"/>
  <c r="C88" i="474" s="1"/>
  <c r="A87" i="474"/>
  <c r="C90" i="474"/>
  <c r="C95" i="474"/>
  <c r="A95" i="474"/>
  <c r="C96" i="474"/>
  <c r="C97" i="474" s="1"/>
  <c r="A96" i="474"/>
  <c r="C100" i="474"/>
  <c r="C105" i="474"/>
  <c r="A105" i="474"/>
  <c r="C106" i="474"/>
  <c r="A106" i="474" s="1"/>
  <c r="C107" i="474"/>
  <c r="A107" i="474"/>
  <c r="C108" i="474"/>
  <c r="A108" i="474" s="1"/>
  <c r="D3" i="984"/>
  <c r="E3" i="984" s="1"/>
  <c r="D3" i="351"/>
  <c r="E3" i="351"/>
  <c r="D12" i="475"/>
  <c r="C12" i="475"/>
  <c r="H12" i="475"/>
  <c r="G12" i="475"/>
  <c r="F12" i="475"/>
  <c r="E12" i="475"/>
  <c r="D20" i="475"/>
  <c r="C20" i="475"/>
  <c r="H20" i="475"/>
  <c r="G20" i="475"/>
  <c r="F20" i="475"/>
  <c r="E20" i="475"/>
  <c r="D8" i="475"/>
  <c r="C8" i="475"/>
  <c r="H8" i="475"/>
  <c r="G8" i="475"/>
  <c r="E8" i="475"/>
  <c r="F8" i="475"/>
  <c r="D16" i="475"/>
  <c r="C16" i="475"/>
  <c r="H16" i="475"/>
  <c r="G16" i="475"/>
  <c r="F16" i="475"/>
  <c r="E16" i="475"/>
  <c r="D7" i="475"/>
  <c r="C7" i="475"/>
  <c r="F7" i="475"/>
  <c r="E7" i="475"/>
  <c r="H7" i="475"/>
  <c r="G7" i="475"/>
  <c r="C15" i="475"/>
  <c r="F15" i="475"/>
  <c r="E15" i="475"/>
  <c r="D15" i="475"/>
  <c r="H15" i="475"/>
  <c r="G15" i="475"/>
  <c r="H9" i="2"/>
  <c r="C26" i="475"/>
  <c r="G26" i="475"/>
  <c r="F26" i="475"/>
  <c r="E26" i="475"/>
  <c r="D26" i="475"/>
  <c r="H26" i="475"/>
  <c r="C11" i="475"/>
  <c r="F11" i="475"/>
  <c r="E11" i="475"/>
  <c r="D11" i="475"/>
  <c r="H11" i="475"/>
  <c r="G11" i="475"/>
  <c r="C19" i="475"/>
  <c r="F19" i="475"/>
  <c r="E19" i="475"/>
  <c r="D19" i="475"/>
  <c r="H19" i="475"/>
  <c r="G19" i="475"/>
  <c r="D10" i="475"/>
  <c r="C10" i="475"/>
  <c r="H10" i="475"/>
  <c r="G10" i="475"/>
  <c r="E10" i="475"/>
  <c r="F10" i="475"/>
  <c r="C18" i="475"/>
  <c r="D18" i="475"/>
  <c r="H18" i="475"/>
  <c r="G18" i="475"/>
  <c r="F18" i="475"/>
  <c r="E18" i="475"/>
  <c r="F9" i="475"/>
  <c r="D9" i="475"/>
  <c r="C9" i="475"/>
  <c r="E9" i="475"/>
  <c r="H9" i="475"/>
  <c r="G9" i="475"/>
  <c r="C17" i="475"/>
  <c r="F17" i="475"/>
  <c r="E17" i="475"/>
  <c r="D17" i="475"/>
  <c r="H17" i="475"/>
  <c r="G17" i="475"/>
  <c r="C13" i="475"/>
  <c r="F13" i="475"/>
  <c r="E13" i="475"/>
  <c r="D13" i="475"/>
  <c r="H13" i="475"/>
  <c r="G13" i="475"/>
  <c r="D6" i="475"/>
  <c r="C6" i="475"/>
  <c r="H6" i="475"/>
  <c r="G6" i="475"/>
  <c r="E6" i="475"/>
  <c r="F6" i="475"/>
  <c r="D14" i="475"/>
  <c r="C14" i="475"/>
  <c r="H14" i="475"/>
  <c r="G14" i="475"/>
  <c r="F14" i="475"/>
  <c r="E14" i="475"/>
  <c r="F25" i="475" l="1"/>
  <c r="F24" i="475"/>
  <c r="F27" i="475"/>
  <c r="F23" i="475"/>
  <c r="F22" i="475"/>
  <c r="E23" i="475"/>
  <c r="E25" i="475"/>
  <c r="E24" i="475"/>
  <c r="E27" i="475"/>
  <c r="E22" i="475"/>
  <c r="G22" i="475"/>
  <c r="G24" i="475"/>
  <c r="G25" i="475"/>
  <c r="G27" i="475"/>
  <c r="G23" i="475"/>
  <c r="H23" i="475"/>
  <c r="H25" i="475"/>
  <c r="H22" i="475"/>
  <c r="H24" i="475"/>
  <c r="H27" i="475"/>
  <c r="C3" i="475"/>
  <c r="C109" i="474"/>
  <c r="A109" i="474" s="1"/>
  <c r="C89" i="474"/>
  <c r="A89" i="474" s="1"/>
  <c r="A88" i="474"/>
  <c r="C77" i="474"/>
  <c r="A76" i="474"/>
  <c r="A60" i="474"/>
  <c r="A55" i="474"/>
  <c r="C56" i="474"/>
  <c r="C62" i="474"/>
  <c r="A61" i="474"/>
  <c r="C52" i="474"/>
  <c r="A51" i="474"/>
  <c r="C41" i="474"/>
  <c r="A40" i="474"/>
  <c r="C36" i="474"/>
  <c r="A35" i="474"/>
  <c r="A73" i="474"/>
  <c r="C12" i="474"/>
  <c r="A11" i="474"/>
  <c r="C22" i="474"/>
  <c r="C101" i="474"/>
  <c r="A100" i="474"/>
  <c r="C98" i="474"/>
  <c r="A97" i="474"/>
  <c r="A90" i="474"/>
  <c r="C91" i="474"/>
  <c r="C31" i="474"/>
  <c r="A30" i="474"/>
  <c r="C19" i="474"/>
  <c r="A19" i="474" s="1"/>
  <c r="A18" i="474"/>
  <c r="A82" i="474"/>
  <c r="C83" i="474"/>
  <c r="A66" i="474"/>
  <c r="C67" i="474"/>
  <c r="A5" i="474"/>
  <c r="A46" i="474"/>
  <c r="A25" i="474"/>
  <c r="C6" i="474"/>
  <c r="C53" i="474" l="1"/>
  <c r="A52" i="474"/>
  <c r="C42" i="474"/>
  <c r="A41" i="474"/>
  <c r="C13" i="474"/>
  <c r="A12" i="474"/>
  <c r="A98" i="474"/>
  <c r="C99" i="474"/>
  <c r="A99" i="474" s="1"/>
  <c r="C78" i="474"/>
  <c r="A77" i="474"/>
  <c r="C84" i="474"/>
  <c r="A84" i="474" s="1"/>
  <c r="A83" i="474"/>
  <c r="C32" i="474"/>
  <c r="A31" i="474"/>
  <c r="A101" i="474"/>
  <c r="C102" i="474"/>
  <c r="C92" i="474"/>
  <c r="A91" i="474"/>
  <c r="C68" i="474"/>
  <c r="A68" i="474" s="1"/>
  <c r="A67" i="474"/>
  <c r="C7" i="474"/>
  <c r="A6" i="474"/>
  <c r="A62" i="474"/>
  <c r="C63" i="474"/>
  <c r="C57" i="474"/>
  <c r="A56" i="474"/>
  <c r="C23" i="474"/>
  <c r="A22" i="474"/>
  <c r="C37" i="474"/>
  <c r="A36" i="474"/>
  <c r="C54" i="474" l="1"/>
  <c r="A54" i="474" s="1"/>
  <c r="A53" i="474"/>
  <c r="A63" i="474"/>
  <c r="C64" i="474"/>
  <c r="A64" i="474" s="1"/>
  <c r="C8" i="474"/>
  <c r="A7" i="474"/>
  <c r="C93" i="474"/>
  <c r="A92" i="474"/>
  <c r="A13" i="474"/>
  <c r="C14" i="474"/>
  <c r="A14" i="474" s="1"/>
  <c r="A102" i="474"/>
  <c r="C103" i="474"/>
  <c r="A57" i="474"/>
  <c r="C58" i="474"/>
  <c r="C43" i="474"/>
  <c r="A42" i="474"/>
  <c r="A78" i="474"/>
  <c r="C79" i="474"/>
  <c r="A79" i="474" s="1"/>
  <c r="A32" i="474"/>
  <c r="C33" i="474"/>
  <c r="A37" i="474"/>
  <c r="C38" i="474"/>
  <c r="C24" i="474"/>
  <c r="A24" i="474" s="1"/>
  <c r="A23" i="474"/>
  <c r="A33" i="474" l="1"/>
  <c r="C34" i="474"/>
  <c r="A34" i="474" s="1"/>
  <c r="C94" i="474"/>
  <c r="A94" i="474" s="1"/>
  <c r="A93" i="474"/>
  <c r="A43" i="474"/>
  <c r="C44" i="474"/>
  <c r="A44" i="474" s="1"/>
  <c r="A103" i="474"/>
  <c r="C104" i="474"/>
  <c r="A104" i="474" s="1"/>
  <c r="A58" i="474"/>
  <c r="C59" i="474"/>
  <c r="A59" i="474" s="1"/>
  <c r="A38" i="474"/>
  <c r="C39" i="474"/>
  <c r="A39" i="474" s="1"/>
  <c r="C9" i="474"/>
  <c r="A9" i="474" s="1"/>
  <c r="A8" i="474"/>
  <c r="D11" i="517"/>
  <c r="D20" i="517" s="1"/>
  <c r="E11" i="517"/>
  <c r="G11" i="517"/>
  <c r="H11" i="517"/>
  <c r="D12" i="517"/>
  <c r="E12" i="517"/>
  <c r="G12" i="517"/>
  <c r="H12" i="517"/>
  <c r="C15" i="517"/>
  <c r="F15" i="517"/>
  <c r="C16" i="517"/>
  <c r="F16" i="517"/>
  <c r="C17" i="517"/>
  <c r="F17" i="517"/>
  <c r="C18" i="517"/>
  <c r="F18" i="517"/>
  <c r="B19" i="517"/>
  <c r="C19" i="517"/>
  <c r="F19" i="517"/>
  <c r="B20" i="517"/>
  <c r="E20" i="517"/>
  <c r="G20" i="517"/>
  <c r="H20" i="517"/>
  <c r="B21" i="517"/>
  <c r="D21" i="517"/>
  <c r="E21" i="517"/>
  <c r="G21" i="517"/>
  <c r="H21" i="517"/>
  <c r="C23" i="517"/>
  <c r="F23" i="517"/>
  <c r="D3" i="516"/>
  <c r="E3" i="516" s="1"/>
  <c r="C13" i="516"/>
  <c r="C14" i="516"/>
  <c r="C15" i="516"/>
  <c r="C16" i="516"/>
  <c r="C17" i="516"/>
  <c r="C19" i="516"/>
  <c r="D2" i="786"/>
  <c r="E2" i="786" s="1"/>
  <c r="B3" i="786"/>
  <c r="B4" i="786"/>
  <c r="B5" i="786"/>
  <c r="B6" i="786"/>
  <c r="C21" i="786"/>
  <c r="C22" i="786"/>
  <c r="C23" i="786"/>
  <c r="C24" i="786"/>
  <c r="C25" i="786"/>
  <c r="C27" i="786"/>
  <c r="D2" i="778"/>
  <c r="E2" i="778"/>
  <c r="B3" i="778"/>
  <c r="B4" i="778"/>
  <c r="B5" i="778"/>
  <c r="B6" i="778"/>
  <c r="C21" i="778"/>
  <c r="C22" i="778"/>
  <c r="C23" i="778"/>
  <c r="C24" i="778"/>
  <c r="C25" i="778"/>
  <c r="C27" i="778"/>
  <c r="C28" i="778"/>
  <c r="D2" i="840"/>
  <c r="E2" i="840"/>
  <c r="B3" i="840"/>
  <c r="B4" i="840"/>
  <c r="B5" i="840"/>
  <c r="B6" i="840"/>
  <c r="C21" i="840"/>
  <c r="C22" i="840"/>
  <c r="C23" i="840"/>
  <c r="C24" i="840"/>
  <c r="C25" i="840"/>
  <c r="C27" i="840"/>
  <c r="E2" i="731"/>
  <c r="H2" i="731"/>
  <c r="B3" i="731"/>
  <c r="B4" i="731"/>
  <c r="B5" i="731"/>
  <c r="B6" i="731"/>
  <c r="C21" i="731"/>
  <c r="F21" i="731"/>
  <c r="C22" i="731"/>
  <c r="F22" i="731"/>
  <c r="C23" i="731"/>
  <c r="F23" i="731"/>
  <c r="C24" i="731"/>
  <c r="F24" i="731"/>
  <c r="C25" i="731"/>
  <c r="F25" i="731"/>
  <c r="C27" i="731"/>
  <c r="F27" i="731"/>
  <c r="H59" i="731"/>
  <c r="E2" i="730"/>
  <c r="B3" i="730"/>
  <c r="B4" i="730"/>
  <c r="B5" i="730"/>
  <c r="B6" i="730"/>
  <c r="C21" i="730"/>
  <c r="C22" i="730"/>
  <c r="C23" i="730"/>
  <c r="C24" i="730"/>
  <c r="C25" i="730"/>
  <c r="C27" i="730"/>
  <c r="C45" i="730"/>
  <c r="C52" i="730" s="1"/>
  <c r="B52" i="730"/>
  <c r="E2" i="729"/>
  <c r="B3" i="729"/>
  <c r="B4" i="729"/>
  <c r="B5" i="729"/>
  <c r="B6" i="729"/>
  <c r="C21" i="729"/>
  <c r="C22" i="729"/>
  <c r="C23" i="729"/>
  <c r="C24" i="729"/>
  <c r="C25" i="729"/>
  <c r="E25" i="729"/>
  <c r="C27" i="729"/>
  <c r="C45" i="729"/>
  <c r="B52" i="729"/>
  <c r="E2" i="715"/>
  <c r="B3" i="715"/>
  <c r="B4" i="715"/>
  <c r="B5" i="715"/>
  <c r="B6" i="715"/>
  <c r="I14" i="739" a="1"/>
  <c r="D15" i="739" a="1"/>
  <c r="I15" i="739" a="1"/>
  <c r="E15" i="739" a="1"/>
  <c r="H16" i="739" a="1"/>
  <c r="H15" i="739" a="1"/>
  <c r="F16" i="739" a="1"/>
  <c r="E14" i="739" a="1"/>
  <c r="I16" i="739" a="1"/>
  <c r="D16" i="739" a="1"/>
  <c r="D14" i="739" a="1"/>
  <c r="E16" i="739" a="1"/>
  <c r="G16" i="739" a="1"/>
  <c r="H14" i="739" a="1"/>
  <c r="H14" i="739" l="1"/>
  <c r="G16" i="739"/>
  <c r="E16" i="739"/>
  <c r="D14" i="739"/>
  <c r="D16" i="739"/>
  <c r="I16" i="739"/>
  <c r="E14" i="739"/>
  <c r="F16" i="739"/>
  <c r="H15" i="739"/>
  <c r="H16" i="739"/>
  <c r="E15" i="739"/>
  <c r="I15" i="739"/>
  <c r="D15" i="739"/>
  <c r="I14" i="739"/>
  <c r="C52" i="729"/>
  <c r="F18" i="715"/>
  <c r="C21" i="715"/>
  <c r="C22" i="715"/>
  <c r="C23" i="715"/>
  <c r="C24" i="715"/>
  <c r="C25" i="715"/>
  <c r="C27" i="715"/>
  <c r="B52" i="715"/>
  <c r="C52" i="715"/>
  <c r="C3" i="932"/>
  <c r="X4" i="932"/>
  <c r="Y4" i="932"/>
  <c r="C5" i="932"/>
  <c r="AE7" i="932"/>
  <c r="B8" i="932"/>
  <c r="A8" i="932" s="1"/>
  <c r="AG8" i="932" a="1"/>
  <c r="AG8" i="932"/>
  <c r="AH8" i="932" a="1"/>
  <c r="AH8" i="932" s="1"/>
  <c r="AK8" i="932" a="1"/>
  <c r="AK8" i="932"/>
  <c r="AL8" i="932" a="1"/>
  <c r="AL8" i="932"/>
  <c r="AM8" i="932" a="1"/>
  <c r="AM8" i="932" s="1"/>
  <c r="B9" i="932"/>
  <c r="A9" i="932"/>
  <c r="AE9" i="932"/>
  <c r="AH9" i="932" s="1" a="1"/>
  <c r="AH9" i="932" s="1"/>
  <c r="AG9" i="932" a="1"/>
  <c r="AG9" i="932" s="1"/>
  <c r="AK9" i="932" a="1"/>
  <c r="AK9" i="932" s="1"/>
  <c r="AL9" i="932" a="1"/>
  <c r="AL9" i="932" s="1"/>
  <c r="B10" i="932"/>
  <c r="A10" i="932"/>
  <c r="AE10" i="932"/>
  <c r="B11" i="932"/>
  <c r="AP11" i="932"/>
  <c r="B12" i="932"/>
  <c r="B13" i="932"/>
  <c r="A13" i="932" s="1"/>
  <c r="B14" i="932"/>
  <c r="A14" i="932" s="1"/>
  <c r="AE14" i="932"/>
  <c r="AK14" i="932" s="1" a="1"/>
  <c r="AK14" i="932" s="1"/>
  <c r="AM14" i="932" a="1"/>
  <c r="AM14" i="932" s="1"/>
  <c r="B15" i="932"/>
  <c r="A15" i="932"/>
  <c r="AE15" i="932"/>
  <c r="AG15" i="932" s="1" a="1"/>
  <c r="AG15" i="932" s="1"/>
  <c r="AH15" i="932" a="1"/>
  <c r="AH15" i="932" s="1"/>
  <c r="AK15" i="932" a="1"/>
  <c r="AK15" i="932" s="1"/>
  <c r="AL15" i="932" a="1"/>
  <c r="AL15" i="932" s="1"/>
  <c r="AM15" i="932" a="1"/>
  <c r="AM15" i="932" s="1"/>
  <c r="B16" i="932"/>
  <c r="A16" i="932"/>
  <c r="AE16" i="932"/>
  <c r="AG16" i="932" a="1"/>
  <c r="AG16" i="932" s="1"/>
  <c r="B17" i="932"/>
  <c r="AE17" i="932" s="1"/>
  <c r="A17" i="932"/>
  <c r="AG17" i="932" a="1"/>
  <c r="AG17" i="932" s="1"/>
  <c r="B18" i="932"/>
  <c r="A18" i="932"/>
  <c r="B19" i="932"/>
  <c r="A19" i="932"/>
  <c r="B20" i="932"/>
  <c r="A20" i="932"/>
  <c r="B21" i="932"/>
  <c r="AE21" i="932" s="1"/>
  <c r="B22" i="932"/>
  <c r="AE22" i="932"/>
  <c r="AK22" i="932" s="1" a="1"/>
  <c r="AK22" i="932" s="1"/>
  <c r="AG22" i="932" a="1"/>
  <c r="AG22" i="932" s="1"/>
  <c r="AH22" i="932" a="1"/>
  <c r="AH22" i="932" s="1"/>
  <c r="AM22" i="932" a="1"/>
  <c r="AM22" i="932"/>
  <c r="B23" i="932"/>
  <c r="B24" i="932"/>
  <c r="A24" i="932"/>
  <c r="AE24" i="932"/>
  <c r="AG24" i="932" s="1" a="1"/>
  <c r="AG24" i="932" s="1"/>
  <c r="AH24" i="932" a="1"/>
  <c r="AH24" i="932"/>
  <c r="AK24" i="932" a="1"/>
  <c r="AK24" i="932" s="1"/>
  <c r="AL24" i="932" a="1"/>
  <c r="AL24" i="932" s="1"/>
  <c r="B25" i="932"/>
  <c r="A25" i="932"/>
  <c r="AE25" i="932"/>
  <c r="AH25" i="932" a="1"/>
  <c r="AH25" i="932" s="1"/>
  <c r="AK25" i="932" a="1"/>
  <c r="AK25" i="932" s="1"/>
  <c r="AL25" i="932" a="1"/>
  <c r="AL25" i="932" s="1"/>
  <c r="B26" i="932"/>
  <c r="A26" i="932"/>
  <c r="AE26" i="932"/>
  <c r="A46" i="932"/>
  <c r="A47" i="932"/>
  <c r="A48" i="932"/>
  <c r="A51" i="932"/>
  <c r="A52" i="932"/>
  <c r="A53" i="932"/>
  <c r="A54" i="932"/>
  <c r="A56" i="932"/>
  <c r="H57" i="932"/>
  <c r="I57" i="932" s="1"/>
  <c r="M57" i="932" s="1"/>
  <c r="P57" i="932" s="1"/>
  <c r="A65" i="932"/>
  <c r="B38" i="932"/>
  <c r="A38" i="932" s="1"/>
  <c r="B46" i="932"/>
  <c r="B47" i="932"/>
  <c r="B48" i="932"/>
  <c r="B49" i="932"/>
  <c r="B50" i="932"/>
  <c r="B51" i="932"/>
  <c r="B52" i="932"/>
  <c r="B53" i="932"/>
  <c r="B54" i="932"/>
  <c r="B55" i="932"/>
  <c r="B56" i="932"/>
  <c r="B62" i="932"/>
  <c r="B63" i="932"/>
  <c r="B64" i="932"/>
  <c r="B65" i="932"/>
  <c r="C3" i="708"/>
  <c r="X4" i="708"/>
  <c r="Y4" i="708"/>
  <c r="C5" i="708"/>
  <c r="AE7" i="708"/>
  <c r="B8" i="708"/>
  <c r="AE8" i="708"/>
  <c r="B9" i="708"/>
  <c r="A9" i="708" s="1"/>
  <c r="B10" i="708"/>
  <c r="A10" i="708"/>
  <c r="AE10" i="708"/>
  <c r="B11" i="708"/>
  <c r="B12" i="708"/>
  <c r="A12" i="708"/>
  <c r="B13" i="708"/>
  <c r="AA35" i="708"/>
  <c r="AA38" i="708"/>
  <c r="AA40" i="708"/>
  <c r="AA41" i="708"/>
  <c r="AA42" i="708"/>
  <c r="AA43" i="708"/>
  <c r="AA45" i="708"/>
  <c r="AA48" i="708"/>
  <c r="AA49" i="708"/>
  <c r="AA50" i="708"/>
  <c r="AA51" i="708"/>
  <c r="AA52" i="708"/>
  <c r="AA53" i="708"/>
  <c r="AA54" i="708"/>
  <c r="C19" i="708"/>
  <c r="A35" i="708"/>
  <c r="H35" i="708"/>
  <c r="I35" i="708" s="1"/>
  <c r="A38" i="708"/>
  <c r="H38" i="708" s="1"/>
  <c r="I38" i="708"/>
  <c r="M38" i="708" s="1"/>
  <c r="P38" i="708" s="1"/>
  <c r="A40" i="708"/>
  <c r="H40" i="708" s="1"/>
  <c r="I40" i="708" s="1"/>
  <c r="T40" i="708" s="1"/>
  <c r="A41" i="708"/>
  <c r="H41" i="708" s="1"/>
  <c r="I41" i="708" s="1"/>
  <c r="A42" i="708"/>
  <c r="H42" i="708"/>
  <c r="I42" i="708" s="1"/>
  <c r="T42" i="708" s="1"/>
  <c r="A43" i="708"/>
  <c r="H43" i="708"/>
  <c r="I43" i="708"/>
  <c r="M43" i="708" s="1"/>
  <c r="P43" i="708" s="1"/>
  <c r="A45" i="708"/>
  <c r="H45" i="708"/>
  <c r="I45" i="708" s="1"/>
  <c r="T45" i="708" s="1"/>
  <c r="A48" i="708"/>
  <c r="H48" i="708" s="1"/>
  <c r="I48" i="708" s="1"/>
  <c r="M48" i="708" s="1"/>
  <c r="P48" i="708" s="1"/>
  <c r="A49" i="708"/>
  <c r="H49" i="708"/>
  <c r="I49" i="708" s="1"/>
  <c r="A50" i="708"/>
  <c r="H50" i="708" s="1"/>
  <c r="I50" i="708" s="1"/>
  <c r="A51" i="708"/>
  <c r="H51" i="708" s="1"/>
  <c r="I51" i="708" s="1"/>
  <c r="T51" i="708" s="1"/>
  <c r="A52" i="708"/>
  <c r="H52" i="708" s="1"/>
  <c r="I52" i="708"/>
  <c r="A53" i="708"/>
  <c r="H53" i="708"/>
  <c r="I53" i="708" s="1"/>
  <c r="A54" i="708"/>
  <c r="H54" i="708"/>
  <c r="I54" i="708"/>
  <c r="M54" i="708" s="1"/>
  <c r="P54" i="708" s="1"/>
  <c r="J20" i="708"/>
  <c r="K20" i="708"/>
  <c r="L20" i="708"/>
  <c r="M40" i="708"/>
  <c r="P40" i="708" s="1"/>
  <c r="M42" i="708"/>
  <c r="P42" i="708"/>
  <c r="Q20" i="708"/>
  <c r="R20" i="708"/>
  <c r="S20" i="708"/>
  <c r="T38" i="708"/>
  <c r="W38" i="708" s="1"/>
  <c r="T43" i="708"/>
  <c r="W43" i="708" s="1"/>
  <c r="T48" i="708"/>
  <c r="T54" i="708"/>
  <c r="W54" i="708" s="1"/>
  <c r="W48" i="708"/>
  <c r="J21" i="708"/>
  <c r="K21" i="708"/>
  <c r="L21" i="708"/>
  <c r="Q21" i="708"/>
  <c r="R21" i="708"/>
  <c r="S21" i="708"/>
  <c r="J22" i="708"/>
  <c r="K22" i="708"/>
  <c r="L22" i="708"/>
  <c r="Q22" i="708"/>
  <c r="R22" i="708"/>
  <c r="S22" i="708"/>
  <c r="J23" i="708"/>
  <c r="K23" i="708"/>
  <c r="L23" i="708"/>
  <c r="Q23" i="708"/>
  <c r="R23" i="708"/>
  <c r="S23" i="708"/>
  <c r="B25" i="708"/>
  <c r="B28" i="708"/>
  <c r="AE25" i="708"/>
  <c r="AL25" i="708" a="1"/>
  <c r="AL25" i="708" s="1"/>
  <c r="AM25" i="708" a="1"/>
  <c r="AM25" i="708" s="1"/>
  <c r="B35" i="708"/>
  <c r="B36" i="708"/>
  <c r="B37" i="708"/>
  <c r="B38" i="708"/>
  <c r="B39" i="708"/>
  <c r="B40" i="708"/>
  <c r="B41" i="708"/>
  <c r="B42" i="708"/>
  <c r="B43" i="708"/>
  <c r="B44" i="708"/>
  <c r="B45" i="708"/>
  <c r="B46" i="708"/>
  <c r="B47" i="708"/>
  <c r="B48" i="708"/>
  <c r="B49" i="708"/>
  <c r="B50" i="708"/>
  <c r="B51" i="708"/>
  <c r="B52" i="708"/>
  <c r="B53" i="708"/>
  <c r="B54" i="708"/>
  <c r="C3" i="707"/>
  <c r="X4" i="707"/>
  <c r="Y4" i="707"/>
  <c r="C5" i="707"/>
  <c r="AE7" i="707"/>
  <c r="B8" i="707"/>
  <c r="B9" i="707"/>
  <c r="A9" i="707" s="1"/>
  <c r="A37" i="707" s="1"/>
  <c r="B10" i="707"/>
  <c r="A10" i="707" s="1"/>
  <c r="A38" i="707" s="1"/>
  <c r="B11" i="707"/>
  <c r="AE11" i="707" s="1"/>
  <c r="B12" i="707"/>
  <c r="A12" i="707" s="1"/>
  <c r="B13" i="707"/>
  <c r="A13" i="707" s="1"/>
  <c r="A45" i="707" s="1"/>
  <c r="B14" i="707"/>
  <c r="A14" i="707" s="1"/>
  <c r="A46" i="707" s="1"/>
  <c r="AE14" i="707"/>
  <c r="AG14" i="707" s="1" a="1"/>
  <c r="AG14" i="707" s="1"/>
  <c r="B15" i="707"/>
  <c r="A15" i="707" s="1"/>
  <c r="AA39" i="707"/>
  <c r="AA40" i="707"/>
  <c r="AA41" i="707"/>
  <c r="AA44" i="707"/>
  <c r="A47" i="707"/>
  <c r="A48" i="707"/>
  <c r="AA49" i="707"/>
  <c r="AA50" i="707"/>
  <c r="AA51" i="707"/>
  <c r="AA52" i="707"/>
  <c r="AA53" i="707"/>
  <c r="AA54" i="707"/>
  <c r="A39" i="707"/>
  <c r="H39" i="707"/>
  <c r="I39" i="707" s="1"/>
  <c r="A40" i="707"/>
  <c r="H40" i="707" s="1"/>
  <c r="I40" i="707" s="1"/>
  <c r="A41" i="707"/>
  <c r="H41" i="707" s="1"/>
  <c r="I41" i="707" s="1"/>
  <c r="A44" i="707"/>
  <c r="H44" i="707" s="1"/>
  <c r="I44" i="707" s="1"/>
  <c r="A49" i="707"/>
  <c r="H49" i="707"/>
  <c r="I49" i="707" s="1"/>
  <c r="A50" i="707"/>
  <c r="H50" i="707" s="1"/>
  <c r="I50" i="707" s="1"/>
  <c r="T50" i="707" s="1"/>
  <c r="A51" i="707"/>
  <c r="H51" i="707"/>
  <c r="I51" i="707" s="1"/>
  <c r="A52" i="707"/>
  <c r="H52" i="707" s="1"/>
  <c r="I52" i="707" s="1"/>
  <c r="M52" i="707" s="1"/>
  <c r="P52" i="707" s="1"/>
  <c r="A53" i="707"/>
  <c r="H53" i="707"/>
  <c r="I53" i="707" s="1"/>
  <c r="A54" i="707"/>
  <c r="H54" i="707" s="1"/>
  <c r="I54" i="707" s="1"/>
  <c r="B27" i="707"/>
  <c r="A27" i="707" s="1"/>
  <c r="B35" i="707"/>
  <c r="B36" i="707"/>
  <c r="B37" i="707"/>
  <c r="B39" i="707"/>
  <c r="B40" i="707"/>
  <c r="B41" i="707"/>
  <c r="B42" i="707"/>
  <c r="B44" i="707"/>
  <c r="B46" i="707"/>
  <c r="B47" i="707"/>
  <c r="B48" i="707"/>
  <c r="B49" i="707"/>
  <c r="B50" i="707"/>
  <c r="B51" i="707"/>
  <c r="B52" i="707"/>
  <c r="B53" i="707"/>
  <c r="B54" i="707"/>
  <c r="C3" i="705"/>
  <c r="X4" i="705"/>
  <c r="Y4" i="705"/>
  <c r="C5" i="705"/>
  <c r="AE7" i="705"/>
  <c r="B8" i="705"/>
  <c r="A8" i="705"/>
  <c r="B9" i="705"/>
  <c r="A9" i="705" s="1"/>
  <c r="B10" i="705"/>
  <c r="A10" i="705"/>
  <c r="B11" i="705"/>
  <c r="A11" i="705"/>
  <c r="B12" i="705"/>
  <c r="A12" i="705"/>
  <c r="B13" i="705"/>
  <c r="B14" i="705"/>
  <c r="B15" i="705"/>
  <c r="A15" i="705" s="1"/>
  <c r="B16" i="705"/>
  <c r="A16" i="705"/>
  <c r="B17" i="705"/>
  <c r="A17" i="705" s="1"/>
  <c r="B18" i="705"/>
  <c r="A18" i="705"/>
  <c r="B19" i="705"/>
  <c r="A19" i="705"/>
  <c r="B20" i="705"/>
  <c r="A20" i="705"/>
  <c r="B21" i="705"/>
  <c r="AE9" i="705"/>
  <c r="AK9" i="705" s="1" a="1"/>
  <c r="AK9" i="705" s="1"/>
  <c r="AG9" i="705" a="1"/>
  <c r="AG9" i="705" s="1"/>
  <c r="AH9" i="705" a="1"/>
  <c r="AH9" i="705" s="1"/>
  <c r="AR9" i="705"/>
  <c r="AS9" i="705"/>
  <c r="AE10" i="705"/>
  <c r="AG10" i="705" a="1"/>
  <c r="AG10" i="705" s="1"/>
  <c r="AH10" i="705" a="1"/>
  <c r="AH10" i="705"/>
  <c r="AK10" i="705" a="1"/>
  <c r="AK10" i="705" s="1"/>
  <c r="AR10" i="705"/>
  <c r="AS10" i="705"/>
  <c r="AE12" i="705"/>
  <c r="AH12" i="705" s="1" a="1"/>
  <c r="AH12" i="705" s="1"/>
  <c r="AG12" i="705" a="1"/>
  <c r="AG12" i="705"/>
  <c r="AK12" i="705" a="1"/>
  <c r="AK12" i="705" s="1"/>
  <c r="AE13" i="705"/>
  <c r="AG13" i="705" s="1" a="1"/>
  <c r="AG13" i="705" s="1"/>
  <c r="AE14" i="705"/>
  <c r="AG14" i="705" a="1"/>
  <c r="AG14" i="705" s="1"/>
  <c r="AE15" i="705"/>
  <c r="AG15" i="705" s="1" a="1"/>
  <c r="AG15" i="705" s="1"/>
  <c r="AE16" i="705"/>
  <c r="AG16" i="705" a="1"/>
  <c r="AG16" i="705" s="1"/>
  <c r="AE17" i="705"/>
  <c r="AG17" i="705" s="1" a="1"/>
  <c r="AG17" i="705" s="1"/>
  <c r="AE18" i="705"/>
  <c r="AH18" i="705" s="1" a="1"/>
  <c r="AH18" i="705" s="1"/>
  <c r="AK18" i="705" a="1"/>
  <c r="AK18" i="705" s="1"/>
  <c r="AE19" i="705"/>
  <c r="AG19" i="705" a="1"/>
  <c r="AG19" i="705" s="1"/>
  <c r="AH19" i="705" a="1"/>
  <c r="AH19" i="705"/>
  <c r="AK19" i="705" a="1"/>
  <c r="AK19" i="705" s="1"/>
  <c r="AE20" i="705"/>
  <c r="AK20" i="705" s="1" a="1"/>
  <c r="AK20" i="705" s="1"/>
  <c r="A41" i="705"/>
  <c r="A42" i="705"/>
  <c r="A43" i="705"/>
  <c r="A45" i="705"/>
  <c r="A48" i="705"/>
  <c r="A49" i="705"/>
  <c r="A50" i="705"/>
  <c r="A51" i="705"/>
  <c r="A52" i="705"/>
  <c r="A53" i="705"/>
  <c r="A55" i="705"/>
  <c r="H55" i="705" s="1"/>
  <c r="I55" i="705" s="1"/>
  <c r="A56" i="705"/>
  <c r="H56" i="705" s="1"/>
  <c r="I56" i="705"/>
  <c r="A57" i="705"/>
  <c r="H57" i="705"/>
  <c r="I57" i="705" s="1"/>
  <c r="A58" i="705"/>
  <c r="H58" i="705"/>
  <c r="I58" i="705"/>
  <c r="A59" i="705"/>
  <c r="H59" i="705"/>
  <c r="I59" i="705" s="1"/>
  <c r="A60" i="705"/>
  <c r="H60" i="705" s="1"/>
  <c r="I60" i="705" s="1"/>
  <c r="M55" i="705"/>
  <c r="P55" i="705" s="1"/>
  <c r="T55" i="705"/>
  <c r="AA55" i="705"/>
  <c r="AA56" i="705"/>
  <c r="AA57" i="705"/>
  <c r="AA58" i="705"/>
  <c r="AA59" i="705"/>
  <c r="AA60" i="705"/>
  <c r="B33" i="705"/>
  <c r="A33" i="705"/>
  <c r="Y35" i="705"/>
  <c r="B41" i="705"/>
  <c r="B42" i="705"/>
  <c r="B43" i="705"/>
  <c r="B44" i="705"/>
  <c r="B45" i="705"/>
  <c r="B46" i="705"/>
  <c r="B47" i="705"/>
  <c r="B48" i="705"/>
  <c r="B49" i="705"/>
  <c r="B50" i="705"/>
  <c r="B51" i="705"/>
  <c r="B52" i="705"/>
  <c r="B53" i="705"/>
  <c r="B55" i="705"/>
  <c r="B56" i="705"/>
  <c r="B57" i="705"/>
  <c r="B58" i="705"/>
  <c r="B59" i="705"/>
  <c r="B60" i="705"/>
  <c r="C3" i="706"/>
  <c r="A11" i="706" s="1"/>
  <c r="X4" i="706"/>
  <c r="Y4" i="706"/>
  <c r="C5" i="706"/>
  <c r="AE7" i="706"/>
  <c r="B8" i="706"/>
  <c r="AE8" i="706"/>
  <c r="B9" i="706"/>
  <c r="B10" i="706"/>
  <c r="B11" i="706"/>
  <c r="B12" i="706"/>
  <c r="B13" i="706"/>
  <c r="A13" i="706"/>
  <c r="B14" i="706"/>
  <c r="B15" i="706"/>
  <c r="B16" i="706"/>
  <c r="B17" i="706"/>
  <c r="B18" i="706"/>
  <c r="A49" i="706"/>
  <c r="A50" i="706"/>
  <c r="A51" i="706"/>
  <c r="A52" i="706"/>
  <c r="H52" i="706" s="1"/>
  <c r="A53" i="706"/>
  <c r="H53" i="706" s="1"/>
  <c r="A54" i="706"/>
  <c r="H54" i="706"/>
  <c r="A55" i="706"/>
  <c r="H55" i="706"/>
  <c r="A56" i="706"/>
  <c r="H56" i="706"/>
  <c r="A57" i="706"/>
  <c r="H57" i="706"/>
  <c r="AE9" i="706"/>
  <c r="AE10" i="706"/>
  <c r="AE12" i="706"/>
  <c r="AE13" i="706"/>
  <c r="AE14" i="706"/>
  <c r="AE15" i="706"/>
  <c r="AG15" i="706" a="1"/>
  <c r="AG15" i="706"/>
  <c r="AH15" i="706" a="1"/>
  <c r="AH15" i="706" s="1"/>
  <c r="AK15" i="706" a="1"/>
  <c r="AK15" i="706" s="1"/>
  <c r="AL15" i="706" a="1"/>
  <c r="AL15" i="706" s="1"/>
  <c r="AM15" i="706" a="1"/>
  <c r="AM15" i="706"/>
  <c r="AE16" i="706"/>
  <c r="AG16" i="706" a="1"/>
  <c r="AG16" i="706"/>
  <c r="AH16" i="706" a="1"/>
  <c r="AH16" i="706"/>
  <c r="AK16" i="706" a="1"/>
  <c r="AK16" i="706" s="1"/>
  <c r="AL16" i="706" a="1"/>
  <c r="AL16" i="706"/>
  <c r="AM16" i="706" a="1"/>
  <c r="AM16" i="706"/>
  <c r="AE17" i="706"/>
  <c r="AH17" i="706" s="1" a="1"/>
  <c r="AH17" i="706" s="1"/>
  <c r="AG17" i="706" a="1"/>
  <c r="AG17" i="706" s="1"/>
  <c r="AK17" i="706" a="1"/>
  <c r="AK17" i="706" s="1"/>
  <c r="AL17" i="706" a="1"/>
  <c r="AL17" i="706" s="1"/>
  <c r="AE18" i="706"/>
  <c r="AG18" i="706" a="1"/>
  <c r="AG18" i="706" s="1"/>
  <c r="AH18" i="706" a="1"/>
  <c r="AH18" i="706" s="1"/>
  <c r="AK18" i="706" a="1"/>
  <c r="AK18" i="706" s="1"/>
  <c r="AL18" i="706" a="1"/>
  <c r="AL18" i="706" s="1"/>
  <c r="AM18" i="706" a="1"/>
  <c r="AM18" i="706" s="1"/>
  <c r="C19" i="706"/>
  <c r="C24" i="706"/>
  <c r="J25" i="706"/>
  <c r="K25" i="706"/>
  <c r="L25" i="706"/>
  <c r="Q25" i="706"/>
  <c r="R25" i="706"/>
  <c r="S25" i="706"/>
  <c r="J26" i="706"/>
  <c r="K26" i="706"/>
  <c r="L26" i="706"/>
  <c r="Q26" i="706"/>
  <c r="R26" i="706"/>
  <c r="S26" i="706"/>
  <c r="J27" i="706"/>
  <c r="K27" i="706"/>
  <c r="L27" i="706"/>
  <c r="Q27" i="706"/>
  <c r="R27" i="706"/>
  <c r="S27" i="706"/>
  <c r="J28" i="706"/>
  <c r="K28" i="706"/>
  <c r="L28" i="706"/>
  <c r="Q28" i="706"/>
  <c r="R28" i="706"/>
  <c r="S28" i="706"/>
  <c r="B30" i="706"/>
  <c r="B38" i="706"/>
  <c r="B39" i="706"/>
  <c r="B40" i="706"/>
  <c r="B41" i="706"/>
  <c r="B42" i="706"/>
  <c r="B43" i="706"/>
  <c r="B44" i="706"/>
  <c r="B45" i="706"/>
  <c r="B46" i="706"/>
  <c r="B47" i="706"/>
  <c r="B48" i="706"/>
  <c r="B49" i="706"/>
  <c r="B50" i="706"/>
  <c r="B51" i="706"/>
  <c r="B52" i="706"/>
  <c r="B53" i="706"/>
  <c r="B54" i="706"/>
  <c r="B55" i="706"/>
  <c r="B56" i="706"/>
  <c r="B57" i="706"/>
  <c r="C3" i="704"/>
  <c r="X4" i="704"/>
  <c r="Y4" i="704"/>
  <c r="C5" i="704"/>
  <c r="AE7" i="704"/>
  <c r="B8" i="704"/>
  <c r="B47" i="704" s="1"/>
  <c r="B9" i="704"/>
  <c r="A9" i="704" s="1"/>
  <c r="B10" i="704"/>
  <c r="AE10" i="704" s="1"/>
  <c r="AE12" i="704"/>
  <c r="B12" i="704"/>
  <c r="B13" i="704"/>
  <c r="B14" i="704"/>
  <c r="B15" i="704"/>
  <c r="B16" i="704"/>
  <c r="B17" i="704"/>
  <c r="B18" i="704"/>
  <c r="B19" i="704"/>
  <c r="C27" i="704"/>
  <c r="A48" i="704"/>
  <c r="B33" i="704"/>
  <c r="AH42" i="704"/>
  <c r="B48" i="704"/>
  <c r="B62" i="704"/>
  <c r="B63" i="704"/>
  <c r="C3" i="703"/>
  <c r="X4" i="703"/>
  <c r="Y4" i="703"/>
  <c r="C5" i="703"/>
  <c r="AE7" i="703"/>
  <c r="B8" i="703"/>
  <c r="A8" i="703" s="1"/>
  <c r="B9" i="703"/>
  <c r="A9" i="703" s="1"/>
  <c r="AE9" i="703"/>
  <c r="AH9" i="703" s="1" a="1"/>
  <c r="AH9" i="703" s="1"/>
  <c r="B10" i="703"/>
  <c r="A10" i="703" s="1"/>
  <c r="A44" i="703" s="1"/>
  <c r="AE10" i="703"/>
  <c r="AG10" i="703" s="1" a="1"/>
  <c r="AG10" i="703" s="1"/>
  <c r="B11" i="703"/>
  <c r="A11" i="703" s="1"/>
  <c r="A45" i="703" s="1"/>
  <c r="B12" i="703"/>
  <c r="A12" i="703" s="1"/>
  <c r="B13" i="703"/>
  <c r="A13" i="703" s="1"/>
  <c r="B14" i="703"/>
  <c r="B48" i="703" s="1"/>
  <c r="B15" i="703"/>
  <c r="A15" i="703" s="1"/>
  <c r="B16" i="703"/>
  <c r="A16" i="703" s="1"/>
  <c r="A50" i="703" s="1"/>
  <c r="B17" i="703"/>
  <c r="A17" i="703" s="1"/>
  <c r="B18" i="703"/>
  <c r="AE18" i="703" s="1"/>
  <c r="B19" i="703"/>
  <c r="A19" i="703" s="1"/>
  <c r="A53" i="703" s="1"/>
  <c r="B20" i="703"/>
  <c r="A20" i="703" s="1"/>
  <c r="AE20" i="703"/>
  <c r="B21" i="703"/>
  <c r="AE21" i="703" s="1"/>
  <c r="AG21" i="703" s="1" a="1"/>
  <c r="AG21" i="703" s="1"/>
  <c r="A21" i="703"/>
  <c r="A55" i="703" s="1"/>
  <c r="C23" i="703"/>
  <c r="A42" i="703"/>
  <c r="A43" i="703"/>
  <c r="A49" i="703"/>
  <c r="B34" i="703"/>
  <c r="A34" i="703" s="1"/>
  <c r="B42" i="703"/>
  <c r="B43" i="703"/>
  <c r="B44" i="703"/>
  <c r="B45" i="703"/>
  <c r="B46" i="703"/>
  <c r="B47" i="703"/>
  <c r="B49" i="703"/>
  <c r="B52" i="703"/>
  <c r="B54" i="703"/>
  <c r="B55" i="703"/>
  <c r="B56" i="703"/>
  <c r="B57" i="703"/>
  <c r="B58" i="703"/>
  <c r="B59" i="703"/>
  <c r="B60" i="703"/>
  <c r="B61" i="703"/>
  <c r="C3" i="702"/>
  <c r="X4" i="702"/>
  <c r="Y4" i="702"/>
  <c r="C5" i="702"/>
  <c r="AE7" i="702"/>
  <c r="B8" i="702"/>
  <c r="B9" i="702"/>
  <c r="A9" i="702"/>
  <c r="AE9" i="702"/>
  <c r="AK9" i="702" s="1" a="1"/>
  <c r="AK9" i="702" s="1"/>
  <c r="B10" i="702"/>
  <c r="B11" i="702"/>
  <c r="A11" i="702"/>
  <c r="AE11" i="702"/>
  <c r="AK11" i="702" s="1" a="1"/>
  <c r="AK11" i="702" s="1"/>
  <c r="AG11" i="702" a="1"/>
  <c r="AG11" i="702"/>
  <c r="AL11" i="702" a="1"/>
  <c r="AL11" i="702"/>
  <c r="B12" i="702"/>
  <c r="A12" i="702" s="1"/>
  <c r="B13" i="702"/>
  <c r="A13" i="702"/>
  <c r="AE13" i="702"/>
  <c r="B14" i="702"/>
  <c r="AE14" i="702" s="1"/>
  <c r="A14" i="702"/>
  <c r="AG14" i="702" a="1"/>
  <c r="AG14" i="702" s="1"/>
  <c r="AK14" i="702" a="1"/>
  <c r="AK14" i="702" s="1"/>
  <c r="AL14" i="702" a="1"/>
  <c r="AL14" i="702" s="1"/>
  <c r="B15" i="702"/>
  <c r="A15" i="702"/>
  <c r="AE15" i="702"/>
  <c r="B16" i="702"/>
  <c r="B17" i="702"/>
  <c r="A17" i="702"/>
  <c r="AE17" i="702"/>
  <c r="AM17" i="702" a="1"/>
  <c r="AM17" i="702"/>
  <c r="B18" i="702"/>
  <c r="B19" i="702"/>
  <c r="A19" i="702"/>
  <c r="AE19" i="702"/>
  <c r="AH19" i="702" a="1"/>
  <c r="AH19" i="702"/>
  <c r="AM19" i="702" a="1"/>
  <c r="AM19" i="702" s="1"/>
  <c r="B20" i="702"/>
  <c r="B21" i="702"/>
  <c r="A21" i="702"/>
  <c r="AE21" i="702"/>
  <c r="AK21" i="702" s="1" a="1"/>
  <c r="AK21" i="702" s="1"/>
  <c r="AG21" i="702" a="1"/>
  <c r="AG21" i="702" s="1"/>
  <c r="AL21" i="702" a="1"/>
  <c r="AL21" i="702" s="1"/>
  <c r="AM21" i="702" a="1"/>
  <c r="AM21" i="702"/>
  <c r="B22" i="702"/>
  <c r="B23" i="702"/>
  <c r="A23" i="702"/>
  <c r="AE23" i="702"/>
  <c r="AH23" i="702" a="1"/>
  <c r="AH23" i="702"/>
  <c r="AK23" i="702" a="1"/>
  <c r="AK23" i="702" s="1"/>
  <c r="B24" i="702"/>
  <c r="A24" i="702"/>
  <c r="AE24" i="702"/>
  <c r="AK24" i="702" a="1"/>
  <c r="AK24" i="702"/>
  <c r="B25" i="702"/>
  <c r="A25" i="702"/>
  <c r="AE25" i="702"/>
  <c r="AM25" i="702" s="1" a="1"/>
  <c r="AM25" i="702" s="1"/>
  <c r="AG25" i="702" a="1"/>
  <c r="AG25" i="702" s="1"/>
  <c r="AH25" i="702" a="1"/>
  <c r="AH25" i="702"/>
  <c r="AK25" i="702" a="1"/>
  <c r="AK25" i="702"/>
  <c r="AL25" i="702" a="1"/>
  <c r="AL25" i="702"/>
  <c r="B26" i="702"/>
  <c r="B27" i="702"/>
  <c r="A27" i="702"/>
  <c r="AE27" i="702"/>
  <c r="AK27" i="702" s="1" a="1"/>
  <c r="AK27" i="702" s="1"/>
  <c r="AG27" i="702" a="1"/>
  <c r="AG27" i="702" s="1"/>
  <c r="AH27" i="702" a="1"/>
  <c r="AH27" i="702" s="1"/>
  <c r="AL27" i="702" a="1"/>
  <c r="AL27" i="702"/>
  <c r="AM27" i="702" a="1"/>
  <c r="AM27" i="702"/>
  <c r="C28" i="702"/>
  <c r="A50" i="702"/>
  <c r="A51" i="702"/>
  <c r="A52" i="702"/>
  <c r="A53" i="702"/>
  <c r="A54" i="702"/>
  <c r="A56" i="702"/>
  <c r="A62" i="702"/>
  <c r="A63" i="702"/>
  <c r="A64" i="702"/>
  <c r="A66" i="702"/>
  <c r="C33" i="702"/>
  <c r="J34" i="702"/>
  <c r="K34" i="702"/>
  <c r="L34" i="702"/>
  <c r="Q34" i="702"/>
  <c r="R34" i="702"/>
  <c r="S34" i="702"/>
  <c r="J35" i="702"/>
  <c r="K35" i="702"/>
  <c r="L35" i="702"/>
  <c r="Q35" i="702"/>
  <c r="R35" i="702"/>
  <c r="S35" i="702"/>
  <c r="J36" i="702"/>
  <c r="K36" i="702"/>
  <c r="L36" i="702"/>
  <c r="Q36" i="702"/>
  <c r="R36" i="702"/>
  <c r="S36" i="702"/>
  <c r="J37" i="702"/>
  <c r="K37" i="702"/>
  <c r="L37" i="702"/>
  <c r="Q37" i="702"/>
  <c r="R37" i="702"/>
  <c r="S37" i="702"/>
  <c r="B39" i="702"/>
  <c r="A39" i="702" s="1"/>
  <c r="AE39" i="702"/>
  <c r="AL39" i="702" a="1"/>
  <c r="AL39" i="702"/>
  <c r="AM39" i="702" a="1"/>
  <c r="AM39" i="702"/>
  <c r="B47" i="702"/>
  <c r="B48" i="702"/>
  <c r="B49" i="702"/>
  <c r="B50" i="702"/>
  <c r="B51" i="702"/>
  <c r="B52" i="702"/>
  <c r="B53" i="702"/>
  <c r="B54" i="702"/>
  <c r="B56" i="702"/>
  <c r="B57" i="702"/>
  <c r="B58" i="702"/>
  <c r="B59" i="702"/>
  <c r="B60" i="702"/>
  <c r="B62" i="702"/>
  <c r="B63" i="702"/>
  <c r="B64" i="702"/>
  <c r="B66" i="702"/>
  <c r="C3" i="701"/>
  <c r="A23" i="701" s="1"/>
  <c r="X4" i="701"/>
  <c r="Y4" i="701"/>
  <c r="C5" i="701"/>
  <c r="AE7" i="701"/>
  <c r="B8" i="701"/>
  <c r="AE8" i="701"/>
  <c r="AH8" i="701" s="1" a="1"/>
  <c r="AH8" i="701" s="1"/>
  <c r="AG8" i="701" a="1"/>
  <c r="AG8" i="701" s="1"/>
  <c r="AK8" i="701" a="1"/>
  <c r="AK8" i="701" s="1"/>
  <c r="AL8" i="701" a="1"/>
  <c r="AL8" i="701" s="1"/>
  <c r="B9" i="701"/>
  <c r="A9" i="701"/>
  <c r="B10" i="701"/>
  <c r="A10" i="701" s="1"/>
  <c r="B11" i="701"/>
  <c r="A11" i="701"/>
  <c r="B12" i="701"/>
  <c r="B13" i="701"/>
  <c r="B14" i="701"/>
  <c r="B15" i="701"/>
  <c r="A15" i="701" s="1"/>
  <c r="B16" i="701"/>
  <c r="A16" i="701"/>
  <c r="B17" i="701"/>
  <c r="A17" i="701"/>
  <c r="B18" i="701"/>
  <c r="A18" i="701" s="1"/>
  <c r="B19" i="701"/>
  <c r="A19" i="701"/>
  <c r="B20" i="701"/>
  <c r="B21" i="701"/>
  <c r="B22" i="701"/>
  <c r="B23" i="701"/>
  <c r="B24" i="701"/>
  <c r="A24" i="701"/>
  <c r="B25" i="701"/>
  <c r="A25" i="701"/>
  <c r="B26" i="701"/>
  <c r="B27" i="701"/>
  <c r="A27" i="701"/>
  <c r="AE10" i="701"/>
  <c r="AG10" i="701" s="1" a="1"/>
  <c r="AG10" i="701" s="1"/>
  <c r="AH10" i="701" a="1"/>
  <c r="AH10" i="701"/>
  <c r="AK10" i="701" a="1"/>
  <c r="AK10" i="701" s="1"/>
  <c r="AL10" i="701" a="1"/>
  <c r="AL10" i="701" s="1"/>
  <c r="AM10" i="701" a="1"/>
  <c r="AM10" i="701"/>
  <c r="AE13" i="701"/>
  <c r="AM13" i="701" s="1" a="1"/>
  <c r="AM13" i="701" s="1"/>
  <c r="AG13" i="701" a="1"/>
  <c r="AG13" i="701" s="1"/>
  <c r="AK13" i="701" a="1"/>
  <c r="AK13" i="701"/>
  <c r="AL13" i="701" a="1"/>
  <c r="AL13" i="701"/>
  <c r="AE14" i="701"/>
  <c r="AE15" i="701"/>
  <c r="AE16" i="701"/>
  <c r="AE17" i="701"/>
  <c r="AE18" i="701"/>
  <c r="AE19" i="701"/>
  <c r="AH19" i="701" s="1" a="1"/>
  <c r="AH19" i="701" s="1"/>
  <c r="AG19" i="701" a="1"/>
  <c r="AG19" i="701" s="1"/>
  <c r="AK19" i="701" a="1"/>
  <c r="AK19" i="701" s="1"/>
  <c r="AL19" i="701" a="1"/>
  <c r="AL19" i="701" s="1"/>
  <c r="AE21" i="701"/>
  <c r="AH21" i="701" s="1" a="1"/>
  <c r="AH21" i="701" s="1"/>
  <c r="AG21" i="701" a="1"/>
  <c r="AG21" i="701" s="1"/>
  <c r="AK21" i="701" a="1"/>
  <c r="AK21" i="701" s="1"/>
  <c r="AL21" i="701" a="1"/>
  <c r="AL21" i="701" s="1"/>
  <c r="AE23" i="701"/>
  <c r="AG23" i="701" s="1" a="1"/>
  <c r="AG23" i="701" s="1"/>
  <c r="AH23" i="701" a="1"/>
  <c r="AH23" i="701" s="1"/>
  <c r="AK23" i="701" a="1"/>
  <c r="AK23" i="701" s="1"/>
  <c r="AL23" i="701" a="1"/>
  <c r="AL23" i="701" s="1"/>
  <c r="AM23" i="701" a="1"/>
  <c r="AM23" i="701"/>
  <c r="AE24" i="701"/>
  <c r="AL24" i="701" s="1" a="1"/>
  <c r="AL24" i="701" s="1"/>
  <c r="AM24" i="701" a="1"/>
  <c r="AM24" i="701" s="1"/>
  <c r="AE25" i="701"/>
  <c r="AG25" i="701" s="1" a="1"/>
  <c r="AG25" i="701" s="1"/>
  <c r="AK25" i="701" a="1"/>
  <c r="AK25" i="701"/>
  <c r="AL25" i="701" a="1"/>
  <c r="AL25" i="701" s="1"/>
  <c r="AE26" i="701"/>
  <c r="AK26" i="701" s="1" a="1"/>
  <c r="AK26" i="701" s="1"/>
  <c r="AG26" i="701" a="1"/>
  <c r="AG26" i="701"/>
  <c r="AH26" i="701" a="1"/>
  <c r="AH26" i="701"/>
  <c r="AL26" i="701" a="1"/>
  <c r="AL26" i="701"/>
  <c r="AM26" i="701" a="1"/>
  <c r="AM26" i="701" s="1"/>
  <c r="AE27" i="701"/>
  <c r="AM27" i="701" s="1" a="1"/>
  <c r="AM27" i="701" s="1"/>
  <c r="AG27" i="701" a="1"/>
  <c r="AG27" i="701" s="1"/>
  <c r="AK27" i="701" a="1"/>
  <c r="AK27" i="701"/>
  <c r="AL27" i="701" a="1"/>
  <c r="AL27" i="701"/>
  <c r="C28" i="701"/>
  <c r="C33" i="701"/>
  <c r="A48" i="701"/>
  <c r="A54" i="701"/>
  <c r="A55" i="701"/>
  <c r="A56" i="701"/>
  <c r="A62" i="701"/>
  <c r="A63" i="701"/>
  <c r="A64" i="701"/>
  <c r="J34" i="701"/>
  <c r="K34" i="701"/>
  <c r="L34" i="701"/>
  <c r="Q34" i="701"/>
  <c r="R34" i="701"/>
  <c r="S34" i="701"/>
  <c r="J35" i="701"/>
  <c r="K35" i="701"/>
  <c r="L35" i="701"/>
  <c r="Q35" i="701"/>
  <c r="R35" i="701"/>
  <c r="S35" i="701"/>
  <c r="J36" i="701"/>
  <c r="K36" i="701"/>
  <c r="L36" i="701"/>
  <c r="Q36" i="701"/>
  <c r="R36" i="701"/>
  <c r="S36" i="701"/>
  <c r="J37" i="701"/>
  <c r="K37" i="701"/>
  <c r="L37" i="701"/>
  <c r="Q37" i="701"/>
  <c r="R37" i="701"/>
  <c r="S37" i="701"/>
  <c r="B39" i="701"/>
  <c r="A39" i="701" s="1"/>
  <c r="AE39" i="701"/>
  <c r="Y41" i="701"/>
  <c r="B47" i="701"/>
  <c r="B48" i="701"/>
  <c r="B49" i="701"/>
  <c r="B50" i="701"/>
  <c r="B52" i="701"/>
  <c r="B53" i="701"/>
  <c r="B54" i="701"/>
  <c r="B55" i="701"/>
  <c r="B56" i="701"/>
  <c r="B57" i="701"/>
  <c r="B58" i="701"/>
  <c r="B60" i="701"/>
  <c r="B62" i="701"/>
  <c r="B63" i="701"/>
  <c r="B64" i="701"/>
  <c r="B65" i="701"/>
  <c r="B66" i="701"/>
  <c r="C3" i="346"/>
  <c r="X4" i="346"/>
  <c r="Y4" i="346"/>
  <c r="C5" i="346"/>
  <c r="AE7" i="346"/>
  <c r="B8" i="346"/>
  <c r="A8" i="346" s="1"/>
  <c r="AE8" i="346"/>
  <c r="AG8" i="346" a="1"/>
  <c r="AG8" i="346"/>
  <c r="AH8" i="346" a="1"/>
  <c r="AH8" i="346"/>
  <c r="B9" i="346"/>
  <c r="A9" i="346"/>
  <c r="A48" i="346" s="1"/>
  <c r="B10" i="346"/>
  <c r="B11" i="346"/>
  <c r="B12" i="346"/>
  <c r="A12" i="346" s="1"/>
  <c r="B13" i="346"/>
  <c r="B14" i="346"/>
  <c r="A14" i="346" s="1"/>
  <c r="B15" i="346"/>
  <c r="B16" i="346"/>
  <c r="A16" i="346"/>
  <c r="B17" i="346"/>
  <c r="A17" i="346" s="1"/>
  <c r="B18" i="346"/>
  <c r="AE18" i="346" s="1"/>
  <c r="A18" i="346"/>
  <c r="B19" i="346"/>
  <c r="B58" i="346" s="1"/>
  <c r="B20" i="346"/>
  <c r="A20" i="346"/>
  <c r="B21" i="346"/>
  <c r="B60" i="346" s="1"/>
  <c r="B22" i="346"/>
  <c r="B23" i="346"/>
  <c r="B62" i="346" s="1"/>
  <c r="B24" i="346"/>
  <c r="A24" i="346"/>
  <c r="A63" i="346" s="1"/>
  <c r="B25" i="346"/>
  <c r="A25" i="346" s="1"/>
  <c r="A64" i="346" s="1"/>
  <c r="B26" i="346"/>
  <c r="A26" i="346"/>
  <c r="A65" i="346" s="1"/>
  <c r="B27" i="346"/>
  <c r="A27" i="346"/>
  <c r="A66" i="346" s="1"/>
  <c r="AE11" i="346"/>
  <c r="AE12" i="346"/>
  <c r="AE13" i="346"/>
  <c r="AT13" i="346"/>
  <c r="AE14" i="346"/>
  <c r="AK14" i="346" s="1" a="1"/>
  <c r="AK14" i="346" s="1"/>
  <c r="AS14" i="346"/>
  <c r="AE16" i="346"/>
  <c r="AH16" i="346" a="1"/>
  <c r="AH16" i="346" s="1"/>
  <c r="AE17" i="346"/>
  <c r="AG17" i="346" s="1" a="1"/>
  <c r="AG17" i="346" s="1"/>
  <c r="AE19" i="346"/>
  <c r="AG19" i="346" a="1"/>
  <c r="AG19" i="346" s="1"/>
  <c r="AK19" i="346" a="1"/>
  <c r="AK19" i="346" s="1"/>
  <c r="AE20" i="346"/>
  <c r="AH20" i="346" s="1" a="1"/>
  <c r="AH20" i="346" s="1"/>
  <c r="AE24" i="346"/>
  <c r="AG24" i="346" a="1"/>
  <c r="AG24" i="346"/>
  <c r="AH24" i="346" a="1"/>
  <c r="AH24" i="346"/>
  <c r="AE25" i="346"/>
  <c r="AG25" i="346" a="1"/>
  <c r="AG25" i="346" s="1"/>
  <c r="AE26" i="346"/>
  <c r="AE27" i="346"/>
  <c r="A55" i="346"/>
  <c r="A59" i="346"/>
  <c r="B39" i="346"/>
  <c r="AE39" i="346"/>
  <c r="AV39" i="346"/>
  <c r="AW39" i="346"/>
  <c r="Z41" i="346"/>
  <c r="AV43" i="346"/>
  <c r="AW43" i="346"/>
  <c r="AV44" i="346"/>
  <c r="AW44" i="346"/>
  <c r="AY45" i="346"/>
  <c r="B47" i="346"/>
  <c r="AV47" i="346"/>
  <c r="AW47" i="346"/>
  <c r="B48" i="346"/>
  <c r="AV48" i="346"/>
  <c r="AW48" i="346"/>
  <c r="AY49" i="346"/>
  <c r="B50" i="346"/>
  <c r="B51" i="346"/>
  <c r="B52" i="346"/>
  <c r="B53" i="346"/>
  <c r="B55" i="346"/>
  <c r="B56" i="346"/>
  <c r="B63" i="346"/>
  <c r="B64" i="346"/>
  <c r="B65" i="346"/>
  <c r="B66" i="346"/>
  <c r="C2" i="881"/>
  <c r="D24" i="881"/>
  <c r="D2" i="881"/>
  <c r="E2" i="881"/>
  <c r="F24" i="881"/>
  <c r="F2" i="881"/>
  <c r="G2" i="881"/>
  <c r="H24" i="881"/>
  <c r="H2" i="881"/>
  <c r="I2" i="881"/>
  <c r="J24" i="881"/>
  <c r="J2" i="881"/>
  <c r="K2" i="881"/>
  <c r="L24" i="881"/>
  <c r="L2" i="881" s="1"/>
  <c r="M2" i="881"/>
  <c r="N2" i="881"/>
  <c r="C4" i="881"/>
  <c r="D4" i="881"/>
  <c r="D5" i="881" s="1"/>
  <c r="E4" i="881"/>
  <c r="E5" i="881" s="1"/>
  <c r="E6" i="881" s="1"/>
  <c r="F4" i="881"/>
  <c r="F14" i="881" s="1"/>
  <c r="G4" i="881"/>
  <c r="G5" i="881" s="1"/>
  <c r="H4" i="881"/>
  <c r="I4" i="881"/>
  <c r="J4" i="881"/>
  <c r="K4" i="881"/>
  <c r="L4" i="881"/>
  <c r="L5" i="881" s="1"/>
  <c r="L6" i="881" s="1"/>
  <c r="M4" i="881"/>
  <c r="M5" i="881" s="1"/>
  <c r="M6" i="881" s="1"/>
  <c r="N4" i="881"/>
  <c r="N5" i="881" s="1"/>
  <c r="N6" i="881" s="1"/>
  <c r="C5" i="881"/>
  <c r="H5" i="881"/>
  <c r="H6" i="881" s="1"/>
  <c r="H16" i="881" s="1"/>
  <c r="I5" i="881"/>
  <c r="I6" i="881" s="1"/>
  <c r="J5" i="881"/>
  <c r="J6" i="881" s="1"/>
  <c r="K5" i="881"/>
  <c r="K6" i="881" s="1"/>
  <c r="G6" i="881"/>
  <c r="M8" i="881"/>
  <c r="M9" i="881" s="1"/>
  <c r="N8" i="881"/>
  <c r="N9" i="881"/>
  <c r="C10" i="881"/>
  <c r="D10" i="881"/>
  <c r="D20" i="881" s="1"/>
  <c r="E10" i="881"/>
  <c r="F10" i="881"/>
  <c r="F20" i="881" s="1"/>
  <c r="G10" i="881"/>
  <c r="H10" i="881"/>
  <c r="I10" i="881"/>
  <c r="J10" i="881"/>
  <c r="K10" i="881"/>
  <c r="L10" i="881"/>
  <c r="M10" i="881"/>
  <c r="N10" i="881"/>
  <c r="E12" i="881"/>
  <c r="F12" i="881"/>
  <c r="H12" i="881"/>
  <c r="H15" i="881" s="1"/>
  <c r="J12" i="881"/>
  <c r="L12" i="881"/>
  <c r="N12" i="881" s="1"/>
  <c r="B13" i="881"/>
  <c r="C13" i="881"/>
  <c r="D13" i="881"/>
  <c r="F13" i="881"/>
  <c r="H13" i="881"/>
  <c r="B14" i="881"/>
  <c r="C14" i="881"/>
  <c r="H14" i="881"/>
  <c r="J14" i="881"/>
  <c r="B15" i="881"/>
  <c r="B16" i="881"/>
  <c r="C17" i="881"/>
  <c r="D17" i="881"/>
  <c r="F17" i="881"/>
  <c r="H17" i="881"/>
  <c r="J17" i="881"/>
  <c r="B18" i="881"/>
  <c r="B19" i="881"/>
  <c r="B20" i="881"/>
  <c r="C20" i="881"/>
  <c r="H20" i="881"/>
  <c r="E26" i="881"/>
  <c r="G26" i="881" s="1"/>
  <c r="I26" i="881" s="1"/>
  <c r="K26" i="881" s="1"/>
  <c r="M26" i="881" s="1"/>
  <c r="F26" i="881"/>
  <c r="H26" i="881"/>
  <c r="J26" i="881"/>
  <c r="L26" i="881" s="1"/>
  <c r="N26" i="881" s="1"/>
  <c r="E24" i="932"/>
  <c r="D24" i="932"/>
  <c r="E25" i="932"/>
  <c r="D25" i="932"/>
  <c r="E26" i="932"/>
  <c r="D26" i="932"/>
  <c r="C46" i="932"/>
  <c r="C54" i="932"/>
  <c r="C61" i="932"/>
  <c r="C40" i="708"/>
  <c r="C47" i="932"/>
  <c r="C55" i="932"/>
  <c r="C62" i="932"/>
  <c r="C35" i="708"/>
  <c r="C45" i="708"/>
  <c r="C50" i="708"/>
  <c r="C54" i="708"/>
  <c r="C48" i="932"/>
  <c r="C56" i="932"/>
  <c r="C63" i="932"/>
  <c r="E25" i="708"/>
  <c r="D25" i="708"/>
  <c r="C36" i="708"/>
  <c r="C41" i="708"/>
  <c r="C46" i="708"/>
  <c r="C49" i="932"/>
  <c r="C64" i="932"/>
  <c r="E9" i="708"/>
  <c r="D9" i="708"/>
  <c r="C50" i="932"/>
  <c r="C57" i="932"/>
  <c r="C65" i="932"/>
  <c r="E10" i="708"/>
  <c r="D10" i="708"/>
  <c r="C42" i="708"/>
  <c r="E23" i="932"/>
  <c r="D23" i="932"/>
  <c r="C52" i="932"/>
  <c r="C59" i="932"/>
  <c r="E12" i="708"/>
  <c r="D12" i="708"/>
  <c r="E11" i="708"/>
  <c r="D11" i="708"/>
  <c r="C48" i="708"/>
  <c r="C39" i="707"/>
  <c r="C44" i="707"/>
  <c r="C50" i="707"/>
  <c r="C54" i="707"/>
  <c r="C53" i="708"/>
  <c r="C58" i="932"/>
  <c r="C37" i="708"/>
  <c r="C43" i="708"/>
  <c r="C49" i="708"/>
  <c r="C40" i="707"/>
  <c r="C46" i="707"/>
  <c r="C51" i="707"/>
  <c r="C51" i="932"/>
  <c r="C44" i="708"/>
  <c r="C35" i="707"/>
  <c r="C47" i="707"/>
  <c r="C60" i="932"/>
  <c r="C38" i="708"/>
  <c r="C36" i="707"/>
  <c r="C41" i="707"/>
  <c r="C48" i="707"/>
  <c r="C52" i="707"/>
  <c r="C53" i="932"/>
  <c r="E13" i="708"/>
  <c r="D13" i="708"/>
  <c r="C47" i="708"/>
  <c r="C49" i="707"/>
  <c r="C53" i="707"/>
  <c r="C46" i="705"/>
  <c r="C58" i="705"/>
  <c r="E17" i="706"/>
  <c r="D17" i="706"/>
  <c r="C52" i="708"/>
  <c r="C47" i="705"/>
  <c r="E12" i="706"/>
  <c r="D12" i="706"/>
  <c r="C39" i="708"/>
  <c r="C37" i="707"/>
  <c r="C48" i="705"/>
  <c r="C55" i="705"/>
  <c r="C59" i="705"/>
  <c r="E8" i="706"/>
  <c r="D8" i="706"/>
  <c r="E9" i="706"/>
  <c r="D9" i="706"/>
  <c r="E15" i="706"/>
  <c r="D15" i="706"/>
  <c r="C41" i="705"/>
  <c r="C49" i="705"/>
  <c r="E10" i="706"/>
  <c r="D10" i="706"/>
  <c r="C42" i="705"/>
  <c r="C50" i="705"/>
  <c r="C56" i="705"/>
  <c r="C60" i="705"/>
  <c r="E13" i="706"/>
  <c r="D13" i="706"/>
  <c r="E18" i="706"/>
  <c r="D18" i="706"/>
  <c r="C44" i="705"/>
  <c r="C52" i="705"/>
  <c r="C57" i="705"/>
  <c r="E11" i="706"/>
  <c r="D11" i="706"/>
  <c r="E14" i="706"/>
  <c r="D14" i="706"/>
  <c r="C42" i="706"/>
  <c r="C50" i="706"/>
  <c r="C43" i="706"/>
  <c r="C51" i="706"/>
  <c r="C55" i="706"/>
  <c r="C44" i="706"/>
  <c r="C43" i="705"/>
  <c r="C51" i="705"/>
  <c r="C45" i="706"/>
  <c r="C52" i="706"/>
  <c r="C56" i="706"/>
  <c r="C38" i="706"/>
  <c r="C46" i="706"/>
  <c r="C51" i="708"/>
  <c r="E16" i="706"/>
  <c r="D16" i="706"/>
  <c r="C40" i="706"/>
  <c r="C48" i="706"/>
  <c r="C47" i="704"/>
  <c r="C63" i="704"/>
  <c r="C45" i="705"/>
  <c r="C53" i="705"/>
  <c r="C57" i="706"/>
  <c r="C48" i="704"/>
  <c r="C53" i="706"/>
  <c r="C50" i="704"/>
  <c r="C39" i="706"/>
  <c r="C47" i="706"/>
  <c r="E30" i="706"/>
  <c r="D30" i="706"/>
  <c r="C54" i="706"/>
  <c r="C41" i="706"/>
  <c r="C49" i="706"/>
  <c r="C46" i="703"/>
  <c r="C54" i="703"/>
  <c r="E11" i="702"/>
  <c r="D11" i="702"/>
  <c r="E21" i="702"/>
  <c r="D21" i="702"/>
  <c r="D23" i="702"/>
  <c r="E23" i="702"/>
  <c r="C47" i="703"/>
  <c r="C55" i="703"/>
  <c r="E12" i="702"/>
  <c r="D12" i="702"/>
  <c r="C62" i="704"/>
  <c r="C48" i="703"/>
  <c r="C56" i="703"/>
  <c r="D13" i="702"/>
  <c r="E13" i="702"/>
  <c r="C49" i="703"/>
  <c r="C57" i="703"/>
  <c r="D14" i="702"/>
  <c r="E14" i="702"/>
  <c r="C42" i="707"/>
  <c r="C42" i="703"/>
  <c r="C58" i="703"/>
  <c r="D15" i="702"/>
  <c r="E15" i="702"/>
  <c r="C44" i="703"/>
  <c r="C52" i="703"/>
  <c r="C60" i="703"/>
  <c r="D9" i="702"/>
  <c r="E9" i="702"/>
  <c r="E17" i="702"/>
  <c r="D17" i="702"/>
  <c r="D19" i="702"/>
  <c r="E19" i="702"/>
  <c r="E18" i="702"/>
  <c r="D18" i="702"/>
  <c r="E39" i="702"/>
  <c r="D39" i="702"/>
  <c r="C53" i="702"/>
  <c r="D15" i="701"/>
  <c r="E15" i="701"/>
  <c r="D23" i="701"/>
  <c r="E23" i="701"/>
  <c r="C48" i="701"/>
  <c r="C56" i="701"/>
  <c r="C64" i="701"/>
  <c r="D20" i="702"/>
  <c r="E20" i="702"/>
  <c r="C54" i="702"/>
  <c r="C62" i="702"/>
  <c r="D10" i="701"/>
  <c r="E10" i="701"/>
  <c r="D18" i="701"/>
  <c r="E18" i="701"/>
  <c r="E26" i="701"/>
  <c r="D26" i="701"/>
  <c r="C49" i="701"/>
  <c r="C57" i="701"/>
  <c r="C65" i="701"/>
  <c r="D10" i="702"/>
  <c r="E10" i="702"/>
  <c r="D25" i="702"/>
  <c r="E25" i="702"/>
  <c r="C47" i="702"/>
  <c r="C63" i="702"/>
  <c r="E13" i="701"/>
  <c r="D13" i="701"/>
  <c r="D21" i="701"/>
  <c r="E21" i="701"/>
  <c r="D39" i="701"/>
  <c r="E39" i="701"/>
  <c r="C50" i="701"/>
  <c r="C58" i="701"/>
  <c r="C66" i="701"/>
  <c r="C43" i="703"/>
  <c r="C59" i="703"/>
  <c r="E8" i="702"/>
  <c r="D8" i="702"/>
  <c r="E24" i="702"/>
  <c r="D24" i="702"/>
  <c r="D27" i="702"/>
  <c r="E27" i="702"/>
  <c r="C48" i="702"/>
  <c r="C56" i="702"/>
  <c r="C64" i="702"/>
  <c r="D8" i="701"/>
  <c r="E8" i="701"/>
  <c r="D16" i="701"/>
  <c r="E16" i="701"/>
  <c r="E24" i="701"/>
  <c r="D24" i="701"/>
  <c r="C49" i="702"/>
  <c r="C57" i="702"/>
  <c r="E11" i="701"/>
  <c r="D11" i="701"/>
  <c r="E19" i="701"/>
  <c r="D19" i="701"/>
  <c r="D27" i="701"/>
  <c r="E27" i="701"/>
  <c r="C52" i="701"/>
  <c r="C60" i="701"/>
  <c r="C45" i="703"/>
  <c r="C61" i="703"/>
  <c r="D22" i="702"/>
  <c r="E22" i="702"/>
  <c r="C51" i="702"/>
  <c r="C59" i="702"/>
  <c r="E9" i="701"/>
  <c r="D9" i="701"/>
  <c r="E17" i="701"/>
  <c r="D17" i="701"/>
  <c r="E25" i="701"/>
  <c r="D25" i="701"/>
  <c r="C54" i="701"/>
  <c r="C62" i="701"/>
  <c r="D26" i="702"/>
  <c r="E26" i="702"/>
  <c r="C58" i="702"/>
  <c r="D14" i="701"/>
  <c r="E14" i="701"/>
  <c r="C53" i="701"/>
  <c r="C66" i="702"/>
  <c r="C50" i="702"/>
  <c r="C63" i="701"/>
  <c r="C60" i="702"/>
  <c r="C55" i="701"/>
  <c r="E16" i="702"/>
  <c r="D16" i="702"/>
  <c r="C52" i="702"/>
  <c r="D20" i="701"/>
  <c r="E20" i="701"/>
  <c r="C47" i="701"/>
  <c r="E12" i="701"/>
  <c r="D12" i="701"/>
  <c r="D22" i="701"/>
  <c r="E22" i="701"/>
  <c r="E23" i="346"/>
  <c r="C52" i="346"/>
  <c r="C56" i="346"/>
  <c r="C64" i="346"/>
  <c r="C51" i="346"/>
  <c r="E19" i="346"/>
  <c r="D19" i="346"/>
  <c r="C66" i="346"/>
  <c r="C62" i="346"/>
  <c r="C63" i="346"/>
  <c r="D23" i="346"/>
  <c r="E11" i="346"/>
  <c r="D11" i="346"/>
  <c r="E26" i="346"/>
  <c r="E24" i="346"/>
  <c r="C58" i="346"/>
  <c r="E12" i="346"/>
  <c r="D12" i="346"/>
  <c r="D27" i="346"/>
  <c r="E25" i="346"/>
  <c r="E27" i="346"/>
  <c r="D26" i="346"/>
  <c r="C60" i="346"/>
  <c r="C53" i="346"/>
  <c r="E13" i="346"/>
  <c r="D13" i="346"/>
  <c r="E39" i="346"/>
  <c r="D39" i="346"/>
  <c r="E15" i="346"/>
  <c r="D15" i="346"/>
  <c r="E14" i="346"/>
  <c r="D14" i="346"/>
  <c r="AU39" i="346"/>
  <c r="C47" i="346"/>
  <c r="C48" i="346"/>
  <c r="D25" i="346"/>
  <c r="E16" i="346"/>
  <c r="D16" i="346"/>
  <c r="D24" i="346"/>
  <c r="C55" i="346"/>
  <c r="C50" i="346"/>
  <c r="E21" i="346"/>
  <c r="D21" i="346"/>
  <c r="E8" i="346"/>
  <c r="D8" i="346"/>
  <c r="E17" i="346"/>
  <c r="D17" i="346"/>
  <c r="C65" i="346"/>
  <c r="E18" i="346"/>
  <c r="D18" i="346"/>
  <c r="E20" i="346"/>
  <c r="D20" i="346"/>
  <c r="E9" i="346"/>
  <c r="D9" i="346"/>
  <c r="E22" i="346"/>
  <c r="D22" i="346"/>
  <c r="E10" i="346"/>
  <c r="D10" i="346"/>
  <c r="AM24" i="346" l="1" a="1"/>
  <c r="AM24" i="346" s="1"/>
  <c r="AL24" i="346" a="1"/>
  <c r="AL24" i="346" s="1"/>
  <c r="AM27" i="346" a="1"/>
  <c r="AM27" i="346" s="1"/>
  <c r="AL27" i="346" a="1"/>
  <c r="AL27" i="346" s="1"/>
  <c r="AG26" i="346" a="1"/>
  <c r="AG26" i="346" s="1"/>
  <c r="AM26" i="346" a="1"/>
  <c r="AM26" i="346" s="1"/>
  <c r="AL26" i="346" a="1"/>
  <c r="AL26" i="346" s="1"/>
  <c r="AM25" i="346" a="1"/>
  <c r="AM25" i="346" s="1"/>
  <c r="AL25" i="346" a="1"/>
  <c r="AL25" i="346" s="1"/>
  <c r="AK26" i="346" a="1"/>
  <c r="AK26" i="346" s="1"/>
  <c r="AH26" i="346" a="1"/>
  <c r="AH26" i="346" s="1"/>
  <c r="AG27" i="346" a="1"/>
  <c r="AG27" i="346" s="1"/>
  <c r="D30" i="346"/>
  <c r="D35" i="346"/>
  <c r="D36" i="346"/>
  <c r="D34" i="346"/>
  <c r="D31" i="346"/>
  <c r="D32" i="346"/>
  <c r="D29" i="346"/>
  <c r="D37" i="346" s="1"/>
  <c r="E29" i="346"/>
  <c r="E37" i="346" s="1"/>
  <c r="E35" i="346"/>
  <c r="E36" i="346"/>
  <c r="E30" i="346"/>
  <c r="E34" i="346"/>
  <c r="E31" i="346"/>
  <c r="E32" i="346"/>
  <c r="D40" i="346"/>
  <c r="E40" i="346"/>
  <c r="C8" i="346"/>
  <c r="H8" i="346"/>
  <c r="J8" i="346"/>
  <c r="L8" i="346"/>
  <c r="M8" i="346"/>
  <c r="O8" i="346"/>
  <c r="P8" i="346"/>
  <c r="R8" i="346"/>
  <c r="U8" i="346"/>
  <c r="W8" i="346"/>
  <c r="F8" i="346"/>
  <c r="G8" i="346"/>
  <c r="I8" i="346"/>
  <c r="K8" i="346"/>
  <c r="N8" i="346"/>
  <c r="Q8" i="346"/>
  <c r="S8" i="346"/>
  <c r="T8" i="346"/>
  <c r="V8" i="346"/>
  <c r="A47" i="346"/>
  <c r="C17" i="346"/>
  <c r="F17" i="346"/>
  <c r="G17" i="346"/>
  <c r="H17" i="346"/>
  <c r="J17" i="346"/>
  <c r="K17" i="346"/>
  <c r="L17" i="346"/>
  <c r="M17" i="346"/>
  <c r="N17" i="346"/>
  <c r="O17" i="346"/>
  <c r="P17" i="346"/>
  <c r="Q17" i="346"/>
  <c r="S17" i="346"/>
  <c r="T17" i="346"/>
  <c r="V17" i="346"/>
  <c r="I17" i="346"/>
  <c r="R17" i="346"/>
  <c r="U17" i="346"/>
  <c r="W17" i="346"/>
  <c r="A56" i="346"/>
  <c r="AK18" i="346" a="1"/>
  <c r="AK18" i="346" s="1"/>
  <c r="AH18" i="346" a="1"/>
  <c r="AH18" i="346" s="1"/>
  <c r="C14" i="346"/>
  <c r="F14" i="346"/>
  <c r="G14" i="346"/>
  <c r="H14" i="346"/>
  <c r="I14" i="346"/>
  <c r="J14" i="346"/>
  <c r="K14" i="346"/>
  <c r="L14" i="346"/>
  <c r="M14" i="346"/>
  <c r="O14" i="346"/>
  <c r="P14" i="346"/>
  <c r="Q14" i="346"/>
  <c r="R14" i="346"/>
  <c r="S14" i="346"/>
  <c r="T14" i="346"/>
  <c r="U14" i="346"/>
  <c r="V14" i="346"/>
  <c r="W14" i="346"/>
  <c r="N14" i="346"/>
  <c r="A53" i="346"/>
  <c r="C12" i="346"/>
  <c r="F12" i="346"/>
  <c r="H12" i="346"/>
  <c r="I12" i="346"/>
  <c r="J12" i="346"/>
  <c r="K12" i="346"/>
  <c r="L12" i="346"/>
  <c r="M12" i="346"/>
  <c r="N12" i="346"/>
  <c r="P12" i="346"/>
  <c r="Q12" i="346"/>
  <c r="S12" i="346"/>
  <c r="U12" i="346"/>
  <c r="W12" i="346"/>
  <c r="G12" i="346"/>
  <c r="O12" i="346"/>
  <c r="R12" i="346"/>
  <c r="T12" i="346"/>
  <c r="V12" i="346"/>
  <c r="A51" i="346"/>
  <c r="A22" i="346"/>
  <c r="AK8" i="346" a="1"/>
  <c r="AK8" i="346" s="1"/>
  <c r="AE10" i="346"/>
  <c r="B61" i="346"/>
  <c r="B59" i="346"/>
  <c r="AE23" i="346"/>
  <c r="AG13" i="346" a="1"/>
  <c r="AG13" i="346" s="1"/>
  <c r="C18" i="346"/>
  <c r="F18" i="346"/>
  <c r="G18" i="346"/>
  <c r="H18" i="346"/>
  <c r="I18" i="346"/>
  <c r="K18" i="346"/>
  <c r="L18" i="346"/>
  <c r="M18" i="346"/>
  <c r="N18" i="346"/>
  <c r="O18" i="346"/>
  <c r="Q18" i="346"/>
  <c r="T18" i="346"/>
  <c r="V18" i="346"/>
  <c r="J18" i="346"/>
  <c r="P18" i="346"/>
  <c r="R18" i="346"/>
  <c r="W18" i="346"/>
  <c r="S18" i="346"/>
  <c r="U18" i="346" s="1"/>
  <c r="AH17" i="346" a="1"/>
  <c r="AH17" i="346" s="1"/>
  <c r="C16" i="346"/>
  <c r="F16" i="346"/>
  <c r="G16" i="346"/>
  <c r="H16" i="346"/>
  <c r="I16" i="346"/>
  <c r="J16" i="346"/>
  <c r="K16" i="346"/>
  <c r="L16" i="346"/>
  <c r="N16" i="346"/>
  <c r="O16" i="346"/>
  <c r="P16" i="346"/>
  <c r="Q16" i="346"/>
  <c r="S16" i="346"/>
  <c r="U16" i="346"/>
  <c r="M16" i="346"/>
  <c r="R16" i="346"/>
  <c r="T16" i="346"/>
  <c r="W16" i="346"/>
  <c r="V16" i="346"/>
  <c r="B57" i="346"/>
  <c r="AH27" i="346" a="1"/>
  <c r="AH27" i="346" s="1"/>
  <c r="AE9" i="346"/>
  <c r="C33" i="346"/>
  <c r="C28" i="346"/>
  <c r="A39" i="346"/>
  <c r="AK16" i="346" a="1"/>
  <c r="AK16" i="346" s="1"/>
  <c r="AE22" i="346"/>
  <c r="AK27" i="346" a="1"/>
  <c r="AK27" i="346" s="1"/>
  <c r="AE21" i="346"/>
  <c r="AK13" i="346" a="1"/>
  <c r="AK13" i="346" s="1"/>
  <c r="C20" i="346"/>
  <c r="F20" i="346"/>
  <c r="L20" i="346"/>
  <c r="Q20" i="346"/>
  <c r="S20" i="346"/>
  <c r="V20" i="346"/>
  <c r="G20" i="346"/>
  <c r="I20" i="346"/>
  <c r="J20" i="346"/>
  <c r="K20" i="346"/>
  <c r="O20" i="346"/>
  <c r="R20" i="346"/>
  <c r="U20" i="346"/>
  <c r="H20" i="346"/>
  <c r="M20" i="346"/>
  <c r="P20" i="346"/>
  <c r="T20" i="346"/>
  <c r="N20" i="346"/>
  <c r="W20" i="346"/>
  <c r="AH19" i="346" a="1"/>
  <c r="AH19" i="346" s="1"/>
  <c r="AK24" i="346" a="1"/>
  <c r="AK24" i="346" s="1"/>
  <c r="AG14" i="346" a="1"/>
  <c r="AG14" i="346" s="1"/>
  <c r="A11" i="346"/>
  <c r="AK20" i="346" a="1"/>
  <c r="AK20" i="346" s="1"/>
  <c r="C9" i="346"/>
  <c r="F9" i="346"/>
  <c r="I9" i="346"/>
  <c r="K9" i="346"/>
  <c r="O9" i="346"/>
  <c r="Q9" i="346"/>
  <c r="T9" i="346"/>
  <c r="W9" i="346"/>
  <c r="G9" i="346"/>
  <c r="J9" i="346"/>
  <c r="L9" i="346"/>
  <c r="N9" i="346"/>
  <c r="P9" i="346"/>
  <c r="S9" i="346"/>
  <c r="U9" i="346" s="1"/>
  <c r="V9" i="346"/>
  <c r="H9" i="346"/>
  <c r="M9" i="346"/>
  <c r="R9" i="346"/>
  <c r="A19" i="346"/>
  <c r="AK17" i="346" a="1"/>
  <c r="AK17" i="346" s="1"/>
  <c r="B49" i="346"/>
  <c r="AG20" i="346" a="1"/>
  <c r="AG20" i="346" s="1"/>
  <c r="A10" i="346"/>
  <c r="K14" i="739"/>
  <c r="J16" i="739"/>
  <c r="K15" i="739"/>
  <c r="K16" i="739"/>
  <c r="A11" i="707"/>
  <c r="A42" i="707" s="1"/>
  <c r="B45" i="707"/>
  <c r="B50" i="703"/>
  <c r="AE11" i="703"/>
  <c r="AK11" i="703" s="1" a="1"/>
  <c r="AK11" i="703" s="1"/>
  <c r="AE16" i="703"/>
  <c r="AK16" i="703" s="1" a="1"/>
  <c r="AK16" i="703" s="1"/>
  <c r="A22" i="703"/>
  <c r="A61" i="703"/>
  <c r="AL10" i="703" a="1"/>
  <c r="AL10" i="703" s="1"/>
  <c r="AE8" i="703"/>
  <c r="AL21" i="703" a="1"/>
  <c r="AL21" i="703" s="1"/>
  <c r="A18" i="703"/>
  <c r="A52" i="703" s="1"/>
  <c r="AK21" i="703" a="1"/>
  <c r="AK21" i="703" s="1"/>
  <c r="AL9" i="703" a="1"/>
  <c r="AL9" i="703" s="1"/>
  <c r="AK18" i="703" a="1"/>
  <c r="AK18" i="703" s="1"/>
  <c r="AH18" i="703" a="1"/>
  <c r="AH18" i="703" s="1"/>
  <c r="AL18" i="703" a="1"/>
  <c r="AL18" i="703" s="1"/>
  <c r="AM18" i="703" a="1"/>
  <c r="AM18" i="703" s="1"/>
  <c r="AE34" i="703"/>
  <c r="AE19" i="703"/>
  <c r="AH19" i="703" s="1" a="1"/>
  <c r="AH19" i="703" s="1"/>
  <c r="AE17" i="703"/>
  <c r="AL17" i="703" s="1" a="1"/>
  <c r="AL17" i="703" s="1"/>
  <c r="AG9" i="703" a="1"/>
  <c r="AG9" i="703" s="1"/>
  <c r="AG8" i="703" a="1"/>
  <c r="AG8" i="703" s="1"/>
  <c r="B53" i="703"/>
  <c r="AM16" i="703" a="1"/>
  <c r="AM16" i="703" s="1"/>
  <c r="AM8" i="703" a="1"/>
  <c r="AM8" i="703" s="1"/>
  <c r="B51" i="703"/>
  <c r="AG16" i="703" a="1"/>
  <c r="AG16" i="703" s="1"/>
  <c r="AL8" i="703" a="1"/>
  <c r="AL8" i="703" s="1"/>
  <c r="AG11" i="707" a="1"/>
  <c r="AG11" i="707" s="1"/>
  <c r="AL11" i="707" a="1"/>
  <c r="AL11" i="707" s="1"/>
  <c r="AK11" i="707" a="1"/>
  <c r="AK11" i="707" s="1"/>
  <c r="B38" i="707"/>
  <c r="AE13" i="707"/>
  <c r="AG13" i="707" s="1" a="1"/>
  <c r="AG13" i="707" s="1"/>
  <c r="AE9" i="707"/>
  <c r="B43" i="707"/>
  <c r="AE12" i="707"/>
  <c r="AG12" i="707" s="1" a="1"/>
  <c r="AG12" i="707" s="1"/>
  <c r="AE10" i="707"/>
  <c r="AG10" i="707" s="1" a="1"/>
  <c r="AG10" i="707" s="1"/>
  <c r="AM14" i="707" a="1"/>
  <c r="AM14" i="707" s="1"/>
  <c r="AL14" i="707" a="1"/>
  <c r="AL14" i="707" s="1"/>
  <c r="AK14" i="707" a="1"/>
  <c r="AK14" i="707" s="1"/>
  <c r="AG9" i="707" a="1"/>
  <c r="AG9" i="707" s="1"/>
  <c r="B54" i="704"/>
  <c r="A15" i="704"/>
  <c r="B53" i="704"/>
  <c r="A14" i="704"/>
  <c r="B55" i="704"/>
  <c r="A16" i="704"/>
  <c r="B52" i="704"/>
  <c r="A13" i="704"/>
  <c r="B58" i="704"/>
  <c r="A19" i="704"/>
  <c r="B51" i="704"/>
  <c r="A12" i="704"/>
  <c r="B57" i="704"/>
  <c r="A18" i="704"/>
  <c r="A11" i="704"/>
  <c r="A21" i="704"/>
  <c r="A20" i="704"/>
  <c r="AE18" i="704"/>
  <c r="B56" i="704"/>
  <c r="A17" i="704"/>
  <c r="AE17" i="704"/>
  <c r="AL17" i="704" s="1" a="1"/>
  <c r="AL17" i="704" s="1"/>
  <c r="B64" i="704"/>
  <c r="AE20" i="704"/>
  <c r="AL20" i="704" s="1" a="1"/>
  <c r="AL20" i="704" s="1"/>
  <c r="A57" i="704"/>
  <c r="AE8" i="704"/>
  <c r="B49" i="704"/>
  <c r="AE16" i="704"/>
  <c r="AM16" i="704" s="1" a="1"/>
  <c r="AM16" i="704" s="1"/>
  <c r="AM17" i="704" a="1"/>
  <c r="AM17" i="704" s="1"/>
  <c r="W55" i="706"/>
  <c r="E30" i="701"/>
  <c r="E34" i="701"/>
  <c r="E35" i="701"/>
  <c r="E31" i="701"/>
  <c r="E37" i="701" s="1"/>
  <c r="E36" i="701"/>
  <c r="E32" i="701"/>
  <c r="E29" i="701"/>
  <c r="D34" i="701"/>
  <c r="D35" i="701"/>
  <c r="D31" i="701"/>
  <c r="D36" i="701"/>
  <c r="D29" i="701"/>
  <c r="D37" i="701" s="1"/>
  <c r="D32" i="701"/>
  <c r="D30" i="701"/>
  <c r="D32" i="702"/>
  <c r="D29" i="702"/>
  <c r="D34" i="702"/>
  <c r="D30" i="702"/>
  <c r="D35" i="702"/>
  <c r="D31" i="702"/>
  <c r="D36" i="702"/>
  <c r="E32" i="702"/>
  <c r="E29" i="702"/>
  <c r="E34" i="702"/>
  <c r="E36" i="702"/>
  <c r="E31" i="702"/>
  <c r="E37" i="702" s="1"/>
  <c r="E30" i="702"/>
  <c r="E35" i="702"/>
  <c r="E40" i="701"/>
  <c r="D40" i="701"/>
  <c r="D40" i="702"/>
  <c r="E40" i="702"/>
  <c r="D37" i="702"/>
  <c r="D31" i="706"/>
  <c r="E31" i="706"/>
  <c r="E25" i="703"/>
  <c r="E27" i="703"/>
  <c r="E24" i="703"/>
  <c r="E26" i="703"/>
  <c r="D25" i="703"/>
  <c r="D27" i="703"/>
  <c r="D24" i="703"/>
  <c r="D26" i="703"/>
  <c r="D24" i="704"/>
  <c r="D23" i="704"/>
  <c r="D31" i="704" s="1"/>
  <c r="D26" i="704"/>
  <c r="D25" i="704"/>
  <c r="E25" i="704"/>
  <c r="E26" i="704"/>
  <c r="E23" i="704"/>
  <c r="E31" i="704" s="1"/>
  <c r="E24" i="704"/>
  <c r="D21" i="706"/>
  <c r="D25" i="706"/>
  <c r="D23" i="706"/>
  <c r="D26" i="706"/>
  <c r="D20" i="706"/>
  <c r="D28" i="706" s="1"/>
  <c r="D22" i="706"/>
  <c r="D27" i="706"/>
  <c r="E27" i="706"/>
  <c r="E21" i="706"/>
  <c r="E25" i="706"/>
  <c r="E23" i="706"/>
  <c r="E26" i="706"/>
  <c r="E22" i="706"/>
  <c r="E20" i="706"/>
  <c r="E28" i="706" s="1"/>
  <c r="D17" i="707"/>
  <c r="D25" i="707" s="1"/>
  <c r="E17" i="707"/>
  <c r="E25" i="707" s="1"/>
  <c r="D26" i="708"/>
  <c r="D29" i="708"/>
  <c r="E26" i="708"/>
  <c r="E29" i="708"/>
  <c r="D20" i="708"/>
  <c r="D21" i="708"/>
  <c r="D15" i="708"/>
  <c r="D16" i="708"/>
  <c r="D22" i="708"/>
  <c r="D17" i="708"/>
  <c r="D18" i="708"/>
  <c r="E20" i="708"/>
  <c r="E21" i="708"/>
  <c r="E15" i="708"/>
  <c r="E16" i="708"/>
  <c r="E17" i="708"/>
  <c r="E18" i="708"/>
  <c r="E22" i="708"/>
  <c r="AH12" i="346" a="1"/>
  <c r="AH12" i="346" s="1"/>
  <c r="AG12" i="346" a="1"/>
  <c r="AG12" i="346" s="1"/>
  <c r="AK12" i="346" a="1"/>
  <c r="AK12" i="346" s="1"/>
  <c r="E15" i="881"/>
  <c r="G12" i="881"/>
  <c r="E14" i="881"/>
  <c r="E17" i="881"/>
  <c r="E16" i="881"/>
  <c r="E13" i="881"/>
  <c r="E20" i="881"/>
  <c r="N19" i="881"/>
  <c r="N22" i="881"/>
  <c r="N14" i="881"/>
  <c r="N17" i="881"/>
  <c r="N16" i="881"/>
  <c r="N13" i="881"/>
  <c r="N20" i="881"/>
  <c r="N18" i="881"/>
  <c r="AE15" i="346"/>
  <c r="A15" i="346"/>
  <c r="B54" i="346"/>
  <c r="J16" i="881"/>
  <c r="C6" i="881"/>
  <c r="C16" i="881" s="1"/>
  <c r="C15" i="881"/>
  <c r="N15" i="881"/>
  <c r="A57" i="346"/>
  <c r="D15" i="881"/>
  <c r="D6" i="881"/>
  <c r="D16" i="881" s="1"/>
  <c r="N21" i="881"/>
  <c r="AH16" i="701" a="1"/>
  <c r="AH16" i="701" s="1"/>
  <c r="AM16" i="701" a="1"/>
  <c r="AM16" i="701" s="1"/>
  <c r="AK16" i="701" a="1"/>
  <c r="AK16" i="701" s="1"/>
  <c r="AG16" i="701" a="1"/>
  <c r="AG16" i="701" s="1"/>
  <c r="AL16" i="701" a="1"/>
  <c r="AL16" i="701" s="1"/>
  <c r="AE22" i="701"/>
  <c r="A22" i="701"/>
  <c r="A50" i="701"/>
  <c r="A12" i="701"/>
  <c r="B51" i="701"/>
  <c r="A23" i="346"/>
  <c r="A51" i="703"/>
  <c r="L15" i="881"/>
  <c r="AK25" i="346" a="1"/>
  <c r="AK25" i="346" s="1"/>
  <c r="AH13" i="346" a="1"/>
  <c r="AH13" i="346" s="1"/>
  <c r="A13" i="346"/>
  <c r="AH15" i="701" a="1"/>
  <c r="AH15" i="701" s="1"/>
  <c r="AM15" i="701" a="1"/>
  <c r="AM15" i="701" s="1"/>
  <c r="AK15" i="701" a="1"/>
  <c r="AK15" i="701" s="1"/>
  <c r="AG15" i="701" a="1"/>
  <c r="AG15" i="701" s="1"/>
  <c r="AL15" i="701" a="1"/>
  <c r="AL15" i="701" s="1"/>
  <c r="A20" i="701"/>
  <c r="B59" i="701"/>
  <c r="AE20" i="701"/>
  <c r="A49" i="701"/>
  <c r="AE16" i="702"/>
  <c r="A16" i="702"/>
  <c r="B55" i="702"/>
  <c r="L20" i="881"/>
  <c r="J15" i="881"/>
  <c r="L13" i="881"/>
  <c r="AG22" i="346" a="1"/>
  <c r="AG22" i="346" s="1"/>
  <c r="AG18" i="346" a="1"/>
  <c r="AG18" i="346" s="1"/>
  <c r="A21" i="346"/>
  <c r="AE12" i="701"/>
  <c r="A58" i="701"/>
  <c r="A60" i="702"/>
  <c r="F5" i="881"/>
  <c r="AH24" i="701" a="1"/>
  <c r="AH24" i="701" s="1"/>
  <c r="AK24" i="701" a="1"/>
  <c r="AK24" i="701" s="1"/>
  <c r="AG24" i="701" a="1"/>
  <c r="AG24" i="701" s="1"/>
  <c r="AH18" i="701" a="1"/>
  <c r="AH18" i="701" s="1"/>
  <c r="AM18" i="701" a="1"/>
  <c r="AM18" i="701" s="1"/>
  <c r="AK18" i="701" a="1"/>
  <c r="AK18" i="701" s="1"/>
  <c r="AG18" i="701" a="1"/>
  <c r="AG18" i="701" s="1"/>
  <c r="AL18" i="701" a="1"/>
  <c r="AL18" i="701" s="1"/>
  <c r="AH14" i="701" a="1"/>
  <c r="AH14" i="701" s="1"/>
  <c r="AM14" i="701" a="1"/>
  <c r="AM14" i="701" s="1"/>
  <c r="AK14" i="701" a="1"/>
  <c r="AK14" i="701" s="1"/>
  <c r="AG14" i="701" a="1"/>
  <c r="AG14" i="701" s="1"/>
  <c r="AL14" i="701" a="1"/>
  <c r="AL14" i="701" s="1"/>
  <c r="AH11" i="346" a="1"/>
  <c r="AH11" i="346" s="1"/>
  <c r="AK11" i="346" a="1"/>
  <c r="AK11" i="346" s="1"/>
  <c r="AG11" i="346" a="1"/>
  <c r="AG11" i="346" s="1"/>
  <c r="L16" i="881"/>
  <c r="J20" i="881"/>
  <c r="J13" i="881"/>
  <c r="AH25" i="346" a="1"/>
  <c r="AH25" i="346" s="1"/>
  <c r="A57" i="701"/>
  <c r="A14" i="701"/>
  <c r="AH13" i="702" a="1"/>
  <c r="AH13" i="702" s="1"/>
  <c r="AM13" i="702" a="1"/>
  <c r="AM13" i="702" s="1"/>
  <c r="AK13" i="702" a="1"/>
  <c r="AK13" i="702" s="1"/>
  <c r="AG13" i="702" a="1"/>
  <c r="AG13" i="702" s="1"/>
  <c r="AL13" i="702" a="1"/>
  <c r="AL13" i="702" s="1"/>
  <c r="L17" i="881"/>
  <c r="L14" i="881"/>
  <c r="D14" i="881"/>
  <c r="B61" i="701"/>
  <c r="AH17" i="701" a="1"/>
  <c r="AH17" i="701" s="1"/>
  <c r="AM17" i="701" a="1"/>
  <c r="AM17" i="701" s="1"/>
  <c r="AK17" i="701" a="1"/>
  <c r="AK17" i="701" s="1"/>
  <c r="AG17" i="701" a="1"/>
  <c r="AG17" i="701" s="1"/>
  <c r="AL17" i="701" a="1"/>
  <c r="AL17" i="701" s="1"/>
  <c r="A66" i="701"/>
  <c r="B65" i="702"/>
  <c r="A26" i="702"/>
  <c r="AE26" i="702"/>
  <c r="A48" i="702"/>
  <c r="A58" i="702"/>
  <c r="A56" i="704"/>
  <c r="A22" i="702"/>
  <c r="AE22" i="702"/>
  <c r="A56" i="703"/>
  <c r="A54" i="703"/>
  <c r="A8" i="701"/>
  <c r="AH20" i="703" a="1"/>
  <c r="AH20" i="703" s="1"/>
  <c r="AM20" i="703" a="1"/>
  <c r="AM20" i="703" s="1"/>
  <c r="AK20" i="703" a="1"/>
  <c r="AK20" i="703" s="1"/>
  <c r="AG20" i="703" a="1"/>
  <c r="AG20" i="703" s="1"/>
  <c r="AL20" i="703" a="1"/>
  <c r="AL20" i="703" s="1"/>
  <c r="A66" i="704"/>
  <c r="AH14" i="346" a="1"/>
  <c r="AH14" i="346" s="1"/>
  <c r="AH25" i="701" a="1"/>
  <c r="AH25" i="701" s="1"/>
  <c r="AE11" i="701"/>
  <c r="A21" i="701"/>
  <c r="A13" i="701"/>
  <c r="AG24" i="702" a="1"/>
  <c r="AG24" i="702" s="1"/>
  <c r="AH24" i="702" a="1"/>
  <c r="AH24" i="702" s="1"/>
  <c r="AG23" i="702" a="1"/>
  <c r="AG23" i="702" s="1"/>
  <c r="AM23" i="702" a="1"/>
  <c r="AM23" i="702" s="1"/>
  <c r="AH14" i="702" a="1"/>
  <c r="AH14" i="702" s="1"/>
  <c r="AM14" i="702" a="1"/>
  <c r="AM14" i="702" s="1"/>
  <c r="AE8" i="702"/>
  <c r="A8" i="702"/>
  <c r="AG16" i="346" a="1"/>
  <c r="AG16" i="346" s="1"/>
  <c r="AM25" i="701" a="1"/>
  <c r="AM25" i="701" s="1"/>
  <c r="A26" i="701"/>
  <c r="AK19" i="702" a="1"/>
  <c r="AK19" i="702" s="1"/>
  <c r="AG19" i="702" a="1"/>
  <c r="AG19" i="702" s="1"/>
  <c r="AL19" i="702" a="1"/>
  <c r="AL19" i="702" s="1"/>
  <c r="AK17" i="702" a="1"/>
  <c r="AK17" i="702" s="1"/>
  <c r="AG17" i="702" a="1"/>
  <c r="AG17" i="702" s="1"/>
  <c r="AL17" i="702" a="1"/>
  <c r="AL17" i="702" s="1"/>
  <c r="AH17" i="702" a="1"/>
  <c r="AH17" i="702" s="1"/>
  <c r="AG15" i="702" a="1"/>
  <c r="AG15" i="702" s="1"/>
  <c r="AL15" i="702" a="1"/>
  <c r="AL15" i="702" s="1"/>
  <c r="AH15" i="702" a="1"/>
  <c r="AH15" i="702" s="1"/>
  <c r="AM15" i="702" a="1"/>
  <c r="AM15" i="702" s="1"/>
  <c r="AK15" i="702" a="1"/>
  <c r="AK15" i="702" s="1"/>
  <c r="A10" i="702"/>
  <c r="AE10" i="702"/>
  <c r="A60" i="703"/>
  <c r="AG17" i="703" a="1"/>
  <c r="AG17" i="703" s="1"/>
  <c r="AH10" i="346" a="1"/>
  <c r="AH10" i="346" s="1"/>
  <c r="AH27" i="701" a="1"/>
  <c r="AH27" i="701" s="1"/>
  <c r="AM21" i="701" a="1"/>
  <c r="AM21" i="701" s="1"/>
  <c r="AM19" i="701" a="1"/>
  <c r="AM19" i="701" s="1"/>
  <c r="AH13" i="701" a="1"/>
  <c r="AH13" i="701" s="1"/>
  <c r="AE9" i="701"/>
  <c r="AM8" i="701" a="1"/>
  <c r="AM8" i="701" s="1"/>
  <c r="AM24" i="702" a="1"/>
  <c r="AM24" i="702" s="1"/>
  <c r="A20" i="702"/>
  <c r="AE20" i="702"/>
  <c r="AK19" i="703" a="1"/>
  <c r="AK19" i="703" s="1"/>
  <c r="AG19" i="703" a="1"/>
  <c r="AG19" i="703" s="1"/>
  <c r="B61" i="702"/>
  <c r="AL24" i="702" a="1"/>
  <c r="AL24" i="702" s="1"/>
  <c r="AL23" i="702" a="1"/>
  <c r="AL23" i="702" s="1"/>
  <c r="A18" i="702"/>
  <c r="AE18" i="702"/>
  <c r="AH21" i="703" a="1"/>
  <c r="AH21" i="703" s="1"/>
  <c r="AM21" i="703" a="1"/>
  <c r="AM21" i="703" s="1"/>
  <c r="AH21" i="702" a="1"/>
  <c r="AH21" i="702" s="1"/>
  <c r="AM11" i="702" a="1"/>
  <c r="AM11" i="702" s="1"/>
  <c r="AH11" i="702" a="1"/>
  <c r="AH11" i="702" s="1"/>
  <c r="A46" i="703"/>
  <c r="B66" i="704"/>
  <c r="AE21" i="704"/>
  <c r="AE12" i="702"/>
  <c r="AM9" i="702" a="1"/>
  <c r="AM9" i="702" s="1"/>
  <c r="AH9" i="702" a="1"/>
  <c r="AH9" i="702" s="1"/>
  <c r="A14" i="703"/>
  <c r="AE14" i="703"/>
  <c r="AE13" i="703"/>
  <c r="AH10" i="703" a="1"/>
  <c r="AH10" i="703" s="1"/>
  <c r="AM10" i="703" a="1"/>
  <c r="AM10" i="703" s="1"/>
  <c r="AK10" i="703" a="1"/>
  <c r="AK10" i="703" s="1"/>
  <c r="AE19" i="704"/>
  <c r="AE15" i="704"/>
  <c r="AG18" i="703" a="1"/>
  <c r="AG18" i="703" s="1"/>
  <c r="A64" i="704"/>
  <c r="AL9" i="702" a="1"/>
  <c r="AL9" i="702" s="1"/>
  <c r="AG9" i="702" a="1"/>
  <c r="AG9" i="702" s="1"/>
  <c r="A33" i="704"/>
  <c r="B35" i="704"/>
  <c r="AE33" i="704"/>
  <c r="A61" i="704"/>
  <c r="A47" i="703"/>
  <c r="AG11" i="703" a="1"/>
  <c r="AG11" i="703" s="1"/>
  <c r="AL11" i="703" a="1"/>
  <c r="AL11" i="703" s="1"/>
  <c r="AH11" i="703" a="1"/>
  <c r="AH11" i="703" s="1"/>
  <c r="AM11" i="703" a="1"/>
  <c r="AM11" i="703" s="1"/>
  <c r="B65" i="704"/>
  <c r="A59" i="704"/>
  <c r="A51" i="704"/>
  <c r="M57" i="705"/>
  <c r="P57" i="705" s="1"/>
  <c r="T57" i="705"/>
  <c r="W57" i="705" s="1"/>
  <c r="B37" i="704"/>
  <c r="AH14" i="706" a="1"/>
  <c r="AH14" i="706" s="1"/>
  <c r="AM14" i="706" a="1"/>
  <c r="AM14" i="706" s="1"/>
  <c r="AK14" i="706" a="1"/>
  <c r="AK14" i="706" s="1"/>
  <c r="AG14" i="706" a="1"/>
  <c r="AG14" i="706" s="1"/>
  <c r="AL14" i="706" a="1"/>
  <c r="AL14" i="706" s="1"/>
  <c r="AG12" i="704" a="1"/>
  <c r="AG12" i="704" s="1"/>
  <c r="AL12" i="704" a="1"/>
  <c r="AL12" i="704" s="1"/>
  <c r="AH12" i="704" a="1"/>
  <c r="AH12" i="704" s="1"/>
  <c r="AM12" i="704" a="1"/>
  <c r="AM12" i="704" s="1"/>
  <c r="AK12" i="704" a="1"/>
  <c r="AK12" i="704" s="1"/>
  <c r="C22" i="704"/>
  <c r="A8" i="704"/>
  <c r="A30" i="706"/>
  <c r="AE30" i="706"/>
  <c r="M60" i="705"/>
  <c r="P60" i="705" s="1"/>
  <c r="T60" i="705"/>
  <c r="AK9" i="703" a="1"/>
  <c r="AK9" i="703" s="1"/>
  <c r="AE15" i="703"/>
  <c r="AE11" i="704"/>
  <c r="AH10" i="706" a="1"/>
  <c r="AH10" i="706" s="1"/>
  <c r="AM10" i="706" a="1"/>
  <c r="AM10" i="706" s="1"/>
  <c r="AK10" i="706" a="1"/>
  <c r="AK10" i="706" s="1"/>
  <c r="AG10" i="706" a="1"/>
  <c r="AG10" i="706" s="1"/>
  <c r="AL10" i="706" a="1"/>
  <c r="AL10" i="706" s="1"/>
  <c r="AH16" i="704" a="1"/>
  <c r="AH16" i="704" s="1"/>
  <c r="AK16" i="704" a="1"/>
  <c r="AK16" i="704" s="1"/>
  <c r="AG16" i="704" a="1"/>
  <c r="AG16" i="704" s="1"/>
  <c r="AG20" i="704" a="1"/>
  <c r="AG20" i="704" s="1"/>
  <c r="AH20" i="704" a="1"/>
  <c r="AH20" i="704" s="1"/>
  <c r="AM20" i="704" a="1"/>
  <c r="AM20" i="704" s="1"/>
  <c r="AK20" i="704" a="1"/>
  <c r="AK20" i="704" s="1"/>
  <c r="AH18" i="704" a="1"/>
  <c r="AH18" i="704" s="1"/>
  <c r="AM18" i="704" a="1"/>
  <c r="AM18" i="704" s="1"/>
  <c r="AK18" i="704" a="1"/>
  <c r="AK18" i="704" s="1"/>
  <c r="AG18" i="704" a="1"/>
  <c r="AG18" i="704" s="1"/>
  <c r="AL18" i="704" a="1"/>
  <c r="AL18" i="704" s="1"/>
  <c r="A10" i="704"/>
  <c r="AH8" i="704" a="1"/>
  <c r="AH8" i="704" s="1"/>
  <c r="AM8" i="704" a="1"/>
  <c r="AM8" i="704" s="1"/>
  <c r="AK8" i="704" a="1"/>
  <c r="AK8" i="704" s="1"/>
  <c r="AG8" i="704" a="1"/>
  <c r="AG8" i="704" s="1"/>
  <c r="AL8" i="704" a="1"/>
  <c r="AL8" i="704" s="1"/>
  <c r="AG13" i="706" a="1"/>
  <c r="AG13" i="706" s="1"/>
  <c r="AL13" i="706" a="1"/>
  <c r="AL13" i="706" s="1"/>
  <c r="AH13" i="706" a="1"/>
  <c r="AH13" i="706" s="1"/>
  <c r="AM13" i="706" a="1"/>
  <c r="AM13" i="706" s="1"/>
  <c r="AK13" i="706" a="1"/>
  <c r="AK13" i="706" s="1"/>
  <c r="A43" i="706"/>
  <c r="AE12" i="703"/>
  <c r="AM9" i="703" a="1"/>
  <c r="AM9" i="703" s="1"/>
  <c r="AE13" i="704"/>
  <c r="AG10" i="704" a="1"/>
  <c r="AG10" i="704" s="1"/>
  <c r="AL10" i="704" a="1"/>
  <c r="AL10" i="704" s="1"/>
  <c r="AH10" i="704" a="1"/>
  <c r="AH10" i="704" s="1"/>
  <c r="AM10" i="704" a="1"/>
  <c r="AM10" i="704" s="1"/>
  <c r="AK10" i="704" a="1"/>
  <c r="AK10" i="704" s="1"/>
  <c r="A41" i="706"/>
  <c r="AL16" i="704" a="1"/>
  <c r="AL16" i="704" s="1"/>
  <c r="AE9" i="704"/>
  <c r="AG9" i="706" a="1"/>
  <c r="AG9" i="706" s="1"/>
  <c r="AL9" i="706" a="1"/>
  <c r="AL9" i="706" s="1"/>
  <c r="AH9" i="706" a="1"/>
  <c r="AH9" i="706" s="1"/>
  <c r="AM9" i="706" a="1"/>
  <c r="AM9" i="706" s="1"/>
  <c r="AK9" i="706" a="1"/>
  <c r="AK9" i="706" s="1"/>
  <c r="A18" i="706"/>
  <c r="A16" i="706"/>
  <c r="A9" i="706"/>
  <c r="M56" i="705"/>
  <c r="P56" i="705" s="1"/>
  <c r="T56" i="705"/>
  <c r="A17" i="706"/>
  <c r="A10" i="706"/>
  <c r="M59" i="705"/>
  <c r="P59" i="705" s="1"/>
  <c r="T59" i="705"/>
  <c r="W59" i="705" s="1"/>
  <c r="M54" i="707"/>
  <c r="P54" i="707" s="1"/>
  <c r="T54" i="707"/>
  <c r="A15" i="706"/>
  <c r="W55" i="705"/>
  <c r="T44" i="707"/>
  <c r="W44" i="707" s="1"/>
  <c r="E34" i="778" s="1"/>
  <c r="M44" i="707"/>
  <c r="P44" i="707" s="1"/>
  <c r="AK12" i="706" a="1"/>
  <c r="AK12" i="706" s="1"/>
  <c r="AG12" i="706" a="1"/>
  <c r="AG12" i="706" s="1"/>
  <c r="AL12" i="706" a="1"/>
  <c r="AL12" i="706" s="1"/>
  <c r="AH12" i="706" a="1"/>
  <c r="AH12" i="706" s="1"/>
  <c r="AM12" i="706" a="1"/>
  <c r="AM12" i="706" s="1"/>
  <c r="M58" i="705"/>
  <c r="P58" i="705" s="1"/>
  <c r="T58" i="705"/>
  <c r="AE14" i="704"/>
  <c r="AM17" i="706" a="1"/>
  <c r="AM17" i="706" s="1"/>
  <c r="A12" i="706"/>
  <c r="A8" i="706"/>
  <c r="A21" i="705"/>
  <c r="B54" i="705"/>
  <c r="AE21" i="705"/>
  <c r="M40" i="707"/>
  <c r="P40" i="707" s="1"/>
  <c r="T40" i="707"/>
  <c r="A14" i="706"/>
  <c r="AH8" i="706" a="1"/>
  <c r="AH8" i="706" s="1"/>
  <c r="AM8" i="706" a="1"/>
  <c r="AM8" i="706" s="1"/>
  <c r="AK8" i="706" a="1"/>
  <c r="AK8" i="706" s="1"/>
  <c r="AG8" i="706" a="1"/>
  <c r="AG8" i="706" s="1"/>
  <c r="AL8" i="706" a="1"/>
  <c r="AL8" i="706" s="1"/>
  <c r="AH16" i="705" a="1"/>
  <c r="AH16" i="705" s="1"/>
  <c r="AK16" i="705" a="1"/>
  <c r="AK16" i="705" s="1"/>
  <c r="AH14" i="705" a="1"/>
  <c r="AH14" i="705" s="1"/>
  <c r="AK14" i="705" a="1"/>
  <c r="AK14" i="705" s="1"/>
  <c r="M53" i="707"/>
  <c r="P53" i="707" s="1"/>
  <c r="T53" i="707"/>
  <c r="A36" i="707"/>
  <c r="T53" i="708"/>
  <c r="W53" i="708" s="1"/>
  <c r="M53" i="708"/>
  <c r="P53" i="708" s="1"/>
  <c r="T41" i="708"/>
  <c r="W41" i="708" s="1"/>
  <c r="M41" i="708"/>
  <c r="P41" i="708" s="1"/>
  <c r="AH20" i="705" a="1"/>
  <c r="AH20" i="705" s="1"/>
  <c r="AE11" i="705"/>
  <c r="T41" i="707"/>
  <c r="W41" i="707" s="1"/>
  <c r="F32" i="778" s="1"/>
  <c r="M41" i="707"/>
  <c r="P41" i="707" s="1"/>
  <c r="AE11" i="706"/>
  <c r="AG18" i="705" a="1"/>
  <c r="AG18" i="705" s="1"/>
  <c r="T52" i="707"/>
  <c r="W52" i="707" s="1"/>
  <c r="M51" i="707"/>
  <c r="P51" i="707" s="1"/>
  <c r="T51" i="707"/>
  <c r="AG20" i="705" a="1"/>
  <c r="AG20" i="705" s="1"/>
  <c r="AH17" i="705" a="1"/>
  <c r="AH17" i="705" s="1"/>
  <c r="AK17" i="705" a="1"/>
  <c r="AK17" i="705" s="1"/>
  <c r="AH15" i="705" a="1"/>
  <c r="AH15" i="705" s="1"/>
  <c r="AK15" i="705" a="1"/>
  <c r="AK15" i="705" s="1"/>
  <c r="AH13" i="705" a="1"/>
  <c r="AH13" i="705" s="1"/>
  <c r="AK13" i="705" a="1"/>
  <c r="AK13" i="705" s="1"/>
  <c r="A14" i="705"/>
  <c r="M50" i="707"/>
  <c r="P50" i="707" s="1"/>
  <c r="W50" i="707" s="1"/>
  <c r="A44" i="705"/>
  <c r="M39" i="707"/>
  <c r="P39" i="707" s="1"/>
  <c r="T39" i="707"/>
  <c r="M50" i="708"/>
  <c r="P50" i="708" s="1"/>
  <c r="T50" i="708"/>
  <c r="AE33" i="705"/>
  <c r="A13" i="705"/>
  <c r="T49" i="707"/>
  <c r="M49" i="707"/>
  <c r="P49" i="707" s="1"/>
  <c r="A25" i="708"/>
  <c r="A28" i="708"/>
  <c r="AE28" i="708"/>
  <c r="W57" i="932"/>
  <c r="AA57" i="932" s="1"/>
  <c r="AE15" i="707"/>
  <c r="AH13" i="707" a="1"/>
  <c r="AH13" i="707" s="1"/>
  <c r="AM13" i="707" a="1"/>
  <c r="AM13" i="707" s="1"/>
  <c r="A13" i="708"/>
  <c r="AE13" i="708"/>
  <c r="AH8" i="708" a="1"/>
  <c r="AH8" i="708" s="1"/>
  <c r="AM8" i="708" a="1"/>
  <c r="AM8" i="708" s="1"/>
  <c r="AK8" i="708" a="1"/>
  <c r="AK8" i="708" s="1"/>
  <c r="AG8" i="708" a="1"/>
  <c r="AG8" i="708" s="1"/>
  <c r="AL8" i="708" a="1"/>
  <c r="AL8" i="708" s="1"/>
  <c r="T52" i="708"/>
  <c r="W52" i="708" s="1"/>
  <c r="M52" i="708"/>
  <c r="P52" i="708" s="1"/>
  <c r="AG10" i="708" a="1"/>
  <c r="AG10" i="708" s="1"/>
  <c r="AL10" i="708" a="1"/>
  <c r="AL10" i="708" s="1"/>
  <c r="AH10" i="708" a="1"/>
  <c r="AH10" i="708" s="1"/>
  <c r="AM10" i="708" a="1"/>
  <c r="AM10" i="708" s="1"/>
  <c r="AK10" i="708" a="1"/>
  <c r="AK10" i="708" s="1"/>
  <c r="AE27" i="707"/>
  <c r="A43" i="707"/>
  <c r="AH12" i="707" a="1"/>
  <c r="AH12" i="707" s="1"/>
  <c r="AM12" i="707" a="1"/>
  <c r="AM12" i="707" s="1"/>
  <c r="W40" i="708"/>
  <c r="A46" i="708"/>
  <c r="AG26" i="932" a="1"/>
  <c r="AG26" i="932" s="1"/>
  <c r="AM26" i="932" a="1"/>
  <c r="AM26" i="932" s="1"/>
  <c r="AH26" i="932" a="1"/>
  <c r="AH26" i="932" s="1"/>
  <c r="AK26" i="932" a="1"/>
  <c r="AK26" i="932" s="1"/>
  <c r="AL26" i="932" a="1"/>
  <c r="AL26" i="932" s="1"/>
  <c r="W51" i="708"/>
  <c r="A39" i="708"/>
  <c r="AK13" i="707" a="1"/>
  <c r="AK13" i="707" s="1"/>
  <c r="AL12" i="707" a="1"/>
  <c r="AL12" i="707" s="1"/>
  <c r="AH11" i="707" a="1"/>
  <c r="AH11" i="707" s="1"/>
  <c r="AM11" i="707" a="1"/>
  <c r="AM11" i="707" s="1"/>
  <c r="M51" i="708"/>
  <c r="P51" i="708" s="1"/>
  <c r="A37" i="708"/>
  <c r="C14" i="708"/>
  <c r="A8" i="708"/>
  <c r="AE8" i="705"/>
  <c r="AH14" i="707" a="1"/>
  <c r="AH14" i="707" s="1"/>
  <c r="M45" i="708"/>
  <c r="P45" i="708" s="1"/>
  <c r="W45" i="708" s="1"/>
  <c r="M35" i="708"/>
  <c r="T35" i="708"/>
  <c r="A8" i="707"/>
  <c r="AE8" i="707"/>
  <c r="M49" i="708"/>
  <c r="P49" i="708" s="1"/>
  <c r="T49" i="708"/>
  <c r="W42" i="708"/>
  <c r="AE11" i="708"/>
  <c r="A11" i="708"/>
  <c r="AE9" i="708"/>
  <c r="A23" i="932"/>
  <c r="AE23" i="932"/>
  <c r="A12" i="932"/>
  <c r="AE12" i="932"/>
  <c r="A63" i="932"/>
  <c r="AK21" i="932" a="1"/>
  <c r="AK21" i="932" s="1"/>
  <c r="AH21" i="932" a="1"/>
  <c r="AH21" i="932" s="1"/>
  <c r="AL21" i="932" a="1"/>
  <c r="AL21" i="932" s="1"/>
  <c r="AM21" i="932" a="1"/>
  <c r="AM21" i="932" s="1"/>
  <c r="A55" i="932"/>
  <c r="AE38" i="932"/>
  <c r="A64" i="932"/>
  <c r="AG25" i="932" a="1"/>
  <c r="AG25" i="932" s="1"/>
  <c r="AM25" i="932" a="1"/>
  <c r="AM25" i="932" s="1"/>
  <c r="AH17" i="932" a="1"/>
  <c r="AH17" i="932" s="1"/>
  <c r="AM17" i="932" a="1"/>
  <c r="AM17" i="932" s="1"/>
  <c r="AK17" i="932" a="1"/>
  <c r="AK17" i="932" s="1"/>
  <c r="AL17" i="932" a="1"/>
  <c r="AL17" i="932" s="1"/>
  <c r="AE12" i="708"/>
  <c r="AG21" i="932" a="1"/>
  <c r="AG21" i="932" s="1"/>
  <c r="AG14" i="932" a="1"/>
  <c r="AG14" i="932" s="1"/>
  <c r="AE20" i="932"/>
  <c r="AH16" i="932" a="1"/>
  <c r="AH16" i="932" s="1"/>
  <c r="AM16" i="932" a="1"/>
  <c r="AM16" i="932" s="1"/>
  <c r="AM24" i="932" a="1"/>
  <c r="AM24" i="932" s="1"/>
  <c r="A21" i="932"/>
  <c r="AL14" i="932" a="1"/>
  <c r="AL14" i="932" s="1"/>
  <c r="AE11" i="932"/>
  <c r="A11" i="932"/>
  <c r="AL22" i="932" a="1"/>
  <c r="AL22" i="932" s="1"/>
  <c r="AL16" i="932" a="1"/>
  <c r="AL16" i="932" s="1"/>
  <c r="A22" i="932"/>
  <c r="AE19" i="932"/>
  <c r="AE18" i="932"/>
  <c r="AK16" i="932" a="1"/>
  <c r="AK16" i="932" s="1"/>
  <c r="AH14" i="932" a="1"/>
  <c r="AH14" i="932" s="1"/>
  <c r="AG10" i="932" a="1"/>
  <c r="AG10" i="932" s="1"/>
  <c r="AL10" i="932" a="1"/>
  <c r="AL10" i="932" s="1"/>
  <c r="AH10" i="932" a="1"/>
  <c r="AH10" i="932" s="1"/>
  <c r="AM10" i="932" a="1"/>
  <c r="AM10" i="932" s="1"/>
  <c r="AK10" i="932" a="1"/>
  <c r="AK10" i="932" s="1"/>
  <c r="AE13" i="932"/>
  <c r="AM9" i="932" a="1"/>
  <c r="AM9" i="932" s="1"/>
  <c r="C45" i="707"/>
  <c r="C50" i="703"/>
  <c r="C53" i="703"/>
  <c r="C51" i="703"/>
  <c r="C43" i="707"/>
  <c r="C38" i="707"/>
  <c r="C54" i="704"/>
  <c r="C53" i="704"/>
  <c r="C51" i="704"/>
  <c r="C56" i="704"/>
  <c r="C55" i="704"/>
  <c r="C52" i="704"/>
  <c r="C60" i="704"/>
  <c r="C64" i="704"/>
  <c r="C59" i="704"/>
  <c r="C61" i="704"/>
  <c r="C57" i="704"/>
  <c r="C49" i="704"/>
  <c r="C51" i="701"/>
  <c r="C61" i="702"/>
  <c r="C65" i="702"/>
  <c r="C59" i="701"/>
  <c r="C55" i="702"/>
  <c r="C66" i="704"/>
  <c r="C58" i="704"/>
  <c r="C54" i="705"/>
  <c r="C61" i="701"/>
  <c r="C65" i="704"/>
  <c r="C54" i="346"/>
  <c r="C57" i="346"/>
  <c r="C59" i="346"/>
  <c r="C49" i="346"/>
  <c r="C61" i="346"/>
  <c r="AH23" i="346" l="1" a="1"/>
  <c r="AH23" i="346" s="1"/>
  <c r="AM23" i="346" a="1"/>
  <c r="AM23" i="346" s="1"/>
  <c r="AL23" i="346" a="1"/>
  <c r="AL23" i="346" s="1"/>
  <c r="C15" i="346"/>
  <c r="F15" i="346"/>
  <c r="G15" i="346"/>
  <c r="I15" i="346"/>
  <c r="J15" i="346"/>
  <c r="K15" i="346"/>
  <c r="M15" i="346"/>
  <c r="P15" i="346"/>
  <c r="Q15" i="346"/>
  <c r="S15" i="346"/>
  <c r="U15" i="346"/>
  <c r="H15" i="346"/>
  <c r="L15" i="346"/>
  <c r="N15" i="346"/>
  <c r="R15" i="346"/>
  <c r="T15" i="346"/>
  <c r="V15" i="346"/>
  <c r="W15" i="346"/>
  <c r="O15" i="346"/>
  <c r="AG23" i="346" a="1"/>
  <c r="AG23" i="346" s="1"/>
  <c r="AK23" i="346" a="1"/>
  <c r="AK23" i="346" s="1"/>
  <c r="AK21" i="346" a="1"/>
  <c r="AK21" i="346" s="1"/>
  <c r="AG21" i="346" a="1"/>
  <c r="AG21" i="346" s="1"/>
  <c r="AH21" i="346" a="1"/>
  <c r="AH21" i="346" s="1"/>
  <c r="C13" i="346"/>
  <c r="F13" i="346"/>
  <c r="G13" i="346"/>
  <c r="H13" i="346"/>
  <c r="I13" i="346"/>
  <c r="J13" i="346"/>
  <c r="K13" i="346"/>
  <c r="L13" i="346"/>
  <c r="M13" i="346"/>
  <c r="N13" i="346"/>
  <c r="O13" i="346"/>
  <c r="P13" i="346"/>
  <c r="Q13" i="346"/>
  <c r="R13" i="346"/>
  <c r="S13" i="346"/>
  <c r="T13" i="346"/>
  <c r="U13" i="346"/>
  <c r="V13" i="346"/>
  <c r="W13" i="346"/>
  <c r="AH9" i="346" a="1"/>
  <c r="AH9" i="346" s="1"/>
  <c r="C44" i="715"/>
  <c r="C51" i="715" s="1"/>
  <c r="AG9" i="346" a="1"/>
  <c r="AG9" i="346" s="1"/>
  <c r="AK9" i="346" a="1"/>
  <c r="AK9" i="346" s="1"/>
  <c r="C41" i="715"/>
  <c r="AG10" i="346" a="1"/>
  <c r="AG10" i="346" s="1"/>
  <c r="AK10" i="346" a="1"/>
  <c r="AK10" i="346" s="1"/>
  <c r="C10" i="346"/>
  <c r="F10" i="346"/>
  <c r="G10" i="346"/>
  <c r="H10" i="346"/>
  <c r="I10" i="346"/>
  <c r="J10" i="346"/>
  <c r="K10" i="346"/>
  <c r="M10" i="346"/>
  <c r="N10" i="346"/>
  <c r="O10" i="346"/>
  <c r="P10" i="346"/>
  <c r="R10" i="346"/>
  <c r="U10" i="346"/>
  <c r="W10" i="346"/>
  <c r="L10" i="346"/>
  <c r="Q10" i="346"/>
  <c r="T10" i="346"/>
  <c r="V10" i="346"/>
  <c r="S10" i="346"/>
  <c r="A49" i="346"/>
  <c r="AK22" i="346" a="1"/>
  <c r="AK22" i="346" s="1"/>
  <c r="AH22" i="346" a="1"/>
  <c r="AH22" i="346" s="1"/>
  <c r="C19" i="346"/>
  <c r="F19" i="346"/>
  <c r="G19" i="346"/>
  <c r="H19" i="346"/>
  <c r="I19" i="346"/>
  <c r="J19" i="346"/>
  <c r="L19" i="346"/>
  <c r="M19" i="346"/>
  <c r="N19" i="346"/>
  <c r="O19" i="346"/>
  <c r="P19" i="346"/>
  <c r="R19" i="346"/>
  <c r="U19" i="346"/>
  <c r="V19" i="346"/>
  <c r="K19" i="346"/>
  <c r="Q19" i="346"/>
  <c r="T19" i="346"/>
  <c r="W19" i="346"/>
  <c r="S19" i="346"/>
  <c r="A58" i="346"/>
  <c r="C21" i="346"/>
  <c r="F21" i="346"/>
  <c r="G21" i="346"/>
  <c r="H21" i="346"/>
  <c r="I21" i="346"/>
  <c r="J21" i="346"/>
  <c r="L21" i="346"/>
  <c r="M21" i="346"/>
  <c r="N21" i="346"/>
  <c r="O21" i="346"/>
  <c r="Q21" i="346"/>
  <c r="S21" i="346"/>
  <c r="U21" i="346"/>
  <c r="W21" i="346"/>
  <c r="K21" i="346"/>
  <c r="P21" i="346"/>
  <c r="R21" i="346"/>
  <c r="T21" i="346"/>
  <c r="V21" i="346"/>
  <c r="C22" i="346"/>
  <c r="F22" i="346"/>
  <c r="K22" i="346"/>
  <c r="L22" i="346"/>
  <c r="P22" i="346"/>
  <c r="T22" i="346"/>
  <c r="G22" i="346"/>
  <c r="N22" i="346"/>
  <c r="Q22" i="346"/>
  <c r="H22" i="346"/>
  <c r="J22" i="346"/>
  <c r="M22" i="346"/>
  <c r="O22" i="346"/>
  <c r="S22" i="346"/>
  <c r="U22" i="346"/>
  <c r="I22" i="346"/>
  <c r="R22" i="346"/>
  <c r="V22" i="346"/>
  <c r="W22" i="346"/>
  <c r="A61" i="346"/>
  <c r="C11" i="346"/>
  <c r="G11" i="346"/>
  <c r="H11" i="346"/>
  <c r="I11" i="346"/>
  <c r="J11" i="346"/>
  <c r="K11" i="346"/>
  <c r="L11" i="346"/>
  <c r="M11" i="346"/>
  <c r="N11" i="346"/>
  <c r="O11" i="346"/>
  <c r="P11" i="346"/>
  <c r="Q11" i="346"/>
  <c r="R11" i="346"/>
  <c r="S11" i="346"/>
  <c r="T11" i="346"/>
  <c r="U11" i="346"/>
  <c r="V11" i="346"/>
  <c r="W11" i="346"/>
  <c r="F11" i="346"/>
  <c r="A50" i="346"/>
  <c r="C39" i="346"/>
  <c r="N39" i="346"/>
  <c r="P39" i="346"/>
  <c r="Q39" i="346"/>
  <c r="R39" i="346"/>
  <c r="J39" i="346"/>
  <c r="M39" i="346"/>
  <c r="F39" i="346"/>
  <c r="T39" i="346"/>
  <c r="U39" i="346"/>
  <c r="W39" i="346"/>
  <c r="L39" i="346"/>
  <c r="G39" i="346"/>
  <c r="H39" i="346"/>
  <c r="K39" i="346"/>
  <c r="I39" i="346"/>
  <c r="D23" i="708"/>
  <c r="E23" i="708"/>
  <c r="AL13" i="707" a="1"/>
  <c r="AL13" i="707" s="1"/>
  <c r="AL16" i="703" a="1"/>
  <c r="AL16" i="703" s="1"/>
  <c r="AH16" i="703" a="1"/>
  <c r="AH16" i="703" s="1"/>
  <c r="A59" i="703"/>
  <c r="AK17" i="703" a="1"/>
  <c r="AK17" i="703" s="1"/>
  <c r="AM17" i="703" a="1"/>
  <c r="AM17" i="703" s="1"/>
  <c r="C22" i="703"/>
  <c r="H22" i="703"/>
  <c r="P22" i="703"/>
  <c r="X22" i="703"/>
  <c r="I22" i="703"/>
  <c r="Q22" i="703"/>
  <c r="Y22" i="703"/>
  <c r="J22" i="703"/>
  <c r="R22" i="703"/>
  <c r="Z22" i="703"/>
  <c r="K22" i="703"/>
  <c r="S22" i="703"/>
  <c r="AA22" i="703"/>
  <c r="F22" i="703"/>
  <c r="AJ22" i="703" s="1"/>
  <c r="AN22" i="703" s="1"/>
  <c r="V22" i="703"/>
  <c r="G22" i="703"/>
  <c r="O22" i="703"/>
  <c r="W22" i="703"/>
  <c r="L22" i="703"/>
  <c r="T22" i="703"/>
  <c r="M22" i="703"/>
  <c r="U22" i="703"/>
  <c r="N22" i="703"/>
  <c r="AH17" i="703" a="1"/>
  <c r="AH17" i="703" s="1"/>
  <c r="A57" i="703"/>
  <c r="AK8" i="703" a="1"/>
  <c r="AK8" i="703" s="1"/>
  <c r="AH8" i="703" a="1"/>
  <c r="AH8" i="703" s="1"/>
  <c r="A58" i="703"/>
  <c r="AL19" i="703" a="1"/>
  <c r="AL19" i="703" s="1"/>
  <c r="AM19" i="703" a="1"/>
  <c r="AM19" i="703" s="1"/>
  <c r="AM10" i="707" a="1"/>
  <c r="AM10" i="707" s="1"/>
  <c r="AK10" i="707" a="1"/>
  <c r="AK10" i="707" s="1"/>
  <c r="AK12" i="707" a="1"/>
  <c r="AK12" i="707" s="1"/>
  <c r="AK9" i="707" a="1"/>
  <c r="AK9" i="707" s="1"/>
  <c r="AH9" i="707" a="1"/>
  <c r="AH9" i="707" s="1"/>
  <c r="AM9" i="707" a="1"/>
  <c r="AM9" i="707" s="1"/>
  <c r="AL9" i="707" a="1"/>
  <c r="AL9" i="707" s="1"/>
  <c r="AL10" i="707" a="1"/>
  <c r="AL10" i="707" s="1"/>
  <c r="AH10" i="707" a="1"/>
  <c r="AH10" i="707" s="1"/>
  <c r="W39" i="707"/>
  <c r="AG17" i="704" a="1"/>
  <c r="AG17" i="704" s="1"/>
  <c r="AH17" i="704" a="1"/>
  <c r="AH17" i="704" s="1"/>
  <c r="AK17" i="704" a="1"/>
  <c r="AK17" i="704" s="1"/>
  <c r="AG18" i="932" a="1"/>
  <c r="AG18" i="932" s="1"/>
  <c r="AL18" i="932" a="1"/>
  <c r="AL18" i="932" s="1"/>
  <c r="AH18" i="932" a="1"/>
  <c r="AH18" i="932" s="1"/>
  <c r="AM18" i="932" a="1"/>
  <c r="AM18" i="932" s="1"/>
  <c r="AK18" i="932" a="1"/>
  <c r="AK18" i="932" s="1"/>
  <c r="A35" i="707"/>
  <c r="AG8" i="705" a="1"/>
  <c r="AG8" i="705" s="1"/>
  <c r="AH8" i="705" a="1"/>
  <c r="AH8" i="705" s="1"/>
  <c r="AK8" i="705" a="1"/>
  <c r="AK8" i="705" s="1"/>
  <c r="AH9" i="704" a="1"/>
  <c r="AH9" i="704" s="1"/>
  <c r="AM9" i="704" a="1"/>
  <c r="AM9" i="704" s="1"/>
  <c r="AG9" i="704" a="1"/>
  <c r="AG9" i="704" s="1"/>
  <c r="AK9" i="704" a="1"/>
  <c r="AK9" i="704" s="1"/>
  <c r="AL9" i="704" a="1"/>
  <c r="AL9" i="704" s="1"/>
  <c r="F6" i="881"/>
  <c r="F16" i="881" s="1"/>
  <c r="F15" i="881"/>
  <c r="AG19" i="932" a="1"/>
  <c r="AG19" i="932" s="1"/>
  <c r="AL19" i="932" a="1"/>
  <c r="AL19" i="932" s="1"/>
  <c r="AM19" i="932" a="1"/>
  <c r="AM19" i="932" s="1"/>
  <c r="AH19" i="932" a="1"/>
  <c r="AH19" i="932" s="1"/>
  <c r="AK19" i="932" a="1"/>
  <c r="AK19" i="932" s="1"/>
  <c r="AG11" i="932" a="1"/>
  <c r="AG11" i="932" s="1"/>
  <c r="AL11" i="932" a="1"/>
  <c r="AL11" i="932" s="1"/>
  <c r="AH11" i="932" a="1"/>
  <c r="AH11" i="932" s="1"/>
  <c r="AM11" i="932" a="1"/>
  <c r="AM11" i="932" s="1"/>
  <c r="AK11" i="932" a="1"/>
  <c r="AK11" i="932" s="1"/>
  <c r="AK23" i="932" a="1"/>
  <c r="AK23" i="932" s="1"/>
  <c r="AL23" i="932" a="1"/>
  <c r="AL23" i="932" s="1"/>
  <c r="AG23" i="932" a="1"/>
  <c r="AG23" i="932" s="1"/>
  <c r="AM23" i="932" a="1"/>
  <c r="AM23" i="932" s="1"/>
  <c r="AH23" i="932" a="1"/>
  <c r="AH23" i="932" s="1"/>
  <c r="A44" i="708"/>
  <c r="W49" i="707"/>
  <c r="AK21" i="705" a="1"/>
  <c r="AK21" i="705" s="1"/>
  <c r="AG21" i="705" a="1"/>
  <c r="AG21" i="705" s="1"/>
  <c r="AH21" i="705" a="1"/>
  <c r="AH21" i="705" s="1"/>
  <c r="A63" i="704"/>
  <c r="A65" i="704"/>
  <c r="AK15" i="704" a="1"/>
  <c r="AK15" i="704" s="1"/>
  <c r="AG15" i="704" a="1"/>
  <c r="AG15" i="704" s="1"/>
  <c r="AL15" i="704" a="1"/>
  <c r="AL15" i="704" s="1"/>
  <c r="AH15" i="704" a="1"/>
  <c r="AH15" i="704" s="1"/>
  <c r="AM15" i="704" a="1"/>
  <c r="AM15" i="704" s="1"/>
  <c r="AH18" i="702" a="1"/>
  <c r="AH18" i="702" s="1"/>
  <c r="AM18" i="702" a="1"/>
  <c r="AM18" i="702" s="1"/>
  <c r="AK18" i="702" a="1"/>
  <c r="AK18" i="702" s="1"/>
  <c r="AL18" i="702" a="1"/>
  <c r="AL18" i="702" s="1"/>
  <c r="AG18" i="702" a="1"/>
  <c r="AG18" i="702" s="1"/>
  <c r="AG20" i="702" a="1"/>
  <c r="AG20" i="702" s="1"/>
  <c r="AL20" i="702" a="1"/>
  <c r="AL20" i="702" s="1"/>
  <c r="AH20" i="702" a="1"/>
  <c r="AH20" i="702" s="1"/>
  <c r="AK20" i="702" a="1"/>
  <c r="AK20" i="702" s="1"/>
  <c r="AM20" i="702" a="1"/>
  <c r="AM20" i="702" s="1"/>
  <c r="A60" i="346"/>
  <c r="A49" i="932"/>
  <c r="AG13" i="704" a="1"/>
  <c r="AG13" i="704" s="1"/>
  <c r="AL13" i="704" a="1"/>
  <c r="AL13" i="704" s="1"/>
  <c r="AH13" i="704" a="1"/>
  <c r="AH13" i="704" s="1"/>
  <c r="AM13" i="704" a="1"/>
  <c r="AM13" i="704" s="1"/>
  <c r="AK13" i="704" a="1"/>
  <c r="AK13" i="704" s="1"/>
  <c r="A47" i="701"/>
  <c r="A62" i="932"/>
  <c r="AG11" i="708" a="1"/>
  <c r="AG11" i="708" s="1"/>
  <c r="AL11" i="708" a="1"/>
  <c r="AL11" i="708" s="1"/>
  <c r="AH11" i="708" a="1"/>
  <c r="AH11" i="708" s="1"/>
  <c r="AM11" i="708" a="1"/>
  <c r="AM11" i="708" s="1"/>
  <c r="AK11" i="708" a="1"/>
  <c r="AK11" i="708" s="1"/>
  <c r="P35" i="708"/>
  <c r="A40" i="706"/>
  <c r="A54" i="704"/>
  <c r="A60" i="704"/>
  <c r="A57" i="702"/>
  <c r="A59" i="702"/>
  <c r="A65" i="701"/>
  <c r="AG22" i="702" a="1"/>
  <c r="AG22" i="702" s="1"/>
  <c r="AL22" i="702" a="1"/>
  <c r="AL22" i="702" s="1"/>
  <c r="AM22" i="702" a="1"/>
  <c r="AM22" i="702" s="1"/>
  <c r="AH22" i="702" a="1"/>
  <c r="AH22" i="702" s="1"/>
  <c r="AK22" i="702" a="1"/>
  <c r="AK22" i="702" s="1"/>
  <c r="A53" i="701"/>
  <c r="A50" i="704"/>
  <c r="A49" i="702"/>
  <c r="A51" i="701"/>
  <c r="AK12" i="708" a="1"/>
  <c r="AK12" i="708" s="1"/>
  <c r="AG12" i="708" a="1"/>
  <c r="AG12" i="708" s="1"/>
  <c r="AL12" i="708" a="1"/>
  <c r="AL12" i="708" s="1"/>
  <c r="AH12" i="708" a="1"/>
  <c r="AH12" i="708" s="1"/>
  <c r="AM12" i="708" a="1"/>
  <c r="AM12" i="708" s="1"/>
  <c r="AM28" i="708" a="1"/>
  <c r="AM28" i="708" s="1"/>
  <c r="AL28" i="708" a="1"/>
  <c r="AL28" i="708" s="1"/>
  <c r="A46" i="705"/>
  <c r="W50" i="708"/>
  <c r="A54" i="705"/>
  <c r="A47" i="706"/>
  <c r="A49" i="704"/>
  <c r="W60" i="705"/>
  <c r="A47" i="704"/>
  <c r="AG21" i="704" a="1"/>
  <c r="AG21" i="704" s="1"/>
  <c r="AL21" i="704" a="1"/>
  <c r="AL21" i="704" s="1"/>
  <c r="AH21" i="704" a="1"/>
  <c r="AH21" i="704" s="1"/>
  <c r="AK21" i="704" a="1"/>
  <c r="AK21" i="704" s="1"/>
  <c r="AM21" i="704" a="1"/>
  <c r="AM21" i="704" s="1"/>
  <c r="A61" i="702"/>
  <c r="AH12" i="701" a="1"/>
  <c r="AH12" i="701" s="1"/>
  <c r="AM12" i="701" a="1"/>
  <c r="AM12" i="701" s="1"/>
  <c r="AK12" i="701" a="1"/>
  <c r="AK12" i="701" s="1"/>
  <c r="AG12" i="701" a="1"/>
  <c r="AG12" i="701" s="1"/>
  <c r="AL12" i="701" a="1"/>
  <c r="AL12" i="701" s="1"/>
  <c r="AH20" i="701" a="1"/>
  <c r="AH20" i="701" s="1"/>
  <c r="AM20" i="701" a="1"/>
  <c r="AM20" i="701" s="1"/>
  <c r="AG20" i="701" a="1"/>
  <c r="AG20" i="701" s="1"/>
  <c r="AK20" i="701" a="1"/>
  <c r="AK20" i="701" s="1"/>
  <c r="AL20" i="701" a="1"/>
  <c r="AL20" i="701" s="1"/>
  <c r="AK11" i="706" a="1"/>
  <c r="AK11" i="706" s="1"/>
  <c r="AG11" i="706" a="1"/>
  <c r="AG11" i="706" s="1"/>
  <c r="AL11" i="706" a="1"/>
  <c r="AL11" i="706" s="1"/>
  <c r="AH11" i="706" a="1"/>
  <c r="AH11" i="706" s="1"/>
  <c r="AM11" i="706" a="1"/>
  <c r="AM11" i="706" s="1"/>
  <c r="AK15" i="703" a="1"/>
  <c r="AK15" i="703" s="1"/>
  <c r="AG15" i="703" a="1"/>
  <c r="AG15" i="703" s="1"/>
  <c r="AL15" i="703" a="1"/>
  <c r="AL15" i="703" s="1"/>
  <c r="AM15" i="703" a="1"/>
  <c r="AM15" i="703" s="1"/>
  <c r="AH15" i="703" a="1"/>
  <c r="AH15" i="703" s="1"/>
  <c r="AK12" i="702" a="1"/>
  <c r="AK12" i="702" s="1"/>
  <c r="AG12" i="702" a="1"/>
  <c r="AG12" i="702" s="1"/>
  <c r="AH12" i="702" a="1"/>
  <c r="AH12" i="702" s="1"/>
  <c r="AL12" i="702" a="1"/>
  <c r="AL12" i="702" s="1"/>
  <c r="AM12" i="702" a="1"/>
  <c r="AM12" i="702" s="1"/>
  <c r="AK20" i="932" a="1"/>
  <c r="AK20" i="932" s="1"/>
  <c r="AG20" i="932" a="1"/>
  <c r="AG20" i="932" s="1"/>
  <c r="AM20" i="932" a="1"/>
  <c r="AM20" i="932" s="1"/>
  <c r="AH20" i="932" a="1"/>
  <c r="AH20" i="932" s="1"/>
  <c r="AL20" i="932" a="1"/>
  <c r="AL20" i="932" s="1"/>
  <c r="A44" i="706"/>
  <c r="A45" i="706"/>
  <c r="A55" i="704"/>
  <c r="A35" i="704"/>
  <c r="AE35" i="704"/>
  <c r="AH19" i="704" a="1"/>
  <c r="AH19" i="704" s="1"/>
  <c r="AM19" i="704" a="1"/>
  <c r="AM19" i="704" s="1"/>
  <c r="AG19" i="704" a="1"/>
  <c r="AG19" i="704" s="1"/>
  <c r="AK19" i="704" a="1"/>
  <c r="AK19" i="704" s="1"/>
  <c r="AL19" i="704" a="1"/>
  <c r="AL19" i="704" s="1"/>
  <c r="AK13" i="703" a="1"/>
  <c r="AK13" i="703" s="1"/>
  <c r="AG13" i="703" a="1"/>
  <c r="AG13" i="703" s="1"/>
  <c r="AL13" i="703" a="1"/>
  <c r="AL13" i="703" s="1"/>
  <c r="AH13" i="703" a="1"/>
  <c r="AH13" i="703" s="1"/>
  <c r="AM13" i="703" a="1"/>
  <c r="AM13" i="703" s="1"/>
  <c r="A47" i="702"/>
  <c r="AM26" i="702" a="1"/>
  <c r="AM26" i="702" s="1"/>
  <c r="AH26" i="702" a="1"/>
  <c r="AH26" i="702" s="1"/>
  <c r="AK26" i="702" a="1"/>
  <c r="AK26" i="702" s="1"/>
  <c r="AL26" i="702" a="1"/>
  <c r="AL26" i="702" s="1"/>
  <c r="AG26" i="702" a="1"/>
  <c r="AG26" i="702" s="1"/>
  <c r="A61" i="701"/>
  <c r="AK13" i="932" a="1"/>
  <c r="AK13" i="932" s="1"/>
  <c r="AG13" i="932" a="1"/>
  <c r="AG13" i="932" s="1"/>
  <c r="AL13" i="932" a="1"/>
  <c r="AL13" i="932" s="1"/>
  <c r="AH13" i="932" a="1"/>
  <c r="AH13" i="932" s="1"/>
  <c r="AM13" i="932" a="1"/>
  <c r="AM13" i="932" s="1"/>
  <c r="A50" i="932"/>
  <c r="AK14" i="704" a="1"/>
  <c r="AK14" i="704" s="1"/>
  <c r="AG14" i="704" a="1"/>
  <c r="AG14" i="704" s="1"/>
  <c r="AL14" i="704" a="1"/>
  <c r="AL14" i="704" s="1"/>
  <c r="AH14" i="704" a="1"/>
  <c r="AH14" i="704" s="1"/>
  <c r="AM14" i="704" a="1"/>
  <c r="AM14" i="704" s="1"/>
  <c r="A48" i="706"/>
  <c r="AK15" i="346" a="1"/>
  <c r="AK15" i="346" s="1"/>
  <c r="AG15" i="346" a="1"/>
  <c r="AG15" i="346" s="1"/>
  <c r="AH15" i="346" a="1"/>
  <c r="AH15" i="346" s="1"/>
  <c r="W49" i="708"/>
  <c r="A36" i="708"/>
  <c r="A38" i="706"/>
  <c r="W58" i="705"/>
  <c r="AG12" i="703" a="1"/>
  <c r="AG12" i="703" s="1"/>
  <c r="AL12" i="703" a="1"/>
  <c r="AL12" i="703" s="1"/>
  <c r="AH12" i="703" a="1"/>
  <c r="AH12" i="703" s="1"/>
  <c r="AM12" i="703" a="1"/>
  <c r="AM12" i="703" s="1"/>
  <c r="AK12" i="703" a="1"/>
  <c r="AK12" i="703" s="1"/>
  <c r="A58" i="704"/>
  <c r="AG8" i="702" a="1"/>
  <c r="AG8" i="702" s="1"/>
  <c r="AL8" i="702" a="1"/>
  <c r="AL8" i="702" s="1"/>
  <c r="AH8" i="702" a="1"/>
  <c r="AH8" i="702" s="1"/>
  <c r="AM8" i="702" a="1"/>
  <c r="AM8" i="702" s="1"/>
  <c r="AK8" i="702" a="1"/>
  <c r="AK8" i="702" s="1"/>
  <c r="A52" i="701"/>
  <c r="A65" i="702"/>
  <c r="A55" i="702"/>
  <c r="A59" i="701"/>
  <c r="A52" i="346"/>
  <c r="A62" i="346"/>
  <c r="AK22" i="701" a="1"/>
  <c r="AK22" i="701" s="1"/>
  <c r="AG22" i="701" a="1"/>
  <c r="AG22" i="701" s="1"/>
  <c r="AH22" i="701" a="1"/>
  <c r="AH22" i="701" s="1"/>
  <c r="AL22" i="701" a="1"/>
  <c r="AL22" i="701" s="1"/>
  <c r="AM22" i="701" a="1"/>
  <c r="AM22" i="701" s="1"/>
  <c r="G15" i="881"/>
  <c r="G13" i="881"/>
  <c r="G20" i="881"/>
  <c r="G16" i="881"/>
  <c r="I12" i="881"/>
  <c r="G14" i="881"/>
  <c r="G17" i="881"/>
  <c r="A37" i="704"/>
  <c r="AE37" i="704"/>
  <c r="AK13" i="708" a="1"/>
  <c r="AK13" i="708" s="1"/>
  <c r="AG13" i="708" a="1"/>
  <c r="AG13" i="708" s="1"/>
  <c r="AL13" i="708" a="1"/>
  <c r="AL13" i="708" s="1"/>
  <c r="AH13" i="708" a="1"/>
  <c r="AH13" i="708" s="1"/>
  <c r="AM13" i="708" a="1"/>
  <c r="AM13" i="708" s="1"/>
  <c r="AH15" i="707" a="1"/>
  <c r="AH15" i="707" s="1"/>
  <c r="AM15" i="707" a="1"/>
  <c r="AM15" i="707" s="1"/>
  <c r="AG15" i="707" a="1"/>
  <c r="AG15" i="707" s="1"/>
  <c r="AK15" i="707" a="1"/>
  <c r="AK15" i="707" s="1"/>
  <c r="AL15" i="707" a="1"/>
  <c r="AL15" i="707" s="1"/>
  <c r="A47" i="705"/>
  <c r="W40" i="707"/>
  <c r="A42" i="706"/>
  <c r="W54" i="707"/>
  <c r="A39" i="706"/>
  <c r="A53" i="704"/>
  <c r="AK14" i="703" a="1"/>
  <c r="AK14" i="703" s="1"/>
  <c r="AG14" i="703" a="1"/>
  <c r="AG14" i="703" s="1"/>
  <c r="AL14" i="703" a="1"/>
  <c r="AL14" i="703" s="1"/>
  <c r="AM14" i="703" a="1"/>
  <c r="AM14" i="703" s="1"/>
  <c r="AH14" i="703" a="1"/>
  <c r="AH14" i="703" s="1"/>
  <c r="AK9" i="701" a="1"/>
  <c r="AK9" i="701" s="1"/>
  <c r="AG9" i="701" a="1"/>
  <c r="AG9" i="701" s="1"/>
  <c r="AL9" i="701" a="1"/>
  <c r="AL9" i="701" s="1"/>
  <c r="AH9" i="701" a="1"/>
  <c r="AH9" i="701" s="1"/>
  <c r="AM9" i="701" a="1"/>
  <c r="AM9" i="701" s="1"/>
  <c r="AM30" i="701" s="1"/>
  <c r="C42" i="729" s="1"/>
  <c r="A60" i="701"/>
  <c r="AH16" i="702" a="1"/>
  <c r="AH16" i="702" s="1"/>
  <c r="AM16" i="702" a="1"/>
  <c r="AM16" i="702" s="1"/>
  <c r="AG16" i="702" a="1"/>
  <c r="AG16" i="702" s="1"/>
  <c r="AK16" i="702" a="1"/>
  <c r="AK16" i="702" s="1"/>
  <c r="AL16" i="702" a="1"/>
  <c r="AL16" i="702" s="1"/>
  <c r="AK12" i="932" a="1"/>
  <c r="AK12" i="932" s="1"/>
  <c r="AG12" i="932" a="1"/>
  <c r="AG12" i="932" s="1"/>
  <c r="AL12" i="932" a="1"/>
  <c r="AL12" i="932" s="1"/>
  <c r="AM12" i="932" a="1"/>
  <c r="AM12" i="932" s="1"/>
  <c r="AH12" i="932" a="1"/>
  <c r="AH12" i="932" s="1"/>
  <c r="AH9" i="708" a="1"/>
  <c r="AH9" i="708" s="1"/>
  <c r="AM9" i="708" a="1"/>
  <c r="AM9" i="708" s="1"/>
  <c r="AM18" i="708" s="1"/>
  <c r="AG9" i="708" a="1"/>
  <c r="AG9" i="708" s="1"/>
  <c r="AK9" i="708" a="1"/>
  <c r="AK9" i="708" s="1"/>
  <c r="AL9" i="708" a="1"/>
  <c r="AL9" i="708" s="1"/>
  <c r="AL15" i="708" s="1"/>
  <c r="AK8" i="707" a="1"/>
  <c r="AK8" i="707" s="1"/>
  <c r="AL8" i="707" a="1"/>
  <c r="AL8" i="707" s="1"/>
  <c r="AM8" i="707" a="1"/>
  <c r="AM8" i="707" s="1"/>
  <c r="AH8" i="707" a="1"/>
  <c r="AH8" i="707" s="1"/>
  <c r="AG8" i="707" a="1"/>
  <c r="AG8" i="707" s="1"/>
  <c r="W35" i="708"/>
  <c r="AL16" i="708"/>
  <c r="AL18" i="708"/>
  <c r="A47" i="708"/>
  <c r="W51" i="707"/>
  <c r="AH11" i="705" a="1"/>
  <c r="AH11" i="705" s="1"/>
  <c r="AG11" i="705" a="1"/>
  <c r="AG11" i="705" s="1"/>
  <c r="AK11" i="705" a="1"/>
  <c r="AK11" i="705" s="1"/>
  <c r="W53" i="707"/>
  <c r="W56" i="705"/>
  <c r="A46" i="706"/>
  <c r="A52" i="704"/>
  <c r="AH11" i="704" a="1"/>
  <c r="AH11" i="704" s="1"/>
  <c r="AM11" i="704" a="1"/>
  <c r="AM11" i="704" s="1"/>
  <c r="AG11" i="704" a="1"/>
  <c r="AG11" i="704" s="1"/>
  <c r="AK11" i="704" a="1"/>
  <c r="AK11" i="704" s="1"/>
  <c r="AL11" i="704" a="1"/>
  <c r="AL11" i="704" s="1"/>
  <c r="A62" i="704"/>
  <c r="A48" i="703"/>
  <c r="AK10" i="702" a="1"/>
  <c r="AK10" i="702" s="1"/>
  <c r="AG10" i="702" a="1"/>
  <c r="AG10" i="702" s="1"/>
  <c r="AL10" i="702" a="1"/>
  <c r="AL10" i="702" s="1"/>
  <c r="AH10" i="702" a="1"/>
  <c r="AH10" i="702" s="1"/>
  <c r="AM10" i="702" a="1"/>
  <c r="AM10" i="702" s="1"/>
  <c r="AK11" i="701" a="1"/>
  <c r="AK11" i="701" s="1"/>
  <c r="AG11" i="701" a="1"/>
  <c r="AG11" i="701" s="1"/>
  <c r="AL11" i="701" a="1"/>
  <c r="AL11" i="701" s="1"/>
  <c r="AH11" i="701" a="1"/>
  <c r="AH11" i="701" s="1"/>
  <c r="AM11" i="701" a="1"/>
  <c r="AM11" i="701" s="1"/>
  <c r="AM31" i="701" s="1"/>
  <c r="C43" i="729" s="1"/>
  <c r="C48" i="729" s="1"/>
  <c r="A54" i="346"/>
  <c r="C43" i="715" l="1"/>
  <c r="C48" i="715" s="1"/>
  <c r="C42" i="715"/>
  <c r="C49" i="729"/>
  <c r="C54" i="729"/>
  <c r="AL32" i="702"/>
  <c r="AL29" i="702"/>
  <c r="AL30" i="702"/>
  <c r="AL31" i="702"/>
  <c r="AM16" i="708"/>
  <c r="AL18" i="707"/>
  <c r="AL19" i="707"/>
  <c r="AL17" i="707"/>
  <c r="AL20" i="707"/>
  <c r="AM17" i="708"/>
  <c r="AM15" i="708"/>
  <c r="AL17" i="708"/>
  <c r="C54" i="715"/>
  <c r="C50" i="715"/>
  <c r="AL30" i="701"/>
  <c r="AL31" i="701"/>
  <c r="AL29" i="701"/>
  <c r="AL32" i="701"/>
  <c r="AM32" i="701"/>
  <c r="C44" i="729" s="1"/>
  <c r="C51" i="729" s="1"/>
  <c r="AM29" i="701"/>
  <c r="C41" i="729" s="1"/>
  <c r="C50" i="729" s="1"/>
  <c r="C41" i="730"/>
  <c r="C44" i="730"/>
  <c r="C51" i="730" s="1"/>
  <c r="C42" i="730"/>
  <c r="C43" i="730"/>
  <c r="C48" i="730" s="1"/>
  <c r="AM17" i="707"/>
  <c r="AM18" i="707"/>
  <c r="AM19" i="707"/>
  <c r="AM20" i="707"/>
  <c r="I13" i="881"/>
  <c r="I20" i="881"/>
  <c r="I15" i="881"/>
  <c r="K12" i="881"/>
  <c r="I14" i="881"/>
  <c r="I17" i="881"/>
  <c r="I16" i="881"/>
  <c r="AM32" i="702"/>
  <c r="AM29" i="702"/>
  <c r="AM30" i="702"/>
  <c r="AM31" i="702"/>
  <c r="C49" i="715" l="1"/>
  <c r="C49" i="730"/>
  <c r="C54" i="730"/>
  <c r="K16" i="881"/>
  <c r="K13" i="881"/>
  <c r="K20" i="881"/>
  <c r="K15" i="881"/>
  <c r="M12" i="881"/>
  <c r="K17" i="881"/>
  <c r="K14" i="881"/>
  <c r="C50" i="730"/>
  <c r="M22" i="881" l="1"/>
  <c r="M20" i="881"/>
  <c r="M14" i="881"/>
  <c r="M17" i="881"/>
  <c r="M15" i="881"/>
  <c r="M16" i="881"/>
  <c r="M13" i="881"/>
  <c r="M21" i="881"/>
  <c r="M18" i="881"/>
  <c r="M19" i="881"/>
  <c r="N49" i="881"/>
  <c r="N50" i="881"/>
  <c r="B55" i="881"/>
  <c r="B56" i="881"/>
  <c r="B57" i="881"/>
  <c r="B58" i="881"/>
  <c r="A1" i="4"/>
  <c r="C5" i="4"/>
  <c r="A8" i="4"/>
  <c r="A9" i="4"/>
  <c r="A10" i="4"/>
  <c r="A11" i="4"/>
  <c r="A12" i="4"/>
  <c r="A13" i="4"/>
  <c r="A14" i="4"/>
  <c r="A15" i="4"/>
  <c r="A16" i="4"/>
  <c r="A17" i="4"/>
  <c r="A18" i="4"/>
  <c r="A19" i="4"/>
  <c r="A20" i="4"/>
  <c r="A21" i="4"/>
  <c r="A22" i="4"/>
  <c r="A23" i="4"/>
  <c r="A24" i="4"/>
  <c r="A25" i="4"/>
  <c r="A26" i="4"/>
  <c r="A27" i="4"/>
  <c r="A34" i="4"/>
  <c r="C37" i="4"/>
  <c r="C39" i="4"/>
  <c r="G10" i="2"/>
  <c r="G11" i="2" s="1"/>
  <c r="D32" i="2"/>
  <c r="A32" i="2" s="1"/>
  <c r="G32" i="2"/>
  <c r="H32" i="2"/>
  <c r="I32" i="2"/>
  <c r="V32" i="2" s="1"/>
  <c r="K32" i="2"/>
  <c r="T32" i="2" s="1"/>
  <c r="H33" i="2"/>
  <c r="G33" i="2"/>
  <c r="I33" i="2" s="1"/>
  <c r="K33" i="2"/>
  <c r="T33" i="2" s="1"/>
  <c r="H34" i="2"/>
  <c r="G34" i="2"/>
  <c r="I34" i="2"/>
  <c r="R34" i="2" s="1"/>
  <c r="K34" i="2"/>
  <c r="V34" i="2"/>
  <c r="W34" i="2" s="1"/>
  <c r="Z32" i="2"/>
  <c r="AB32" i="2"/>
  <c r="AO32" i="2" s="1"/>
  <c r="AC32" i="2"/>
  <c r="AH32" i="2" s="1"/>
  <c r="AM32" i="2" s="1"/>
  <c r="AD32" i="2"/>
  <c r="AI32" i="2"/>
  <c r="P33" i="2"/>
  <c r="AI33" i="2"/>
  <c r="P34" i="2"/>
  <c r="AI34" i="2"/>
  <c r="AJ32" i="2" s="1"/>
  <c r="AL32" i="2"/>
  <c r="AR34" i="2"/>
  <c r="AU32" i="2"/>
  <c r="AV32" i="2" s="1"/>
  <c r="AU33" i="2"/>
  <c r="AU34" i="2"/>
  <c r="D33" i="2"/>
  <c r="A33" i="2" s="1"/>
  <c r="N33" i="2"/>
  <c r="N34" i="2" s="1"/>
  <c r="O33" i="2"/>
  <c r="AC33" i="2"/>
  <c r="AH33" i="2" s="1"/>
  <c r="AM33" i="2" s="1"/>
  <c r="AD33" i="2"/>
  <c r="O34" i="2"/>
  <c r="T34" i="2"/>
  <c r="AC34" i="2"/>
  <c r="AD34" i="2"/>
  <c r="AH34" i="2" s="1"/>
  <c r="AM34" i="2" s="1"/>
  <c r="F35" i="2"/>
  <c r="G35" i="2"/>
  <c r="H35" i="2"/>
  <c r="I35" i="2" s="1"/>
  <c r="K35" i="2"/>
  <c r="T35" i="2" s="1"/>
  <c r="F36" i="2"/>
  <c r="G36" i="2" s="1"/>
  <c r="H36" i="2"/>
  <c r="K36" i="2"/>
  <c r="F37" i="2"/>
  <c r="G37" i="2" s="1"/>
  <c r="H37" i="2"/>
  <c r="K37" i="2"/>
  <c r="Z35" i="2"/>
  <c r="AB35" i="2" s="1"/>
  <c r="AO35" i="2" s="1"/>
  <c r="AC35" i="2"/>
  <c r="AD35" i="2"/>
  <c r="AH35" i="2"/>
  <c r="AI35" i="2"/>
  <c r="P36" i="2"/>
  <c r="P37" i="2" s="1"/>
  <c r="AI37" i="2" s="1"/>
  <c r="AI36" i="2"/>
  <c r="AL35" i="2"/>
  <c r="AM35" i="2"/>
  <c r="AU36" i="2"/>
  <c r="N36" i="2"/>
  <c r="O36" i="2"/>
  <c r="O37" i="2" s="1"/>
  <c r="T36" i="2"/>
  <c r="AC36" i="2"/>
  <c r="AD36" i="2"/>
  <c r="AH36" i="2" s="1"/>
  <c r="AM36" i="2" s="1"/>
  <c r="N37" i="2"/>
  <c r="T37" i="2"/>
  <c r="AC37" i="2"/>
  <c r="AH37" i="2" s="1"/>
  <c r="AM37" i="2" s="1"/>
  <c r="AD37" i="2"/>
  <c r="F38" i="2"/>
  <c r="F44" i="2" s="1"/>
  <c r="G38" i="2"/>
  <c r="I38" i="2" s="1"/>
  <c r="H38" i="2"/>
  <c r="K38" i="2"/>
  <c r="T38" i="2" s="1"/>
  <c r="K39" i="2"/>
  <c r="K40" i="2"/>
  <c r="Z38" i="2"/>
  <c r="AB38" i="2" s="1"/>
  <c r="AO38" i="2" s="1"/>
  <c r="AC38" i="2"/>
  <c r="AH38" i="2" s="1"/>
  <c r="AM38" i="2" s="1"/>
  <c r="AD38" i="2"/>
  <c r="AI38" i="2"/>
  <c r="P39" i="2"/>
  <c r="AI39" i="2"/>
  <c r="AJ38" i="2" s="1"/>
  <c r="P40" i="2"/>
  <c r="AI40" i="2"/>
  <c r="AL38" i="2"/>
  <c r="AU38" i="2"/>
  <c r="N39" i="2"/>
  <c r="N40" i="2" s="1"/>
  <c r="O39" i="2"/>
  <c r="T39" i="2"/>
  <c r="AC39" i="2"/>
  <c r="AH39" i="2" s="1"/>
  <c r="AM39" i="2" s="1"/>
  <c r="AD39" i="2"/>
  <c r="O40" i="2"/>
  <c r="T40" i="2"/>
  <c r="AC40" i="2"/>
  <c r="AD40" i="2"/>
  <c r="AH40" i="2" s="1"/>
  <c r="AM40" i="2" s="1"/>
  <c r="F41" i="2"/>
  <c r="G41" i="2" s="1"/>
  <c r="K41" i="2"/>
  <c r="T41" i="2" s="1"/>
  <c r="K42" i="2"/>
  <c r="T42" i="2" s="1"/>
  <c r="K43" i="2"/>
  <c r="Z41" i="2"/>
  <c r="AB41" i="2"/>
  <c r="AC41" i="2"/>
  <c r="AH41" i="2" s="1"/>
  <c r="AM41" i="2" s="1"/>
  <c r="AD41" i="2"/>
  <c r="AI41" i="2"/>
  <c r="P42" i="2"/>
  <c r="AI42" i="2" s="1"/>
  <c r="AL41" i="2"/>
  <c r="AO41" i="2"/>
  <c r="N42" i="2"/>
  <c r="O42" i="2"/>
  <c r="O43" i="2" s="1"/>
  <c r="AC42" i="2"/>
  <c r="AD42" i="2"/>
  <c r="AH42" i="2"/>
  <c r="AM42" i="2" s="1"/>
  <c r="N43" i="2"/>
  <c r="T43" i="2"/>
  <c r="AC43" i="2"/>
  <c r="AH43" i="2" s="1"/>
  <c r="AM43" i="2" s="1"/>
  <c r="AD43" i="2"/>
  <c r="K44" i="2"/>
  <c r="T44" i="2"/>
  <c r="K45" i="2"/>
  <c r="K46" i="2"/>
  <c r="Z44" i="2"/>
  <c r="AB44" i="2" s="1"/>
  <c r="AO44" i="2" s="1"/>
  <c r="AC44" i="2"/>
  <c r="AD44" i="2"/>
  <c r="AH44" i="2" s="1"/>
  <c r="AM44" i="2" s="1"/>
  <c r="AI44" i="2"/>
  <c r="AJ44" i="2" s="1"/>
  <c r="P45" i="2"/>
  <c r="AI45" i="2"/>
  <c r="P46" i="2"/>
  <c r="AI46" i="2" s="1"/>
  <c r="AL44" i="2"/>
  <c r="AT45" i="2"/>
  <c r="BC44" i="2"/>
  <c r="N45" i="2"/>
  <c r="N46" i="2" s="1"/>
  <c r="O45" i="2"/>
  <c r="O46" i="2" s="1"/>
  <c r="T45" i="2"/>
  <c r="AC45" i="2"/>
  <c r="AH45" i="2" s="1"/>
  <c r="AM45" i="2" s="1"/>
  <c r="AD45" i="2"/>
  <c r="T46" i="2"/>
  <c r="AC46" i="2"/>
  <c r="AH46" i="2" s="1"/>
  <c r="AM46" i="2" s="1"/>
  <c r="AD46" i="2"/>
  <c r="F47" i="2"/>
  <c r="G47" i="2"/>
  <c r="H47" i="2"/>
  <c r="AU47" i="2" s="1"/>
  <c r="I47" i="2"/>
  <c r="V47" i="2" s="1"/>
  <c r="K47" i="2"/>
  <c r="S47" i="2"/>
  <c r="T47" i="2" s="1"/>
  <c r="K48" i="2"/>
  <c r="K49" i="2"/>
  <c r="Z47" i="2"/>
  <c r="AB47" i="2" s="1"/>
  <c r="AO47" i="2" s="1"/>
  <c r="AI47" i="2"/>
  <c r="P48" i="2"/>
  <c r="AI48" i="2"/>
  <c r="P49" i="2"/>
  <c r="AI49" i="2"/>
  <c r="AJ47" i="2"/>
  <c r="AL47" i="2"/>
  <c r="N48" i="2"/>
  <c r="N49" i="2" s="1"/>
  <c r="O48" i="2"/>
  <c r="T48" i="2"/>
  <c r="O49" i="2"/>
  <c r="T49" i="2"/>
  <c r="F50" i="2"/>
  <c r="G50" i="2"/>
  <c r="H50" i="2"/>
  <c r="AU50" i="2" s="1"/>
  <c r="I50" i="2"/>
  <c r="V50" i="2" s="1"/>
  <c r="K50" i="2"/>
  <c r="S50" i="2"/>
  <c r="T50" i="2" s="1"/>
  <c r="K51" i="2"/>
  <c r="K52" i="2"/>
  <c r="Z50" i="2"/>
  <c r="AB50" i="2" s="1"/>
  <c r="AO50" i="2" s="1"/>
  <c r="AI50" i="2"/>
  <c r="P51" i="2"/>
  <c r="AI51" i="2"/>
  <c r="P52" i="2"/>
  <c r="AI52" i="2"/>
  <c r="AJ50" i="2"/>
  <c r="AL50" i="2"/>
  <c r="N51" i="2"/>
  <c r="N52" i="2" s="1"/>
  <c r="O51" i="2"/>
  <c r="T51" i="2"/>
  <c r="O52" i="2"/>
  <c r="T52" i="2"/>
  <c r="D53" i="2"/>
  <c r="A53" i="2" s="1"/>
  <c r="F53" i="2"/>
  <c r="C53" i="2"/>
  <c r="G53" i="2"/>
  <c r="H53" i="2"/>
  <c r="I53" i="2"/>
  <c r="AU53" i="2" s="1"/>
  <c r="K53" i="2"/>
  <c r="T53" i="2" s="1"/>
  <c r="F54" i="2"/>
  <c r="H54" i="2"/>
  <c r="I54" i="2" s="1"/>
  <c r="G54" i="2"/>
  <c r="AC53" i="2"/>
  <c r="AH53" i="2" s="1"/>
  <c r="AM53" i="2" s="1"/>
  <c r="AD53" i="2"/>
  <c r="AC54" i="2"/>
  <c r="AH54" i="2" s="1"/>
  <c r="AD54" i="2"/>
  <c r="AC55" i="2"/>
  <c r="AD55" i="2"/>
  <c r="AH55" i="2" s="1"/>
  <c r="D54" i="2"/>
  <c r="A54" i="2"/>
  <c r="N54" i="2"/>
  <c r="O54" i="2"/>
  <c r="P54" i="2"/>
  <c r="D55" i="2"/>
  <c r="N55" i="2"/>
  <c r="O55" i="2"/>
  <c r="P55" i="2"/>
  <c r="D56" i="2"/>
  <c r="F56" i="2"/>
  <c r="G56" i="2" s="1"/>
  <c r="AC56" i="2"/>
  <c r="AH56" i="2" s="1"/>
  <c r="AD56" i="2"/>
  <c r="AC57" i="2"/>
  <c r="AH57" i="2" s="1"/>
  <c r="AD57" i="2"/>
  <c r="AC58" i="2"/>
  <c r="AH58" i="2" s="1"/>
  <c r="AD58" i="2"/>
  <c r="D57" i="2"/>
  <c r="N57" i="2"/>
  <c r="O57" i="2"/>
  <c r="P57" i="2"/>
  <c r="D58" i="2"/>
  <c r="N58" i="2"/>
  <c r="O58" i="2"/>
  <c r="P58" i="2"/>
  <c r="D59" i="2"/>
  <c r="AC59" i="2"/>
  <c r="AD59" i="2"/>
  <c r="AH59" i="2"/>
  <c r="AC60" i="2"/>
  <c r="AD60" i="2"/>
  <c r="AH60" i="2"/>
  <c r="AH61" i="2"/>
  <c r="N60" i="2"/>
  <c r="O60" i="2"/>
  <c r="P60" i="2"/>
  <c r="N61" i="2"/>
  <c r="O61" i="2"/>
  <c r="P61" i="2"/>
  <c r="AC62" i="2"/>
  <c r="AH62" i="2" s="1"/>
  <c r="AD62" i="2"/>
  <c r="AC63" i="2"/>
  <c r="AD63" i="2"/>
  <c r="AC64" i="2"/>
  <c r="AD64" i="2"/>
  <c r="AH64" i="2" s="1"/>
  <c r="N63" i="2"/>
  <c r="O63" i="2"/>
  <c r="P63" i="2"/>
  <c r="N64" i="2"/>
  <c r="O64" i="2"/>
  <c r="P64" i="2"/>
  <c r="AC65" i="2"/>
  <c r="AH65" i="2" s="1"/>
  <c r="AD65" i="2"/>
  <c r="AH66" i="2"/>
  <c r="N66" i="2"/>
  <c r="N67" i="2" s="1"/>
  <c r="O66" i="2"/>
  <c r="P66" i="2"/>
  <c r="P67" i="2" s="1"/>
  <c r="O67" i="2"/>
  <c r="D68" i="2"/>
  <c r="A68" i="2" s="1"/>
  <c r="F68" i="2"/>
  <c r="C68" i="2"/>
  <c r="G68" i="2"/>
  <c r="H68" i="2"/>
  <c r="I68" i="2"/>
  <c r="K68" i="2"/>
  <c r="F69" i="2"/>
  <c r="F72" i="2" s="1"/>
  <c r="H69" i="2"/>
  <c r="I69" i="2" s="1"/>
  <c r="G69" i="2"/>
  <c r="Z68" i="2"/>
  <c r="AB68" i="2" s="1"/>
  <c r="AO68" i="2" s="1"/>
  <c r="AH68" i="2"/>
  <c r="AM68" i="2" s="1"/>
  <c r="AI68" i="2" s="1"/>
  <c r="AD69" i="2"/>
  <c r="AH69" i="2"/>
  <c r="AH70" i="2"/>
  <c r="AL68" i="2"/>
  <c r="D69" i="2"/>
  <c r="N69" i="2"/>
  <c r="O69" i="2"/>
  <c r="P69" i="2"/>
  <c r="N70" i="2"/>
  <c r="O70" i="2"/>
  <c r="P70" i="2"/>
  <c r="F71" i="2"/>
  <c r="F74" i="2" s="1"/>
  <c r="G71" i="2"/>
  <c r="K71" i="2"/>
  <c r="Z71" i="2"/>
  <c r="AB71" i="2"/>
  <c r="AH71" i="2"/>
  <c r="AM71" i="2"/>
  <c r="AI71" i="2" s="1"/>
  <c r="AD72" i="2"/>
  <c r="AH72" i="2" s="1"/>
  <c r="AC73" i="2"/>
  <c r="AD73" i="2"/>
  <c r="AH73" i="2"/>
  <c r="N72" i="2"/>
  <c r="O72" i="2"/>
  <c r="P72" i="2"/>
  <c r="N73" i="2"/>
  <c r="O73" i="2"/>
  <c r="P73" i="2"/>
  <c r="AH74" i="2"/>
  <c r="AD75" i="2"/>
  <c r="AH75" i="2" s="1"/>
  <c r="AC76" i="2"/>
  <c r="AH76" i="2" s="1"/>
  <c r="AD76" i="2"/>
  <c r="N75" i="2"/>
  <c r="O75" i="2"/>
  <c r="P75" i="2"/>
  <c r="N76" i="2"/>
  <c r="O76" i="2"/>
  <c r="P76" i="2"/>
  <c r="Z77" i="2"/>
  <c r="AB77" i="2" s="1"/>
  <c r="AH77" i="2"/>
  <c r="AD78" i="2"/>
  <c r="AH78" i="2" s="1"/>
  <c r="AC79" i="2"/>
  <c r="AD79" i="2"/>
  <c r="AH79" i="2" s="1"/>
  <c r="N78" i="2"/>
  <c r="O78" i="2"/>
  <c r="P78" i="2"/>
  <c r="N79" i="2"/>
  <c r="O79" i="2"/>
  <c r="P79" i="2"/>
  <c r="Z80" i="2"/>
  <c r="AB80" i="2" s="1"/>
  <c r="AC80" i="2"/>
  <c r="AH80" i="2" s="1"/>
  <c r="AD80" i="2"/>
  <c r="AC81" i="2"/>
  <c r="AH81" i="2" s="1"/>
  <c r="AD81" i="2"/>
  <c r="AH82" i="2"/>
  <c r="N81" i="2"/>
  <c r="O81" i="2"/>
  <c r="P81" i="2"/>
  <c r="N82" i="2"/>
  <c r="O82" i="2"/>
  <c r="P82" i="2"/>
  <c r="D83" i="2"/>
  <c r="F83" i="2"/>
  <c r="A83" i="2"/>
  <c r="B83" i="2"/>
  <c r="C83" i="2"/>
  <c r="G83" i="2"/>
  <c r="H83" i="2"/>
  <c r="I83" i="2" s="1"/>
  <c r="AU83" i="2" s="1"/>
  <c r="K83" i="2"/>
  <c r="T83" i="2"/>
  <c r="F84" i="2"/>
  <c r="K84" i="2"/>
  <c r="F85" i="2"/>
  <c r="K85" i="2"/>
  <c r="AH83" i="2"/>
  <c r="AM83" i="2"/>
  <c r="AH84" i="2"/>
  <c r="AM84" i="2"/>
  <c r="AC85" i="2"/>
  <c r="AD85" i="2"/>
  <c r="AF85" i="2"/>
  <c r="AH85" i="2"/>
  <c r="AM85" i="2" s="1"/>
  <c r="D84" i="2"/>
  <c r="N84" i="2"/>
  <c r="N85" i="2" s="1"/>
  <c r="O84" i="2"/>
  <c r="P84" i="2"/>
  <c r="T84" i="2"/>
  <c r="D85" i="2"/>
  <c r="O85" i="2"/>
  <c r="P85" i="2"/>
  <c r="T85" i="2"/>
  <c r="D86" i="2"/>
  <c r="F86" i="2"/>
  <c r="B86" i="2" s="1"/>
  <c r="A86" i="2"/>
  <c r="K86" i="2"/>
  <c r="T86" i="2"/>
  <c r="K87" i="2"/>
  <c r="K88" i="2"/>
  <c r="AH86" i="2"/>
  <c r="AM86" i="2"/>
  <c r="AH87" i="2"/>
  <c r="AM87" i="2" s="1"/>
  <c r="AC88" i="2"/>
  <c r="AH88" i="2" s="1"/>
  <c r="AM88" i="2" s="1"/>
  <c r="AD88" i="2"/>
  <c r="D87" i="2"/>
  <c r="N87" i="2"/>
  <c r="O87" i="2"/>
  <c r="P87" i="2"/>
  <c r="T87" i="2"/>
  <c r="N88" i="2"/>
  <c r="O88" i="2"/>
  <c r="P88" i="2"/>
  <c r="T88" i="2"/>
  <c r="K89" i="2"/>
  <c r="T89" i="2" s="1"/>
  <c r="K90" i="2"/>
  <c r="T90" i="2" s="1"/>
  <c r="K91" i="2"/>
  <c r="T91" i="2" s="1"/>
  <c r="AH89" i="2"/>
  <c r="AH90" i="2"/>
  <c r="AM90" i="2"/>
  <c r="AC91" i="2"/>
  <c r="AD91" i="2"/>
  <c r="AF91" i="2"/>
  <c r="N90" i="2"/>
  <c r="O90" i="2"/>
  <c r="P90" i="2"/>
  <c r="N91" i="2"/>
  <c r="O91" i="2"/>
  <c r="P91" i="2"/>
  <c r="K92" i="2"/>
  <c r="T92" i="2"/>
  <c r="K93" i="2"/>
  <c r="K94" i="2"/>
  <c r="AH92" i="2"/>
  <c r="AM92" i="2"/>
  <c r="AH93" i="2"/>
  <c r="AM93" i="2"/>
  <c r="AC94" i="2"/>
  <c r="AH94" i="2" s="1"/>
  <c r="AD94" i="2"/>
  <c r="AM94" i="2"/>
  <c r="N93" i="2"/>
  <c r="O93" i="2"/>
  <c r="P93" i="2"/>
  <c r="T93" i="2"/>
  <c r="N94" i="2"/>
  <c r="O94" i="2"/>
  <c r="P94" i="2"/>
  <c r="T94" i="2"/>
  <c r="K95" i="2"/>
  <c r="T95" i="2"/>
  <c r="V95" i="2"/>
  <c r="W95" i="2"/>
  <c r="K96" i="2"/>
  <c r="K97" i="2"/>
  <c r="Z95" i="2"/>
  <c r="AB95" i="2" s="1"/>
  <c r="AO95" i="2" s="1"/>
  <c r="AX95" i="2" s="1"/>
  <c r="AA95" i="2"/>
  <c r="AH95" i="2"/>
  <c r="AM95" i="2"/>
  <c r="AI95" i="2" s="1"/>
  <c r="AH96" i="2"/>
  <c r="AM96" i="2"/>
  <c r="AH97" i="2"/>
  <c r="AM97" i="2" s="1"/>
  <c r="AL95" i="2"/>
  <c r="AN95" i="2"/>
  <c r="AW95" i="2" s="1"/>
  <c r="AR95" i="2"/>
  <c r="AU95" i="2"/>
  <c r="N96" i="2"/>
  <c r="O96" i="2"/>
  <c r="P96" i="2"/>
  <c r="T96" i="2"/>
  <c r="N97" i="2"/>
  <c r="O97" i="2"/>
  <c r="P97" i="2"/>
  <c r="T97" i="2"/>
  <c r="D98" i="2"/>
  <c r="F98" i="2"/>
  <c r="A98" i="2"/>
  <c r="B98" i="2"/>
  <c r="C98" i="2"/>
  <c r="G98" i="2"/>
  <c r="H98" i="2"/>
  <c r="K98" i="2"/>
  <c r="T98" i="2"/>
  <c r="F99" i="2"/>
  <c r="F100" i="2"/>
  <c r="AH98" i="2"/>
  <c r="AM98" i="2"/>
  <c r="AC99" i="2"/>
  <c r="AD99" i="2"/>
  <c r="AC100" i="2"/>
  <c r="AD100" i="2"/>
  <c r="AH100" i="2" s="1"/>
  <c r="AK98" i="2"/>
  <c r="AT98" i="2"/>
  <c r="AT99" i="2"/>
  <c r="AT100" i="2"/>
  <c r="D99" i="2"/>
  <c r="N99" i="2"/>
  <c r="O99" i="2"/>
  <c r="P99" i="2"/>
  <c r="D100" i="2"/>
  <c r="N100" i="2"/>
  <c r="C100" i="2"/>
  <c r="O100" i="2"/>
  <c r="P100" i="2"/>
  <c r="D101" i="2"/>
  <c r="F101" i="2"/>
  <c r="A101" i="2"/>
  <c r="B101" i="2"/>
  <c r="C101" i="2"/>
  <c r="G101" i="2"/>
  <c r="H101" i="2"/>
  <c r="I101" i="2" s="1"/>
  <c r="AR101" i="2" s="1"/>
  <c r="K101" i="2"/>
  <c r="T101" i="2"/>
  <c r="F103" i="2"/>
  <c r="H103" i="2"/>
  <c r="AC101" i="2"/>
  <c r="AD101" i="2"/>
  <c r="AH101" i="2" s="1"/>
  <c r="AM101" i="2"/>
  <c r="AC102" i="2"/>
  <c r="AH102" i="2" s="1"/>
  <c r="AD102" i="2"/>
  <c r="AC103" i="2"/>
  <c r="AD103" i="2"/>
  <c r="AH103" i="2"/>
  <c r="AT101" i="2"/>
  <c r="AT102" i="2"/>
  <c r="AT103" i="2"/>
  <c r="D102" i="2"/>
  <c r="N102" i="2"/>
  <c r="O102" i="2"/>
  <c r="O103" i="2" s="1"/>
  <c r="P102" i="2"/>
  <c r="D103" i="2"/>
  <c r="N103" i="2"/>
  <c r="B103" i="2"/>
  <c r="C103" i="2"/>
  <c r="P103" i="2"/>
  <c r="D104" i="2"/>
  <c r="F104" i="2"/>
  <c r="B104" i="2" s="1"/>
  <c r="AC104" i="2"/>
  <c r="AH104" i="2" s="1"/>
  <c r="AD104" i="2"/>
  <c r="AC105" i="2"/>
  <c r="AH105" i="2" s="1"/>
  <c r="AD105" i="2"/>
  <c r="AC106" i="2"/>
  <c r="AH106" i="2" s="1"/>
  <c r="AD106" i="2"/>
  <c r="AT104" i="2"/>
  <c r="AT105" i="2"/>
  <c r="AT106" i="2"/>
  <c r="D105" i="2"/>
  <c r="N105" i="2"/>
  <c r="O105" i="2"/>
  <c r="P105" i="2"/>
  <c r="D106" i="2"/>
  <c r="N106" i="2"/>
  <c r="O106" i="2"/>
  <c r="P106" i="2"/>
  <c r="AC107" i="2"/>
  <c r="AD107" i="2"/>
  <c r="AH107" i="2"/>
  <c r="AC108" i="2"/>
  <c r="AD108" i="2"/>
  <c r="AH108" i="2"/>
  <c r="AC109" i="2"/>
  <c r="AD109" i="2"/>
  <c r="AH109" i="2"/>
  <c r="AT107" i="2"/>
  <c r="AT108" i="2"/>
  <c r="AT109" i="2"/>
  <c r="N108" i="2"/>
  <c r="O108" i="2"/>
  <c r="P108" i="2"/>
  <c r="N109" i="2"/>
  <c r="O109" i="2"/>
  <c r="P109" i="2"/>
  <c r="AC110" i="2"/>
  <c r="AH110" i="2" s="1"/>
  <c r="AD110" i="2"/>
  <c r="AC111" i="2"/>
  <c r="AD111" i="2"/>
  <c r="AH111" i="2"/>
  <c r="AC112" i="2"/>
  <c r="AH112" i="2" s="1"/>
  <c r="AD112" i="2"/>
  <c r="AT110" i="2"/>
  <c r="AT112" i="2"/>
  <c r="N111" i="2"/>
  <c r="O111" i="2"/>
  <c r="P111" i="2"/>
  <c r="N112" i="2"/>
  <c r="O112" i="2"/>
  <c r="P112" i="2"/>
  <c r="D113" i="2"/>
  <c r="D114" i="2" s="1"/>
  <c r="F113" i="2"/>
  <c r="C113" i="2"/>
  <c r="K113" i="2"/>
  <c r="T113" i="2"/>
  <c r="F114" i="2"/>
  <c r="H114" i="2" s="1"/>
  <c r="G114" i="2"/>
  <c r="I114" i="2"/>
  <c r="R114" i="2" s="1"/>
  <c r="K114" i="2"/>
  <c r="F115" i="2"/>
  <c r="H115" i="2"/>
  <c r="G115" i="2"/>
  <c r="I115" i="2"/>
  <c r="R115" i="2" s="1"/>
  <c r="K115" i="2"/>
  <c r="AC113" i="2"/>
  <c r="AD113" i="2"/>
  <c r="AH113" i="2" s="1"/>
  <c r="AM113" i="2" s="1"/>
  <c r="AC114" i="2"/>
  <c r="AD114" i="2"/>
  <c r="AH114" i="2"/>
  <c r="AM114" i="2" s="1"/>
  <c r="AI114" i="2" s="1"/>
  <c r="AH115" i="2"/>
  <c r="AM115" i="2" s="1"/>
  <c r="AU115" i="2"/>
  <c r="N114" i="2"/>
  <c r="O114" i="2"/>
  <c r="P114" i="2"/>
  <c r="T114" i="2"/>
  <c r="N115" i="2"/>
  <c r="O115" i="2"/>
  <c r="P115" i="2"/>
  <c r="T115" i="2"/>
  <c r="F116" i="2"/>
  <c r="G116" i="2"/>
  <c r="H116" i="2"/>
  <c r="I116" i="2"/>
  <c r="R116" i="2" s="1"/>
  <c r="K116" i="2"/>
  <c r="T116" i="2"/>
  <c r="F117" i="2"/>
  <c r="F120" i="2" s="1"/>
  <c r="H117" i="2"/>
  <c r="I117" i="2" s="1"/>
  <c r="G117" i="2"/>
  <c r="K117" i="2"/>
  <c r="F118" i="2"/>
  <c r="F121" i="2" s="1"/>
  <c r="H118" i="2"/>
  <c r="I118" i="2" s="1"/>
  <c r="G118" i="2"/>
  <c r="K118" i="2"/>
  <c r="AC116" i="2"/>
  <c r="AD116" i="2"/>
  <c r="AH116" i="2"/>
  <c r="AM116" i="2"/>
  <c r="AC117" i="2"/>
  <c r="AH117" i="2" s="1"/>
  <c r="AM117" i="2" s="1"/>
  <c r="AD117" i="2"/>
  <c r="AH118" i="2"/>
  <c r="AM118" i="2"/>
  <c r="N117" i="2"/>
  <c r="O117" i="2"/>
  <c r="P117" i="2"/>
  <c r="T117" i="2"/>
  <c r="N118" i="2"/>
  <c r="O118" i="2"/>
  <c r="P118" i="2"/>
  <c r="T118" i="2"/>
  <c r="F119" i="2"/>
  <c r="G119" i="2" s="1"/>
  <c r="I119" i="2" s="1"/>
  <c r="H119" i="2"/>
  <c r="K119" i="2"/>
  <c r="T119" i="2" s="1"/>
  <c r="K120" i="2"/>
  <c r="K121" i="2"/>
  <c r="AC119" i="2"/>
  <c r="AD119" i="2"/>
  <c r="AH119" i="2"/>
  <c r="AM119" i="2" s="1"/>
  <c r="AC120" i="2"/>
  <c r="AD120" i="2"/>
  <c r="AH120" i="2"/>
  <c r="AM120" i="2" s="1"/>
  <c r="AH121" i="2"/>
  <c r="AM121" i="2" s="1"/>
  <c r="N120" i="2"/>
  <c r="O120" i="2"/>
  <c r="P120" i="2"/>
  <c r="T120" i="2"/>
  <c r="N121" i="2"/>
  <c r="O121" i="2"/>
  <c r="P121" i="2"/>
  <c r="T121" i="2"/>
  <c r="K122" i="2"/>
  <c r="T122" i="2" s="1"/>
  <c r="V123" i="2"/>
  <c r="K123" i="2"/>
  <c r="AM123" i="2" s="1"/>
  <c r="K124" i="2"/>
  <c r="Z122" i="2"/>
  <c r="AB122" i="2"/>
  <c r="AO122" i="2" s="1"/>
  <c r="AC122" i="2"/>
  <c r="AH122" i="2" s="1"/>
  <c r="AM122" i="2" s="1"/>
  <c r="AI122" i="2" s="1"/>
  <c r="AD122" i="2"/>
  <c r="AH123" i="2"/>
  <c r="AH124" i="2"/>
  <c r="AM124" i="2" s="1"/>
  <c r="AL122" i="2"/>
  <c r="N123" i="2"/>
  <c r="O123" i="2"/>
  <c r="P123" i="2"/>
  <c r="T123" i="2"/>
  <c r="N124" i="2"/>
  <c r="O124" i="2"/>
  <c r="P124" i="2"/>
  <c r="T124" i="2"/>
  <c r="K125" i="2"/>
  <c r="T125" i="2"/>
  <c r="K126" i="2"/>
  <c r="T126" i="2" s="1"/>
  <c r="K127" i="2"/>
  <c r="Z125" i="2"/>
  <c r="AB125" i="2" s="1"/>
  <c r="AO125" i="2" s="1"/>
  <c r="AC125" i="2"/>
  <c r="AD125" i="2"/>
  <c r="AH125" i="2"/>
  <c r="AM125" i="2"/>
  <c r="AI125" i="2" s="1"/>
  <c r="AH126" i="2"/>
  <c r="AM126" i="2"/>
  <c r="AH127" i="2"/>
  <c r="AM127" i="2"/>
  <c r="AL125" i="2"/>
  <c r="N126" i="2"/>
  <c r="O126" i="2"/>
  <c r="P126" i="2"/>
  <c r="N127" i="2"/>
  <c r="O127" i="2"/>
  <c r="P127" i="2"/>
  <c r="T127" i="2"/>
  <c r="D128" i="2"/>
  <c r="C128" i="2" s="1"/>
  <c r="A128" i="2"/>
  <c r="B128" i="2"/>
  <c r="G128" i="2"/>
  <c r="H128" i="2"/>
  <c r="K128" i="2"/>
  <c r="T128" i="2"/>
  <c r="V128" i="2"/>
  <c r="W128" i="2"/>
  <c r="H129" i="2"/>
  <c r="I129" i="2" s="1"/>
  <c r="G129" i="2"/>
  <c r="K129" i="2"/>
  <c r="T129" i="2" s="1"/>
  <c r="H130" i="2"/>
  <c r="I130" i="2" s="1"/>
  <c r="G130" i="2"/>
  <c r="K130" i="2"/>
  <c r="Z128" i="2"/>
  <c r="AB128" i="2" s="1"/>
  <c r="AO128" i="2" s="1"/>
  <c r="AX128" i="2" s="1"/>
  <c r="AA128" i="2"/>
  <c r="AC128" i="2"/>
  <c r="AH128" i="2" s="1"/>
  <c r="AM128" i="2" s="1"/>
  <c r="AI128" i="2" s="1"/>
  <c r="AD128" i="2"/>
  <c r="AH129" i="2"/>
  <c r="AM129" i="2"/>
  <c r="AH130" i="2"/>
  <c r="AM130" i="2"/>
  <c r="AL128" i="2"/>
  <c r="AR128" i="2"/>
  <c r="AU128" i="2"/>
  <c r="D129" i="2"/>
  <c r="A129" i="2" s="1"/>
  <c r="N129" i="2"/>
  <c r="O129" i="2"/>
  <c r="P129" i="2"/>
  <c r="D130" i="2"/>
  <c r="A130" i="2" s="1"/>
  <c r="N130" i="2"/>
  <c r="O130" i="2"/>
  <c r="P130" i="2"/>
  <c r="T130" i="2"/>
  <c r="D131" i="2"/>
  <c r="A131" i="2" s="1"/>
  <c r="F131" i="2"/>
  <c r="G131" i="2"/>
  <c r="I131" i="2" s="1"/>
  <c r="H131" i="2"/>
  <c r="K131" i="2"/>
  <c r="T131" i="2" s="1"/>
  <c r="F132" i="2"/>
  <c r="F135" i="2" s="1"/>
  <c r="K132" i="2"/>
  <c r="F133" i="2"/>
  <c r="F136" i="2" s="1"/>
  <c r="K133" i="2"/>
  <c r="AC131" i="2"/>
  <c r="AD131" i="2"/>
  <c r="AH131" i="2"/>
  <c r="AC132" i="2"/>
  <c r="AD132" i="2"/>
  <c r="AH132" i="2"/>
  <c r="AM132" i="2" s="1"/>
  <c r="AC133" i="2"/>
  <c r="AD133" i="2"/>
  <c r="AH133" i="2"/>
  <c r="AM133" i="2" s="1"/>
  <c r="N132" i="2"/>
  <c r="O132" i="2"/>
  <c r="P132" i="2"/>
  <c r="T132" i="2"/>
  <c r="N133" i="2"/>
  <c r="O133" i="2"/>
  <c r="P133" i="2"/>
  <c r="T133" i="2"/>
  <c r="F134" i="2"/>
  <c r="G134" i="2" s="1"/>
  <c r="H134" i="2"/>
  <c r="K134" i="2"/>
  <c r="V134" i="2" s="1"/>
  <c r="K135" i="2"/>
  <c r="K136" i="2"/>
  <c r="AC134" i="2"/>
  <c r="AD134" i="2"/>
  <c r="AH134" i="2"/>
  <c r="AM134" i="2" s="1"/>
  <c r="AH135" i="2"/>
  <c r="AM135" i="2"/>
  <c r="AH136" i="2"/>
  <c r="AM136" i="2"/>
  <c r="AR134" i="2"/>
  <c r="N135" i="2"/>
  <c r="O135" i="2"/>
  <c r="P135" i="2"/>
  <c r="T135" i="2"/>
  <c r="N136" i="2"/>
  <c r="O136" i="2"/>
  <c r="P136" i="2"/>
  <c r="T136" i="2"/>
  <c r="F137" i="2"/>
  <c r="G137" i="2" s="1"/>
  <c r="H137" i="2"/>
  <c r="K137" i="2"/>
  <c r="T137" i="2" s="1"/>
  <c r="V138" i="2"/>
  <c r="F138" i="2"/>
  <c r="K138" i="2"/>
  <c r="K139" i="2"/>
  <c r="T139" i="2" s="1"/>
  <c r="AC137" i="2"/>
  <c r="AH137" i="2" s="1"/>
  <c r="AM137" i="2" s="1"/>
  <c r="AD137" i="2"/>
  <c r="AC138" i="2"/>
  <c r="AH138" i="2" s="1"/>
  <c r="AM138" i="2" s="1"/>
  <c r="AD138" i="2"/>
  <c r="AC139" i="2"/>
  <c r="AD139" i="2"/>
  <c r="AH139" i="2"/>
  <c r="AM139" i="2"/>
  <c r="N138" i="2"/>
  <c r="O138" i="2"/>
  <c r="P138" i="2"/>
  <c r="T138" i="2"/>
  <c r="N139" i="2"/>
  <c r="O139" i="2"/>
  <c r="P139" i="2"/>
  <c r="K140" i="2"/>
  <c r="T140" i="2" s="1"/>
  <c r="K141" i="2"/>
  <c r="K142" i="2"/>
  <c r="AC140" i="2"/>
  <c r="AD140" i="2"/>
  <c r="AH140" i="2"/>
  <c r="AM140" i="2" s="1"/>
  <c r="AC141" i="2"/>
  <c r="AD141" i="2"/>
  <c r="AH141" i="2"/>
  <c r="AM141" i="2" s="1"/>
  <c r="AC142" i="2"/>
  <c r="AH142" i="2" s="1"/>
  <c r="AM142" i="2" s="1"/>
  <c r="AD142" i="2"/>
  <c r="N141" i="2"/>
  <c r="N142" i="2" s="1"/>
  <c r="O141" i="2"/>
  <c r="P141" i="2"/>
  <c r="T141" i="2"/>
  <c r="O142" i="2"/>
  <c r="P142" i="2"/>
  <c r="T142" i="2"/>
  <c r="D143" i="2"/>
  <c r="B143" i="2" s="1"/>
  <c r="F143" i="2"/>
  <c r="H143" i="2" s="1"/>
  <c r="I143" i="2" s="1"/>
  <c r="A143" i="2"/>
  <c r="G143" i="2"/>
  <c r="F144" i="2"/>
  <c r="F145" i="2"/>
  <c r="AC143" i="2"/>
  <c r="AD143" i="2"/>
  <c r="AC144" i="2"/>
  <c r="AD144" i="2"/>
  <c r="AH144" i="2" s="1"/>
  <c r="AH145" i="2"/>
  <c r="AT143" i="2"/>
  <c r="D144" i="2"/>
  <c r="N144" i="2"/>
  <c r="O144" i="2"/>
  <c r="P144" i="2"/>
  <c r="N145" i="2"/>
  <c r="O145" i="2"/>
  <c r="P145" i="2"/>
  <c r="F147" i="2"/>
  <c r="AC146" i="2"/>
  <c r="AD146" i="2"/>
  <c r="AH146" i="2"/>
  <c r="AC147" i="2"/>
  <c r="AD147" i="2"/>
  <c r="AH147" i="2"/>
  <c r="AH148" i="2"/>
  <c r="AT146" i="2"/>
  <c r="N147" i="2"/>
  <c r="N148" i="2" s="1"/>
  <c r="O147" i="2"/>
  <c r="P147" i="2"/>
  <c r="O148" i="2"/>
  <c r="P148" i="2"/>
  <c r="AC149" i="2"/>
  <c r="AH149" i="2" s="1"/>
  <c r="AD149" i="2"/>
  <c r="AC150" i="2"/>
  <c r="AD150" i="2"/>
  <c r="AH150" i="2"/>
  <c r="AC151" i="2"/>
  <c r="AH151" i="2"/>
  <c r="AT149" i="2"/>
  <c r="N150" i="2"/>
  <c r="O150" i="2"/>
  <c r="P150" i="2"/>
  <c r="N151" i="2"/>
  <c r="O151" i="2"/>
  <c r="P151" i="2"/>
  <c r="AC152" i="2"/>
  <c r="AD152" i="2"/>
  <c r="AH152" i="2" s="1"/>
  <c r="AC153" i="2"/>
  <c r="AH153" i="2" s="1"/>
  <c r="AD153" i="2"/>
  <c r="AH154" i="2"/>
  <c r="AP152" i="2"/>
  <c r="AT152" i="2"/>
  <c r="N153" i="2"/>
  <c r="O153" i="2"/>
  <c r="P153" i="2"/>
  <c r="N154" i="2"/>
  <c r="O154" i="2"/>
  <c r="P154" i="2"/>
  <c r="AC155" i="2"/>
  <c r="AD155" i="2"/>
  <c r="AH155" i="2" s="1"/>
  <c r="AC156" i="2"/>
  <c r="AD156" i="2"/>
  <c r="AH156" i="2" s="1"/>
  <c r="AC157" i="2"/>
  <c r="AD157" i="2"/>
  <c r="AH157" i="2" s="1"/>
  <c r="AT155" i="2"/>
  <c r="N156" i="2"/>
  <c r="O156" i="2"/>
  <c r="O157" i="2" s="1"/>
  <c r="P156" i="2"/>
  <c r="N157" i="2"/>
  <c r="P157" i="2"/>
  <c r="D158" i="2"/>
  <c r="A158" i="2"/>
  <c r="G158" i="2"/>
  <c r="H158" i="2"/>
  <c r="I158" i="2"/>
  <c r="R158" i="2" s="1"/>
  <c r="K158" i="2"/>
  <c r="T158" i="2"/>
  <c r="U158" i="2"/>
  <c r="H159" i="2"/>
  <c r="I159" i="2" s="1"/>
  <c r="G159" i="2"/>
  <c r="H160" i="2"/>
  <c r="G160" i="2"/>
  <c r="I160" i="2"/>
  <c r="AC158" i="2"/>
  <c r="AD158" i="2"/>
  <c r="AH158" i="2" s="1"/>
  <c r="AM158" i="2" s="1"/>
  <c r="AC159" i="2"/>
  <c r="AD159" i="2"/>
  <c r="AH159" i="2"/>
  <c r="AC160" i="2"/>
  <c r="AH160" i="2" s="1"/>
  <c r="AD160" i="2"/>
  <c r="AT159" i="2"/>
  <c r="D159" i="2"/>
  <c r="A159" i="2"/>
  <c r="N159" i="2"/>
  <c r="B159" i="2"/>
  <c r="O159" i="2"/>
  <c r="P159" i="2"/>
  <c r="D160" i="2"/>
  <c r="A160" i="2" s="1"/>
  <c r="N160" i="2"/>
  <c r="B160" i="2"/>
  <c r="O160" i="2"/>
  <c r="P160" i="2"/>
  <c r="D161" i="2"/>
  <c r="B161" i="2" s="1"/>
  <c r="F161" i="2"/>
  <c r="F162" i="2"/>
  <c r="H162" i="2"/>
  <c r="I162" i="2" s="1"/>
  <c r="G162" i="2"/>
  <c r="F163" i="2"/>
  <c r="H163" i="2"/>
  <c r="I163" i="2" s="1"/>
  <c r="G163" i="2"/>
  <c r="AC161" i="2"/>
  <c r="AH161" i="2" s="1"/>
  <c r="AD161" i="2"/>
  <c r="AC162" i="2"/>
  <c r="AH162" i="2" s="1"/>
  <c r="AD162" i="2"/>
  <c r="AH163" i="2"/>
  <c r="N162" i="2"/>
  <c r="O162" i="2"/>
  <c r="O163" i="2" s="1"/>
  <c r="P162" i="2"/>
  <c r="N163" i="2"/>
  <c r="P163" i="2"/>
  <c r="F165" i="2"/>
  <c r="H165" i="2" s="1"/>
  <c r="F166" i="2"/>
  <c r="G166" i="2" s="1"/>
  <c r="H166" i="2"/>
  <c r="AC164" i="2"/>
  <c r="AH164" i="2" s="1"/>
  <c r="AD164" i="2"/>
  <c r="AH165" i="2"/>
  <c r="AH166" i="2"/>
  <c r="N165" i="2"/>
  <c r="N166" i="2" s="1"/>
  <c r="O165" i="2"/>
  <c r="O166" i="2" s="1"/>
  <c r="P165" i="2"/>
  <c r="P166" i="2" s="1"/>
  <c r="F168" i="2"/>
  <c r="H168" i="2" s="1"/>
  <c r="I168" i="2" s="1"/>
  <c r="G168" i="2"/>
  <c r="F169" i="2"/>
  <c r="G169" i="2" s="1"/>
  <c r="I169" i="2" s="1"/>
  <c r="H169" i="2"/>
  <c r="AC167" i="2"/>
  <c r="AD167" i="2"/>
  <c r="AH167" i="2"/>
  <c r="AC168" i="2"/>
  <c r="AD168" i="2"/>
  <c r="AH168" i="2"/>
  <c r="AH169" i="2"/>
  <c r="N168" i="2"/>
  <c r="O168" i="2"/>
  <c r="P168" i="2"/>
  <c r="N169" i="2"/>
  <c r="O169" i="2"/>
  <c r="P169" i="2"/>
  <c r="AC170" i="2"/>
  <c r="AH170" i="2" s="1"/>
  <c r="AD170" i="2"/>
  <c r="AC171" i="2"/>
  <c r="AD171" i="2"/>
  <c r="AH171" i="2" s="1"/>
  <c r="AC172" i="2"/>
  <c r="AH172" i="2" s="1"/>
  <c r="AD172" i="2"/>
  <c r="N171" i="2"/>
  <c r="O171" i="2"/>
  <c r="P171" i="2"/>
  <c r="N172" i="2"/>
  <c r="O172" i="2"/>
  <c r="P172" i="2"/>
  <c r="D173" i="2"/>
  <c r="F173" i="2"/>
  <c r="C173" i="2" s="1"/>
  <c r="K173" i="2"/>
  <c r="S173" i="2"/>
  <c r="T173" i="2" s="1"/>
  <c r="F174" i="2"/>
  <c r="H174" i="2" s="1"/>
  <c r="K174" i="2"/>
  <c r="F175" i="2"/>
  <c r="H175" i="2" s="1"/>
  <c r="K175" i="2"/>
  <c r="AC173" i="2"/>
  <c r="AD173" i="2"/>
  <c r="AH173" i="2"/>
  <c r="AM173" i="2" s="1"/>
  <c r="AC174" i="2"/>
  <c r="AD174" i="2"/>
  <c r="AH174" i="2"/>
  <c r="AM174" i="2" s="1"/>
  <c r="AC175" i="2"/>
  <c r="AD175" i="2"/>
  <c r="AH175" i="2"/>
  <c r="AM175" i="2" s="1"/>
  <c r="N174" i="2"/>
  <c r="O174" i="2"/>
  <c r="P174" i="2"/>
  <c r="T174" i="2"/>
  <c r="N175" i="2"/>
  <c r="O175" i="2"/>
  <c r="P175" i="2"/>
  <c r="T175" i="2"/>
  <c r="K176" i="2"/>
  <c r="T176" i="2"/>
  <c r="K177" i="2"/>
  <c r="K178" i="2"/>
  <c r="T178" i="2" s="1"/>
  <c r="Z176" i="2"/>
  <c r="AB176" i="2" s="1"/>
  <c r="AO176" i="2" s="1"/>
  <c r="AC176" i="2"/>
  <c r="AH176" i="2" s="1"/>
  <c r="AM176" i="2" s="1"/>
  <c r="AI176" i="2" s="1"/>
  <c r="AD176" i="2"/>
  <c r="AC177" i="2"/>
  <c r="AH177" i="2" s="1"/>
  <c r="AM177" i="2" s="1"/>
  <c r="AI177" i="2" s="1"/>
  <c r="AD177" i="2"/>
  <c r="AH178" i="2"/>
  <c r="AM178" i="2"/>
  <c r="AL176" i="2"/>
  <c r="N177" i="2"/>
  <c r="O177" i="2"/>
  <c r="P177" i="2"/>
  <c r="T177" i="2"/>
  <c r="Z177" i="2"/>
  <c r="AB177" i="2" s="1"/>
  <c r="AO177" i="2" s="1"/>
  <c r="AL177" i="2"/>
  <c r="N178" i="2"/>
  <c r="O178" i="2"/>
  <c r="P178" i="2"/>
  <c r="K179" i="2"/>
  <c r="T179" i="2" s="1"/>
  <c r="K180" i="2"/>
  <c r="T180" i="2" s="1"/>
  <c r="K181" i="2"/>
  <c r="T181" i="2" s="1"/>
  <c r="AC179" i="2"/>
  <c r="AD179" i="2"/>
  <c r="AH179" i="2"/>
  <c r="AM179" i="2" s="1"/>
  <c r="AC180" i="2"/>
  <c r="AD180" i="2"/>
  <c r="AE180" i="2"/>
  <c r="AH180" i="2" s="1"/>
  <c r="AM180" i="2" s="1"/>
  <c r="AH181" i="2"/>
  <c r="AM181" i="2"/>
  <c r="N180" i="2"/>
  <c r="O180" i="2"/>
  <c r="P180" i="2"/>
  <c r="N181" i="2"/>
  <c r="O181" i="2"/>
  <c r="P181" i="2"/>
  <c r="K182" i="2"/>
  <c r="T182" i="2" s="1"/>
  <c r="K183" i="2"/>
  <c r="K184" i="2"/>
  <c r="AC182" i="2"/>
  <c r="AD182" i="2"/>
  <c r="AH182" i="2"/>
  <c r="AM182" i="2" s="1"/>
  <c r="AC183" i="2"/>
  <c r="AD183" i="2"/>
  <c r="AH183" i="2"/>
  <c r="AM183" i="2" s="1"/>
  <c r="AC184" i="2"/>
  <c r="AH184" i="2" s="1"/>
  <c r="AM184" i="2" s="1"/>
  <c r="AD184" i="2"/>
  <c r="N183" i="2"/>
  <c r="O183" i="2"/>
  <c r="P183" i="2"/>
  <c r="T183" i="2"/>
  <c r="N184" i="2"/>
  <c r="O184" i="2"/>
  <c r="P184" i="2"/>
  <c r="T184" i="2"/>
  <c r="K185" i="2"/>
  <c r="T185" i="2"/>
  <c r="K186" i="2"/>
  <c r="K187" i="2"/>
  <c r="AC185" i="2"/>
  <c r="AH185" i="2" s="1"/>
  <c r="AM185" i="2" s="1"/>
  <c r="AD185" i="2"/>
  <c r="AC186" i="2"/>
  <c r="AD186" i="2"/>
  <c r="AH186" i="2"/>
  <c r="AM186" i="2" s="1"/>
  <c r="AC187" i="2"/>
  <c r="AD187" i="2"/>
  <c r="AH187" i="2"/>
  <c r="AM187" i="2" s="1"/>
  <c r="N186" i="2"/>
  <c r="O186" i="2"/>
  <c r="P186" i="2"/>
  <c r="T186" i="2"/>
  <c r="N187" i="2"/>
  <c r="O187" i="2"/>
  <c r="P187" i="2"/>
  <c r="T187" i="2"/>
  <c r="D188" i="2"/>
  <c r="A188" i="2" s="1"/>
  <c r="B188" i="2"/>
  <c r="G188" i="2"/>
  <c r="I188" i="2" s="1"/>
  <c r="H188" i="2"/>
  <c r="K188" i="2"/>
  <c r="T188" i="2" s="1"/>
  <c r="U188" i="2"/>
  <c r="H189" i="2"/>
  <c r="G189" i="2"/>
  <c r="I189" i="2"/>
  <c r="H190" i="2"/>
  <c r="I190" i="2" s="1"/>
  <c r="G190" i="2"/>
  <c r="AC188" i="2"/>
  <c r="AH188" i="2" s="1"/>
  <c r="AM188" i="2" s="1"/>
  <c r="AD188" i="2"/>
  <c r="AC189" i="2"/>
  <c r="AH189" i="2" s="1"/>
  <c r="AD189" i="2"/>
  <c r="AC190" i="2"/>
  <c r="AH190" i="2" s="1"/>
  <c r="AD190" i="2"/>
  <c r="D189" i="2"/>
  <c r="A189" i="2" s="1"/>
  <c r="N189" i="2"/>
  <c r="B189" i="2"/>
  <c r="O189" i="2"/>
  <c r="P189" i="2"/>
  <c r="D190" i="2"/>
  <c r="A190" i="2" s="1"/>
  <c r="N190" i="2"/>
  <c r="B190" i="2"/>
  <c r="O190" i="2"/>
  <c r="P190" i="2"/>
  <c r="D191" i="2"/>
  <c r="A191" i="2" s="1"/>
  <c r="F191" i="2"/>
  <c r="B191" i="2"/>
  <c r="G191" i="2"/>
  <c r="H191" i="2"/>
  <c r="I191" i="2" s="1"/>
  <c r="K191" i="2"/>
  <c r="T191" i="2" s="1"/>
  <c r="U191" i="2"/>
  <c r="F192" i="2"/>
  <c r="H192" i="2" s="1"/>
  <c r="I192" i="2" s="1"/>
  <c r="G192" i="2"/>
  <c r="F193" i="2"/>
  <c r="H193" i="2" s="1"/>
  <c r="I193" i="2" s="1"/>
  <c r="G193" i="2"/>
  <c r="AC191" i="2"/>
  <c r="AD191" i="2"/>
  <c r="AH191" i="2" s="1"/>
  <c r="AM191" i="2" s="1"/>
  <c r="AC192" i="2"/>
  <c r="AD192" i="2"/>
  <c r="AH192" i="2" s="1"/>
  <c r="AC193" i="2"/>
  <c r="AD193" i="2"/>
  <c r="AH193" i="2"/>
  <c r="N192" i="2"/>
  <c r="O192" i="2"/>
  <c r="P192" i="2"/>
  <c r="N193" i="2"/>
  <c r="O193" i="2"/>
  <c r="P193" i="2"/>
  <c r="F194" i="2"/>
  <c r="F197" i="2" s="1"/>
  <c r="AC194" i="2"/>
  <c r="AH194" i="2" s="1"/>
  <c r="AD194" i="2"/>
  <c r="AC195" i="2"/>
  <c r="AH195" i="2" s="1"/>
  <c r="AD195" i="2"/>
  <c r="AC196" i="2"/>
  <c r="AD196" i="2"/>
  <c r="AH196" i="2" s="1"/>
  <c r="N195" i="2"/>
  <c r="O195" i="2"/>
  <c r="P195" i="2"/>
  <c r="N196" i="2"/>
  <c r="O196" i="2"/>
  <c r="P196" i="2"/>
  <c r="U197" i="2"/>
  <c r="AC197" i="2"/>
  <c r="AH197" i="2" s="1"/>
  <c r="AD197" i="2"/>
  <c r="AC198" i="2"/>
  <c r="AD198" i="2"/>
  <c r="AH198" i="2"/>
  <c r="AC199" i="2"/>
  <c r="AD199" i="2"/>
  <c r="AH199" i="2"/>
  <c r="N198" i="2"/>
  <c r="O198" i="2"/>
  <c r="P198" i="2"/>
  <c r="N199" i="2"/>
  <c r="O199" i="2"/>
  <c r="P199" i="2"/>
  <c r="AC200" i="2"/>
  <c r="AH200" i="2" s="1"/>
  <c r="AD200" i="2"/>
  <c r="AC201" i="2"/>
  <c r="AD201" i="2"/>
  <c r="AH201" i="2" s="1"/>
  <c r="AC202" i="2"/>
  <c r="AH202" i="2" s="1"/>
  <c r="AD202" i="2"/>
  <c r="N201" i="2"/>
  <c r="O201" i="2"/>
  <c r="P201" i="2"/>
  <c r="N202" i="2"/>
  <c r="O202" i="2"/>
  <c r="P202" i="2"/>
  <c r="D203" i="2"/>
  <c r="C203" i="2" s="1"/>
  <c r="A203" i="2"/>
  <c r="B203" i="2"/>
  <c r="G203" i="2"/>
  <c r="H203" i="2"/>
  <c r="I203" i="2"/>
  <c r="R203" i="2" s="1"/>
  <c r="K203" i="2"/>
  <c r="T203" i="2"/>
  <c r="H204" i="2"/>
  <c r="G204" i="2"/>
  <c r="I204" i="2"/>
  <c r="H205" i="2"/>
  <c r="I205" i="2" s="1"/>
  <c r="G205" i="2"/>
  <c r="AC203" i="2"/>
  <c r="AH203" i="2" s="1"/>
  <c r="AM203" i="2" s="1"/>
  <c r="AI203" i="2" s="1"/>
  <c r="AD203" i="2"/>
  <c r="AH204" i="2"/>
  <c r="AH205" i="2"/>
  <c r="AK203" i="2"/>
  <c r="AL203" i="2" s="1"/>
  <c r="AR203" i="2"/>
  <c r="D204" i="2"/>
  <c r="A204" i="2"/>
  <c r="N204" i="2"/>
  <c r="B204" i="2" s="1"/>
  <c r="C204" i="2"/>
  <c r="O204" i="2"/>
  <c r="P204" i="2"/>
  <c r="D205" i="2"/>
  <c r="A205" i="2"/>
  <c r="N205" i="2"/>
  <c r="B205" i="2" s="1"/>
  <c r="C205" i="2"/>
  <c r="O205" i="2"/>
  <c r="P205" i="2"/>
  <c r="D206" i="2"/>
  <c r="F206" i="2"/>
  <c r="C206" i="2" s="1"/>
  <c r="F207" i="2"/>
  <c r="G207" i="2" s="1"/>
  <c r="H207" i="2"/>
  <c r="F208" i="2"/>
  <c r="H208" i="2"/>
  <c r="I208" i="2" s="1"/>
  <c r="G208" i="2"/>
  <c r="AC206" i="2"/>
  <c r="AH206" i="2" s="1"/>
  <c r="AD206" i="2"/>
  <c r="AH207" i="2"/>
  <c r="AH208" i="2"/>
  <c r="AK206" i="2"/>
  <c r="D207" i="2"/>
  <c r="A207" i="2"/>
  <c r="N207" i="2"/>
  <c r="B207" i="2"/>
  <c r="O207" i="2"/>
  <c r="P207" i="2"/>
  <c r="D208" i="2"/>
  <c r="A208" i="2"/>
  <c r="N208" i="2"/>
  <c r="B208" i="2"/>
  <c r="O208" i="2"/>
  <c r="P208" i="2"/>
  <c r="D209" i="2"/>
  <c r="F210" i="2"/>
  <c r="F213" i="2" s="1"/>
  <c r="H210" i="2"/>
  <c r="I210" i="2" s="1"/>
  <c r="G210" i="2"/>
  <c r="F211" i="2"/>
  <c r="F214" i="2" s="1"/>
  <c r="H211" i="2"/>
  <c r="I211" i="2" s="1"/>
  <c r="G211" i="2"/>
  <c r="AC209" i="2"/>
  <c r="AD209" i="2"/>
  <c r="AH209" i="2"/>
  <c r="AC210" i="2"/>
  <c r="AH210" i="2" s="1"/>
  <c r="AD210" i="2"/>
  <c r="AC211" i="2"/>
  <c r="AH211" i="2" s="1"/>
  <c r="AD211" i="2"/>
  <c r="AK209" i="2"/>
  <c r="D210" i="2"/>
  <c r="A210" i="2" s="1"/>
  <c r="N210" i="2"/>
  <c r="C210" i="2"/>
  <c r="O210" i="2"/>
  <c r="P210" i="2"/>
  <c r="D211" i="2"/>
  <c r="A211" i="2" s="1"/>
  <c r="N211" i="2"/>
  <c r="C211" i="2"/>
  <c r="O211" i="2"/>
  <c r="P211" i="2"/>
  <c r="D212" i="2"/>
  <c r="AC212" i="2"/>
  <c r="AH212" i="2" s="1"/>
  <c r="AD212" i="2"/>
  <c r="AC213" i="2"/>
  <c r="AD213" i="2"/>
  <c r="AH213" i="2" s="1"/>
  <c r="AH214" i="2"/>
  <c r="AK212" i="2"/>
  <c r="N213" i="2"/>
  <c r="O213" i="2"/>
  <c r="P213" i="2"/>
  <c r="N214" i="2"/>
  <c r="O214" i="2"/>
  <c r="P214" i="2"/>
  <c r="AC215" i="2"/>
  <c r="AD215" i="2"/>
  <c r="AH215" i="2" s="1"/>
  <c r="AC216" i="2"/>
  <c r="AH216" i="2" s="1"/>
  <c r="AD216" i="2"/>
  <c r="AC217" i="2"/>
  <c r="AD217" i="2"/>
  <c r="AH217" i="2"/>
  <c r="AK215" i="2"/>
  <c r="AT215" i="2"/>
  <c r="N216" i="2"/>
  <c r="O216" i="2"/>
  <c r="P216" i="2"/>
  <c r="N217" i="2"/>
  <c r="O217" i="2"/>
  <c r="P217" i="2"/>
  <c r="D218" i="2"/>
  <c r="F218" i="2"/>
  <c r="H218" i="2" s="1"/>
  <c r="I218" i="2" s="1"/>
  <c r="A218" i="2"/>
  <c r="B218" i="2"/>
  <c r="C218" i="2"/>
  <c r="G218" i="2"/>
  <c r="K218" i="2"/>
  <c r="T218" i="2"/>
  <c r="F219" i="2"/>
  <c r="H219" i="2" s="1"/>
  <c r="I219" i="2" s="1"/>
  <c r="G219" i="2"/>
  <c r="K219" i="2"/>
  <c r="F220" i="2"/>
  <c r="H220" i="2" s="1"/>
  <c r="I220" i="2" s="1"/>
  <c r="G220" i="2"/>
  <c r="K220" i="2"/>
  <c r="AC218" i="2"/>
  <c r="AD218" i="2"/>
  <c r="AH218" i="2" s="1"/>
  <c r="AM218" i="2" s="1"/>
  <c r="AC219" i="2"/>
  <c r="AH219" i="2" s="1"/>
  <c r="AM219" i="2" s="1"/>
  <c r="AD219" i="2"/>
  <c r="AH220" i="2"/>
  <c r="AM220" i="2" s="1"/>
  <c r="D219" i="2"/>
  <c r="A219" i="2"/>
  <c r="N219" i="2"/>
  <c r="B219" i="2"/>
  <c r="O219" i="2"/>
  <c r="P219" i="2"/>
  <c r="T219" i="2"/>
  <c r="D220" i="2"/>
  <c r="A220" i="2"/>
  <c r="N220" i="2"/>
  <c r="B220" i="2"/>
  <c r="O220" i="2"/>
  <c r="P220" i="2"/>
  <c r="T220" i="2"/>
  <c r="D221" i="2"/>
  <c r="F221" i="2"/>
  <c r="G221" i="2" s="1"/>
  <c r="B221" i="2"/>
  <c r="H221" i="2"/>
  <c r="K221" i="2"/>
  <c r="T221" i="2" s="1"/>
  <c r="K222" i="2"/>
  <c r="K223" i="2"/>
  <c r="AC221" i="2"/>
  <c r="AD221" i="2"/>
  <c r="AH221" i="2"/>
  <c r="AM221" i="2" s="1"/>
  <c r="AH222" i="2"/>
  <c r="AM222" i="2" s="1"/>
  <c r="AH223" i="2"/>
  <c r="AM223" i="2" s="1"/>
  <c r="N222" i="2"/>
  <c r="O222" i="2"/>
  <c r="P222" i="2"/>
  <c r="T222" i="2"/>
  <c r="N223" i="2"/>
  <c r="O223" i="2"/>
  <c r="P223" i="2"/>
  <c r="T223" i="2"/>
  <c r="F224" i="2"/>
  <c r="F227" i="2" s="1"/>
  <c r="K224" i="2"/>
  <c r="T224" i="2"/>
  <c r="K225" i="2"/>
  <c r="K226" i="2"/>
  <c r="Z224" i="2"/>
  <c r="AB224" i="2"/>
  <c r="AO224" i="2" s="1"/>
  <c r="AC224" i="2"/>
  <c r="AD224" i="2"/>
  <c r="AH224" i="2" s="1"/>
  <c r="AM224" i="2" s="1"/>
  <c r="AI224" i="2" s="1"/>
  <c r="AH225" i="2"/>
  <c r="AM225" i="2" s="1"/>
  <c r="AH226" i="2"/>
  <c r="AM226" i="2"/>
  <c r="AL224" i="2"/>
  <c r="N225" i="2"/>
  <c r="O225" i="2"/>
  <c r="P225" i="2"/>
  <c r="T225" i="2"/>
  <c r="N226" i="2"/>
  <c r="O226" i="2"/>
  <c r="P226" i="2"/>
  <c r="T226" i="2"/>
  <c r="K227" i="2"/>
  <c r="T227" i="2" s="1"/>
  <c r="K228" i="2"/>
  <c r="K229" i="2"/>
  <c r="AC227" i="2"/>
  <c r="AD227" i="2"/>
  <c r="AH227" i="2"/>
  <c r="AM227" i="2" s="1"/>
  <c r="AC228" i="2"/>
  <c r="AD228" i="2"/>
  <c r="AH228" i="2"/>
  <c r="AM228" i="2" s="1"/>
  <c r="AC229" i="2"/>
  <c r="AH229" i="2" s="1"/>
  <c r="AM229" i="2" s="1"/>
  <c r="AD229" i="2"/>
  <c r="N228" i="2"/>
  <c r="N229" i="2" s="1"/>
  <c r="O228" i="2"/>
  <c r="P228" i="2"/>
  <c r="T228" i="2"/>
  <c r="O229" i="2"/>
  <c r="P229" i="2"/>
  <c r="T229" i="2"/>
  <c r="K230" i="2"/>
  <c r="T230" i="2"/>
  <c r="K231" i="2"/>
  <c r="K232" i="2"/>
  <c r="AC230" i="2"/>
  <c r="AH230" i="2" s="1"/>
  <c r="AM230" i="2" s="1"/>
  <c r="AD230" i="2"/>
  <c r="AC231" i="2"/>
  <c r="AD231" i="2"/>
  <c r="AH231" i="2"/>
  <c r="AM231" i="2" s="1"/>
  <c r="AC232" i="2"/>
  <c r="AD232" i="2"/>
  <c r="AH232" i="2"/>
  <c r="AM232" i="2" s="1"/>
  <c r="N231" i="2"/>
  <c r="O231" i="2"/>
  <c r="P231" i="2"/>
  <c r="T231" i="2"/>
  <c r="N232" i="2"/>
  <c r="O232" i="2"/>
  <c r="P232" i="2"/>
  <c r="T232" i="2"/>
  <c r="D233" i="2"/>
  <c r="F233" i="2"/>
  <c r="G233" i="2" s="1"/>
  <c r="A233" i="2"/>
  <c r="C233" i="2"/>
  <c r="K233" i="2"/>
  <c r="T233" i="2"/>
  <c r="F234" i="2"/>
  <c r="H234" i="2"/>
  <c r="G234" i="2"/>
  <c r="I234" i="2" s="1"/>
  <c r="F235" i="2"/>
  <c r="H235" i="2"/>
  <c r="G235" i="2"/>
  <c r="I235" i="2" s="1"/>
  <c r="AC233" i="2"/>
  <c r="AH233" i="2" s="1"/>
  <c r="AM233" i="2" s="1"/>
  <c r="AD233" i="2"/>
  <c r="AC234" i="2"/>
  <c r="AD234" i="2"/>
  <c r="AH234" i="2" s="1"/>
  <c r="AC235" i="2"/>
  <c r="AD235" i="2"/>
  <c r="N234" i="2"/>
  <c r="O234" i="2"/>
  <c r="P234" i="2"/>
  <c r="P235" i="2" s="1"/>
  <c r="N235" i="2"/>
  <c r="O235" i="2"/>
  <c r="F236" i="2"/>
  <c r="H236" i="2"/>
  <c r="F237" i="2"/>
  <c r="G237" i="2" s="1"/>
  <c r="H237" i="2"/>
  <c r="I237" i="2" s="1"/>
  <c r="AC236" i="2"/>
  <c r="AH236" i="2" s="1"/>
  <c r="AD236" i="2"/>
  <c r="AC237" i="2"/>
  <c r="AH237" i="2" s="1"/>
  <c r="AD237" i="2"/>
  <c r="F238" i="2"/>
  <c r="N237" i="2"/>
  <c r="O237" i="2"/>
  <c r="P237" i="2"/>
  <c r="N238" i="2"/>
  <c r="O238" i="2"/>
  <c r="P238" i="2"/>
  <c r="AC238" i="2"/>
  <c r="AD238" i="2"/>
  <c r="F240" i="2"/>
  <c r="F243" i="2" s="1"/>
  <c r="F241" i="2"/>
  <c r="AC239" i="2"/>
  <c r="AD239" i="2"/>
  <c r="AH239" i="2"/>
  <c r="AC240" i="2"/>
  <c r="AD240" i="2"/>
  <c r="AH240" i="2"/>
  <c r="AC241" i="2"/>
  <c r="AD241" i="2"/>
  <c r="AH241" i="2"/>
  <c r="N240" i="2"/>
  <c r="N241" i="2" s="1"/>
  <c r="O240" i="2"/>
  <c r="P240" i="2"/>
  <c r="O241" i="2"/>
  <c r="P241" i="2"/>
  <c r="F244" i="2"/>
  <c r="G244" i="2" s="1"/>
  <c r="AH242" i="2"/>
  <c r="AC243" i="2"/>
  <c r="AD243" i="2"/>
  <c r="AC244" i="2"/>
  <c r="AD244" i="2"/>
  <c r="AH244" i="2" s="1"/>
  <c r="N243" i="2"/>
  <c r="O243" i="2"/>
  <c r="P243" i="2"/>
  <c r="N244" i="2"/>
  <c r="O244" i="2"/>
  <c r="P244" i="2"/>
  <c r="AC245" i="2"/>
  <c r="AH245" i="2" s="1"/>
  <c r="AD245" i="2"/>
  <c r="AC246" i="2"/>
  <c r="AH246" i="2" s="1"/>
  <c r="AD246" i="2"/>
  <c r="AC247" i="2"/>
  <c r="AH247" i="2" s="1"/>
  <c r="AD247" i="2"/>
  <c r="N246" i="2"/>
  <c r="O246" i="2"/>
  <c r="P246" i="2"/>
  <c r="N247" i="2"/>
  <c r="O247" i="2"/>
  <c r="P247" i="2"/>
  <c r="D248" i="2"/>
  <c r="A248" i="2"/>
  <c r="C248" i="2"/>
  <c r="G248" i="2"/>
  <c r="H248" i="2"/>
  <c r="I248" i="2" s="1"/>
  <c r="V248" i="2" s="1"/>
  <c r="K248" i="2"/>
  <c r="T248" i="2"/>
  <c r="H249" i="2"/>
  <c r="G249" i="2"/>
  <c r="I249" i="2" s="1"/>
  <c r="H250" i="2"/>
  <c r="G250" i="2"/>
  <c r="I250" i="2"/>
  <c r="AC248" i="2"/>
  <c r="AD248" i="2"/>
  <c r="AH248" i="2"/>
  <c r="AM248" i="2"/>
  <c r="AC249" i="2"/>
  <c r="AD249" i="2"/>
  <c r="AH249" i="2"/>
  <c r="AC250" i="2"/>
  <c r="AD250" i="2"/>
  <c r="AT248" i="2"/>
  <c r="AU248" i="2" s="1"/>
  <c r="N249" i="2"/>
  <c r="O249" i="2"/>
  <c r="O250" i="2" s="1"/>
  <c r="P249" i="2"/>
  <c r="N250" i="2"/>
  <c r="P250" i="2"/>
  <c r="F251" i="2"/>
  <c r="F254" i="2" s="1"/>
  <c r="G251" i="2"/>
  <c r="F252" i="2"/>
  <c r="H252" i="2" s="1"/>
  <c r="G252" i="2"/>
  <c r="AC251" i="2"/>
  <c r="AH251" i="2" s="1"/>
  <c r="AD251" i="2"/>
  <c r="AC252" i="2"/>
  <c r="AH252" i="2" s="1"/>
  <c r="AD252" i="2"/>
  <c r="F253" i="2"/>
  <c r="AT251" i="2"/>
  <c r="N252" i="2"/>
  <c r="N253" i="2" s="1"/>
  <c r="O252" i="2"/>
  <c r="O253" i="2" s="1"/>
  <c r="P252" i="2"/>
  <c r="P253" i="2"/>
  <c r="AC253" i="2"/>
  <c r="AD253" i="2"/>
  <c r="F256" i="2"/>
  <c r="G256" i="2" s="1"/>
  <c r="AC254" i="2"/>
  <c r="AD254" i="2"/>
  <c r="AH254" i="2"/>
  <c r="AC255" i="2"/>
  <c r="AD255" i="2"/>
  <c r="AH255" i="2" s="1"/>
  <c r="AC256" i="2"/>
  <c r="AD256" i="2"/>
  <c r="AH256" i="2"/>
  <c r="AT254" i="2"/>
  <c r="N255" i="2"/>
  <c r="N256" i="2" s="1"/>
  <c r="O255" i="2"/>
  <c r="P255" i="2"/>
  <c r="O256" i="2"/>
  <c r="P256" i="2"/>
  <c r="AC257" i="2"/>
  <c r="AD257" i="2"/>
  <c r="AH257" i="2" s="1"/>
  <c r="AC258" i="2"/>
  <c r="AD258" i="2"/>
  <c r="AH258" i="2"/>
  <c r="AC259" i="2"/>
  <c r="AD259" i="2"/>
  <c r="AH259" i="2"/>
  <c r="AT257" i="2"/>
  <c r="N258" i="2"/>
  <c r="O258" i="2"/>
  <c r="P258" i="2"/>
  <c r="N259" i="2"/>
  <c r="O259" i="2"/>
  <c r="P259" i="2"/>
  <c r="AC260" i="2"/>
  <c r="AH260" i="2" s="1"/>
  <c r="AD260" i="2"/>
  <c r="AH261" i="2"/>
  <c r="AH262" i="2"/>
  <c r="AT260" i="2"/>
  <c r="N261" i="2"/>
  <c r="O261" i="2"/>
  <c r="P261" i="2"/>
  <c r="N262" i="2"/>
  <c r="O262" i="2"/>
  <c r="P262" i="2"/>
  <c r="D263" i="2"/>
  <c r="F263" i="2"/>
  <c r="B263" i="2"/>
  <c r="G263" i="2"/>
  <c r="H263" i="2"/>
  <c r="K263" i="2"/>
  <c r="R263" i="2"/>
  <c r="Z263" i="2" s="1"/>
  <c r="T263" i="2"/>
  <c r="V263" i="2"/>
  <c r="W263" i="2"/>
  <c r="F264" i="2"/>
  <c r="H264" i="2"/>
  <c r="I264" i="2" s="1"/>
  <c r="G264" i="2"/>
  <c r="K264" i="2"/>
  <c r="T264" i="2" s="1"/>
  <c r="F265" i="2"/>
  <c r="H265" i="2"/>
  <c r="I265" i="2" s="1"/>
  <c r="G265" i="2"/>
  <c r="K265" i="2"/>
  <c r="T265" i="2" s="1"/>
  <c r="AA263" i="2"/>
  <c r="AN263" i="2" s="1"/>
  <c r="AW263" i="2" s="1"/>
  <c r="AC263" i="2"/>
  <c r="AH263" i="2" s="1"/>
  <c r="AM263" i="2" s="1"/>
  <c r="AI263" i="2" s="1"/>
  <c r="AD263" i="2"/>
  <c r="AH264" i="2"/>
  <c r="AM264" i="2"/>
  <c r="AH265" i="2"/>
  <c r="AM265" i="2" s="1"/>
  <c r="AR263" i="2"/>
  <c r="AT263" i="2"/>
  <c r="AU263" i="2"/>
  <c r="D264" i="2"/>
  <c r="A264" i="2" s="1"/>
  <c r="N264" i="2"/>
  <c r="B264" i="2"/>
  <c r="O264" i="2"/>
  <c r="P264" i="2"/>
  <c r="D265" i="2"/>
  <c r="A265" i="2" s="1"/>
  <c r="N265" i="2"/>
  <c r="B265" i="2"/>
  <c r="O265" i="2"/>
  <c r="P265" i="2"/>
  <c r="D266" i="2"/>
  <c r="F266" i="2"/>
  <c r="B266" i="2"/>
  <c r="G266" i="2"/>
  <c r="H266" i="2"/>
  <c r="I266" i="2" s="1"/>
  <c r="K266" i="2"/>
  <c r="T266" i="2" s="1"/>
  <c r="F267" i="2"/>
  <c r="G267" i="2" s="1"/>
  <c r="H267" i="2"/>
  <c r="K267" i="2"/>
  <c r="F268" i="2"/>
  <c r="G268" i="2" s="1"/>
  <c r="H268" i="2"/>
  <c r="I268" i="2" s="1"/>
  <c r="K268" i="2"/>
  <c r="AC266" i="2"/>
  <c r="AD266" i="2"/>
  <c r="AH266" i="2"/>
  <c r="AM266" i="2" s="1"/>
  <c r="AC267" i="2"/>
  <c r="AH267" i="2" s="1"/>
  <c r="AM267" i="2" s="1"/>
  <c r="AD267" i="2"/>
  <c r="AC268" i="2"/>
  <c r="AH268" i="2" s="1"/>
  <c r="AM268" i="2" s="1"/>
  <c r="AD268" i="2"/>
  <c r="AT266" i="2"/>
  <c r="N267" i="2"/>
  <c r="O267" i="2"/>
  <c r="P267" i="2"/>
  <c r="T267" i="2"/>
  <c r="N268" i="2"/>
  <c r="O268" i="2"/>
  <c r="P268" i="2"/>
  <c r="T268" i="2"/>
  <c r="F269" i="2"/>
  <c r="G269" i="2" s="1"/>
  <c r="K269" i="2"/>
  <c r="AR269" i="2" s="1"/>
  <c r="F270" i="2"/>
  <c r="H270" i="2" s="1"/>
  <c r="K270" i="2"/>
  <c r="F271" i="2"/>
  <c r="H271" i="2" s="1"/>
  <c r="K271" i="2"/>
  <c r="AC269" i="2"/>
  <c r="AD269" i="2"/>
  <c r="AH269" i="2" s="1"/>
  <c r="AM269" i="2" s="1"/>
  <c r="AH270" i="2"/>
  <c r="AM270" i="2"/>
  <c r="AH271" i="2"/>
  <c r="AM271" i="2"/>
  <c r="AT269" i="2"/>
  <c r="AU269" i="2" s="1"/>
  <c r="N270" i="2"/>
  <c r="O270" i="2"/>
  <c r="P270" i="2"/>
  <c r="T270" i="2"/>
  <c r="N271" i="2"/>
  <c r="O271" i="2"/>
  <c r="P271" i="2"/>
  <c r="T271" i="2"/>
  <c r="F272" i="2"/>
  <c r="G272" i="2" s="1"/>
  <c r="K272" i="2"/>
  <c r="AR272" i="2" s="1"/>
  <c r="F273" i="2"/>
  <c r="H273" i="2" s="1"/>
  <c r="K273" i="2"/>
  <c r="F274" i="2"/>
  <c r="H274" i="2" s="1"/>
  <c r="K274" i="2"/>
  <c r="AC272" i="2"/>
  <c r="AD272" i="2"/>
  <c r="AH272" i="2" s="1"/>
  <c r="AM272" i="2" s="1"/>
  <c r="AH273" i="2"/>
  <c r="AM273" i="2"/>
  <c r="AH274" i="2"/>
  <c r="AM274" i="2"/>
  <c r="AT272" i="2"/>
  <c r="AU272" i="2" s="1"/>
  <c r="N273" i="2"/>
  <c r="O273" i="2"/>
  <c r="P273" i="2"/>
  <c r="T273" i="2"/>
  <c r="N274" i="2"/>
  <c r="O274" i="2"/>
  <c r="P274" i="2"/>
  <c r="T274" i="2"/>
  <c r="F275" i="2"/>
  <c r="G275" i="2" s="1"/>
  <c r="K275" i="2"/>
  <c r="T275" i="2"/>
  <c r="K276" i="2"/>
  <c r="T276" i="2" s="1"/>
  <c r="K277" i="2"/>
  <c r="T277" i="2" s="1"/>
  <c r="AC275" i="2"/>
  <c r="AH275" i="2" s="1"/>
  <c r="AM275" i="2" s="1"/>
  <c r="AD275" i="2"/>
  <c r="AC276" i="2"/>
  <c r="AH276" i="2" s="1"/>
  <c r="AM276" i="2" s="1"/>
  <c r="AD276" i="2"/>
  <c r="AC277" i="2"/>
  <c r="AD277" i="2"/>
  <c r="AH277" i="2" s="1"/>
  <c r="AM277" i="2" s="1"/>
  <c r="AT275" i="2"/>
  <c r="N276" i="2"/>
  <c r="O276" i="2"/>
  <c r="P276" i="2"/>
  <c r="N277" i="2"/>
  <c r="O277" i="2"/>
  <c r="P277" i="2"/>
  <c r="D278" i="2"/>
  <c r="A278" i="2" s="1"/>
  <c r="F278" i="2"/>
  <c r="G278" i="2" s="1"/>
  <c r="H278" i="2"/>
  <c r="I278" i="2" s="1"/>
  <c r="J278" i="2"/>
  <c r="J279" i="2" s="1"/>
  <c r="K278" i="2"/>
  <c r="T278" i="2" s="1"/>
  <c r="F279" i="2"/>
  <c r="H279" i="2" s="1"/>
  <c r="F280" i="2"/>
  <c r="H280" i="2"/>
  <c r="I280" i="2" s="1"/>
  <c r="G280" i="2"/>
  <c r="AH278" i="2"/>
  <c r="AM278" i="2" s="1"/>
  <c r="AH279" i="2"/>
  <c r="AH280" i="2"/>
  <c r="N279" i="2"/>
  <c r="O279" i="2"/>
  <c r="P279" i="2"/>
  <c r="N280" i="2"/>
  <c r="O280" i="2"/>
  <c r="P280" i="2"/>
  <c r="F281" i="2"/>
  <c r="G281" i="2" s="1"/>
  <c r="H281" i="2"/>
  <c r="F282" i="2"/>
  <c r="H282" i="2" s="1"/>
  <c r="F283" i="2"/>
  <c r="H283" i="2" s="1"/>
  <c r="I283" i="2" s="1"/>
  <c r="G283" i="2"/>
  <c r="AH281" i="2"/>
  <c r="AH282" i="2"/>
  <c r="AH283" i="2"/>
  <c r="N282" i="2"/>
  <c r="O282" i="2"/>
  <c r="P282" i="2"/>
  <c r="N283" i="2"/>
  <c r="O283" i="2"/>
  <c r="P283" i="2"/>
  <c r="F284" i="2"/>
  <c r="G284" i="2" s="1"/>
  <c r="H284" i="2"/>
  <c r="I284" i="2" s="1"/>
  <c r="F285" i="2"/>
  <c r="H285" i="2" s="1"/>
  <c r="F286" i="2"/>
  <c r="H286" i="2" s="1"/>
  <c r="I286" i="2" s="1"/>
  <c r="G286" i="2"/>
  <c r="AH284" i="2"/>
  <c r="AH285" i="2"/>
  <c r="AH286" i="2"/>
  <c r="N285" i="2"/>
  <c r="O285" i="2"/>
  <c r="P285" i="2"/>
  <c r="N286" i="2"/>
  <c r="O286" i="2"/>
  <c r="P286" i="2"/>
  <c r="F287" i="2"/>
  <c r="G287" i="2" s="1"/>
  <c r="H287" i="2"/>
  <c r="F288" i="2"/>
  <c r="H288" i="2" s="1"/>
  <c r="F289" i="2"/>
  <c r="H289" i="2" s="1"/>
  <c r="I289" i="2" s="1"/>
  <c r="G289" i="2"/>
  <c r="AH287" i="2"/>
  <c r="AH288" i="2"/>
  <c r="AH289" i="2"/>
  <c r="N288" i="2"/>
  <c r="O288" i="2"/>
  <c r="P288" i="2"/>
  <c r="N289" i="2"/>
  <c r="O289" i="2"/>
  <c r="P289" i="2"/>
  <c r="F290" i="2"/>
  <c r="G290" i="2" s="1"/>
  <c r="H290" i="2"/>
  <c r="I290" i="2" s="1"/>
  <c r="F291" i="2"/>
  <c r="H291" i="2" s="1"/>
  <c r="F292" i="2"/>
  <c r="H292" i="2" s="1"/>
  <c r="I292" i="2" s="1"/>
  <c r="G292" i="2"/>
  <c r="AH290" i="2"/>
  <c r="AH291" i="2"/>
  <c r="AH292" i="2"/>
  <c r="N291" i="2"/>
  <c r="O291" i="2"/>
  <c r="P291" i="2"/>
  <c r="N292" i="2"/>
  <c r="O292" i="2"/>
  <c r="P292" i="2"/>
  <c r="D293" i="2"/>
  <c r="A293" i="2" s="1"/>
  <c r="F293" i="2"/>
  <c r="G293" i="2" s="1"/>
  <c r="H293" i="2"/>
  <c r="J293" i="2"/>
  <c r="J294" i="2" s="1"/>
  <c r="K293" i="2"/>
  <c r="T293" i="2" s="1"/>
  <c r="F294" i="2"/>
  <c r="H294" i="2" s="1"/>
  <c r="F295" i="2"/>
  <c r="H295" i="2" s="1"/>
  <c r="I295" i="2" s="1"/>
  <c r="G295" i="2"/>
  <c r="AH293" i="2"/>
  <c r="AM293" i="2" s="1"/>
  <c r="AH294" i="2"/>
  <c r="AH295" i="2"/>
  <c r="N294" i="2"/>
  <c r="O294" i="2"/>
  <c r="P294" i="2"/>
  <c r="N295" i="2"/>
  <c r="O295" i="2"/>
  <c r="P295" i="2"/>
  <c r="F296" i="2"/>
  <c r="G296" i="2" s="1"/>
  <c r="H296" i="2"/>
  <c r="F297" i="2"/>
  <c r="H297" i="2" s="1"/>
  <c r="F298" i="2"/>
  <c r="H298" i="2" s="1"/>
  <c r="AH296" i="2"/>
  <c r="AH297" i="2"/>
  <c r="AH298" i="2"/>
  <c r="N297" i="2"/>
  <c r="O297" i="2"/>
  <c r="O298" i="2" s="1"/>
  <c r="P297" i="2"/>
  <c r="N298" i="2"/>
  <c r="P298" i="2"/>
  <c r="F299" i="2"/>
  <c r="G299" i="2" s="1"/>
  <c r="I299" i="2" s="1"/>
  <c r="H299" i="2"/>
  <c r="F300" i="2"/>
  <c r="G300" i="2" s="1"/>
  <c r="H300" i="2"/>
  <c r="I300" i="2" s="1"/>
  <c r="F301" i="2"/>
  <c r="H301" i="2" s="1"/>
  <c r="AH299" i="2"/>
  <c r="AH300" i="2"/>
  <c r="AH301" i="2"/>
  <c r="N300" i="2"/>
  <c r="O300" i="2"/>
  <c r="O301" i="2" s="1"/>
  <c r="P300" i="2"/>
  <c r="N301" i="2"/>
  <c r="P301" i="2"/>
  <c r="F302" i="2"/>
  <c r="G302" i="2" s="1"/>
  <c r="I302" i="2" s="1"/>
  <c r="H302" i="2"/>
  <c r="F303" i="2"/>
  <c r="G303" i="2" s="1"/>
  <c r="H303" i="2"/>
  <c r="I303" i="2" s="1"/>
  <c r="F304" i="2"/>
  <c r="H304" i="2" s="1"/>
  <c r="AH302" i="2"/>
  <c r="AH303" i="2"/>
  <c r="AH304" i="2"/>
  <c r="N303" i="2"/>
  <c r="O303" i="2"/>
  <c r="O304" i="2" s="1"/>
  <c r="P303" i="2"/>
  <c r="N304" i="2"/>
  <c r="P304" i="2"/>
  <c r="F305" i="2"/>
  <c r="G305" i="2" s="1"/>
  <c r="I305" i="2" s="1"/>
  <c r="H305" i="2"/>
  <c r="F306" i="2"/>
  <c r="G306" i="2" s="1"/>
  <c r="H306" i="2"/>
  <c r="I306" i="2" s="1"/>
  <c r="F307" i="2"/>
  <c r="H307" i="2" s="1"/>
  <c r="AH305" i="2"/>
  <c r="AH306" i="2"/>
  <c r="AH307" i="2"/>
  <c r="N306" i="2"/>
  <c r="O306" i="2"/>
  <c r="O307" i="2" s="1"/>
  <c r="P306" i="2"/>
  <c r="N307" i="2"/>
  <c r="P307" i="2"/>
  <c r="D308" i="2"/>
  <c r="A308" i="2" s="1"/>
  <c r="F308" i="2"/>
  <c r="G308" i="2" s="1"/>
  <c r="I308" i="2" s="1"/>
  <c r="B308" i="2"/>
  <c r="H308" i="2"/>
  <c r="J308" i="2"/>
  <c r="K308" i="2"/>
  <c r="T308" i="2" s="1"/>
  <c r="F309" i="2"/>
  <c r="G309" i="2" s="1"/>
  <c r="H309" i="2"/>
  <c r="I309" i="2" s="1"/>
  <c r="J309" i="2"/>
  <c r="K309" i="2" s="1"/>
  <c r="T309" i="2" s="1"/>
  <c r="F310" i="2"/>
  <c r="H310" i="2" s="1"/>
  <c r="AH308" i="2"/>
  <c r="AM308" i="2" s="1"/>
  <c r="AH309" i="2"/>
  <c r="AM309" i="2" s="1"/>
  <c r="AH310" i="2"/>
  <c r="N309" i="2"/>
  <c r="O309" i="2"/>
  <c r="O310" i="2" s="1"/>
  <c r="P309" i="2"/>
  <c r="N310" i="2"/>
  <c r="P310" i="2"/>
  <c r="F311" i="2"/>
  <c r="G311" i="2" s="1"/>
  <c r="I311" i="2" s="1"/>
  <c r="H311" i="2"/>
  <c r="F312" i="2"/>
  <c r="G312" i="2" s="1"/>
  <c r="H312" i="2"/>
  <c r="F313" i="2"/>
  <c r="H313" i="2" s="1"/>
  <c r="AH311" i="2"/>
  <c r="AH312" i="2"/>
  <c r="AH313" i="2"/>
  <c r="N312" i="2"/>
  <c r="O312" i="2"/>
  <c r="O313" i="2" s="1"/>
  <c r="P312" i="2"/>
  <c r="N313" i="2"/>
  <c r="P313" i="2"/>
  <c r="F314" i="2"/>
  <c r="G314" i="2" s="1"/>
  <c r="H314" i="2"/>
  <c r="I314" i="2"/>
  <c r="F315" i="2"/>
  <c r="G315" i="2" s="1"/>
  <c r="H315" i="2"/>
  <c r="I315" i="2" s="1"/>
  <c r="F316" i="2"/>
  <c r="AH314" i="2"/>
  <c r="AH315" i="2"/>
  <c r="AH316" i="2"/>
  <c r="N315" i="2"/>
  <c r="O315" i="2"/>
  <c r="O316" i="2" s="1"/>
  <c r="P315" i="2"/>
  <c r="N316" i="2"/>
  <c r="P316" i="2"/>
  <c r="F317" i="2"/>
  <c r="G317" i="2" s="1"/>
  <c r="F318" i="2"/>
  <c r="G318" i="2" s="1"/>
  <c r="H318" i="2"/>
  <c r="I318" i="2" s="1"/>
  <c r="F319" i="2"/>
  <c r="AH317" i="2"/>
  <c r="AH318" i="2"/>
  <c r="AH319" i="2"/>
  <c r="N318" i="2"/>
  <c r="O318" i="2"/>
  <c r="O319" i="2" s="1"/>
  <c r="P318" i="2"/>
  <c r="N319" i="2"/>
  <c r="P319" i="2"/>
  <c r="F320" i="2"/>
  <c r="G320" i="2" s="1"/>
  <c r="F321" i="2"/>
  <c r="G321" i="2" s="1"/>
  <c r="H321" i="2"/>
  <c r="I321" i="2" s="1"/>
  <c r="AH320" i="2"/>
  <c r="AH321" i="2"/>
  <c r="AH322" i="2"/>
  <c r="N321" i="2"/>
  <c r="O321" i="2"/>
  <c r="O322" i="2" s="1"/>
  <c r="P321" i="2"/>
  <c r="N322" i="2"/>
  <c r="P322" i="2"/>
  <c r="D323" i="2"/>
  <c r="A323" i="2" s="1"/>
  <c r="F323" i="2"/>
  <c r="B323" i="2"/>
  <c r="J323" i="2"/>
  <c r="K323" i="2"/>
  <c r="T323" i="2" s="1"/>
  <c r="F324" i="2"/>
  <c r="G324" i="2" s="1"/>
  <c r="H324" i="2"/>
  <c r="J324" i="2"/>
  <c r="F325" i="2"/>
  <c r="AH323" i="2"/>
  <c r="AM323" i="2" s="1"/>
  <c r="AH324" i="2"/>
  <c r="AH325" i="2"/>
  <c r="N324" i="2"/>
  <c r="O324" i="2"/>
  <c r="O325" i="2" s="1"/>
  <c r="P324" i="2"/>
  <c r="N325" i="2"/>
  <c r="P325" i="2"/>
  <c r="F326" i="2"/>
  <c r="F327" i="2"/>
  <c r="G327" i="2" s="1"/>
  <c r="H327" i="2"/>
  <c r="I327" i="2" s="1"/>
  <c r="F328" i="2"/>
  <c r="AH326" i="2"/>
  <c r="AH327" i="2"/>
  <c r="AH328" i="2"/>
  <c r="N327" i="2"/>
  <c r="O327" i="2"/>
  <c r="O328" i="2" s="1"/>
  <c r="P327" i="2"/>
  <c r="N328" i="2"/>
  <c r="P328" i="2"/>
  <c r="F329" i="2"/>
  <c r="F330" i="2"/>
  <c r="G330" i="2" s="1"/>
  <c r="F331" i="2"/>
  <c r="F334" i="2" s="1"/>
  <c r="AH329" i="2"/>
  <c r="AH330" i="2"/>
  <c r="AH331" i="2"/>
  <c r="N330" i="2"/>
  <c r="O330" i="2"/>
  <c r="P330" i="2"/>
  <c r="N331" i="2"/>
  <c r="O331" i="2"/>
  <c r="P331" i="2"/>
  <c r="F333" i="2"/>
  <c r="G333" i="2" s="1"/>
  <c r="AH332" i="2"/>
  <c r="AH333" i="2"/>
  <c r="AH334" i="2"/>
  <c r="N333" i="2"/>
  <c r="O333" i="2"/>
  <c r="O334" i="2" s="1"/>
  <c r="P333" i="2"/>
  <c r="N334" i="2"/>
  <c r="P334" i="2"/>
  <c r="AH335" i="2"/>
  <c r="AH336" i="2"/>
  <c r="AH337" i="2"/>
  <c r="N336" i="2"/>
  <c r="O336" i="2"/>
  <c r="P336" i="2"/>
  <c r="N337" i="2"/>
  <c r="O337" i="2"/>
  <c r="P337" i="2"/>
  <c r="D338" i="2"/>
  <c r="B338" i="2" s="1"/>
  <c r="F338" i="2"/>
  <c r="G338" i="2" s="1"/>
  <c r="H338" i="2"/>
  <c r="I338" i="2" s="1"/>
  <c r="J338" i="2"/>
  <c r="K338" i="2"/>
  <c r="T338" i="2" s="1"/>
  <c r="F339" i="2"/>
  <c r="G339" i="2" s="1"/>
  <c r="J339" i="2"/>
  <c r="F340" i="2"/>
  <c r="H340" i="2" s="1"/>
  <c r="G340" i="2"/>
  <c r="I340" i="2"/>
  <c r="AH338" i="2"/>
  <c r="AH339" i="2"/>
  <c r="AH340" i="2"/>
  <c r="N339" i="2"/>
  <c r="O339" i="2"/>
  <c r="P339" i="2"/>
  <c r="N340" i="2"/>
  <c r="O340" i="2"/>
  <c r="P340" i="2"/>
  <c r="F341" i="2"/>
  <c r="G341" i="2" s="1"/>
  <c r="F343" i="2"/>
  <c r="H343" i="2" s="1"/>
  <c r="I343" i="2" s="1"/>
  <c r="G343" i="2"/>
  <c r="AH341" i="2"/>
  <c r="AH342" i="2"/>
  <c r="AH343" i="2"/>
  <c r="N342" i="2"/>
  <c r="O342" i="2"/>
  <c r="P342" i="2"/>
  <c r="P343" i="2" s="1"/>
  <c r="N343" i="2"/>
  <c r="O343" i="2"/>
  <c r="F346" i="2"/>
  <c r="H346" i="2"/>
  <c r="I346" i="2" s="1"/>
  <c r="G346" i="2"/>
  <c r="AH344" i="2"/>
  <c r="AH345" i="2"/>
  <c r="AH346" i="2"/>
  <c r="N345" i="2"/>
  <c r="O345" i="2"/>
  <c r="P345" i="2"/>
  <c r="P346" i="2" s="1"/>
  <c r="N346" i="2"/>
  <c r="O346" i="2"/>
  <c r="F349" i="2"/>
  <c r="H349" i="2"/>
  <c r="G349" i="2"/>
  <c r="I349" i="2"/>
  <c r="AH347" i="2"/>
  <c r="AH348" i="2"/>
  <c r="AH349" i="2"/>
  <c r="N348" i="2"/>
  <c r="O348" i="2"/>
  <c r="P348" i="2"/>
  <c r="P349" i="2" s="1"/>
  <c r="N349" i="2"/>
  <c r="O349" i="2"/>
  <c r="F352" i="2"/>
  <c r="H352" i="2"/>
  <c r="G352" i="2"/>
  <c r="I352" i="2"/>
  <c r="AH350" i="2"/>
  <c r="AH351" i="2"/>
  <c r="AH352" i="2"/>
  <c r="N351" i="2"/>
  <c r="O351" i="2"/>
  <c r="P351" i="2"/>
  <c r="N352" i="2"/>
  <c r="O352" i="2"/>
  <c r="P352" i="2"/>
  <c r="D353" i="2"/>
  <c r="F353" i="2"/>
  <c r="A353" i="2" s="1"/>
  <c r="J353" i="2"/>
  <c r="K353" i="2"/>
  <c r="T353" i="2"/>
  <c r="F354" i="2"/>
  <c r="H354" i="2" s="1"/>
  <c r="J354" i="2"/>
  <c r="K354" i="2" s="1"/>
  <c r="T354" i="2" s="1"/>
  <c r="F355" i="2"/>
  <c r="H355" i="2" s="1"/>
  <c r="I355" i="2" s="1"/>
  <c r="G355" i="2"/>
  <c r="AH353" i="2"/>
  <c r="AM353" i="2" s="1"/>
  <c r="AH354" i="2"/>
  <c r="AH355" i="2"/>
  <c r="D354" i="2"/>
  <c r="A354" i="2" s="1"/>
  <c r="N354" i="2"/>
  <c r="O354" i="2"/>
  <c r="O355" i="2" s="1"/>
  <c r="P354" i="2"/>
  <c r="D355" i="2"/>
  <c r="A355" i="2" s="1"/>
  <c r="N355" i="2"/>
  <c r="P355" i="2"/>
  <c r="F356" i="2"/>
  <c r="G356" i="2" s="1"/>
  <c r="F357" i="2"/>
  <c r="G357" i="2" s="1"/>
  <c r="I357" i="2" s="1"/>
  <c r="H357" i="2"/>
  <c r="F358" i="2"/>
  <c r="H358" i="2" s="1"/>
  <c r="I358" i="2" s="1"/>
  <c r="G358" i="2"/>
  <c r="AH356" i="2"/>
  <c r="AH357" i="2"/>
  <c r="AH358" i="2"/>
  <c r="N357" i="2"/>
  <c r="O357" i="2"/>
  <c r="O358" i="2" s="1"/>
  <c r="P357" i="2"/>
  <c r="N358" i="2"/>
  <c r="P358" i="2"/>
  <c r="F359" i="2"/>
  <c r="G359" i="2" s="1"/>
  <c r="F360" i="2"/>
  <c r="G360" i="2" s="1"/>
  <c r="H360" i="2"/>
  <c r="F361" i="2"/>
  <c r="H361" i="2" s="1"/>
  <c r="AH359" i="2"/>
  <c r="AH360" i="2"/>
  <c r="AH361" i="2"/>
  <c r="N360" i="2"/>
  <c r="O360" i="2"/>
  <c r="O361" i="2" s="1"/>
  <c r="P360" i="2"/>
  <c r="N361" i="2"/>
  <c r="P361" i="2"/>
  <c r="F362" i="2"/>
  <c r="G362" i="2" s="1"/>
  <c r="F363" i="2"/>
  <c r="G363" i="2" s="1"/>
  <c r="H363" i="2"/>
  <c r="I363" i="2" s="1"/>
  <c r="F364" i="2"/>
  <c r="H364" i="2" s="1"/>
  <c r="AH362" i="2"/>
  <c r="AH363" i="2"/>
  <c r="AH364" i="2"/>
  <c r="N363" i="2"/>
  <c r="O363" i="2"/>
  <c r="O364" i="2" s="1"/>
  <c r="P363" i="2"/>
  <c r="N364" i="2"/>
  <c r="P364" i="2"/>
  <c r="F365" i="2"/>
  <c r="G365" i="2" s="1"/>
  <c r="F366" i="2"/>
  <c r="G366" i="2" s="1"/>
  <c r="H366" i="2"/>
  <c r="F367" i="2"/>
  <c r="H367" i="2" s="1"/>
  <c r="AH365" i="2"/>
  <c r="AH366" i="2"/>
  <c r="AH367" i="2"/>
  <c r="N366" i="2"/>
  <c r="O366" i="2"/>
  <c r="O367" i="2" s="1"/>
  <c r="P366" i="2"/>
  <c r="N367" i="2"/>
  <c r="P367" i="2"/>
  <c r="D368" i="2"/>
  <c r="F368" i="2"/>
  <c r="A368" i="2" s="1"/>
  <c r="J368" i="2"/>
  <c r="K368" i="2" s="1"/>
  <c r="T368" i="2" s="1"/>
  <c r="F369" i="2"/>
  <c r="H369" i="2"/>
  <c r="I369" i="2" s="1"/>
  <c r="G369" i="2"/>
  <c r="J369" i="2"/>
  <c r="K369" i="2" s="1"/>
  <c r="T369" i="2" s="1"/>
  <c r="F370" i="2"/>
  <c r="H370" i="2" s="1"/>
  <c r="AH368" i="2"/>
  <c r="AH369" i="2"/>
  <c r="AM369" i="2" s="1"/>
  <c r="AH370" i="2"/>
  <c r="D369" i="2"/>
  <c r="A369" i="2" s="1"/>
  <c r="N369" i="2"/>
  <c r="O369" i="2"/>
  <c r="O370" i="2" s="1"/>
  <c r="P369" i="2"/>
  <c r="D370" i="2"/>
  <c r="A370" i="2" s="1"/>
  <c r="N370" i="2"/>
  <c r="P370" i="2"/>
  <c r="F371" i="2"/>
  <c r="G371" i="2" s="1"/>
  <c r="F372" i="2"/>
  <c r="H372" i="2"/>
  <c r="I372" i="2" s="1"/>
  <c r="G372" i="2"/>
  <c r="F373" i="2"/>
  <c r="H373" i="2" s="1"/>
  <c r="AH371" i="2"/>
  <c r="AH372" i="2"/>
  <c r="AH373" i="2"/>
  <c r="N372" i="2"/>
  <c r="O372" i="2"/>
  <c r="O373" i="2" s="1"/>
  <c r="P372" i="2"/>
  <c r="N373" i="2"/>
  <c r="P373" i="2"/>
  <c r="F374" i="2"/>
  <c r="G374" i="2" s="1"/>
  <c r="F375" i="2"/>
  <c r="H375" i="2"/>
  <c r="I375" i="2" s="1"/>
  <c r="G375" i="2"/>
  <c r="F376" i="2"/>
  <c r="H376" i="2" s="1"/>
  <c r="AH374" i="2"/>
  <c r="AH375" i="2"/>
  <c r="AH376" i="2"/>
  <c r="N375" i="2"/>
  <c r="O375" i="2"/>
  <c r="O376" i="2" s="1"/>
  <c r="P375" i="2"/>
  <c r="N376" i="2"/>
  <c r="P376" i="2"/>
  <c r="F377" i="2"/>
  <c r="G377" i="2" s="1"/>
  <c r="F378" i="2"/>
  <c r="H378" i="2"/>
  <c r="I378" i="2" s="1"/>
  <c r="G378" i="2"/>
  <c r="F379" i="2"/>
  <c r="H379" i="2" s="1"/>
  <c r="AH377" i="2"/>
  <c r="AH378" i="2"/>
  <c r="AH379" i="2"/>
  <c r="N378" i="2"/>
  <c r="O378" i="2"/>
  <c r="O379" i="2" s="1"/>
  <c r="P378" i="2"/>
  <c r="N379" i="2"/>
  <c r="P379" i="2"/>
  <c r="F380" i="2"/>
  <c r="G380" i="2" s="1"/>
  <c r="F381" i="2"/>
  <c r="H381" i="2"/>
  <c r="I381" i="2" s="1"/>
  <c r="G381" i="2"/>
  <c r="F382" i="2"/>
  <c r="H382" i="2" s="1"/>
  <c r="AH380" i="2"/>
  <c r="AH381" i="2"/>
  <c r="AH382" i="2"/>
  <c r="N381" i="2"/>
  <c r="O381" i="2"/>
  <c r="O382" i="2" s="1"/>
  <c r="P381" i="2"/>
  <c r="N382" i="2"/>
  <c r="P382" i="2"/>
  <c r="D383" i="2"/>
  <c r="F383" i="2"/>
  <c r="A383" i="2" s="1"/>
  <c r="J383" i="2"/>
  <c r="K383" i="2" s="1"/>
  <c r="T383" i="2" s="1"/>
  <c r="F384" i="2"/>
  <c r="H384" i="2"/>
  <c r="I384" i="2" s="1"/>
  <c r="G384" i="2"/>
  <c r="J384" i="2"/>
  <c r="K384" i="2" s="1"/>
  <c r="T384" i="2" s="1"/>
  <c r="F385" i="2"/>
  <c r="H385" i="2" s="1"/>
  <c r="AH383" i="2"/>
  <c r="AH384" i="2"/>
  <c r="AH385" i="2"/>
  <c r="D384" i="2"/>
  <c r="B384" i="2" s="1"/>
  <c r="A384" i="2"/>
  <c r="N384" i="2"/>
  <c r="O384" i="2"/>
  <c r="O385" i="2" s="1"/>
  <c r="P384" i="2"/>
  <c r="D385" i="2"/>
  <c r="D386" i="2" s="1"/>
  <c r="N385" i="2"/>
  <c r="P385" i="2"/>
  <c r="F386" i="2"/>
  <c r="G386" i="2" s="1"/>
  <c r="F387" i="2"/>
  <c r="H387" i="2"/>
  <c r="I387" i="2" s="1"/>
  <c r="G387" i="2"/>
  <c r="F388" i="2"/>
  <c r="H388" i="2" s="1"/>
  <c r="AH386" i="2"/>
  <c r="AH387" i="2"/>
  <c r="AH388" i="2"/>
  <c r="N387" i="2"/>
  <c r="O387" i="2"/>
  <c r="O388" i="2" s="1"/>
  <c r="P387" i="2"/>
  <c r="N388" i="2"/>
  <c r="P388" i="2"/>
  <c r="F389" i="2"/>
  <c r="G389" i="2" s="1"/>
  <c r="F390" i="2"/>
  <c r="H390" i="2"/>
  <c r="I390" i="2" s="1"/>
  <c r="G390" i="2"/>
  <c r="F391" i="2"/>
  <c r="AH389" i="2"/>
  <c r="AH390" i="2"/>
  <c r="AH391" i="2"/>
  <c r="N390" i="2"/>
  <c r="O390" i="2"/>
  <c r="O391" i="2" s="1"/>
  <c r="P390" i="2"/>
  <c r="N391" i="2"/>
  <c r="P391" i="2"/>
  <c r="F392" i="2"/>
  <c r="G392" i="2" s="1"/>
  <c r="F393" i="2"/>
  <c r="H393" i="2"/>
  <c r="I393" i="2" s="1"/>
  <c r="G393" i="2"/>
  <c r="F394" i="2"/>
  <c r="AH392" i="2"/>
  <c r="AH393" i="2"/>
  <c r="AH394" i="2"/>
  <c r="N393" i="2"/>
  <c r="O393" i="2"/>
  <c r="O394" i="2" s="1"/>
  <c r="P393" i="2"/>
  <c r="N394" i="2"/>
  <c r="P394" i="2"/>
  <c r="F395" i="2"/>
  <c r="G395" i="2" s="1"/>
  <c r="F396" i="2"/>
  <c r="H396" i="2"/>
  <c r="I396" i="2" s="1"/>
  <c r="G396" i="2"/>
  <c r="AH395" i="2"/>
  <c r="AH396" i="2"/>
  <c r="AH397" i="2"/>
  <c r="N396" i="2"/>
  <c r="O396" i="2"/>
  <c r="O397" i="2" s="1"/>
  <c r="P396" i="2"/>
  <c r="N397" i="2"/>
  <c r="P397" i="2"/>
  <c r="D398" i="2"/>
  <c r="F398" i="2"/>
  <c r="A398" i="2" s="1"/>
  <c r="J398" i="2"/>
  <c r="K398" i="2" s="1"/>
  <c r="T398" i="2" s="1"/>
  <c r="F399" i="2"/>
  <c r="H399" i="2"/>
  <c r="I399" i="2" s="1"/>
  <c r="G399" i="2"/>
  <c r="J399" i="2"/>
  <c r="K399" i="2" s="1"/>
  <c r="T399" i="2" s="1"/>
  <c r="F400" i="2"/>
  <c r="AH398" i="2"/>
  <c r="AM398" i="2" s="1"/>
  <c r="AH399" i="2"/>
  <c r="AH400" i="2"/>
  <c r="D399" i="2"/>
  <c r="B399" i="2" s="1"/>
  <c r="A399" i="2"/>
  <c r="N399" i="2"/>
  <c r="O399" i="2"/>
  <c r="O400" i="2" s="1"/>
  <c r="P399" i="2"/>
  <c r="D400" i="2"/>
  <c r="D401" i="2" s="1"/>
  <c r="N400" i="2"/>
  <c r="P400" i="2"/>
  <c r="F401" i="2"/>
  <c r="G401" i="2" s="1"/>
  <c r="F402" i="2"/>
  <c r="H402" i="2"/>
  <c r="I402" i="2" s="1"/>
  <c r="G402" i="2"/>
  <c r="F403" i="2"/>
  <c r="AH401" i="2"/>
  <c r="AH402" i="2"/>
  <c r="AH403" i="2"/>
  <c r="N402" i="2"/>
  <c r="O402" i="2"/>
  <c r="O403" i="2" s="1"/>
  <c r="P402" i="2"/>
  <c r="N403" i="2"/>
  <c r="P403" i="2"/>
  <c r="F404" i="2"/>
  <c r="G404" i="2" s="1"/>
  <c r="F405" i="2"/>
  <c r="H405" i="2"/>
  <c r="I405" i="2" s="1"/>
  <c r="G405" i="2"/>
  <c r="F406" i="2"/>
  <c r="F409" i="2" s="1"/>
  <c r="AH404" i="2"/>
  <c r="AH405" i="2"/>
  <c r="AH406" i="2"/>
  <c r="N405" i="2"/>
  <c r="O405" i="2"/>
  <c r="O406" i="2" s="1"/>
  <c r="P405" i="2"/>
  <c r="N406" i="2"/>
  <c r="P406" i="2"/>
  <c r="F407" i="2"/>
  <c r="F408" i="2"/>
  <c r="H408" i="2"/>
  <c r="I408" i="2" s="1"/>
  <c r="G408" i="2"/>
  <c r="AH407" i="2"/>
  <c r="AH408" i="2"/>
  <c r="AH409" i="2"/>
  <c r="N408" i="2"/>
  <c r="O408" i="2"/>
  <c r="O409" i="2" s="1"/>
  <c r="P408" i="2"/>
  <c r="N409" i="2"/>
  <c r="P409" i="2"/>
  <c r="F410" i="2"/>
  <c r="F411" i="2"/>
  <c r="H411" i="2"/>
  <c r="I411" i="2" s="1"/>
  <c r="G411" i="2"/>
  <c r="AH410" i="2"/>
  <c r="AH411" i="2"/>
  <c r="AH412" i="2"/>
  <c r="N411" i="2"/>
  <c r="O411" i="2"/>
  <c r="O412" i="2" s="1"/>
  <c r="P411" i="2"/>
  <c r="N412" i="2"/>
  <c r="P412" i="2"/>
  <c r="E32" i="2"/>
  <c r="E53" i="2"/>
  <c r="E68" i="2"/>
  <c r="E83" i="2"/>
  <c r="E98" i="2"/>
  <c r="E99" i="2"/>
  <c r="E100" i="2"/>
  <c r="E101" i="2"/>
  <c r="E102" i="2"/>
  <c r="E103" i="2"/>
  <c r="E104" i="2"/>
  <c r="E33" i="2"/>
  <c r="E57" i="2"/>
  <c r="E58" i="2"/>
  <c r="E59" i="2"/>
  <c r="E84" i="2"/>
  <c r="E85" i="2"/>
  <c r="E86" i="2"/>
  <c r="H10" i="2"/>
  <c r="E54" i="2"/>
  <c r="E55" i="2"/>
  <c r="E56" i="2"/>
  <c r="E113" i="2"/>
  <c r="E129" i="2"/>
  <c r="E130" i="2"/>
  <c r="E131" i="2"/>
  <c r="E105" i="2"/>
  <c r="E87" i="2"/>
  <c r="E128" i="2"/>
  <c r="E143" i="2"/>
  <c r="E69" i="2"/>
  <c r="E106" i="2"/>
  <c r="E158" i="2"/>
  <c r="E114" i="2"/>
  <c r="E160" i="2"/>
  <c r="E189" i="2"/>
  <c r="E190" i="2"/>
  <c r="E191" i="2"/>
  <c r="E218" i="2"/>
  <c r="E173" i="2"/>
  <c r="E203" i="2"/>
  <c r="E204" i="2"/>
  <c r="E205" i="2"/>
  <c r="E206" i="2"/>
  <c r="E144" i="2"/>
  <c r="E161" i="2"/>
  <c r="E188" i="2"/>
  <c r="E210" i="2"/>
  <c r="E211" i="2"/>
  <c r="E212" i="2"/>
  <c r="E233" i="2"/>
  <c r="E159" i="2"/>
  <c r="E207" i="2"/>
  <c r="E208" i="2"/>
  <c r="E209" i="2"/>
  <c r="E219" i="2"/>
  <c r="E220" i="2"/>
  <c r="E221" i="2"/>
  <c r="E248" i="2"/>
  <c r="E278" i="2"/>
  <c r="E293" i="2"/>
  <c r="E308" i="2"/>
  <c r="E323" i="2"/>
  <c r="E263" i="2"/>
  <c r="E264" i="2"/>
  <c r="E265" i="2"/>
  <c r="E266" i="2"/>
  <c r="E338" i="2"/>
  <c r="E385" i="2"/>
  <c r="E400" i="2"/>
  <c r="E353" i="2"/>
  <c r="E368" i="2"/>
  <c r="E383" i="2"/>
  <c r="E398" i="2"/>
  <c r="E355" i="2"/>
  <c r="E370" i="2"/>
  <c r="E354" i="2"/>
  <c r="E369" i="2"/>
  <c r="E384" i="2"/>
  <c r="E399" i="2"/>
  <c r="E386" i="2"/>
  <c r="E401" i="2"/>
  <c r="D20" i="4"/>
  <c r="D10" i="4"/>
  <c r="E18" i="4"/>
  <c r="D19" i="4"/>
  <c r="E34" i="4"/>
  <c r="E15" i="4"/>
  <c r="D13" i="4"/>
  <c r="E20" i="4"/>
  <c r="E10" i="4"/>
  <c r="E8" i="4"/>
  <c r="D34" i="4"/>
  <c r="E9" i="4"/>
  <c r="D26" i="4"/>
  <c r="E22" i="4"/>
  <c r="D21" i="4"/>
  <c r="D11" i="4"/>
  <c r="D9" i="4"/>
  <c r="E19" i="4"/>
  <c r="D16" i="4"/>
  <c r="D12" i="4"/>
  <c r="E23" i="4"/>
  <c r="E21" i="4"/>
  <c r="E11" i="4"/>
  <c r="D23" i="4"/>
  <c r="D18" i="4"/>
  <c r="D8" i="4"/>
  <c r="N43" i="881" a="1"/>
  <c r="E26" i="4"/>
  <c r="E16" i="4"/>
  <c r="N44" i="881" a="1"/>
  <c r="E27" i="4"/>
  <c r="E17" i="4"/>
  <c r="D14" i="4"/>
  <c r="E24" i="4"/>
  <c r="D25" i="4"/>
  <c r="E12" i="4"/>
  <c r="D27" i="4"/>
  <c r="D17" i="4"/>
  <c r="E14" i="4"/>
  <c r="D15" i="4"/>
  <c r="E25" i="4"/>
  <c r="D22" i="4"/>
  <c r="E13" i="4"/>
  <c r="D24" i="4"/>
  <c r="N44" i="881" l="1"/>
  <c r="N43" i="881"/>
  <c r="K69" i="2"/>
  <c r="K210" i="2"/>
  <c r="T210" i="2" s="1"/>
  <c r="K162" i="2"/>
  <c r="T162" i="2" s="1"/>
  <c r="K204" i="2"/>
  <c r="K159" i="2"/>
  <c r="K249" i="2"/>
  <c r="K207" i="2"/>
  <c r="T207" i="2" s="1"/>
  <c r="K189" i="2"/>
  <c r="AM189" i="2" s="1"/>
  <c r="K234" i="2"/>
  <c r="T234" i="2" s="1"/>
  <c r="K237" i="2"/>
  <c r="T237" i="2" s="1"/>
  <c r="K252" i="2"/>
  <c r="T252" i="2" s="1"/>
  <c r="D35" i="4"/>
  <c r="E35" i="4"/>
  <c r="D29" i="4"/>
  <c r="D32" i="4"/>
  <c r="D30" i="4"/>
  <c r="D31" i="4"/>
  <c r="E29" i="4"/>
  <c r="E32" i="4"/>
  <c r="E30" i="4"/>
  <c r="E31" i="4"/>
  <c r="H409" i="2"/>
  <c r="G409" i="2"/>
  <c r="F412" i="2"/>
  <c r="G410" i="2"/>
  <c r="H410" i="2"/>
  <c r="H403" i="2"/>
  <c r="G403" i="2"/>
  <c r="AI369" i="2"/>
  <c r="AR399" i="2"/>
  <c r="V399" i="2"/>
  <c r="R399" i="2"/>
  <c r="AU399" i="2"/>
  <c r="AM384" i="2"/>
  <c r="AI384" i="2" s="1"/>
  <c r="AM368" i="2"/>
  <c r="H394" i="2"/>
  <c r="G394" i="2"/>
  <c r="A401" i="2"/>
  <c r="D402" i="2"/>
  <c r="B401" i="2"/>
  <c r="H391" i="2"/>
  <c r="G391" i="2"/>
  <c r="A386" i="2"/>
  <c r="D387" i="2"/>
  <c r="B386" i="2"/>
  <c r="AM383" i="2"/>
  <c r="I361" i="2"/>
  <c r="AR384" i="2"/>
  <c r="V384" i="2"/>
  <c r="R384" i="2"/>
  <c r="AU384" i="2"/>
  <c r="G407" i="2"/>
  <c r="H407" i="2"/>
  <c r="I407" i="2" s="1"/>
  <c r="AM399" i="2"/>
  <c r="I366" i="2"/>
  <c r="I360" i="2"/>
  <c r="AM354" i="2"/>
  <c r="H334" i="2"/>
  <c r="I334" i="2" s="1"/>
  <c r="G334" i="2"/>
  <c r="F337" i="2"/>
  <c r="F397" i="2"/>
  <c r="AR369" i="2"/>
  <c r="V369" i="2"/>
  <c r="W369" i="2" s="1"/>
  <c r="R369" i="2"/>
  <c r="AU369" i="2"/>
  <c r="AU338" i="2"/>
  <c r="R338" i="2"/>
  <c r="AR338" i="2"/>
  <c r="V338" i="2"/>
  <c r="H406" i="2"/>
  <c r="I406" i="2" s="1"/>
  <c r="G406" i="2"/>
  <c r="H400" i="2"/>
  <c r="G400" i="2"/>
  <c r="H404" i="2"/>
  <c r="I404" i="2" s="1"/>
  <c r="H401" i="2"/>
  <c r="I401" i="2" s="1"/>
  <c r="H398" i="2"/>
  <c r="H395" i="2"/>
  <c r="I395" i="2" s="1"/>
  <c r="H392" i="2"/>
  <c r="I392" i="2" s="1"/>
  <c r="H389" i="2"/>
  <c r="I389" i="2" s="1"/>
  <c r="H386" i="2"/>
  <c r="I386" i="2" s="1"/>
  <c r="H383" i="2"/>
  <c r="H380" i="2"/>
  <c r="I380" i="2" s="1"/>
  <c r="H377" i="2"/>
  <c r="I377" i="2" s="1"/>
  <c r="H374" i="2"/>
  <c r="I374" i="2" s="1"/>
  <c r="H371" i="2"/>
  <c r="I371" i="2" s="1"/>
  <c r="B369" i="2"/>
  <c r="H368" i="2"/>
  <c r="I368" i="2" s="1"/>
  <c r="H365" i="2"/>
  <c r="I365" i="2" s="1"/>
  <c r="H362" i="2"/>
  <c r="I362" i="2" s="1"/>
  <c r="H359" i="2"/>
  <c r="I359" i="2" s="1"/>
  <c r="H356" i="2"/>
  <c r="I356" i="2" s="1"/>
  <c r="B354" i="2"/>
  <c r="H353" i="2"/>
  <c r="H328" i="2"/>
  <c r="G328" i="2"/>
  <c r="H319" i="2"/>
  <c r="G319" i="2"/>
  <c r="R309" i="2"/>
  <c r="AU309" i="2"/>
  <c r="AR309" i="2"/>
  <c r="V309" i="2"/>
  <c r="K294" i="2"/>
  <c r="T294" i="2" s="1"/>
  <c r="J295" i="2"/>
  <c r="I274" i="2"/>
  <c r="B400" i="2"/>
  <c r="G398" i="2"/>
  <c r="B385" i="2"/>
  <c r="G383" i="2"/>
  <c r="B370" i="2"/>
  <c r="G368" i="2"/>
  <c r="B355" i="2"/>
  <c r="G353" i="2"/>
  <c r="H341" i="2"/>
  <c r="I341" i="2" s="1"/>
  <c r="G326" i="2"/>
  <c r="H326" i="2"/>
  <c r="I326" i="2" s="1"/>
  <c r="I296" i="2"/>
  <c r="I293" i="2"/>
  <c r="V266" i="2"/>
  <c r="W266" i="2" s="1"/>
  <c r="AR266" i="2"/>
  <c r="R266" i="2"/>
  <c r="AM237" i="2"/>
  <c r="B398" i="2"/>
  <c r="B383" i="2"/>
  <c r="B368" i="2"/>
  <c r="B353" i="2"/>
  <c r="K339" i="2"/>
  <c r="T339" i="2" s="1"/>
  <c r="J340" i="2"/>
  <c r="H316" i="2"/>
  <c r="I316" i="2" s="1"/>
  <c r="G316" i="2"/>
  <c r="I312" i="2"/>
  <c r="AM294" i="2"/>
  <c r="I281" i="2"/>
  <c r="K279" i="2"/>
  <c r="T279" i="2" s="1"/>
  <c r="J280" i="2"/>
  <c r="I273" i="2"/>
  <c r="AU266" i="2"/>
  <c r="A400" i="2"/>
  <c r="J400" i="2"/>
  <c r="A385" i="2"/>
  <c r="J385" i="2"/>
  <c r="J370" i="2"/>
  <c r="J355" i="2"/>
  <c r="H331" i="2"/>
  <c r="I331" i="2" s="1"/>
  <c r="G331" i="2"/>
  <c r="AM279" i="2"/>
  <c r="AU278" i="2"/>
  <c r="AR278" i="2"/>
  <c r="R278" i="2"/>
  <c r="V278" i="2"/>
  <c r="V268" i="2"/>
  <c r="W268" i="2" s="1"/>
  <c r="R268" i="2"/>
  <c r="AU268" i="2"/>
  <c r="AR268" i="2"/>
  <c r="AI265" i="2"/>
  <c r="R265" i="2"/>
  <c r="AU265" i="2"/>
  <c r="AR265" i="2"/>
  <c r="AS263" i="2" s="1"/>
  <c r="V265" i="2"/>
  <c r="H254" i="2"/>
  <c r="G254" i="2"/>
  <c r="F257" i="2"/>
  <c r="K254" i="2"/>
  <c r="T254" i="2" s="1"/>
  <c r="F344" i="2"/>
  <c r="F342" i="2"/>
  <c r="H339" i="2"/>
  <c r="I339" i="2" s="1"/>
  <c r="H325" i="2"/>
  <c r="I325" i="2" s="1"/>
  <c r="G325" i="2"/>
  <c r="AI309" i="2"/>
  <c r="AI278" i="2"/>
  <c r="AI268" i="2"/>
  <c r="AU237" i="2"/>
  <c r="G388" i="2"/>
  <c r="I388" i="2" s="1"/>
  <c r="G385" i="2"/>
  <c r="I385" i="2" s="1"/>
  <c r="G382" i="2"/>
  <c r="I382" i="2" s="1"/>
  <c r="G379" i="2"/>
  <c r="I379" i="2" s="1"/>
  <c r="G376" i="2"/>
  <c r="I376" i="2" s="1"/>
  <c r="G373" i="2"/>
  <c r="I373" i="2" s="1"/>
  <c r="D371" i="2"/>
  <c r="G370" i="2"/>
  <c r="I370" i="2" s="1"/>
  <c r="G367" i="2"/>
  <c r="I367" i="2" s="1"/>
  <c r="G364" i="2"/>
  <c r="I364" i="2" s="1"/>
  <c r="G361" i="2"/>
  <c r="D356" i="2"/>
  <c r="G329" i="2"/>
  <c r="H329" i="2"/>
  <c r="I304" i="2"/>
  <c r="AM252" i="2"/>
  <c r="G354" i="2"/>
  <c r="I354" i="2" s="1"/>
  <c r="A338" i="2"/>
  <c r="D339" i="2"/>
  <c r="AM324" i="2"/>
  <c r="K324" i="2"/>
  <c r="T324" i="2" s="1"/>
  <c r="J325" i="2"/>
  <c r="F322" i="2"/>
  <c r="AU308" i="2"/>
  <c r="AR308" i="2"/>
  <c r="R308" i="2"/>
  <c r="V308" i="2"/>
  <c r="W308" i="2" s="1"/>
  <c r="I287" i="2"/>
  <c r="I267" i="2"/>
  <c r="V249" i="2"/>
  <c r="H243" i="2"/>
  <c r="K243" i="2"/>
  <c r="T243" i="2" s="1"/>
  <c r="F246" i="2"/>
  <c r="G243" i="2"/>
  <c r="AM338" i="2"/>
  <c r="AI338" i="2" s="1"/>
  <c r="F336" i="2"/>
  <c r="H333" i="2"/>
  <c r="I333" i="2" s="1"/>
  <c r="F332" i="2"/>
  <c r="H330" i="2"/>
  <c r="I330" i="2" s="1"/>
  <c r="I324" i="2"/>
  <c r="G323" i="2"/>
  <c r="H323" i="2"/>
  <c r="I323" i="2" s="1"/>
  <c r="I291" i="2"/>
  <c r="AI266" i="2"/>
  <c r="R264" i="2"/>
  <c r="AI264" i="2" s="1"/>
  <c r="AJ263" i="2" s="1"/>
  <c r="AL263" i="2" s="1"/>
  <c r="AU264" i="2"/>
  <c r="AV263" i="2" s="1"/>
  <c r="AR264" i="2"/>
  <c r="V264" i="2"/>
  <c r="W264" i="2" s="1"/>
  <c r="B293" i="2"/>
  <c r="B278" i="2"/>
  <c r="V272" i="2"/>
  <c r="V269" i="2"/>
  <c r="W269" i="2" s="1"/>
  <c r="V234" i="2"/>
  <c r="R234" i="2"/>
  <c r="AR234" i="2"/>
  <c r="AU234" i="2"/>
  <c r="I207" i="2"/>
  <c r="AR204" i="2"/>
  <c r="V188" i="2"/>
  <c r="I166" i="2"/>
  <c r="Z158" i="2"/>
  <c r="AB158" i="2" s="1"/>
  <c r="D324" i="2"/>
  <c r="D309" i="2"/>
  <c r="J310" i="2"/>
  <c r="D294" i="2"/>
  <c r="D279" i="2"/>
  <c r="T272" i="2"/>
  <c r="T269" i="2"/>
  <c r="F259" i="2"/>
  <c r="H256" i="2"/>
  <c r="I256" i="2" s="1"/>
  <c r="H244" i="2"/>
  <c r="I244" i="2" s="1"/>
  <c r="F247" i="2"/>
  <c r="I236" i="2"/>
  <c r="H227" i="2"/>
  <c r="F230" i="2"/>
  <c r="G227" i="2"/>
  <c r="AM210" i="2"/>
  <c r="V210" i="2"/>
  <c r="W210" i="2" s="1"/>
  <c r="AU210" i="2"/>
  <c r="R210" i="2"/>
  <c r="AR210" i="2"/>
  <c r="V162" i="2"/>
  <c r="W162" i="2" s="1"/>
  <c r="R162" i="2"/>
  <c r="AR162" i="2"/>
  <c r="AU162" i="2"/>
  <c r="R272" i="2"/>
  <c r="AI272" i="2" s="1"/>
  <c r="R269" i="2"/>
  <c r="D267" i="2"/>
  <c r="AB263" i="2"/>
  <c r="AH250" i="2"/>
  <c r="AH243" i="2"/>
  <c r="G236" i="2"/>
  <c r="K236" i="2"/>
  <c r="T236" i="2" s="1"/>
  <c r="F239" i="2"/>
  <c r="I221" i="2"/>
  <c r="F216" i="2"/>
  <c r="H213" i="2"/>
  <c r="G213" i="2"/>
  <c r="K213" i="2"/>
  <c r="T213" i="2" s="1"/>
  <c r="G197" i="2"/>
  <c r="H197" i="2"/>
  <c r="K197" i="2"/>
  <c r="T197" i="2" s="1"/>
  <c r="F200" i="2"/>
  <c r="AM162" i="2"/>
  <c r="AI162" i="2" s="1"/>
  <c r="G313" i="2"/>
  <c r="I313" i="2" s="1"/>
  <c r="G310" i="2"/>
  <c r="I310" i="2" s="1"/>
  <c r="G307" i="2"/>
  <c r="I307" i="2" s="1"/>
  <c r="G304" i="2"/>
  <c r="G301" i="2"/>
  <c r="I301" i="2" s="1"/>
  <c r="G298" i="2"/>
  <c r="I298" i="2" s="1"/>
  <c r="K251" i="2"/>
  <c r="H251" i="2"/>
  <c r="I251" i="2" s="1"/>
  <c r="AM249" i="2"/>
  <c r="AU249" i="2"/>
  <c r="AR249" i="2"/>
  <c r="H241" i="2"/>
  <c r="I241" i="2" s="1"/>
  <c r="G241" i="2"/>
  <c r="AU220" i="2"/>
  <c r="V220" i="2"/>
  <c r="W220" i="2" s="1"/>
  <c r="R220" i="2"/>
  <c r="AR220" i="2"/>
  <c r="AU192" i="2"/>
  <c r="V192" i="2"/>
  <c r="AR188" i="2"/>
  <c r="AU188" i="2"/>
  <c r="R188" i="2"/>
  <c r="G297" i="2"/>
  <c r="I297" i="2" s="1"/>
  <c r="G294" i="2"/>
  <c r="I294" i="2" s="1"/>
  <c r="G291" i="2"/>
  <c r="G288" i="2"/>
  <c r="I288" i="2" s="1"/>
  <c r="G285" i="2"/>
  <c r="I285" i="2" s="1"/>
  <c r="G282" i="2"/>
  <c r="I282" i="2" s="1"/>
  <c r="G279" i="2"/>
  <c r="I279" i="2" s="1"/>
  <c r="H275" i="2"/>
  <c r="I275" i="2" s="1"/>
  <c r="G274" i="2"/>
  <c r="G273" i="2"/>
  <c r="H272" i="2"/>
  <c r="G271" i="2"/>
  <c r="I271" i="2" s="1"/>
  <c r="G270" i="2"/>
  <c r="I270" i="2" s="1"/>
  <c r="H269" i="2"/>
  <c r="AH235" i="2"/>
  <c r="AI220" i="2"/>
  <c r="AM192" i="2"/>
  <c r="V191" i="2"/>
  <c r="W191" i="2" s="1"/>
  <c r="AM161" i="2"/>
  <c r="F277" i="2"/>
  <c r="F276" i="2"/>
  <c r="C266" i="2"/>
  <c r="C265" i="2"/>
  <c r="C264" i="2"/>
  <c r="C263" i="2"/>
  <c r="H253" i="2"/>
  <c r="I253" i="2" s="1"/>
  <c r="G253" i="2"/>
  <c r="I252" i="2"/>
  <c r="AR248" i="2"/>
  <c r="D249" i="2"/>
  <c r="B248" i="2"/>
  <c r="H238" i="2"/>
  <c r="I238" i="2" s="1"/>
  <c r="G238" i="2"/>
  <c r="AM234" i="2"/>
  <c r="AI234" i="2" s="1"/>
  <c r="AU218" i="2"/>
  <c r="R218" i="2"/>
  <c r="AR218" i="2"/>
  <c r="V218" i="2"/>
  <c r="W218" i="2" s="1"/>
  <c r="X218" i="2" s="1"/>
  <c r="AB203" i="2"/>
  <c r="AO203" i="2" s="1"/>
  <c r="Z203" i="2"/>
  <c r="H320" i="2"/>
  <c r="I320" i="2" s="1"/>
  <c r="H317" i="2"/>
  <c r="I317" i="2" s="1"/>
  <c r="AM254" i="2"/>
  <c r="AI248" i="2"/>
  <c r="H240" i="2"/>
  <c r="I240" i="2" s="1"/>
  <c r="G240" i="2"/>
  <c r="K240" i="2"/>
  <c r="T240" i="2" s="1"/>
  <c r="AR237" i="2"/>
  <c r="V237" i="2"/>
  <c r="R237" i="2"/>
  <c r="AI219" i="2"/>
  <c r="AU219" i="2"/>
  <c r="V219" i="2"/>
  <c r="W219" i="2" s="1"/>
  <c r="R219" i="2"/>
  <c r="AR219" i="2"/>
  <c r="AM213" i="2"/>
  <c r="R191" i="2"/>
  <c r="AU191" i="2"/>
  <c r="AR191" i="2"/>
  <c r="AI158" i="2"/>
  <c r="A266" i="2"/>
  <c r="A263" i="2"/>
  <c r="F255" i="2"/>
  <c r="R248" i="2"/>
  <c r="AI218" i="2"/>
  <c r="AJ218" i="2" s="1"/>
  <c r="F217" i="2"/>
  <c r="H214" i="2"/>
  <c r="G214" i="2"/>
  <c r="H224" i="2"/>
  <c r="B206" i="2"/>
  <c r="AU204" i="2"/>
  <c r="H194" i="2"/>
  <c r="I194" i="2" s="1"/>
  <c r="F177" i="2"/>
  <c r="B173" i="2"/>
  <c r="G224" i="2"/>
  <c r="A206" i="2"/>
  <c r="AU203" i="2"/>
  <c r="V203" i="2"/>
  <c r="W203" i="2" s="1"/>
  <c r="F196" i="2"/>
  <c r="F195" i="2"/>
  <c r="G194" i="2"/>
  <c r="C191" i="2"/>
  <c r="C190" i="2"/>
  <c r="C189" i="2"/>
  <c r="F178" i="2"/>
  <c r="A173" i="2"/>
  <c r="G161" i="2"/>
  <c r="F164" i="2"/>
  <c r="H161" i="2"/>
  <c r="I161" i="2" s="1"/>
  <c r="C160" i="2"/>
  <c r="H145" i="2"/>
  <c r="G145" i="2"/>
  <c r="F148" i="2"/>
  <c r="AU131" i="2"/>
  <c r="R131" i="2"/>
  <c r="V131" i="2"/>
  <c r="W131" i="2" s="1"/>
  <c r="AR131" i="2"/>
  <c r="AU117" i="2"/>
  <c r="V117" i="2"/>
  <c r="R117" i="2"/>
  <c r="AI117" i="2" s="1"/>
  <c r="AR117" i="2"/>
  <c r="Z115" i="2"/>
  <c r="AB115" i="2"/>
  <c r="AL115" i="2"/>
  <c r="A161" i="2"/>
  <c r="AR158" i="2"/>
  <c r="V158" i="2"/>
  <c r="W158" i="2" s="1"/>
  <c r="A144" i="2"/>
  <c r="B144" i="2"/>
  <c r="C144" i="2"/>
  <c r="AM144" i="2"/>
  <c r="V130" i="2"/>
  <c r="AR130" i="2"/>
  <c r="R130" i="2"/>
  <c r="AI130" i="2" s="1"/>
  <c r="AU130" i="2"/>
  <c r="V119" i="2"/>
  <c r="AU119" i="2"/>
  <c r="R119" i="2"/>
  <c r="AR119" i="2"/>
  <c r="H120" i="2"/>
  <c r="I120" i="2" s="1"/>
  <c r="G120" i="2"/>
  <c r="F123" i="2"/>
  <c r="AI115" i="2"/>
  <c r="D234" i="2"/>
  <c r="H233" i="2"/>
  <c r="I233" i="2" s="1"/>
  <c r="F223" i="2"/>
  <c r="F222" i="2"/>
  <c r="K206" i="2"/>
  <c r="T206" i="2" s="1"/>
  <c r="V204" i="2"/>
  <c r="K192" i="2"/>
  <c r="T192" i="2" s="1"/>
  <c r="F176" i="2"/>
  <c r="G175" i="2"/>
  <c r="I175" i="2" s="1"/>
  <c r="G174" i="2"/>
  <c r="I174" i="2" s="1"/>
  <c r="K165" i="2"/>
  <c r="F150" i="2"/>
  <c r="K147" i="2"/>
  <c r="AM147" i="2" s="1"/>
  <c r="G147" i="2"/>
  <c r="H144" i="2"/>
  <c r="I144" i="2" s="1"/>
  <c r="G144" i="2"/>
  <c r="K144" i="2"/>
  <c r="T144" i="2" s="1"/>
  <c r="C221" i="2"/>
  <c r="C220" i="2"/>
  <c r="C219" i="2"/>
  <c r="D213" i="2"/>
  <c r="C209" i="2"/>
  <c r="C208" i="2"/>
  <c r="C207" i="2"/>
  <c r="D174" i="2"/>
  <c r="F172" i="2"/>
  <c r="F171" i="2"/>
  <c r="K168" i="2"/>
  <c r="T168" i="2" s="1"/>
  <c r="C159" i="2"/>
  <c r="AU158" i="2"/>
  <c r="D145" i="2"/>
  <c r="F141" i="2"/>
  <c r="H138" i="2"/>
  <c r="G138" i="2"/>
  <c r="H136" i="2"/>
  <c r="I136" i="2" s="1"/>
  <c r="G136" i="2"/>
  <c r="F139" i="2"/>
  <c r="H206" i="2"/>
  <c r="I206" i="2" s="1"/>
  <c r="H173" i="2"/>
  <c r="I173" i="2" s="1"/>
  <c r="G165" i="2"/>
  <c r="I165" i="2" s="1"/>
  <c r="D162" i="2"/>
  <c r="AM159" i="2"/>
  <c r="R159" i="2"/>
  <c r="AR159" i="2"/>
  <c r="V129" i="2"/>
  <c r="R129" i="2"/>
  <c r="AU129" i="2"/>
  <c r="AR129" i="2"/>
  <c r="AS128" i="2" s="1"/>
  <c r="AU118" i="2"/>
  <c r="V118" i="2"/>
  <c r="W118" i="2" s="1"/>
  <c r="R118" i="2"/>
  <c r="AR118" i="2"/>
  <c r="AL116" i="2"/>
  <c r="AB116" i="2"/>
  <c r="AO116" i="2" s="1"/>
  <c r="AX116" i="2" s="1"/>
  <c r="Z116" i="2"/>
  <c r="D115" i="2"/>
  <c r="A114" i="2"/>
  <c r="B114" i="2"/>
  <c r="C114" i="2"/>
  <c r="B233" i="2"/>
  <c r="D222" i="2"/>
  <c r="A221" i="2"/>
  <c r="B211" i="2"/>
  <c r="B210" i="2"/>
  <c r="G206" i="2"/>
  <c r="K194" i="2"/>
  <c r="T194" i="2" s="1"/>
  <c r="D192" i="2"/>
  <c r="AR189" i="2"/>
  <c r="C188" i="2"/>
  <c r="G173" i="2"/>
  <c r="K161" i="2"/>
  <c r="T161" i="2" s="1"/>
  <c r="B158" i="2"/>
  <c r="C158" i="2"/>
  <c r="H147" i="2"/>
  <c r="AH143" i="2"/>
  <c r="AM143" i="2" s="1"/>
  <c r="H135" i="2"/>
  <c r="I135" i="2" s="1"/>
  <c r="G135" i="2"/>
  <c r="AN128" i="2"/>
  <c r="AW128" i="2" s="1"/>
  <c r="H121" i="2"/>
  <c r="I121" i="2" s="1"/>
  <c r="F124" i="2"/>
  <c r="G121" i="2"/>
  <c r="Z114" i="2"/>
  <c r="AB114" i="2"/>
  <c r="AO114" i="2" s="1"/>
  <c r="AL114" i="2"/>
  <c r="F209" i="2"/>
  <c r="A209" i="2" s="1"/>
  <c r="C161" i="2"/>
  <c r="V143" i="2"/>
  <c r="I137" i="2"/>
  <c r="W134" i="2"/>
  <c r="AI116" i="2"/>
  <c r="AM104" i="2"/>
  <c r="C143" i="2"/>
  <c r="T134" i="2"/>
  <c r="G133" i="2"/>
  <c r="G132" i="2"/>
  <c r="AU116" i="2"/>
  <c r="AV116" i="2" s="1"/>
  <c r="V115" i="2"/>
  <c r="W115" i="2" s="1"/>
  <c r="V114" i="2"/>
  <c r="C104" i="2"/>
  <c r="K74" i="2"/>
  <c r="F77" i="2"/>
  <c r="G74" i="2"/>
  <c r="H74" i="2"/>
  <c r="I74" i="2" s="1"/>
  <c r="H72" i="2"/>
  <c r="G72" i="2"/>
  <c r="F75" i="2"/>
  <c r="K72" i="2"/>
  <c r="T72" i="2" s="1"/>
  <c r="K54" i="2"/>
  <c r="T54" i="2" s="1"/>
  <c r="V35" i="2"/>
  <c r="AR35" i="2"/>
  <c r="AX32" i="2"/>
  <c r="R33" i="2"/>
  <c r="AR33" i="2"/>
  <c r="V33" i="2"/>
  <c r="F140" i="2"/>
  <c r="R134" i="2"/>
  <c r="D132" i="2"/>
  <c r="H133" i="2"/>
  <c r="I133" i="2" s="1"/>
  <c r="H132" i="2"/>
  <c r="D107" i="2"/>
  <c r="A100" i="2"/>
  <c r="A99" i="2"/>
  <c r="AH99" i="2"/>
  <c r="AM89" i="2"/>
  <c r="W50" i="2"/>
  <c r="AA50" i="2"/>
  <c r="H104" i="2"/>
  <c r="K104" i="2"/>
  <c r="T104" i="2" s="1"/>
  <c r="A104" i="2"/>
  <c r="F107" i="2"/>
  <c r="H99" i="2"/>
  <c r="I99" i="2" s="1"/>
  <c r="G99" i="2"/>
  <c r="K99" i="2"/>
  <c r="T99" i="2" s="1"/>
  <c r="B99" i="2"/>
  <c r="R83" i="2"/>
  <c r="AR83" i="2"/>
  <c r="V83" i="2"/>
  <c r="W83" i="2" s="1"/>
  <c r="V68" i="2"/>
  <c r="AU68" i="2"/>
  <c r="AR68" i="2"/>
  <c r="I37" i="2"/>
  <c r="AM131" i="2"/>
  <c r="AI131" i="2" s="1"/>
  <c r="C131" i="2"/>
  <c r="C130" i="2"/>
  <c r="C129" i="2"/>
  <c r="V116" i="2"/>
  <c r="W116" i="2" s="1"/>
  <c r="AU114" i="2"/>
  <c r="G103" i="2"/>
  <c r="I103" i="2" s="1"/>
  <c r="R101" i="2"/>
  <c r="V101" i="2"/>
  <c r="A69" i="2"/>
  <c r="B69" i="2"/>
  <c r="C69" i="2"/>
  <c r="AM54" i="2"/>
  <c r="W32" i="2"/>
  <c r="AA32" i="2"/>
  <c r="AN32" i="2" s="1"/>
  <c r="K143" i="2"/>
  <c r="T143" i="2" s="1"/>
  <c r="B131" i="2"/>
  <c r="B130" i="2"/>
  <c r="B129" i="2"/>
  <c r="AR116" i="2"/>
  <c r="AS116" i="2" s="1"/>
  <c r="B113" i="2"/>
  <c r="V38" i="2"/>
  <c r="AR38" i="2"/>
  <c r="AJ35" i="2"/>
  <c r="AB34" i="2"/>
  <c r="AO34" i="2" s="1"/>
  <c r="AX34" i="2" s="1"/>
  <c r="AL34" i="2"/>
  <c r="Z34" i="2"/>
  <c r="AA34" i="2"/>
  <c r="AN34" i="2" s="1"/>
  <c r="AW34" i="2" s="1"/>
  <c r="F122" i="2"/>
  <c r="A113" i="2"/>
  <c r="A103" i="2"/>
  <c r="H85" i="2"/>
  <c r="B85" i="2"/>
  <c r="G85" i="2"/>
  <c r="F88" i="2"/>
  <c r="A85" i="2"/>
  <c r="G44" i="2"/>
  <c r="H44" i="2"/>
  <c r="I36" i="2"/>
  <c r="F146" i="2"/>
  <c r="AU134" i="2"/>
  <c r="AR115" i="2"/>
  <c r="G113" i="2"/>
  <c r="H113" i="2"/>
  <c r="AU101" i="2"/>
  <c r="I98" i="2"/>
  <c r="AH91" i="2"/>
  <c r="AM91" i="2" s="1"/>
  <c r="D88" i="2"/>
  <c r="D70" i="2"/>
  <c r="AH63" i="2"/>
  <c r="W47" i="2"/>
  <c r="AA47" i="2"/>
  <c r="AR114" i="2"/>
  <c r="F106" i="2"/>
  <c r="C106" i="2" s="1"/>
  <c r="G104" i="2"/>
  <c r="F102" i="2"/>
  <c r="C99" i="2"/>
  <c r="H100" i="2"/>
  <c r="G100" i="2"/>
  <c r="B100" i="2"/>
  <c r="H84" i="2"/>
  <c r="B84" i="2"/>
  <c r="G84" i="2"/>
  <c r="F87" i="2"/>
  <c r="A84" i="2"/>
  <c r="V69" i="2"/>
  <c r="W69" i="2" s="1"/>
  <c r="R69" i="2"/>
  <c r="AU69" i="2"/>
  <c r="AR69" i="2"/>
  <c r="AU54" i="2"/>
  <c r="V54" i="2"/>
  <c r="W54" i="2" s="1"/>
  <c r="R54" i="2"/>
  <c r="AR54" i="2"/>
  <c r="AX38" i="2"/>
  <c r="F70" i="2"/>
  <c r="F55" i="2"/>
  <c r="C55" i="2" s="1"/>
  <c r="D34" i="2"/>
  <c r="B33" i="2"/>
  <c r="K56" i="2"/>
  <c r="T56" i="2" s="1"/>
  <c r="H71" i="2"/>
  <c r="I71" i="2" s="1"/>
  <c r="F59" i="2"/>
  <c r="AU37" i="2"/>
  <c r="H56" i="2"/>
  <c r="I56" i="2" s="1"/>
  <c r="AR53" i="2"/>
  <c r="AR50" i="2"/>
  <c r="AR47" i="2"/>
  <c r="AX47" i="2" s="1"/>
  <c r="H86" i="2"/>
  <c r="I86" i="2" s="1"/>
  <c r="B68" i="2"/>
  <c r="F57" i="2"/>
  <c r="A57" i="2" s="1"/>
  <c r="V53" i="2"/>
  <c r="B53" i="2"/>
  <c r="F40" i="2"/>
  <c r="F39" i="2"/>
  <c r="AU35" i="2"/>
  <c r="AV35" i="2" s="1"/>
  <c r="C32" i="2"/>
  <c r="G86" i="2"/>
  <c r="C56" i="2"/>
  <c r="C54" i="2"/>
  <c r="P43" i="2"/>
  <c r="AI43" i="2" s="1"/>
  <c r="AJ41" i="2" s="1"/>
  <c r="H41" i="2"/>
  <c r="AR32" i="2"/>
  <c r="AS32" i="2" s="1"/>
  <c r="B32" i="2"/>
  <c r="C86" i="2"/>
  <c r="C85" i="2"/>
  <c r="C84" i="2"/>
  <c r="B56" i="2"/>
  <c r="B54" i="2"/>
  <c r="R53" i="2"/>
  <c r="AI53" i="2" s="1"/>
  <c r="F89" i="2"/>
  <c r="D60" i="2"/>
  <c r="C59" i="2"/>
  <c r="C57" i="2"/>
  <c r="A56" i="2"/>
  <c r="C33" i="2"/>
  <c r="E339" i="2"/>
  <c r="E213" i="2"/>
  <c r="E222" i="2"/>
  <c r="E60" i="2"/>
  <c r="E402" i="2"/>
  <c r="E267" i="2"/>
  <c r="E115" i="2"/>
  <c r="E107" i="2"/>
  <c r="E88" i="2"/>
  <c r="E34" i="2"/>
  <c r="E192" i="2"/>
  <c r="E356" i="2"/>
  <c r="E234" i="2"/>
  <c r="E174" i="2"/>
  <c r="E162" i="2"/>
  <c r="E294" i="2"/>
  <c r="E132" i="2"/>
  <c r="E324" i="2"/>
  <c r="E249" i="2"/>
  <c r="E145" i="2"/>
  <c r="E70" i="2"/>
  <c r="E279" i="2"/>
  <c r="E309" i="2"/>
  <c r="H11" i="2"/>
  <c r="E387" i="2"/>
  <c r="E371" i="2"/>
  <c r="K160" i="2" l="1"/>
  <c r="K163" i="2"/>
  <c r="K211" i="2"/>
  <c r="K205" i="2"/>
  <c r="K250" i="2"/>
  <c r="K190" i="2"/>
  <c r="K208" i="2"/>
  <c r="K235" i="2"/>
  <c r="K256" i="2"/>
  <c r="K253" i="2"/>
  <c r="T253" i="2" s="1"/>
  <c r="K193" i="2"/>
  <c r="K145" i="2"/>
  <c r="K241" i="2"/>
  <c r="K238" i="2"/>
  <c r="K244" i="2"/>
  <c r="K214" i="2"/>
  <c r="K169" i="2"/>
  <c r="K103" i="2"/>
  <c r="K166" i="2"/>
  <c r="K100" i="2"/>
  <c r="H88" i="2"/>
  <c r="G88" i="2"/>
  <c r="F91" i="2"/>
  <c r="I41" i="2"/>
  <c r="AU41" i="2"/>
  <c r="AH47" i="2"/>
  <c r="AM47" i="2" s="1"/>
  <c r="AN47" i="2"/>
  <c r="AW47" i="2" s="1"/>
  <c r="R103" i="2"/>
  <c r="AR103" i="2"/>
  <c r="AU103" i="2"/>
  <c r="V103" i="2"/>
  <c r="R175" i="2"/>
  <c r="AR175" i="2"/>
  <c r="V175" i="2"/>
  <c r="W175" i="2" s="1"/>
  <c r="AU175" i="2"/>
  <c r="G178" i="2"/>
  <c r="F181" i="2"/>
  <c r="H178" i="2"/>
  <c r="R279" i="2"/>
  <c r="AU279" i="2"/>
  <c r="AR279" i="2"/>
  <c r="V279" i="2"/>
  <c r="AU270" i="2"/>
  <c r="AR270" i="2"/>
  <c r="V270" i="2"/>
  <c r="R270" i="2"/>
  <c r="V86" i="2"/>
  <c r="AU86" i="2"/>
  <c r="AR86" i="2"/>
  <c r="R86" i="2"/>
  <c r="V133" i="2"/>
  <c r="AU133" i="2"/>
  <c r="R133" i="2"/>
  <c r="AR133" i="2"/>
  <c r="AU271" i="2"/>
  <c r="AR271" i="2"/>
  <c r="V271" i="2"/>
  <c r="W271" i="2" s="1"/>
  <c r="R271" i="2"/>
  <c r="V310" i="2"/>
  <c r="AR385" i="2"/>
  <c r="T74" i="2"/>
  <c r="AM74" i="2"/>
  <c r="AR354" i="2"/>
  <c r="V354" i="2"/>
  <c r="R354" i="2"/>
  <c r="AU354" i="2"/>
  <c r="H87" i="2"/>
  <c r="I87" i="2" s="1"/>
  <c r="G87" i="2"/>
  <c r="F90" i="2"/>
  <c r="C87" i="2"/>
  <c r="A87" i="2"/>
  <c r="B87" i="2"/>
  <c r="H146" i="2"/>
  <c r="F149" i="2"/>
  <c r="G146" i="2"/>
  <c r="K146" i="2"/>
  <c r="V165" i="2"/>
  <c r="AR165" i="2"/>
  <c r="AU165" i="2"/>
  <c r="R165" i="2"/>
  <c r="R294" i="2"/>
  <c r="AU294" i="2"/>
  <c r="AR294" i="2"/>
  <c r="V294" i="2"/>
  <c r="R370" i="2"/>
  <c r="AX50" i="2"/>
  <c r="W114" i="2"/>
  <c r="AA114" i="2"/>
  <c r="AN114" i="2" s="1"/>
  <c r="AW114" i="2" s="1"/>
  <c r="V173" i="2"/>
  <c r="AR173" i="2"/>
  <c r="R173" i="2"/>
  <c r="AU173" i="2"/>
  <c r="F127" i="2"/>
  <c r="I127" i="2" s="1"/>
  <c r="I124" i="2"/>
  <c r="AL33" i="2"/>
  <c r="Z33" i="2"/>
  <c r="AA33" i="2"/>
  <c r="AN33" i="2" s="1"/>
  <c r="AW33" i="2" s="1"/>
  <c r="AB33" i="2"/>
  <c r="AO33" i="2" s="1"/>
  <c r="AX33" i="2" s="1"/>
  <c r="R174" i="2"/>
  <c r="AR174" i="2"/>
  <c r="AU174" i="2"/>
  <c r="V174" i="2"/>
  <c r="AA237" i="2"/>
  <c r="AN237" i="2" s="1"/>
  <c r="AW237" i="2" s="1"/>
  <c r="Z237" i="2"/>
  <c r="AB237" i="2" s="1"/>
  <c r="AO237" i="2" s="1"/>
  <c r="AX237" i="2" s="1"/>
  <c r="AL237" i="2"/>
  <c r="G200" i="2"/>
  <c r="H200" i="2"/>
  <c r="I200" i="2" s="1"/>
  <c r="K200" i="2"/>
  <c r="H412" i="2"/>
  <c r="G412" i="2"/>
  <c r="R98" i="2"/>
  <c r="V98" i="2"/>
  <c r="W98" i="2" s="1"/>
  <c r="AR98" i="2"/>
  <c r="AU206" i="2"/>
  <c r="R206" i="2"/>
  <c r="AR206" i="2"/>
  <c r="V206" i="2"/>
  <c r="W206" i="2" s="1"/>
  <c r="AO115" i="2"/>
  <c r="AX115" i="2" s="1"/>
  <c r="AA248" i="2"/>
  <c r="AN248" i="2" s="1"/>
  <c r="AW248" i="2" s="1"/>
  <c r="AL248" i="2"/>
  <c r="Z248" i="2"/>
  <c r="AB248" i="2" s="1"/>
  <c r="AO248" i="2" s="1"/>
  <c r="AX248" i="2" s="1"/>
  <c r="V267" i="2"/>
  <c r="W267" i="2" s="1"/>
  <c r="AU267" i="2"/>
  <c r="R267" i="2"/>
  <c r="AR267" i="2"/>
  <c r="H322" i="2"/>
  <c r="I322" i="2" s="1"/>
  <c r="G322" i="2"/>
  <c r="F42" i="2"/>
  <c r="H39" i="2"/>
  <c r="G39" i="2"/>
  <c r="F45" i="2"/>
  <c r="F48" i="2"/>
  <c r="V56" i="2"/>
  <c r="W56" i="2" s="1"/>
  <c r="AR56" i="2"/>
  <c r="AU56" i="2"/>
  <c r="R56" i="2"/>
  <c r="F73" i="2"/>
  <c r="H70" i="2"/>
  <c r="I70" i="2" s="1"/>
  <c r="G70" i="2"/>
  <c r="K70" i="2"/>
  <c r="I100" i="2"/>
  <c r="I44" i="2"/>
  <c r="AU44" i="2"/>
  <c r="A106" i="2"/>
  <c r="Z83" i="2"/>
  <c r="AB83" i="2" s="1"/>
  <c r="AO83" i="2" s="1"/>
  <c r="AX83" i="2" s="1"/>
  <c r="AL83" i="2"/>
  <c r="AA83" i="2"/>
  <c r="AN83" i="2" s="1"/>
  <c r="AW83" i="2" s="1"/>
  <c r="G107" i="2"/>
  <c r="H107" i="2"/>
  <c r="I107" i="2" s="1"/>
  <c r="K107" i="2"/>
  <c r="F110" i="2"/>
  <c r="AM99" i="2"/>
  <c r="AL134" i="2"/>
  <c r="Z134" i="2"/>
  <c r="AB134" i="2" s="1"/>
  <c r="AO134" i="2" s="1"/>
  <c r="AX134" i="2" s="1"/>
  <c r="AA134" i="2"/>
  <c r="AN134" i="2" s="1"/>
  <c r="AW134" i="2" s="1"/>
  <c r="K75" i="2"/>
  <c r="H75" i="2"/>
  <c r="G75" i="2"/>
  <c r="F78" i="2"/>
  <c r="R143" i="2"/>
  <c r="AA116" i="2"/>
  <c r="AN116" i="2" s="1"/>
  <c r="AW116" i="2" s="1"/>
  <c r="AV128" i="2"/>
  <c r="I138" i="2"/>
  <c r="AM165" i="2"/>
  <c r="AI165" i="2" s="1"/>
  <c r="T165" i="2"/>
  <c r="H222" i="2"/>
  <c r="F225" i="2"/>
  <c r="G222" i="2"/>
  <c r="AA115" i="2"/>
  <c r="AN115" i="2" s="1"/>
  <c r="AW115" i="2" s="1"/>
  <c r="V189" i="2"/>
  <c r="F258" i="2"/>
  <c r="H255" i="2"/>
  <c r="I255" i="2" s="1"/>
  <c r="G255" i="2"/>
  <c r="K255" i="2"/>
  <c r="AA219" i="2"/>
  <c r="AN219" i="2" s="1"/>
  <c r="AW219" i="2" s="1"/>
  <c r="AL219" i="2"/>
  <c r="Z219" i="2"/>
  <c r="AB219" i="2" s="1"/>
  <c r="AO219" i="2" s="1"/>
  <c r="AX219" i="2" s="1"/>
  <c r="AS218" i="2"/>
  <c r="AR192" i="2"/>
  <c r="I197" i="2"/>
  <c r="H216" i="2"/>
  <c r="G216" i="2"/>
  <c r="K216" i="2"/>
  <c r="AM243" i="2"/>
  <c r="AI210" i="2"/>
  <c r="J311" i="2"/>
  <c r="K310" i="2"/>
  <c r="R310" i="2" s="1"/>
  <c r="W188" i="2"/>
  <c r="Z234" i="2"/>
  <c r="AB234" i="2"/>
  <c r="AO234" i="2" s="1"/>
  <c r="AX234" i="2" s="1"/>
  <c r="AL234" i="2"/>
  <c r="AA234" i="2"/>
  <c r="AN234" i="2" s="1"/>
  <c r="AW234" i="2" s="1"/>
  <c r="R324" i="2"/>
  <c r="AU324" i="2"/>
  <c r="V324" i="2"/>
  <c r="AR324" i="2"/>
  <c r="AA308" i="2"/>
  <c r="AN308" i="2" s="1"/>
  <c r="AW308" i="2" s="1"/>
  <c r="J326" i="2"/>
  <c r="K325" i="2"/>
  <c r="A371" i="2"/>
  <c r="D372" i="2"/>
  <c r="B371" i="2"/>
  <c r="G342" i="2"/>
  <c r="H342" i="2"/>
  <c r="F345" i="2"/>
  <c r="AI279" i="2"/>
  <c r="J356" i="2"/>
  <c r="K355" i="2"/>
  <c r="J281" i="2"/>
  <c r="K280" i="2"/>
  <c r="W309" i="2"/>
  <c r="I353" i="2"/>
  <c r="I394" i="2"/>
  <c r="W399" i="2"/>
  <c r="I409" i="2"/>
  <c r="T249" i="2"/>
  <c r="R249" i="2"/>
  <c r="AR253" i="2"/>
  <c r="R253" i="2"/>
  <c r="AU253" i="2"/>
  <c r="V325" i="2"/>
  <c r="R325" i="2"/>
  <c r="AR325" i="2"/>
  <c r="AU325" i="2"/>
  <c r="D388" i="2"/>
  <c r="A387" i="2"/>
  <c r="B387" i="2"/>
  <c r="I145" i="2"/>
  <c r="AM168" i="2"/>
  <c r="I213" i="2"/>
  <c r="H247" i="2"/>
  <c r="G247" i="2"/>
  <c r="K247" i="2"/>
  <c r="AA338" i="2"/>
  <c r="AN338" i="2" s="1"/>
  <c r="AW338" i="2" s="1"/>
  <c r="G59" i="2"/>
  <c r="F62" i="2"/>
  <c r="H59" i="2"/>
  <c r="K59" i="2"/>
  <c r="B59" i="2"/>
  <c r="AU98" i="2"/>
  <c r="I85" i="2"/>
  <c r="W38" i="2"/>
  <c r="AA38" i="2"/>
  <c r="AN38" i="2" s="1"/>
  <c r="AW38" i="2" s="1"/>
  <c r="AI54" i="2"/>
  <c r="AH50" i="2"/>
  <c r="AM50" i="2" s="1"/>
  <c r="AN50" i="2" s="1"/>
  <c r="AW50" i="2" s="1"/>
  <c r="G140" i="2"/>
  <c r="H140" i="2"/>
  <c r="AA35" i="2"/>
  <c r="AN35" i="2" s="1"/>
  <c r="AW35" i="2" s="1"/>
  <c r="W35" i="2"/>
  <c r="AU143" i="2"/>
  <c r="AX114" i="2"/>
  <c r="Z129" i="2"/>
  <c r="AB129" i="2" s="1"/>
  <c r="AO129" i="2" s="1"/>
  <c r="AX129" i="2" s="1"/>
  <c r="AA129" i="2"/>
  <c r="AN129" i="2" s="1"/>
  <c r="AW129" i="2" s="1"/>
  <c r="AL129" i="2"/>
  <c r="AL159" i="2"/>
  <c r="Z159" i="2"/>
  <c r="AB159" i="2" s="1"/>
  <c r="AO159" i="2" s="1"/>
  <c r="H141" i="2"/>
  <c r="I141" i="2" s="1"/>
  <c r="G141" i="2"/>
  <c r="H171" i="2"/>
  <c r="I171" i="2" s="1"/>
  <c r="G171" i="2"/>
  <c r="K171" i="2"/>
  <c r="AU144" i="2"/>
  <c r="R144" i="2"/>
  <c r="AI144" i="2" s="1"/>
  <c r="AR144" i="2"/>
  <c r="V144" i="2"/>
  <c r="W144" i="2" s="1"/>
  <c r="H223" i="2"/>
  <c r="F226" i="2"/>
  <c r="G223" i="2"/>
  <c r="R120" i="2"/>
  <c r="AR120" i="2"/>
  <c r="AU120" i="2"/>
  <c r="V120" i="2"/>
  <c r="W120" i="2" s="1"/>
  <c r="W130" i="2"/>
  <c r="AU194" i="2"/>
  <c r="R194" i="2"/>
  <c r="V194" i="2"/>
  <c r="W194" i="2" s="1"/>
  <c r="AR194" i="2"/>
  <c r="Z218" i="2"/>
  <c r="AA218" i="2"/>
  <c r="AN218" i="2" s="1"/>
  <c r="AW218" i="2" s="1"/>
  <c r="AL218" i="2"/>
  <c r="AB218" i="2"/>
  <c r="AO218" i="2" s="1"/>
  <c r="AX218" i="2" s="1"/>
  <c r="AM197" i="2"/>
  <c r="V251" i="2"/>
  <c r="W251" i="2" s="1"/>
  <c r="R251" i="2"/>
  <c r="AR251" i="2"/>
  <c r="AU251" i="2"/>
  <c r="AM250" i="2"/>
  <c r="AA162" i="2"/>
  <c r="AN162" i="2" s="1"/>
  <c r="AW162" i="2" s="1"/>
  <c r="Z162" i="2"/>
  <c r="AB162" i="2"/>
  <c r="AL162" i="2"/>
  <c r="AU244" i="2"/>
  <c r="R244" i="2"/>
  <c r="AR244" i="2"/>
  <c r="V244" i="2"/>
  <c r="B309" i="2"/>
  <c r="D310" i="2"/>
  <c r="A309" i="2"/>
  <c r="V166" i="2"/>
  <c r="W166" i="2" s="1"/>
  <c r="AR166" i="2"/>
  <c r="R166" i="2"/>
  <c r="AU166" i="2"/>
  <c r="W234" i="2"/>
  <c r="AI308" i="2"/>
  <c r="AL268" i="2"/>
  <c r="Z268" i="2"/>
  <c r="AA268" i="2"/>
  <c r="AN268" i="2" s="1"/>
  <c r="AW268" i="2" s="1"/>
  <c r="AB268" i="2"/>
  <c r="J371" i="2"/>
  <c r="K370" i="2"/>
  <c r="V370" i="2" s="1"/>
  <c r="W370" i="2" s="1"/>
  <c r="W248" i="2"/>
  <c r="AI237" i="2"/>
  <c r="I398" i="2"/>
  <c r="AI399" i="2"/>
  <c r="T159" i="2"/>
  <c r="V159" i="2"/>
  <c r="W159" i="2" s="1"/>
  <c r="AU159" i="2"/>
  <c r="Z272" i="2"/>
  <c r="AA272" i="2"/>
  <c r="AN272" i="2" s="1"/>
  <c r="AW272" i="2" s="1"/>
  <c r="AB272" i="2"/>
  <c r="B279" i="2"/>
  <c r="D280" i="2"/>
  <c r="A279" i="2"/>
  <c r="K55" i="2"/>
  <c r="F58" i="2"/>
  <c r="H55" i="2"/>
  <c r="G55" i="2"/>
  <c r="A55" i="2"/>
  <c r="W143" i="2"/>
  <c r="W237" i="2"/>
  <c r="I84" i="2"/>
  <c r="V71" i="2"/>
  <c r="AU71" i="2"/>
  <c r="AR71" i="2"/>
  <c r="AA69" i="2"/>
  <c r="AB69" i="2"/>
  <c r="AO69" i="2" s="1"/>
  <c r="AX69" i="2" s="1"/>
  <c r="AL69" i="2"/>
  <c r="Z69" i="2"/>
  <c r="A70" i="2"/>
  <c r="B70" i="2"/>
  <c r="C70" i="2"/>
  <c r="D71" i="2"/>
  <c r="I113" i="2"/>
  <c r="AR37" i="2"/>
  <c r="V37" i="2"/>
  <c r="W37" i="2" s="1"/>
  <c r="R37" i="2"/>
  <c r="W68" i="2"/>
  <c r="AA68" i="2"/>
  <c r="AN68" i="2" s="1"/>
  <c r="AW68" i="2" s="1"/>
  <c r="AX35" i="2"/>
  <c r="I72" i="2"/>
  <c r="AL118" i="2"/>
  <c r="Z118" i="2"/>
  <c r="AA118" i="2"/>
  <c r="AN118" i="2" s="1"/>
  <c r="AW118" i="2" s="1"/>
  <c r="AB118" i="2"/>
  <c r="W129" i="2"/>
  <c r="AI159" i="2"/>
  <c r="A145" i="2"/>
  <c r="B145" i="2"/>
  <c r="C145" i="2"/>
  <c r="D146" i="2"/>
  <c r="H172" i="2"/>
  <c r="G172" i="2"/>
  <c r="K172" i="2"/>
  <c r="V233" i="2"/>
  <c r="AU233" i="2"/>
  <c r="R233" i="2"/>
  <c r="AR233" i="2"/>
  <c r="AI129" i="2"/>
  <c r="AJ128" i="2" s="1"/>
  <c r="AB131" i="2"/>
  <c r="AO131" i="2" s="1"/>
  <c r="AX131" i="2" s="1"/>
  <c r="AL131" i="2"/>
  <c r="Z131" i="2"/>
  <c r="AA131" i="2"/>
  <c r="AN131" i="2" s="1"/>
  <c r="AW131" i="2" s="1"/>
  <c r="AR161" i="2"/>
  <c r="R161" i="2"/>
  <c r="V161" i="2"/>
  <c r="AU161" i="2"/>
  <c r="I214" i="2"/>
  <c r="AV218" i="2"/>
  <c r="D250" i="2"/>
  <c r="B249" i="2"/>
  <c r="A249" i="2"/>
  <c r="C249" i="2"/>
  <c r="AM206" i="2"/>
  <c r="AI206" i="2" s="1"/>
  <c r="Z188" i="2"/>
  <c r="AB188" i="2" s="1"/>
  <c r="AA188" i="2"/>
  <c r="AN188" i="2" s="1"/>
  <c r="AW188" i="2" s="1"/>
  <c r="AM236" i="2"/>
  <c r="T251" i="2"/>
  <c r="AM251" i="2"/>
  <c r="AI251" i="2" s="1"/>
  <c r="R221" i="2"/>
  <c r="V221" i="2"/>
  <c r="W221" i="2" s="1"/>
  <c r="AU221" i="2"/>
  <c r="AR221" i="2"/>
  <c r="AM194" i="2"/>
  <c r="AI194" i="2" s="1"/>
  <c r="AR256" i="2"/>
  <c r="V256" i="2"/>
  <c r="R256" i="2"/>
  <c r="AU256" i="2"/>
  <c r="B324" i="2"/>
  <c r="D325" i="2"/>
  <c r="A324" i="2"/>
  <c r="AR168" i="2"/>
  <c r="AM240" i="2"/>
  <c r="AB264" i="2"/>
  <c r="AL264" i="2"/>
  <c r="Z264" i="2"/>
  <c r="AA264" i="2"/>
  <c r="AN264" i="2" s="1"/>
  <c r="AW264" i="2" s="1"/>
  <c r="G246" i="2"/>
  <c r="H246" i="2"/>
  <c r="I246" i="2" s="1"/>
  <c r="K246" i="2"/>
  <c r="AI324" i="2"/>
  <c r="AM339" i="2"/>
  <c r="F347" i="2"/>
  <c r="G344" i="2"/>
  <c r="H344" i="2"/>
  <c r="I344" i="2" s="1"/>
  <c r="W265" i="2"/>
  <c r="X263" i="2" s="1"/>
  <c r="J386" i="2"/>
  <c r="K385" i="2"/>
  <c r="J341" i="2"/>
  <c r="K340" i="2"/>
  <c r="AU293" i="2"/>
  <c r="AR293" i="2"/>
  <c r="R293" i="2"/>
  <c r="V293" i="2"/>
  <c r="Z384" i="2"/>
  <c r="AA384" i="2"/>
  <c r="AN384" i="2" s="1"/>
  <c r="AW384" i="2" s="1"/>
  <c r="AB384" i="2"/>
  <c r="AO384" i="2" s="1"/>
  <c r="AX384" i="2" s="1"/>
  <c r="AL384" i="2"/>
  <c r="I391" i="2"/>
  <c r="AM204" i="2"/>
  <c r="T204" i="2"/>
  <c r="R204" i="2"/>
  <c r="AR236" i="2"/>
  <c r="AU236" i="2"/>
  <c r="V236" i="2"/>
  <c r="W236" i="2" s="1"/>
  <c r="X236" i="2" s="1"/>
  <c r="R236" i="2"/>
  <c r="AU274" i="2"/>
  <c r="AR274" i="2"/>
  <c r="V274" i="2"/>
  <c r="R274" i="2"/>
  <c r="T189" i="2"/>
  <c r="AU189" i="2"/>
  <c r="B132" i="2"/>
  <c r="C132" i="2"/>
  <c r="D133" i="2"/>
  <c r="A132" i="2"/>
  <c r="AI143" i="2"/>
  <c r="F126" i="2"/>
  <c r="I126" i="2" s="1"/>
  <c r="I123" i="2"/>
  <c r="R189" i="2"/>
  <c r="B294" i="2"/>
  <c r="D295" i="2"/>
  <c r="A294" i="2"/>
  <c r="I400" i="2"/>
  <c r="Z53" i="2"/>
  <c r="AB53" i="2" s="1"/>
  <c r="AA53" i="2"/>
  <c r="AN53" i="2" s="1"/>
  <c r="AW53" i="2" s="1"/>
  <c r="W53" i="2"/>
  <c r="G102" i="2"/>
  <c r="K102" i="2"/>
  <c r="H102" i="2"/>
  <c r="I102" i="2" s="1"/>
  <c r="B102" i="2"/>
  <c r="C102" i="2"/>
  <c r="F105" i="2"/>
  <c r="A102" i="2"/>
  <c r="AM56" i="2"/>
  <c r="AI56" i="2" s="1"/>
  <c r="I104" i="2"/>
  <c r="R74" i="2"/>
  <c r="AR74" i="2"/>
  <c r="V74" i="2"/>
  <c r="AU74" i="2"/>
  <c r="A162" i="2"/>
  <c r="D163" i="2"/>
  <c r="B162" i="2"/>
  <c r="C162" i="2"/>
  <c r="F142" i="2"/>
  <c r="G139" i="2"/>
  <c r="H139" i="2"/>
  <c r="I139" i="2" s="1"/>
  <c r="D175" i="2"/>
  <c r="A174" i="2"/>
  <c r="B174" i="2"/>
  <c r="C174" i="2"/>
  <c r="T147" i="2"/>
  <c r="V147" i="2"/>
  <c r="W147" i="2" s="1"/>
  <c r="AR147" i="2"/>
  <c r="R147" i="2"/>
  <c r="AU147" i="2"/>
  <c r="G176" i="2"/>
  <c r="H176" i="2"/>
  <c r="F179" i="2"/>
  <c r="C234" i="2"/>
  <c r="D235" i="2"/>
  <c r="B234" i="2"/>
  <c r="A234" i="2"/>
  <c r="Z119" i="2"/>
  <c r="AB119" i="2" s="1"/>
  <c r="AO119" i="2" s="1"/>
  <c r="AX119" i="2" s="1"/>
  <c r="AA119" i="2"/>
  <c r="AN119" i="2" s="1"/>
  <c r="AW119" i="2" s="1"/>
  <c r="AL119" i="2"/>
  <c r="AL117" i="2"/>
  <c r="Z117" i="2"/>
  <c r="AA117" i="2"/>
  <c r="AN117" i="2" s="1"/>
  <c r="AW117" i="2" s="1"/>
  <c r="AB117" i="2"/>
  <c r="AO117" i="2" s="1"/>
  <c r="AX117" i="2" s="1"/>
  <c r="G164" i="2"/>
  <c r="H164" i="2"/>
  <c r="K164" i="2"/>
  <c r="F167" i="2"/>
  <c r="G195" i="2"/>
  <c r="K195" i="2"/>
  <c r="F198" i="2"/>
  <c r="H195" i="2"/>
  <c r="I195" i="2" s="1"/>
  <c r="H217" i="2"/>
  <c r="G217" i="2"/>
  <c r="K217" i="2"/>
  <c r="Z191" i="2"/>
  <c r="AA191" i="2"/>
  <c r="AN191" i="2" s="1"/>
  <c r="AW191" i="2" s="1"/>
  <c r="AB191" i="2"/>
  <c r="AU240" i="2"/>
  <c r="V240" i="2"/>
  <c r="R240" i="2"/>
  <c r="AR240" i="2"/>
  <c r="AX203" i="2"/>
  <c r="AM235" i="2"/>
  <c r="H230" i="2"/>
  <c r="I230" i="2" s="1"/>
  <c r="G230" i="2"/>
  <c r="F262" i="2"/>
  <c r="H259" i="2"/>
  <c r="I259" i="2" s="1"/>
  <c r="G259" i="2"/>
  <c r="K259" i="2"/>
  <c r="R168" i="2"/>
  <c r="G332" i="2"/>
  <c r="F335" i="2"/>
  <c r="H332" i="2"/>
  <c r="I332" i="2" s="1"/>
  <c r="A356" i="2"/>
  <c r="D357" i="2"/>
  <c r="B356" i="2"/>
  <c r="J296" i="2"/>
  <c r="K295" i="2"/>
  <c r="AL309" i="2"/>
  <c r="Z309" i="2"/>
  <c r="AB309" i="2" s="1"/>
  <c r="AO309" i="2" s="1"/>
  <c r="AX309" i="2" s="1"/>
  <c r="AA309" i="2"/>
  <c r="AN309" i="2" s="1"/>
  <c r="AW309" i="2" s="1"/>
  <c r="H397" i="2"/>
  <c r="G397" i="2"/>
  <c r="H337" i="2"/>
  <c r="I337" i="2" s="1"/>
  <c r="G337" i="2"/>
  <c r="AI354" i="2"/>
  <c r="W384" i="2"/>
  <c r="AI368" i="2"/>
  <c r="I403" i="2"/>
  <c r="I410" i="2"/>
  <c r="AU323" i="2"/>
  <c r="AV323" i="2" s="1"/>
  <c r="AR323" i="2"/>
  <c r="AS323" i="2" s="1"/>
  <c r="R323" i="2"/>
  <c r="V323" i="2"/>
  <c r="W323" i="2" s="1"/>
  <c r="AR368" i="2"/>
  <c r="R368" i="2"/>
  <c r="V368" i="2"/>
  <c r="W368" i="2" s="1"/>
  <c r="AU368" i="2"/>
  <c r="AR36" i="2"/>
  <c r="AS35" i="2" s="1"/>
  <c r="V36" i="2"/>
  <c r="R36" i="2"/>
  <c r="G122" i="2"/>
  <c r="H122" i="2"/>
  <c r="F125" i="2"/>
  <c r="D193" i="2"/>
  <c r="A192" i="2"/>
  <c r="B192" i="2"/>
  <c r="C192" i="2"/>
  <c r="Z130" i="2"/>
  <c r="AB130" i="2" s="1"/>
  <c r="AO130" i="2" s="1"/>
  <c r="AX130" i="2" s="1"/>
  <c r="AA130" i="2"/>
  <c r="AN130" i="2" s="1"/>
  <c r="AW130" i="2" s="1"/>
  <c r="AL130" i="2"/>
  <c r="H177" i="2"/>
  <c r="I177" i="2" s="1"/>
  <c r="G177" i="2"/>
  <c r="F180" i="2"/>
  <c r="R339" i="2"/>
  <c r="AR339" i="2"/>
  <c r="AU339" i="2"/>
  <c r="V339" i="2"/>
  <c r="I319" i="2"/>
  <c r="F43" i="2"/>
  <c r="H40" i="2"/>
  <c r="G40" i="2"/>
  <c r="F46" i="2"/>
  <c r="F49" i="2"/>
  <c r="K5" i="474"/>
  <c r="I5" i="474"/>
  <c r="H5" i="474"/>
  <c r="J5" i="474"/>
  <c r="E5" i="474"/>
  <c r="Y39" i="346"/>
  <c r="X39" i="346"/>
  <c r="AA39" i="346"/>
  <c r="Z39" i="346"/>
  <c r="F60" i="2"/>
  <c r="C60" i="2" s="1"/>
  <c r="H57" i="2"/>
  <c r="G57" i="2"/>
  <c r="K57" i="2"/>
  <c r="B57" i="2"/>
  <c r="A34" i="2"/>
  <c r="B34" i="2"/>
  <c r="D35" i="2"/>
  <c r="C34" i="2"/>
  <c r="AM72" i="2"/>
  <c r="A88" i="2"/>
  <c r="B88" i="2"/>
  <c r="C88" i="2"/>
  <c r="D89" i="2"/>
  <c r="A59" i="2"/>
  <c r="AX68" i="2"/>
  <c r="W101" i="2"/>
  <c r="AI83" i="2"/>
  <c r="B107" i="2"/>
  <c r="C107" i="2"/>
  <c r="A107" i="2"/>
  <c r="D108" i="2"/>
  <c r="W33" i="2"/>
  <c r="X32" i="2" s="1"/>
  <c r="R137" i="2"/>
  <c r="V137" i="2"/>
  <c r="W137" i="2" s="1"/>
  <c r="AR137" i="2"/>
  <c r="AU137" i="2"/>
  <c r="B209" i="2"/>
  <c r="G209" i="2"/>
  <c r="H209" i="2"/>
  <c r="I209" i="2" s="1"/>
  <c r="K209" i="2"/>
  <c r="F212" i="2"/>
  <c r="D116" i="2"/>
  <c r="A115" i="2"/>
  <c r="B115" i="2"/>
  <c r="C115" i="2"/>
  <c r="AI118" i="2"/>
  <c r="AJ116" i="2" s="1"/>
  <c r="H150" i="2"/>
  <c r="I150" i="2" s="1"/>
  <c r="G150" i="2"/>
  <c r="F153" i="2"/>
  <c r="K150" i="2"/>
  <c r="AV119" i="2"/>
  <c r="AI134" i="2"/>
  <c r="W117" i="2"/>
  <c r="X116" i="2" s="1"/>
  <c r="G196" i="2"/>
  <c r="K196" i="2"/>
  <c r="F199" i="2"/>
  <c r="H196" i="2"/>
  <c r="I196" i="2" s="1"/>
  <c r="I224" i="2"/>
  <c r="AI191" i="2"/>
  <c r="AA203" i="2"/>
  <c r="AN203" i="2" s="1"/>
  <c r="AW203" i="2" s="1"/>
  <c r="AR252" i="2"/>
  <c r="V252" i="2"/>
  <c r="AU252" i="2"/>
  <c r="R252" i="2"/>
  <c r="H276" i="2"/>
  <c r="G276" i="2"/>
  <c r="V275" i="2"/>
  <c r="AR275" i="2"/>
  <c r="R275" i="2"/>
  <c r="AU275" i="2"/>
  <c r="AR143" i="2"/>
  <c r="AA220" i="2"/>
  <c r="AN220" i="2" s="1"/>
  <c r="AW220" i="2" s="1"/>
  <c r="AL220" i="2"/>
  <c r="Z220" i="2"/>
  <c r="AB220" i="2" s="1"/>
  <c r="AO220" i="2" s="1"/>
  <c r="AX220" i="2" s="1"/>
  <c r="AM207" i="2"/>
  <c r="AI207" i="2" s="1"/>
  <c r="B267" i="2"/>
  <c r="C267" i="2"/>
  <c r="D268" i="2"/>
  <c r="A267" i="2"/>
  <c r="I227" i="2"/>
  <c r="V168" i="2"/>
  <c r="W168" i="2" s="1"/>
  <c r="AU207" i="2"/>
  <c r="V207" i="2"/>
  <c r="W207" i="2" s="1"/>
  <c r="AR207" i="2"/>
  <c r="R207" i="2"/>
  <c r="W272" i="2"/>
  <c r="I243" i="2"/>
  <c r="I329" i="2"/>
  <c r="W278" i="2"/>
  <c r="J401" i="2"/>
  <c r="K400" i="2"/>
  <c r="AV266" i="2"/>
  <c r="Z266" i="2"/>
  <c r="AB266" i="2" s="1"/>
  <c r="AO266" i="2" s="1"/>
  <c r="AX266" i="2" s="1"/>
  <c r="AA266" i="2"/>
  <c r="AN266" i="2" s="1"/>
  <c r="AW266" i="2" s="1"/>
  <c r="AL266" i="2"/>
  <c r="I328" i="2"/>
  <c r="I383" i="2"/>
  <c r="D403" i="2"/>
  <c r="A402" i="2"/>
  <c r="B402" i="2"/>
  <c r="AU273" i="2"/>
  <c r="AV272" i="2" s="1"/>
  <c r="AR273" i="2"/>
  <c r="AS272" i="2" s="1"/>
  <c r="V273" i="2"/>
  <c r="W273" i="2" s="1"/>
  <c r="R273" i="2"/>
  <c r="X266" i="2"/>
  <c r="D61" i="2"/>
  <c r="B60" i="2"/>
  <c r="R121" i="2"/>
  <c r="AR121" i="2"/>
  <c r="AS119" i="2" s="1"/>
  <c r="AU121" i="2"/>
  <c r="V121" i="2"/>
  <c r="D223" i="2"/>
  <c r="A222" i="2"/>
  <c r="B222" i="2"/>
  <c r="C222" i="2"/>
  <c r="D214" i="2"/>
  <c r="A213" i="2"/>
  <c r="B213" i="2"/>
  <c r="C213" i="2"/>
  <c r="I254" i="2"/>
  <c r="Z399" i="2"/>
  <c r="AB399" i="2" s="1"/>
  <c r="AO399" i="2" s="1"/>
  <c r="AX399" i="2" s="1"/>
  <c r="AA399" i="2"/>
  <c r="AN399" i="2" s="1"/>
  <c r="AW399" i="2" s="1"/>
  <c r="AL399" i="2"/>
  <c r="F92" i="2"/>
  <c r="G89" i="2"/>
  <c r="H89" i="2"/>
  <c r="B55" i="2"/>
  <c r="AL54" i="2"/>
  <c r="Z54" i="2"/>
  <c r="AB54" i="2" s="1"/>
  <c r="AO54" i="2" s="1"/>
  <c r="AX54" i="2" s="1"/>
  <c r="AA54" i="2"/>
  <c r="AN54" i="2" s="1"/>
  <c r="AW54" i="2" s="1"/>
  <c r="H106" i="2"/>
  <c r="I106" i="2" s="1"/>
  <c r="F109" i="2"/>
  <c r="G106" i="2"/>
  <c r="K106" i="2"/>
  <c r="AW32" i="2"/>
  <c r="AA101" i="2"/>
  <c r="AN101" i="2" s="1"/>
  <c r="AW101" i="2" s="1"/>
  <c r="Z101" i="2"/>
  <c r="AB101" i="2" s="1"/>
  <c r="AI101" i="2"/>
  <c r="R99" i="2"/>
  <c r="AU99" i="2"/>
  <c r="V99" i="2"/>
  <c r="W99" i="2" s="1"/>
  <c r="AR99" i="2"/>
  <c r="I132" i="2"/>
  <c r="G77" i="2"/>
  <c r="H77" i="2"/>
  <c r="K77" i="2"/>
  <c r="F80" i="2"/>
  <c r="R135" i="2"/>
  <c r="AU135" i="2"/>
  <c r="AV134" i="2" s="1"/>
  <c r="AR135" i="2"/>
  <c r="V135" i="2"/>
  <c r="W135" i="2" s="1"/>
  <c r="R136" i="2"/>
  <c r="AU136" i="2"/>
  <c r="V136" i="2"/>
  <c r="AR136" i="2"/>
  <c r="AI119" i="2"/>
  <c r="B106" i="2"/>
  <c r="W119" i="2"/>
  <c r="F151" i="2"/>
  <c r="H148" i="2"/>
  <c r="I148" i="2" s="1"/>
  <c r="G148" i="2"/>
  <c r="K148" i="2"/>
  <c r="H277" i="2"/>
  <c r="G277" i="2"/>
  <c r="R192" i="2"/>
  <c r="AR241" i="2"/>
  <c r="V241" i="2"/>
  <c r="W241" i="2" s="1"/>
  <c r="AU241" i="2"/>
  <c r="R241" i="2"/>
  <c r="AI188" i="2"/>
  <c r="H239" i="2"/>
  <c r="I239" i="2" s="1"/>
  <c r="F242" i="2"/>
  <c r="G239" i="2"/>
  <c r="K239" i="2"/>
  <c r="Z269" i="2"/>
  <c r="AB269" i="2" s="1"/>
  <c r="AA269" i="2"/>
  <c r="AN269" i="2" s="1"/>
  <c r="AW269" i="2" s="1"/>
  <c r="AL210" i="2"/>
  <c r="Z210" i="2"/>
  <c r="AB210" i="2" s="1"/>
  <c r="AO210" i="2" s="1"/>
  <c r="AX210" i="2" s="1"/>
  <c r="AA210" i="2"/>
  <c r="AN210" i="2" s="1"/>
  <c r="AW210" i="2" s="1"/>
  <c r="AA158" i="2"/>
  <c r="AN158" i="2" s="1"/>
  <c r="AW158" i="2" s="1"/>
  <c r="AU168" i="2"/>
  <c r="G336" i="2"/>
  <c r="H336" i="2"/>
  <c r="W249" i="2"/>
  <c r="B339" i="2"/>
  <c r="D340" i="2"/>
  <c r="A339" i="2"/>
  <c r="G257" i="2"/>
  <c r="F260" i="2"/>
  <c r="H257" i="2"/>
  <c r="K257" i="2"/>
  <c r="AL265" i="2"/>
  <c r="Z265" i="2"/>
  <c r="AB265" i="2" s="1"/>
  <c r="AO265" i="2" s="1"/>
  <c r="AX265" i="2" s="1"/>
  <c r="AA265" i="2"/>
  <c r="AN265" i="2" s="1"/>
  <c r="AW265" i="2" s="1"/>
  <c r="AA278" i="2"/>
  <c r="AN278" i="2" s="1"/>
  <c r="AW278" i="2" s="1"/>
  <c r="AI269" i="2"/>
  <c r="AS266" i="2"/>
  <c r="W338" i="2"/>
  <c r="Z369" i="2"/>
  <c r="AB369" i="2" s="1"/>
  <c r="AO369" i="2" s="1"/>
  <c r="AX369" i="2" s="1"/>
  <c r="AA369" i="2"/>
  <c r="AN369" i="2" s="1"/>
  <c r="AW369" i="2" s="1"/>
  <c r="AL369" i="2"/>
  <c r="AM69" i="2"/>
  <c r="AI69" i="2" s="1"/>
  <c r="T69" i="2"/>
  <c r="E325" i="2"/>
  <c r="E193" i="2"/>
  <c r="E372" i="2"/>
  <c r="E235" i="2"/>
  <c r="E295" i="2"/>
  <c r="E357" i="2"/>
  <c r="E388" i="2"/>
  <c r="E310" i="2"/>
  <c r="E250" i="2"/>
  <c r="E133" i="2"/>
  <c r="E175" i="2"/>
  <c r="E280" i="2"/>
  <c r="E146" i="2"/>
  <c r="E163" i="2"/>
  <c r="E71" i="2"/>
  <c r="E35" i="2"/>
  <c r="E89" i="2"/>
  <c r="E403" i="2"/>
  <c r="E340" i="2"/>
  <c r="E116" i="2"/>
  <c r="E268" i="2"/>
  <c r="E61" i="2"/>
  <c r="E223" i="2"/>
  <c r="E214" i="2"/>
  <c r="E108" i="2"/>
  <c r="E18" i="715" a="1"/>
  <c r="D6" i="739" a="1"/>
  <c r="C32" i="881" a="1"/>
  <c r="D18" i="715" a="1"/>
  <c r="E6" i="739" a="1"/>
  <c r="D32" i="881" a="1"/>
  <c r="D32" i="881" l="1"/>
  <c r="E6" i="739"/>
  <c r="D6" i="739"/>
  <c r="D18" i="715"/>
  <c r="E18" i="715"/>
  <c r="C32" i="881"/>
  <c r="K296" i="2"/>
  <c r="J297" i="2"/>
  <c r="AU230" i="2"/>
  <c r="R230" i="2"/>
  <c r="V230" i="2"/>
  <c r="AR230" i="2"/>
  <c r="T340" i="2"/>
  <c r="R340" i="2"/>
  <c r="AU340" i="2"/>
  <c r="AM340" i="2"/>
  <c r="V340" i="2"/>
  <c r="AR340" i="2"/>
  <c r="H45" i="2"/>
  <c r="G45" i="2"/>
  <c r="G260" i="2"/>
  <c r="H260" i="2"/>
  <c r="I260" i="2" s="1"/>
  <c r="K260" i="2"/>
  <c r="D109" i="2"/>
  <c r="D10" i="351"/>
  <c r="AC39" i="346"/>
  <c r="C10" i="351"/>
  <c r="AI99" i="2"/>
  <c r="V200" i="2"/>
  <c r="AR200" i="2"/>
  <c r="AU200" i="2"/>
  <c r="R200" i="2"/>
  <c r="Z370" i="2"/>
  <c r="AB370" i="2" s="1"/>
  <c r="AO370" i="2" s="1"/>
  <c r="AX370" i="2" s="1"/>
  <c r="AA370" i="2"/>
  <c r="AL370" i="2"/>
  <c r="Z275" i="2"/>
  <c r="AB275" i="2" s="1"/>
  <c r="AO275" i="2" s="1"/>
  <c r="AX275" i="2" s="1"/>
  <c r="AA275" i="2"/>
  <c r="AN275" i="2" s="1"/>
  <c r="AW275" i="2" s="1"/>
  <c r="AL275" i="2"/>
  <c r="AI275" i="2"/>
  <c r="T57" i="2"/>
  <c r="AM57" i="2"/>
  <c r="AR106" i="2"/>
  <c r="V106" i="2"/>
  <c r="W106" i="2" s="1"/>
  <c r="R106" i="2"/>
  <c r="AU106" i="2"/>
  <c r="Z121" i="2"/>
  <c r="AB121" i="2" s="1"/>
  <c r="AO121" i="2" s="1"/>
  <c r="AX121" i="2" s="1"/>
  <c r="AA121" i="2"/>
  <c r="AN121" i="2" s="1"/>
  <c r="AW121" i="2" s="1"/>
  <c r="AL121" i="2"/>
  <c r="AI121" i="2"/>
  <c r="Z192" i="2"/>
  <c r="AA192" i="2"/>
  <c r="AN192" i="2" s="1"/>
  <c r="AW192" i="2" s="1"/>
  <c r="AB192" i="2"/>
  <c r="AL192" i="2"/>
  <c r="W192" i="2"/>
  <c r="AI192" i="2"/>
  <c r="AS134" i="2"/>
  <c r="I89" i="2"/>
  <c r="W275" i="2"/>
  <c r="I57" i="2"/>
  <c r="H43" i="2"/>
  <c r="G43" i="2"/>
  <c r="F52" i="2"/>
  <c r="AL274" i="2"/>
  <c r="Z274" i="2"/>
  <c r="AA274" i="2"/>
  <c r="AN274" i="2" s="1"/>
  <c r="AW274" i="2" s="1"/>
  <c r="AB274" i="2"/>
  <c r="AO274" i="2" s="1"/>
  <c r="AX274" i="2" s="1"/>
  <c r="AI274" i="2"/>
  <c r="Z204" i="2"/>
  <c r="AA204" i="2"/>
  <c r="AN204" i="2" s="1"/>
  <c r="AW204" i="2" s="1"/>
  <c r="AB204" i="2"/>
  <c r="AO204" i="2" s="1"/>
  <c r="AX204" i="2" s="1"/>
  <c r="AL204" i="2"/>
  <c r="W204" i="2"/>
  <c r="R141" i="2"/>
  <c r="AR141" i="2"/>
  <c r="AU141" i="2"/>
  <c r="V141" i="2"/>
  <c r="H345" i="2"/>
  <c r="G345" i="2"/>
  <c r="F348" i="2"/>
  <c r="T238" i="2"/>
  <c r="AR238" i="2"/>
  <c r="R238" i="2"/>
  <c r="AU238" i="2"/>
  <c r="T190" i="2"/>
  <c r="AR190" i="2"/>
  <c r="AS188" i="2" s="1"/>
  <c r="V190" i="2"/>
  <c r="W190" i="2" s="1"/>
  <c r="AU190" i="2"/>
  <c r="AV188" i="2" s="1"/>
  <c r="R190" i="2"/>
  <c r="AM190" i="2"/>
  <c r="AI136" i="2"/>
  <c r="AA136" i="2"/>
  <c r="AN136" i="2" s="1"/>
  <c r="AW136" i="2" s="1"/>
  <c r="AL136" i="2"/>
  <c r="Z136" i="2"/>
  <c r="AB136" i="2" s="1"/>
  <c r="AO136" i="2" s="1"/>
  <c r="AX136" i="2" s="1"/>
  <c r="D215" i="2"/>
  <c r="A214" i="2"/>
  <c r="B214" i="2"/>
  <c r="C214" i="2"/>
  <c r="V246" i="2"/>
  <c r="W246" i="2" s="1"/>
  <c r="AR246" i="2"/>
  <c r="AU246" i="2"/>
  <c r="R246" i="2"/>
  <c r="AX159" i="2"/>
  <c r="AR353" i="2"/>
  <c r="AS353" i="2" s="1"/>
  <c r="R353" i="2"/>
  <c r="V353" i="2"/>
  <c r="AU353" i="2"/>
  <c r="Z173" i="2"/>
  <c r="AB173" i="2" s="1"/>
  <c r="AO173" i="2" s="1"/>
  <c r="AX173" i="2" s="1"/>
  <c r="AA173" i="2"/>
  <c r="AN173" i="2" s="1"/>
  <c r="AW173" i="2" s="1"/>
  <c r="AL173" i="2"/>
  <c r="AI173" i="2"/>
  <c r="R87" i="2"/>
  <c r="AU87" i="2"/>
  <c r="AR87" i="2"/>
  <c r="V87" i="2"/>
  <c r="W87" i="2" s="1"/>
  <c r="AR148" i="2"/>
  <c r="AU148" i="2"/>
  <c r="V148" i="2"/>
  <c r="R148" i="2"/>
  <c r="AR254" i="2"/>
  <c r="AU254" i="2"/>
  <c r="R254" i="2"/>
  <c r="V254" i="2"/>
  <c r="W254" i="2" s="1"/>
  <c r="AR224" i="2"/>
  <c r="V224" i="2"/>
  <c r="AU224" i="2"/>
  <c r="H60" i="2"/>
  <c r="I60" i="2" s="1"/>
  <c r="G60" i="2"/>
  <c r="K60" i="2"/>
  <c r="F63" i="2"/>
  <c r="AR239" i="2"/>
  <c r="AS239" i="2" s="1"/>
  <c r="R239" i="2"/>
  <c r="V239" i="2"/>
  <c r="AU239" i="2"/>
  <c r="AV239" i="2" s="1"/>
  <c r="I277" i="2"/>
  <c r="AA135" i="2"/>
  <c r="AN135" i="2" s="1"/>
  <c r="AW135" i="2" s="1"/>
  <c r="AL135" i="2"/>
  <c r="Z135" i="2"/>
  <c r="AB135" i="2" s="1"/>
  <c r="AO135" i="2" s="1"/>
  <c r="AX135" i="2" s="1"/>
  <c r="AI135" i="2"/>
  <c r="AJ134" i="2" s="1"/>
  <c r="H92" i="2"/>
  <c r="I92" i="2" s="1"/>
  <c r="F95" i="2"/>
  <c r="G92" i="2"/>
  <c r="A60" i="2"/>
  <c r="K401" i="2"/>
  <c r="J402" i="2"/>
  <c r="I276" i="2"/>
  <c r="V196" i="2"/>
  <c r="AU196" i="2"/>
  <c r="R196" i="2"/>
  <c r="AR196" i="2"/>
  <c r="T150" i="2"/>
  <c r="AM150" i="2"/>
  <c r="AR400" i="2"/>
  <c r="V400" i="2"/>
  <c r="R400" i="2"/>
  <c r="AU400" i="2"/>
  <c r="H109" i="2"/>
  <c r="I109" i="2" s="1"/>
  <c r="F112" i="2"/>
  <c r="G109" i="2"/>
  <c r="K109" i="2"/>
  <c r="R209" i="2"/>
  <c r="AU209" i="2"/>
  <c r="V209" i="2"/>
  <c r="AR209" i="2"/>
  <c r="AU132" i="2"/>
  <c r="AV131" i="2" s="1"/>
  <c r="V132" i="2"/>
  <c r="W132" i="2" s="1"/>
  <c r="R132" i="2"/>
  <c r="AR132" i="2"/>
  <c r="AS131" i="2" s="1"/>
  <c r="R227" i="2"/>
  <c r="V227" i="2"/>
  <c r="W227" i="2" s="1"/>
  <c r="AR227" i="2"/>
  <c r="AU227" i="2"/>
  <c r="D224" i="2"/>
  <c r="A223" i="2"/>
  <c r="B223" i="2"/>
  <c r="C223" i="2"/>
  <c r="D62" i="2"/>
  <c r="B268" i="2"/>
  <c r="C268" i="2"/>
  <c r="D269" i="2"/>
  <c r="A268" i="2"/>
  <c r="AA252" i="2"/>
  <c r="AN252" i="2" s="1"/>
  <c r="AW252" i="2" s="1"/>
  <c r="AL252" i="2"/>
  <c r="Z252" i="2"/>
  <c r="AB252" i="2" s="1"/>
  <c r="AO252" i="2" s="1"/>
  <c r="AX252" i="2" s="1"/>
  <c r="AI252" i="2"/>
  <c r="K199" i="2"/>
  <c r="F202" i="2"/>
  <c r="H199" i="2"/>
  <c r="I199" i="2" s="1"/>
  <c r="G199" i="2"/>
  <c r="G153" i="2"/>
  <c r="K153" i="2"/>
  <c r="F156" i="2"/>
  <c r="H153" i="2"/>
  <c r="I153" i="2" s="1"/>
  <c r="A116" i="2"/>
  <c r="B116" i="2"/>
  <c r="C116" i="2"/>
  <c r="D117" i="2"/>
  <c r="AV338" i="2"/>
  <c r="AU195" i="2"/>
  <c r="V195" i="2"/>
  <c r="R195" i="2"/>
  <c r="AR195" i="2"/>
  <c r="AA161" i="2"/>
  <c r="AN161" i="2" s="1"/>
  <c r="AW161" i="2" s="1"/>
  <c r="Z161" i="2"/>
  <c r="AB161" i="2"/>
  <c r="AI161" i="2"/>
  <c r="Z310" i="2"/>
  <c r="AA310" i="2"/>
  <c r="AB310" i="2"/>
  <c r="AO310" i="2" s="1"/>
  <c r="AX310" i="2" s="1"/>
  <c r="AL310" i="2"/>
  <c r="AR255" i="2"/>
  <c r="V255" i="2"/>
  <c r="W255" i="2" s="1"/>
  <c r="AU255" i="2"/>
  <c r="R255" i="2"/>
  <c r="AL294" i="2"/>
  <c r="Z294" i="2"/>
  <c r="AA294" i="2"/>
  <c r="AN294" i="2" s="1"/>
  <c r="AW294" i="2" s="1"/>
  <c r="AB294" i="2"/>
  <c r="AO294" i="2" s="1"/>
  <c r="AX294" i="2" s="1"/>
  <c r="AI294" i="2"/>
  <c r="W310" i="2"/>
  <c r="X308" i="2" s="1"/>
  <c r="Z308" i="2" s="1"/>
  <c r="AB308" i="2" s="1"/>
  <c r="T239" i="2"/>
  <c r="AM239" i="2"/>
  <c r="AI239" i="2" s="1"/>
  <c r="H151" i="2"/>
  <c r="I151" i="2" s="1"/>
  <c r="G151" i="2"/>
  <c r="F154" i="2"/>
  <c r="K151" i="2"/>
  <c r="B340" i="2"/>
  <c r="A340" i="2"/>
  <c r="D341" i="2"/>
  <c r="T257" i="2"/>
  <c r="AM257" i="2"/>
  <c r="I336" i="2"/>
  <c r="Z241" i="2"/>
  <c r="AA241" i="2"/>
  <c r="AN241" i="2" s="1"/>
  <c r="AW241" i="2" s="1"/>
  <c r="AL241" i="2"/>
  <c r="AB241" i="2"/>
  <c r="AO241" i="2" s="1"/>
  <c r="AX241" i="2" s="1"/>
  <c r="T148" i="2"/>
  <c r="AM148" i="2"/>
  <c r="AI148" i="2" s="1"/>
  <c r="W136" i="2"/>
  <c r="U77" i="2"/>
  <c r="AM77" i="2"/>
  <c r="AI77" i="2" s="1"/>
  <c r="Z99" i="2"/>
  <c r="AB99" i="2" s="1"/>
  <c r="AO99" i="2" s="1"/>
  <c r="AX99" i="2" s="1"/>
  <c r="AA99" i="2"/>
  <c r="AN99" i="2" s="1"/>
  <c r="AW99" i="2" s="1"/>
  <c r="AL99" i="2"/>
  <c r="T106" i="2"/>
  <c r="AM106" i="2"/>
  <c r="AI106" i="2" s="1"/>
  <c r="W121" i="2"/>
  <c r="X119" i="2" s="1"/>
  <c r="D404" i="2"/>
  <c r="A403" i="2"/>
  <c r="B403" i="2"/>
  <c r="AA207" i="2"/>
  <c r="AN207" i="2" s="1"/>
  <c r="AW207" i="2" s="1"/>
  <c r="AB207" i="2"/>
  <c r="AL207" i="2"/>
  <c r="Z207" i="2"/>
  <c r="T196" i="2"/>
  <c r="AM196" i="2"/>
  <c r="AI196" i="2" s="1"/>
  <c r="A212" i="2"/>
  <c r="C212" i="2"/>
  <c r="G212" i="2"/>
  <c r="H212" i="2"/>
  <c r="I212" i="2" s="1"/>
  <c r="F215" i="2"/>
  <c r="K212" i="2"/>
  <c r="B212" i="2"/>
  <c r="AL137" i="2"/>
  <c r="AA137" i="2"/>
  <c r="AN137" i="2" s="1"/>
  <c r="AW137" i="2" s="1"/>
  <c r="AB137" i="2"/>
  <c r="AO137" i="2" s="1"/>
  <c r="AX137" i="2" s="1"/>
  <c r="Z137" i="2"/>
  <c r="AI137" i="2"/>
  <c r="X38" i="932"/>
  <c r="AS338" i="2"/>
  <c r="R383" i="2"/>
  <c r="AR383" i="2"/>
  <c r="AS383" i="2" s="1"/>
  <c r="V383" i="2"/>
  <c r="W383" i="2" s="1"/>
  <c r="AU383" i="2"/>
  <c r="S39" i="702"/>
  <c r="J7" i="474"/>
  <c r="M39" i="702"/>
  <c r="H39" i="702"/>
  <c r="I7" i="474"/>
  <c r="Y39" i="702"/>
  <c r="X134" i="2"/>
  <c r="A89" i="2"/>
  <c r="B89" i="2"/>
  <c r="D90" i="2"/>
  <c r="C89" i="2"/>
  <c r="H242" i="2"/>
  <c r="I242" i="2" s="1"/>
  <c r="K242" i="2"/>
  <c r="G242" i="2"/>
  <c r="F245" i="2"/>
  <c r="T400" i="2"/>
  <c r="AM400" i="2"/>
  <c r="AI400" i="2" s="1"/>
  <c r="G80" i="2"/>
  <c r="H80" i="2"/>
  <c r="I80" i="2" s="1"/>
  <c r="K80" i="2"/>
  <c r="I257" i="2"/>
  <c r="I77" i="2"/>
  <c r="AL273" i="2"/>
  <c r="AI273" i="2"/>
  <c r="AJ272" i="2" s="1"/>
  <c r="AL272" i="2" s="1"/>
  <c r="Z273" i="2"/>
  <c r="AB273" i="2" s="1"/>
  <c r="AO273" i="2" s="1"/>
  <c r="AX273" i="2" s="1"/>
  <c r="AA273" i="2"/>
  <c r="AN273" i="2" s="1"/>
  <c r="AW273" i="2" s="1"/>
  <c r="R243" i="2"/>
  <c r="AR243" i="2"/>
  <c r="V243" i="2"/>
  <c r="W243" i="2" s="1"/>
  <c r="AU243" i="2"/>
  <c r="W252" i="2"/>
  <c r="V150" i="2"/>
  <c r="W150" i="2" s="1"/>
  <c r="R150" i="2"/>
  <c r="AR150" i="2"/>
  <c r="AU150" i="2"/>
  <c r="T209" i="2"/>
  <c r="AM209" i="2"/>
  <c r="AI209" i="2" s="1"/>
  <c r="D36" i="2"/>
  <c r="A35" i="2"/>
  <c r="B35" i="2"/>
  <c r="C35" i="2"/>
  <c r="O39" i="702"/>
  <c r="Z256" i="2"/>
  <c r="AB256" i="2" s="1"/>
  <c r="AO256" i="2" s="1"/>
  <c r="AX256" i="2" s="1"/>
  <c r="AA256" i="2"/>
  <c r="AL256" i="2"/>
  <c r="AJ251" i="2"/>
  <c r="X251" i="2"/>
  <c r="AL339" i="2"/>
  <c r="AA339" i="2"/>
  <c r="AN339" i="2" s="1"/>
  <c r="AW339" i="2" s="1"/>
  <c r="Z339" i="2"/>
  <c r="AB339" i="2" s="1"/>
  <c r="AO339" i="2" s="1"/>
  <c r="AX339" i="2" s="1"/>
  <c r="G125" i="2"/>
  <c r="H125" i="2"/>
  <c r="I125" i="2" s="1"/>
  <c r="AA368" i="2"/>
  <c r="AN368" i="2" s="1"/>
  <c r="AW368" i="2" s="1"/>
  <c r="G335" i="2"/>
  <c r="H335" i="2"/>
  <c r="I335" i="2" s="1"/>
  <c r="H262" i="2"/>
  <c r="I262" i="2" s="1"/>
  <c r="G262" i="2"/>
  <c r="K262" i="2"/>
  <c r="Z240" i="2"/>
  <c r="AB240" i="2" s="1"/>
  <c r="AO240" i="2" s="1"/>
  <c r="AX240" i="2" s="1"/>
  <c r="AA240" i="2"/>
  <c r="AN240" i="2" s="1"/>
  <c r="AW240" i="2" s="1"/>
  <c r="AL240" i="2"/>
  <c r="G179" i="2"/>
  <c r="H179" i="2"/>
  <c r="I179" i="2" s="1"/>
  <c r="F182" i="2"/>
  <c r="R104" i="2"/>
  <c r="V104" i="2"/>
  <c r="AR104" i="2"/>
  <c r="AU104" i="2"/>
  <c r="T102" i="2"/>
  <c r="AM102" i="2"/>
  <c r="R123" i="2"/>
  <c r="AU123" i="2"/>
  <c r="AR123" i="2"/>
  <c r="AV236" i="2"/>
  <c r="T385" i="2"/>
  <c r="AM385" i="2"/>
  <c r="AJ206" i="2"/>
  <c r="I172" i="2"/>
  <c r="D72" i="2"/>
  <c r="A71" i="2"/>
  <c r="B71" i="2"/>
  <c r="C71" i="2"/>
  <c r="Z166" i="2"/>
  <c r="AB166" i="2" s="1"/>
  <c r="AO166" i="2" s="1"/>
  <c r="AX166" i="2" s="1"/>
  <c r="AL166" i="2"/>
  <c r="AA166" i="2"/>
  <c r="AB244" i="2"/>
  <c r="Z244" i="2"/>
  <c r="AA244" i="2"/>
  <c r="AL244" i="2"/>
  <c r="AS251" i="2"/>
  <c r="AV194" i="2"/>
  <c r="H226" i="2"/>
  <c r="I226" i="2" s="1"/>
  <c r="G226" i="2"/>
  <c r="F229" i="2"/>
  <c r="V171" i="2"/>
  <c r="R171" i="2"/>
  <c r="AR171" i="2"/>
  <c r="AU171" i="2"/>
  <c r="AU145" i="2"/>
  <c r="R145" i="2"/>
  <c r="AR145" i="2"/>
  <c r="AS143" i="2" s="1"/>
  <c r="V145" i="2"/>
  <c r="W325" i="2"/>
  <c r="K356" i="2"/>
  <c r="J357" i="2"/>
  <c r="T325" i="2"/>
  <c r="AM325" i="2"/>
  <c r="AI325" i="2" s="1"/>
  <c r="AI243" i="2"/>
  <c r="T255" i="2"/>
  <c r="AM255" i="2"/>
  <c r="AI255" i="2" s="1"/>
  <c r="H225" i="2"/>
  <c r="I225" i="2" s="1"/>
  <c r="G225" i="2"/>
  <c r="F228" i="2"/>
  <c r="H73" i="2"/>
  <c r="G73" i="2"/>
  <c r="F76" i="2"/>
  <c r="K73" i="2"/>
  <c r="H90" i="2"/>
  <c r="I90" i="2" s="1"/>
  <c r="G90" i="2"/>
  <c r="F93" i="2"/>
  <c r="Z354" i="2"/>
  <c r="AA354" i="2"/>
  <c r="AN354" i="2" s="1"/>
  <c r="AW354" i="2" s="1"/>
  <c r="AB354" i="2"/>
  <c r="AL354" i="2"/>
  <c r="R385" i="2"/>
  <c r="AU310" i="2"/>
  <c r="AV308" i="2" s="1"/>
  <c r="Z103" i="2"/>
  <c r="AB103" i="2"/>
  <c r="AA103" i="2"/>
  <c r="AL103" i="2"/>
  <c r="AR41" i="2"/>
  <c r="V41" i="2"/>
  <c r="AM214" i="2"/>
  <c r="T214" i="2"/>
  <c r="T235" i="2"/>
  <c r="AR235" i="2"/>
  <c r="AS233" i="2" s="1"/>
  <c r="V235" i="2"/>
  <c r="AU235" i="2"/>
  <c r="R235" i="2"/>
  <c r="AU40" i="2"/>
  <c r="I40" i="2"/>
  <c r="I122" i="2"/>
  <c r="T295" i="2"/>
  <c r="AM295" i="2"/>
  <c r="AI295" i="2" s="1"/>
  <c r="V295" i="2"/>
  <c r="W295" i="2" s="1"/>
  <c r="R295" i="2"/>
  <c r="AU295" i="2"/>
  <c r="AV293" i="2" s="1"/>
  <c r="AR295" i="2"/>
  <c r="AS293" i="2" s="1"/>
  <c r="W240" i="2"/>
  <c r="I217" i="2"/>
  <c r="I176" i="2"/>
  <c r="A163" i="2"/>
  <c r="B163" i="2"/>
  <c r="C163" i="2"/>
  <c r="D164" i="2"/>
  <c r="AR126" i="2"/>
  <c r="V126" i="2"/>
  <c r="R126" i="2"/>
  <c r="AU126" i="2"/>
  <c r="AS236" i="2"/>
  <c r="J387" i="2"/>
  <c r="K386" i="2"/>
  <c r="T246" i="2"/>
  <c r="AM246" i="2"/>
  <c r="AI246" i="2" s="1"/>
  <c r="AL221" i="2"/>
  <c r="Z221" i="2"/>
  <c r="AB221" i="2" s="1"/>
  <c r="AO221" i="2" s="1"/>
  <c r="AX221" i="2" s="1"/>
  <c r="AA221" i="2"/>
  <c r="AN221" i="2" s="1"/>
  <c r="AW221" i="2" s="1"/>
  <c r="AI221" i="2"/>
  <c r="W161" i="2"/>
  <c r="A146" i="2"/>
  <c r="D147" i="2"/>
  <c r="B146" i="2"/>
  <c r="C146" i="2"/>
  <c r="AL37" i="2"/>
  <c r="Z37" i="2"/>
  <c r="AA37" i="2"/>
  <c r="AN37" i="2" s="1"/>
  <c r="AW37" i="2" s="1"/>
  <c r="AB37" i="2"/>
  <c r="B280" i="2"/>
  <c r="D281" i="2"/>
  <c r="A280" i="2"/>
  <c r="AB251" i="2"/>
  <c r="AO251" i="2" s="1"/>
  <c r="AX251" i="2" s="1"/>
  <c r="Z251" i="2"/>
  <c r="AA251" i="2"/>
  <c r="AN251" i="2" s="1"/>
  <c r="AW251" i="2" s="1"/>
  <c r="AL251" i="2"/>
  <c r="I223" i="2"/>
  <c r="AU85" i="2"/>
  <c r="V85" i="2"/>
  <c r="R85" i="2"/>
  <c r="AR85" i="2"/>
  <c r="K326" i="2"/>
  <c r="J327" i="2"/>
  <c r="T216" i="2"/>
  <c r="AM216" i="2"/>
  <c r="I222" i="2"/>
  <c r="K78" i="2"/>
  <c r="H78" i="2"/>
  <c r="I78" i="2" s="1"/>
  <c r="F81" i="2"/>
  <c r="G78" i="2"/>
  <c r="V44" i="2"/>
  <c r="AR44" i="2"/>
  <c r="H48" i="2"/>
  <c r="G48" i="2"/>
  <c r="AL267" i="2"/>
  <c r="Z267" i="2"/>
  <c r="AB267" i="2" s="1"/>
  <c r="AO267" i="2" s="1"/>
  <c r="AX267" i="2" s="1"/>
  <c r="AA267" i="2"/>
  <c r="AN267" i="2" s="1"/>
  <c r="AW267" i="2" s="1"/>
  <c r="AI267" i="2"/>
  <c r="AJ266" i="2" s="1"/>
  <c r="Z98" i="2"/>
  <c r="AA98" i="2"/>
  <c r="AN98" i="2" s="1"/>
  <c r="AW98" i="2" s="1"/>
  <c r="AB98" i="2"/>
  <c r="AO98" i="2" s="1"/>
  <c r="AX98" i="2" s="1"/>
  <c r="AL98" i="2"/>
  <c r="AI98" i="2"/>
  <c r="T200" i="2"/>
  <c r="AM200" i="2"/>
  <c r="AI200" i="2" s="1"/>
  <c r="W174" i="2"/>
  <c r="AV173" i="2"/>
  <c r="T146" i="2"/>
  <c r="AM146" i="2"/>
  <c r="W354" i="2"/>
  <c r="V385" i="2"/>
  <c r="W385" i="2" s="1"/>
  <c r="W86" i="2"/>
  <c r="W279" i="2"/>
  <c r="H91" i="2"/>
  <c r="I91" i="2" s="1"/>
  <c r="G91" i="2"/>
  <c r="F94" i="2"/>
  <c r="T244" i="2"/>
  <c r="AM244" i="2"/>
  <c r="AI244" i="2" s="1"/>
  <c r="T208" i="2"/>
  <c r="AM208" i="2"/>
  <c r="AI208" i="2" s="1"/>
  <c r="R208" i="2"/>
  <c r="AR208" i="2"/>
  <c r="AU208" i="2"/>
  <c r="V208" i="2"/>
  <c r="W208" i="2" s="1"/>
  <c r="Z36" i="2"/>
  <c r="AB36" i="2" s="1"/>
  <c r="AO36" i="2" s="1"/>
  <c r="AX36" i="2" s="1"/>
  <c r="AA36" i="2"/>
  <c r="AN36" i="2" s="1"/>
  <c r="AW36" i="2" s="1"/>
  <c r="AL36" i="2"/>
  <c r="AA323" i="2"/>
  <c r="AN323" i="2" s="1"/>
  <c r="AW323" i="2" s="1"/>
  <c r="AI323" i="2"/>
  <c r="AJ323" i="2" s="1"/>
  <c r="AL323" i="2" s="1"/>
  <c r="K198" i="2"/>
  <c r="F201" i="2"/>
  <c r="H198" i="2"/>
  <c r="G198" i="2"/>
  <c r="D176" i="2"/>
  <c r="A175" i="2"/>
  <c r="B175" i="2"/>
  <c r="C175" i="2"/>
  <c r="W274" i="2"/>
  <c r="X272" i="2" s="1"/>
  <c r="K341" i="2"/>
  <c r="J342" i="2"/>
  <c r="AO264" i="2"/>
  <c r="AX264" i="2" s="1"/>
  <c r="W256" i="2"/>
  <c r="Z233" i="2"/>
  <c r="AB233" i="2"/>
  <c r="AL233" i="2"/>
  <c r="AA233" i="2"/>
  <c r="AN233" i="2" s="1"/>
  <c r="AW233" i="2" s="1"/>
  <c r="AI233" i="2"/>
  <c r="R72" i="2"/>
  <c r="AU72" i="2"/>
  <c r="V72" i="2"/>
  <c r="AR72" i="2"/>
  <c r="AU84" i="2"/>
  <c r="AV83" i="2" s="1"/>
  <c r="V84" i="2"/>
  <c r="W84" i="2" s="1"/>
  <c r="AR84" i="2"/>
  <c r="AS83" i="2" s="1"/>
  <c r="R84" i="2"/>
  <c r="I55" i="2"/>
  <c r="AO162" i="2"/>
  <c r="AX162" i="2" s="1"/>
  <c r="AA159" i="2"/>
  <c r="AN159" i="2" s="1"/>
  <c r="AW159" i="2" s="1"/>
  <c r="T247" i="2"/>
  <c r="AM247" i="2"/>
  <c r="AW253" i="2"/>
  <c r="AX253" i="2"/>
  <c r="I342" i="2"/>
  <c r="I216" i="2"/>
  <c r="G258" i="2"/>
  <c r="F261" i="2"/>
  <c r="H258" i="2"/>
  <c r="I258" i="2" s="1"/>
  <c r="K258" i="2"/>
  <c r="I75" i="2"/>
  <c r="G110" i="2"/>
  <c r="H110" i="2"/>
  <c r="I110" i="2" s="1"/>
  <c r="K110" i="2"/>
  <c r="X206" i="2"/>
  <c r="AU124" i="2"/>
  <c r="V124" i="2"/>
  <c r="W124" i="2" s="1"/>
  <c r="AR124" i="2"/>
  <c r="R124" i="2"/>
  <c r="AS173" i="2"/>
  <c r="AU370" i="2"/>
  <c r="G149" i="2"/>
  <c r="H149" i="2"/>
  <c r="I149" i="2" s="1"/>
  <c r="F152" i="2"/>
  <c r="K149" i="2"/>
  <c r="AB133" i="2"/>
  <c r="AO133" i="2" s="1"/>
  <c r="AX133" i="2" s="1"/>
  <c r="AL133" i="2"/>
  <c r="Z133" i="2"/>
  <c r="AA133" i="2"/>
  <c r="AN133" i="2" s="1"/>
  <c r="AW133" i="2" s="1"/>
  <c r="AI133" i="2"/>
  <c r="AL270" i="2"/>
  <c r="AI270" i="2"/>
  <c r="Z270" i="2"/>
  <c r="AB270" i="2" s="1"/>
  <c r="AO270" i="2" s="1"/>
  <c r="AX270" i="2" s="1"/>
  <c r="AA270" i="2"/>
  <c r="AN270" i="2" s="1"/>
  <c r="AW270" i="2" s="1"/>
  <c r="I88" i="2"/>
  <c r="T241" i="2"/>
  <c r="AM241" i="2"/>
  <c r="AI241" i="2" s="1"/>
  <c r="T250" i="2"/>
  <c r="AR250" i="2"/>
  <c r="AS248" i="2" s="1"/>
  <c r="V250" i="2"/>
  <c r="W250" i="2" s="1"/>
  <c r="R250" i="2"/>
  <c r="AU250" i="2"/>
  <c r="AV248" i="2" s="1"/>
  <c r="B10" i="414"/>
  <c r="B17" i="414" s="1"/>
  <c r="B10" i="985"/>
  <c r="B17" i="985" s="1"/>
  <c r="B10" i="411"/>
  <c r="B17" i="411" s="1"/>
  <c r="B10" i="984"/>
  <c r="B10" i="351"/>
  <c r="B17" i="351" s="1"/>
  <c r="B18" i="786"/>
  <c r="B10" i="516"/>
  <c r="B17" i="516" s="1"/>
  <c r="B18" i="778"/>
  <c r="B18" i="840"/>
  <c r="B18" i="731"/>
  <c r="B18" i="730"/>
  <c r="B18" i="729"/>
  <c r="B18" i="715"/>
  <c r="AS39" i="346"/>
  <c r="B32" i="881"/>
  <c r="W36" i="2"/>
  <c r="I397" i="2"/>
  <c r="AL168" i="2"/>
  <c r="Z168" i="2"/>
  <c r="AB168" i="2" s="1"/>
  <c r="AO168" i="2" s="1"/>
  <c r="AX168" i="2" s="1"/>
  <c r="AA168" i="2"/>
  <c r="AN168" i="2" s="1"/>
  <c r="AW168" i="2" s="1"/>
  <c r="T195" i="2"/>
  <c r="AM195" i="2"/>
  <c r="AI195" i="2" s="1"/>
  <c r="AL147" i="2"/>
  <c r="Z147" i="2"/>
  <c r="AB147" i="2" s="1"/>
  <c r="AO147" i="2" s="1"/>
  <c r="AX147" i="2" s="1"/>
  <c r="AA147" i="2"/>
  <c r="AN147" i="2" s="1"/>
  <c r="AW147" i="2" s="1"/>
  <c r="V139" i="2"/>
  <c r="W139" i="2" s="1"/>
  <c r="AU139" i="2"/>
  <c r="R139" i="2"/>
  <c r="AR139" i="2"/>
  <c r="H105" i="2"/>
  <c r="F108" i="2"/>
  <c r="G105" i="2"/>
  <c r="B105" i="2"/>
  <c r="K105" i="2"/>
  <c r="C105" i="2"/>
  <c r="A105" i="2"/>
  <c r="B133" i="2"/>
  <c r="C133" i="2"/>
  <c r="D134" i="2"/>
  <c r="A133" i="2"/>
  <c r="AI204" i="2"/>
  <c r="AJ203" i="2" s="1"/>
  <c r="AI240" i="2"/>
  <c r="AI236" i="2"/>
  <c r="AJ236" i="2" s="1"/>
  <c r="D251" i="2"/>
  <c r="B250" i="2"/>
  <c r="A250" i="2"/>
  <c r="C250" i="2"/>
  <c r="AV233" i="2"/>
  <c r="F61" i="2"/>
  <c r="H58" i="2"/>
  <c r="I58" i="2" s="1"/>
  <c r="G58" i="2"/>
  <c r="K58" i="2"/>
  <c r="B58" i="2"/>
  <c r="C58" i="2"/>
  <c r="A58" i="2"/>
  <c r="X248" i="2"/>
  <c r="B310" i="2"/>
  <c r="D311" i="2"/>
  <c r="A310" i="2"/>
  <c r="AA144" i="2"/>
  <c r="AN144" i="2" s="1"/>
  <c r="AW144" i="2" s="1"/>
  <c r="AL144" i="2"/>
  <c r="Z144" i="2"/>
  <c r="AB144" i="2" s="1"/>
  <c r="AO144" i="2" s="1"/>
  <c r="AX144" i="2" s="1"/>
  <c r="AV143" i="2"/>
  <c r="D389" i="2"/>
  <c r="A388" i="2"/>
  <c r="B388" i="2"/>
  <c r="Z249" i="2"/>
  <c r="AB249" i="2"/>
  <c r="AL249" i="2"/>
  <c r="AA249" i="2"/>
  <c r="AN249" i="2" s="1"/>
  <c r="AW249" i="2" s="1"/>
  <c r="X188" i="2"/>
  <c r="R197" i="2"/>
  <c r="AI197" i="2" s="1"/>
  <c r="AU197" i="2"/>
  <c r="AR197" i="2"/>
  <c r="V197" i="2"/>
  <c r="W189" i="2"/>
  <c r="AU138" i="2"/>
  <c r="AV137" i="2" s="1"/>
  <c r="R138" i="2"/>
  <c r="AR138" i="2"/>
  <c r="AS137" i="2" s="1"/>
  <c r="T75" i="2"/>
  <c r="AM75" i="2"/>
  <c r="T107" i="2"/>
  <c r="AM107" i="2"/>
  <c r="R100" i="2"/>
  <c r="V100" i="2"/>
  <c r="W100" i="2" s="1"/>
  <c r="X98" i="2" s="1"/>
  <c r="AU100" i="2"/>
  <c r="AV98" i="2" s="1"/>
  <c r="AR100" i="2"/>
  <c r="AS98" i="2" s="1"/>
  <c r="AU39" i="2"/>
  <c r="AV38" i="2" s="1"/>
  <c r="I39" i="2"/>
  <c r="AS206" i="2"/>
  <c r="I412" i="2"/>
  <c r="Z174" i="2"/>
  <c r="AA174" i="2"/>
  <c r="AN174" i="2" s="1"/>
  <c r="AW174" i="2" s="1"/>
  <c r="AB174" i="2"/>
  <c r="AL174" i="2"/>
  <c r="AI174" i="2"/>
  <c r="V127" i="2"/>
  <c r="W127" i="2" s="1"/>
  <c r="AR127" i="2"/>
  <c r="R127" i="2"/>
  <c r="AU127" i="2"/>
  <c r="W173" i="2"/>
  <c r="X173" i="2" s="1"/>
  <c r="Z165" i="2"/>
  <c r="AB165" i="2" s="1"/>
  <c r="AO165" i="2" s="1"/>
  <c r="AX165" i="2" s="1"/>
  <c r="AA165" i="2"/>
  <c r="AN165" i="2" s="1"/>
  <c r="AW165" i="2" s="1"/>
  <c r="AL165" i="2"/>
  <c r="I146" i="2"/>
  <c r="AI147" i="2"/>
  <c r="W270" i="2"/>
  <c r="X269" i="2" s="1"/>
  <c r="AL279" i="2"/>
  <c r="Z279" i="2"/>
  <c r="AB279" i="2" s="1"/>
  <c r="AO279" i="2" s="1"/>
  <c r="AX279" i="2" s="1"/>
  <c r="AA279" i="2"/>
  <c r="AN279" i="2" s="1"/>
  <c r="AW279" i="2" s="1"/>
  <c r="Z175" i="2"/>
  <c r="AB175" i="2" s="1"/>
  <c r="AO175" i="2" s="1"/>
  <c r="AX175" i="2" s="1"/>
  <c r="AA175" i="2"/>
  <c r="AN175" i="2" s="1"/>
  <c r="AW175" i="2" s="1"/>
  <c r="AL175" i="2"/>
  <c r="AI175" i="2"/>
  <c r="T100" i="2"/>
  <c r="AM100" i="2"/>
  <c r="AI100" i="2" s="1"/>
  <c r="AM145" i="2"/>
  <c r="AI145" i="2" s="1"/>
  <c r="AJ143" i="2" s="1"/>
  <c r="T145" i="2"/>
  <c r="T205" i="2"/>
  <c r="R205" i="2"/>
  <c r="AU205" i="2"/>
  <c r="AV203" i="2" s="1"/>
  <c r="AR205" i="2"/>
  <c r="AS203" i="2" s="1"/>
  <c r="AM205" i="2"/>
  <c r="AI205" i="2" s="1"/>
  <c r="V205" i="2"/>
  <c r="W205" i="2" s="1"/>
  <c r="W339" i="2"/>
  <c r="H180" i="2"/>
  <c r="I180" i="2" s="1"/>
  <c r="G180" i="2"/>
  <c r="F183" i="2"/>
  <c r="D358" i="2"/>
  <c r="A357" i="2"/>
  <c r="B357" i="2"/>
  <c r="T259" i="2"/>
  <c r="AM259" i="2"/>
  <c r="W74" i="2"/>
  <c r="B295" i="2"/>
  <c r="D296" i="2"/>
  <c r="A295" i="2"/>
  <c r="F350" i="2"/>
  <c r="G347" i="2"/>
  <c r="H347" i="2"/>
  <c r="AJ194" i="2"/>
  <c r="AL194" i="2" s="1"/>
  <c r="W233" i="2"/>
  <c r="W71" i="2"/>
  <c r="AA71" i="2"/>
  <c r="AN71" i="2" s="1"/>
  <c r="AW71" i="2" s="1"/>
  <c r="T55" i="2"/>
  <c r="AM55" i="2"/>
  <c r="T370" i="2"/>
  <c r="AM370" i="2"/>
  <c r="AI370" i="2" s="1"/>
  <c r="AJ368" i="2" s="1"/>
  <c r="AL368" i="2" s="1"/>
  <c r="AS194" i="2"/>
  <c r="X35" i="2"/>
  <c r="T59" i="2"/>
  <c r="AM59" i="2"/>
  <c r="I247" i="2"/>
  <c r="T280" i="2"/>
  <c r="AM280" i="2"/>
  <c r="V280" i="2"/>
  <c r="R280" i="2"/>
  <c r="AU280" i="2"/>
  <c r="AV278" i="2" s="1"/>
  <c r="AR280" i="2"/>
  <c r="AS278" i="2" s="1"/>
  <c r="W324" i="2"/>
  <c r="X323" i="2" s="1"/>
  <c r="Z323" i="2" s="1"/>
  <c r="AB323" i="2" s="1"/>
  <c r="AO323" i="2" s="1"/>
  <c r="AX323" i="2" s="1"/>
  <c r="T310" i="2"/>
  <c r="AM310" i="2"/>
  <c r="AI310" i="2" s="1"/>
  <c r="AJ308" i="2" s="1"/>
  <c r="AL308" i="2" s="1"/>
  <c r="AI249" i="2"/>
  <c r="R107" i="2"/>
  <c r="V107" i="2"/>
  <c r="W107" i="2" s="1"/>
  <c r="AR107" i="2"/>
  <c r="AU107" i="2"/>
  <c r="T70" i="2"/>
  <c r="AM70" i="2"/>
  <c r="Z56" i="2"/>
  <c r="AB56" i="2" s="1"/>
  <c r="AA56" i="2"/>
  <c r="AN56" i="2" s="1"/>
  <c r="AW56" i="2" s="1"/>
  <c r="H42" i="2"/>
  <c r="G42" i="2"/>
  <c r="F51" i="2"/>
  <c r="Z206" i="2"/>
  <c r="AB206" i="2" s="1"/>
  <c r="AO206" i="2" s="1"/>
  <c r="AX206" i="2" s="1"/>
  <c r="AL206" i="2"/>
  <c r="AA206" i="2"/>
  <c r="AN206" i="2" s="1"/>
  <c r="AW206" i="2" s="1"/>
  <c r="AR370" i="2"/>
  <c r="AS368" i="2" s="1"/>
  <c r="W133" i="2"/>
  <c r="AS269" i="2"/>
  <c r="W103" i="2"/>
  <c r="T166" i="2"/>
  <c r="AM166" i="2"/>
  <c r="AI166" i="2" s="1"/>
  <c r="T193" i="2"/>
  <c r="R193" i="2"/>
  <c r="V193" i="2"/>
  <c r="W193" i="2" s="1"/>
  <c r="AM193" i="2"/>
  <c r="AI193" i="2" s="1"/>
  <c r="AJ191" i="2" s="1"/>
  <c r="AL191" i="2" s="1"/>
  <c r="AO191" i="2" s="1"/>
  <c r="AX191" i="2" s="1"/>
  <c r="AU193" i="2"/>
  <c r="AV191" i="2" s="1"/>
  <c r="AR193" i="2"/>
  <c r="AS191" i="2" s="1"/>
  <c r="T211" i="2"/>
  <c r="V211" i="2"/>
  <c r="R211" i="2"/>
  <c r="AM211" i="2"/>
  <c r="AU211" i="2"/>
  <c r="AR211" i="2"/>
  <c r="E10" i="351"/>
  <c r="D45" i="715"/>
  <c r="W41" i="346"/>
  <c r="H49" i="2"/>
  <c r="G49" i="2"/>
  <c r="AV368" i="2"/>
  <c r="K167" i="2"/>
  <c r="G167" i="2"/>
  <c r="H167" i="2"/>
  <c r="F170" i="2"/>
  <c r="C235" i="2"/>
  <c r="D236" i="2"/>
  <c r="B235" i="2"/>
  <c r="A235" i="2"/>
  <c r="H142" i="2"/>
  <c r="G142" i="2"/>
  <c r="AL236" i="2"/>
  <c r="AA236" i="2"/>
  <c r="AN236" i="2" s="1"/>
  <c r="AW236" i="2" s="1"/>
  <c r="Z236" i="2"/>
  <c r="AB236" i="2" s="1"/>
  <c r="AO236" i="2" s="1"/>
  <c r="AX236" i="2" s="1"/>
  <c r="W293" i="2"/>
  <c r="X293" i="2" s="1"/>
  <c r="Z293" i="2" s="1"/>
  <c r="AB293" i="2" s="1"/>
  <c r="AO293" i="2" s="1"/>
  <c r="AX293" i="2" s="1"/>
  <c r="AI339" i="2"/>
  <c r="T172" i="2"/>
  <c r="AM172" i="2"/>
  <c r="X128" i="2"/>
  <c r="AR398" i="2"/>
  <c r="AS398" i="2" s="1"/>
  <c r="R398" i="2"/>
  <c r="V398" i="2"/>
  <c r="W398" i="2" s="1"/>
  <c r="AU398" i="2"/>
  <c r="AV398" i="2" s="1"/>
  <c r="K371" i="2"/>
  <c r="J372" i="2"/>
  <c r="W244" i="2"/>
  <c r="AI250" i="2"/>
  <c r="Z120" i="2"/>
  <c r="AA120" i="2"/>
  <c r="AN120" i="2" s="1"/>
  <c r="AW120" i="2" s="1"/>
  <c r="AB120" i="2"/>
  <c r="AL120" i="2"/>
  <c r="AI120" i="2"/>
  <c r="AJ119" i="2" s="1"/>
  <c r="T171" i="2"/>
  <c r="AM171" i="2"/>
  <c r="AI171" i="2" s="1"/>
  <c r="I59" i="2"/>
  <c r="V213" i="2"/>
  <c r="R213" i="2"/>
  <c r="AR213" i="2"/>
  <c r="AU213" i="2"/>
  <c r="K281" i="2"/>
  <c r="J282" i="2"/>
  <c r="D373" i="2"/>
  <c r="A372" i="2"/>
  <c r="B372" i="2"/>
  <c r="K311" i="2"/>
  <c r="J312" i="2"/>
  <c r="AV206" i="2"/>
  <c r="AL86" i="2"/>
  <c r="Z86" i="2"/>
  <c r="AB86" i="2" s="1"/>
  <c r="AO86" i="2" s="1"/>
  <c r="AX86" i="2" s="1"/>
  <c r="AA86" i="2"/>
  <c r="AN86" i="2" s="1"/>
  <c r="AW86" i="2" s="1"/>
  <c r="AI86" i="2"/>
  <c r="AV269" i="2"/>
  <c r="I178" i="2"/>
  <c r="T103" i="2"/>
  <c r="AM103" i="2"/>
  <c r="AI103" i="2" s="1"/>
  <c r="T163" i="2"/>
  <c r="AR163" i="2"/>
  <c r="AS161" i="2" s="1"/>
  <c r="AU163" i="2"/>
  <c r="AV161" i="2" s="1"/>
  <c r="V163" i="2"/>
  <c r="W163" i="2" s="1"/>
  <c r="AM163" i="2"/>
  <c r="R163" i="2"/>
  <c r="AD39" i="346"/>
  <c r="H46" i="2"/>
  <c r="G46" i="2"/>
  <c r="AU177" i="2"/>
  <c r="V177" i="2"/>
  <c r="AR177" i="2"/>
  <c r="AX177" i="2" s="1"/>
  <c r="D194" i="2"/>
  <c r="A193" i="2"/>
  <c r="B193" i="2"/>
  <c r="C193" i="2"/>
  <c r="X368" i="2"/>
  <c r="Z368" i="2" s="1"/>
  <c r="AB368" i="2" s="1"/>
  <c r="AO368" i="2" s="1"/>
  <c r="AX368" i="2" s="1"/>
  <c r="AR259" i="2"/>
  <c r="V259" i="2"/>
  <c r="W259" i="2" s="1"/>
  <c r="R259" i="2"/>
  <c r="AU259" i="2"/>
  <c r="T217" i="2"/>
  <c r="AM217" i="2"/>
  <c r="T164" i="2"/>
  <c r="AR164" i="2"/>
  <c r="AS164" i="2" s="1"/>
  <c r="AU164" i="2"/>
  <c r="AV164" i="2" s="1"/>
  <c r="R164" i="2"/>
  <c r="V164" i="2"/>
  <c r="AM164" i="2"/>
  <c r="Z74" i="2"/>
  <c r="AB74" i="2" s="1"/>
  <c r="AA74" i="2"/>
  <c r="AN74" i="2" s="1"/>
  <c r="AW74" i="2" s="1"/>
  <c r="R102" i="2"/>
  <c r="V102" i="2"/>
  <c r="AR102" i="2"/>
  <c r="AS101" i="2" s="1"/>
  <c r="AU102" i="2"/>
  <c r="AV101" i="2" s="1"/>
  <c r="Z189" i="2"/>
  <c r="AB189" i="2" s="1"/>
  <c r="AO189" i="2" s="1"/>
  <c r="AX189" i="2" s="1"/>
  <c r="AA189" i="2"/>
  <c r="AN189" i="2" s="1"/>
  <c r="AW189" i="2" s="1"/>
  <c r="AL189" i="2"/>
  <c r="AA293" i="2"/>
  <c r="AN293" i="2" s="1"/>
  <c r="AW293" i="2" s="1"/>
  <c r="AI293" i="2"/>
  <c r="AJ293" i="2" s="1"/>
  <c r="AL293" i="2" s="1"/>
  <c r="B325" i="2"/>
  <c r="D326" i="2"/>
  <c r="A325" i="2"/>
  <c r="V214" i="2"/>
  <c r="R214" i="2"/>
  <c r="AR214" i="2"/>
  <c r="AU214" i="2"/>
  <c r="AO118" i="2"/>
  <c r="AX118" i="2" s="1"/>
  <c r="V113" i="2"/>
  <c r="W113" i="2" s="1"/>
  <c r="X113" i="2" s="1"/>
  <c r="AU113" i="2"/>
  <c r="AV113" i="2" s="1"/>
  <c r="R113" i="2"/>
  <c r="AR113" i="2"/>
  <c r="AS113" i="2" s="1"/>
  <c r="AN69" i="2"/>
  <c r="AW69" i="2" s="1"/>
  <c r="AO268" i="2"/>
  <c r="AX268" i="2" s="1"/>
  <c r="AV251" i="2"/>
  <c r="AA194" i="2"/>
  <c r="AN194" i="2" s="1"/>
  <c r="AW194" i="2" s="1"/>
  <c r="AB194" i="2"/>
  <c r="AO194" i="2" s="1"/>
  <c r="AX194" i="2" s="1"/>
  <c r="Z194" i="2"/>
  <c r="I140" i="2"/>
  <c r="K62" i="2"/>
  <c r="G62" i="2"/>
  <c r="H62" i="2"/>
  <c r="I62" i="2" s="1"/>
  <c r="F65" i="2"/>
  <c r="AI168" i="2"/>
  <c r="Z325" i="2"/>
  <c r="AB325" i="2"/>
  <c r="AA325" i="2"/>
  <c r="AN325" i="2" s="1"/>
  <c r="AW325" i="2" s="1"/>
  <c r="AL325" i="2"/>
  <c r="T355" i="2"/>
  <c r="V355" i="2"/>
  <c r="W355" i="2" s="1"/>
  <c r="R355" i="2"/>
  <c r="AM355" i="2"/>
  <c r="AI355" i="2" s="1"/>
  <c r="AU355" i="2"/>
  <c r="AR355" i="2"/>
  <c r="AL324" i="2"/>
  <c r="AA324" i="2"/>
  <c r="AN324" i="2" s="1"/>
  <c r="AW324" i="2" s="1"/>
  <c r="Z324" i="2"/>
  <c r="AB324" i="2"/>
  <c r="AO324" i="2" s="1"/>
  <c r="AX324" i="2" s="1"/>
  <c r="Z143" i="2"/>
  <c r="AB143" i="2" s="1"/>
  <c r="AO143" i="2" s="1"/>
  <c r="AX143" i="2" s="1"/>
  <c r="AA143" i="2"/>
  <c r="AN143" i="2" s="1"/>
  <c r="AW143" i="2" s="1"/>
  <c r="AL143" i="2"/>
  <c r="V70" i="2"/>
  <c r="R70" i="2"/>
  <c r="AU70" i="2"/>
  <c r="AV68" i="2" s="1"/>
  <c r="AR70" i="2"/>
  <c r="AS68" i="2" s="1"/>
  <c r="W294" i="2"/>
  <c r="W165" i="2"/>
  <c r="AI74" i="2"/>
  <c r="AU385" i="2"/>
  <c r="AR310" i="2"/>
  <c r="AS308" i="2" s="1"/>
  <c r="AL271" i="2"/>
  <c r="Z271" i="2"/>
  <c r="AA271" i="2"/>
  <c r="AN271" i="2" s="1"/>
  <c r="AW271" i="2" s="1"/>
  <c r="AB271" i="2"/>
  <c r="AO271" i="2" s="1"/>
  <c r="AX271" i="2" s="1"/>
  <c r="AI271" i="2"/>
  <c r="AJ269" i="2" s="1"/>
  <c r="AL269" i="2" s="1"/>
  <c r="AI189" i="2"/>
  <c r="H181" i="2"/>
  <c r="I181" i="2" s="1"/>
  <c r="G181" i="2"/>
  <c r="F184" i="2"/>
  <c r="T169" i="2"/>
  <c r="AM169" i="2"/>
  <c r="AI169" i="2" s="1"/>
  <c r="AU169" i="2"/>
  <c r="V169" i="2"/>
  <c r="W169" i="2" s="1"/>
  <c r="R169" i="2"/>
  <c r="AR169" i="2"/>
  <c r="T256" i="2"/>
  <c r="AM256" i="2"/>
  <c r="AI256" i="2" s="1"/>
  <c r="T160" i="2"/>
  <c r="R160" i="2"/>
  <c r="AU160" i="2"/>
  <c r="AV158" i="2" s="1"/>
  <c r="AR160" i="2"/>
  <c r="AS158" i="2" s="1"/>
  <c r="V160" i="2"/>
  <c r="AM160" i="2"/>
  <c r="E215" i="2"/>
  <c r="E224" i="2"/>
  <c r="E269" i="2"/>
  <c r="E109" i="2"/>
  <c r="E117" i="2"/>
  <c r="E36" i="2"/>
  <c r="E389" i="2"/>
  <c r="E72" i="2"/>
  <c r="E311" i="2"/>
  <c r="E326" i="2"/>
  <c r="E251" i="2"/>
  <c r="E194" i="2"/>
  <c r="E296" i="2"/>
  <c r="E236" i="2"/>
  <c r="E134" i="2"/>
  <c r="E164" i="2"/>
  <c r="E358" i="2"/>
  <c r="E176" i="2"/>
  <c r="E90" i="2"/>
  <c r="E62" i="2"/>
  <c r="E404" i="2"/>
  <c r="E147" i="2"/>
  <c r="E281" i="2"/>
  <c r="E373" i="2"/>
  <c r="E341" i="2"/>
  <c r="I6" i="739" a="1"/>
  <c r="H6" i="739" a="1"/>
  <c r="I6" i="739" l="1"/>
  <c r="H6" i="739"/>
  <c r="Z160" i="2"/>
  <c r="AB160" i="2" s="1"/>
  <c r="AO160" i="2" s="1"/>
  <c r="AX160" i="2" s="1"/>
  <c r="AA160" i="2"/>
  <c r="AN160" i="2" s="1"/>
  <c r="AW160" i="2" s="1"/>
  <c r="AL160" i="2"/>
  <c r="Z126" i="2"/>
  <c r="AA126" i="2"/>
  <c r="AN126" i="2" s="1"/>
  <c r="AW126" i="2" s="1"/>
  <c r="AB126" i="2"/>
  <c r="AO126" i="2" s="1"/>
  <c r="AX126" i="2" s="1"/>
  <c r="AL126" i="2"/>
  <c r="AI126" i="2"/>
  <c r="AX41" i="2"/>
  <c r="Z104" i="2"/>
  <c r="AB104" i="2" s="1"/>
  <c r="AA104" i="2"/>
  <c r="AN104" i="2" s="1"/>
  <c r="AW104" i="2" s="1"/>
  <c r="AI104" i="2"/>
  <c r="V212" i="2"/>
  <c r="AR212" i="2"/>
  <c r="AS212" i="2" s="1"/>
  <c r="AU212" i="2"/>
  <c r="AV212" i="2" s="1"/>
  <c r="R212" i="2"/>
  <c r="A341" i="2"/>
  <c r="D342" i="2"/>
  <c r="B341" i="2"/>
  <c r="AR260" i="2"/>
  <c r="R260" i="2"/>
  <c r="V260" i="2"/>
  <c r="W260" i="2" s="1"/>
  <c r="AU260" i="2"/>
  <c r="W102" i="2"/>
  <c r="X101" i="2" s="1"/>
  <c r="D374" i="2"/>
  <c r="A373" i="2"/>
  <c r="B373" i="2"/>
  <c r="AO120" i="2"/>
  <c r="AX120" i="2" s="1"/>
  <c r="I142" i="2"/>
  <c r="T167" i="2"/>
  <c r="AM167" i="2"/>
  <c r="D52" i="715"/>
  <c r="H51" i="2"/>
  <c r="G51" i="2"/>
  <c r="AO174" i="2"/>
  <c r="AX174" i="2" s="1"/>
  <c r="AL138" i="2"/>
  <c r="AA138" i="2"/>
  <c r="AN138" i="2" s="1"/>
  <c r="AW138" i="2" s="1"/>
  <c r="Z138" i="2"/>
  <c r="AB138" i="2" s="1"/>
  <c r="AO138" i="2" s="1"/>
  <c r="AX138" i="2" s="1"/>
  <c r="W138" i="2"/>
  <c r="X137" i="2" s="1"/>
  <c r="AI138" i="2"/>
  <c r="B7" i="729"/>
  <c r="B25" i="729"/>
  <c r="F155" i="2"/>
  <c r="K152" i="2"/>
  <c r="G152" i="2"/>
  <c r="H152" i="2"/>
  <c r="I152" i="2" s="1"/>
  <c r="H261" i="2"/>
  <c r="I261" i="2" s="1"/>
  <c r="G261" i="2"/>
  <c r="K261" i="2"/>
  <c r="U78" i="2"/>
  <c r="V78" i="2" s="1"/>
  <c r="T78" i="2"/>
  <c r="AM78" i="2"/>
  <c r="W85" i="2"/>
  <c r="X83" i="2" s="1"/>
  <c r="A281" i="2"/>
  <c r="D282" i="2"/>
  <c r="B281" i="2"/>
  <c r="A147" i="2"/>
  <c r="C147" i="2"/>
  <c r="B147" i="2"/>
  <c r="D148" i="2"/>
  <c r="W126" i="2"/>
  <c r="AO354" i="2"/>
  <c r="AX354" i="2" s="1"/>
  <c r="T73" i="2"/>
  <c r="AM73" i="2"/>
  <c r="H182" i="2"/>
  <c r="F185" i="2"/>
  <c r="G182" i="2"/>
  <c r="U80" i="2"/>
  <c r="V80" i="2" s="1"/>
  <c r="AM80" i="2"/>
  <c r="AI80" i="2" s="1"/>
  <c r="Q39" i="702"/>
  <c r="C39" i="702"/>
  <c r="AO207" i="2"/>
  <c r="AX207" i="2" s="1"/>
  <c r="A404" i="2"/>
  <c r="D405" i="2"/>
  <c r="B404" i="2"/>
  <c r="A62" i="2"/>
  <c r="B62" i="2"/>
  <c r="C62" i="2"/>
  <c r="D63" i="2"/>
  <c r="Y33" i="705"/>
  <c r="AJ173" i="2"/>
  <c r="AU62" i="2"/>
  <c r="R62" i="2"/>
  <c r="V62" i="2"/>
  <c r="AR62" i="2"/>
  <c r="T371" i="2"/>
  <c r="AM371" i="2"/>
  <c r="V371" i="2"/>
  <c r="AU371" i="2"/>
  <c r="AR371" i="2"/>
  <c r="R371" i="2"/>
  <c r="B7" i="715"/>
  <c r="B25" i="715"/>
  <c r="AR225" i="2"/>
  <c r="AS224" i="2" s="1"/>
  <c r="V225" i="2"/>
  <c r="W225" i="2" s="1"/>
  <c r="R225" i="2"/>
  <c r="AU225" i="2"/>
  <c r="R258" i="2"/>
  <c r="AR258" i="2"/>
  <c r="AU258" i="2"/>
  <c r="V258" i="2"/>
  <c r="W258" i="2" s="1"/>
  <c r="Z235" i="2"/>
  <c r="AB235" i="2"/>
  <c r="AL235" i="2"/>
  <c r="AA235" i="2"/>
  <c r="AN235" i="2" s="1"/>
  <c r="AW235" i="2" s="1"/>
  <c r="D91" i="2"/>
  <c r="A90" i="2"/>
  <c r="B90" i="2"/>
  <c r="C90" i="2"/>
  <c r="H108" i="2"/>
  <c r="I108" i="2" s="1"/>
  <c r="F111" i="2"/>
  <c r="G108" i="2"/>
  <c r="K108" i="2"/>
  <c r="A108" i="2"/>
  <c r="B108" i="2"/>
  <c r="C108" i="2"/>
  <c r="A176" i="2"/>
  <c r="D177" i="2"/>
  <c r="B176" i="2"/>
  <c r="C176" i="2"/>
  <c r="F79" i="2"/>
  <c r="K76" i="2"/>
  <c r="H76" i="2"/>
  <c r="I76" i="2" s="1"/>
  <c r="G76" i="2"/>
  <c r="AA383" i="2"/>
  <c r="AN383" i="2" s="1"/>
  <c r="AW383" i="2" s="1"/>
  <c r="AI383" i="2"/>
  <c r="W70" i="2"/>
  <c r="X68" i="2" s="1"/>
  <c r="W214" i="2"/>
  <c r="T281" i="2"/>
  <c r="AM281" i="2"/>
  <c r="AU281" i="2"/>
  <c r="AR281" i="2"/>
  <c r="R281" i="2"/>
  <c r="V281" i="2"/>
  <c r="W281" i="2" s="1"/>
  <c r="W213" i="2"/>
  <c r="AA398" i="2"/>
  <c r="AN398" i="2" s="1"/>
  <c r="AW398" i="2" s="1"/>
  <c r="AI398" i="2"/>
  <c r="AJ398" i="2" s="1"/>
  <c r="AL398" i="2" s="1"/>
  <c r="I42" i="2"/>
  <c r="AU42" i="2"/>
  <c r="Z280" i="2"/>
  <c r="AB280" i="2" s="1"/>
  <c r="AO280" i="2" s="1"/>
  <c r="AX280" i="2" s="1"/>
  <c r="AA280" i="2"/>
  <c r="AN280" i="2" s="1"/>
  <c r="AW280" i="2" s="1"/>
  <c r="AL280" i="2"/>
  <c r="D359" i="2"/>
  <c r="A358" i="2"/>
  <c r="B358" i="2"/>
  <c r="Z100" i="2"/>
  <c r="AB100" i="2" s="1"/>
  <c r="AO100" i="2" s="1"/>
  <c r="AX100" i="2" s="1"/>
  <c r="AA100" i="2"/>
  <c r="AN100" i="2" s="1"/>
  <c r="AW100" i="2" s="1"/>
  <c r="AL100" i="2"/>
  <c r="AO249" i="2"/>
  <c r="AX249" i="2" s="1"/>
  <c r="I105" i="2"/>
  <c r="B7" i="731"/>
  <c r="B25" i="731"/>
  <c r="T110" i="2"/>
  <c r="AM110" i="2"/>
  <c r="AR216" i="2"/>
  <c r="V216" i="2"/>
  <c r="R216" i="2"/>
  <c r="AU216" i="2"/>
  <c r="AO233" i="2"/>
  <c r="AX233" i="2" s="1"/>
  <c r="H94" i="2"/>
  <c r="G94" i="2"/>
  <c r="F97" i="2"/>
  <c r="I48" i="2"/>
  <c r="AU48" i="2"/>
  <c r="AI216" i="2"/>
  <c r="V223" i="2"/>
  <c r="W223" i="2" s="1"/>
  <c r="AR223" i="2"/>
  <c r="R223" i="2"/>
  <c r="AU223" i="2"/>
  <c r="AO37" i="2"/>
  <c r="AX37" i="2" s="1"/>
  <c r="X161" i="2"/>
  <c r="T386" i="2"/>
  <c r="AM386" i="2"/>
  <c r="R386" i="2"/>
  <c r="AR386" i="2"/>
  <c r="V386" i="2"/>
  <c r="AU386" i="2"/>
  <c r="D165" i="2"/>
  <c r="B164" i="2"/>
  <c r="C164" i="2"/>
  <c r="A164" i="2"/>
  <c r="AO103" i="2"/>
  <c r="AX103" i="2" s="1"/>
  <c r="Z171" i="2"/>
  <c r="AB171" i="2" s="1"/>
  <c r="AO171" i="2" s="1"/>
  <c r="AX171" i="2" s="1"/>
  <c r="AA171" i="2"/>
  <c r="AN171" i="2" s="1"/>
  <c r="AW171" i="2" s="1"/>
  <c r="AL171" i="2"/>
  <c r="AN244" i="2"/>
  <c r="AW244" i="2" s="1"/>
  <c r="AI102" i="2"/>
  <c r="AJ101" i="2" s="1"/>
  <c r="AL101" i="2" s="1"/>
  <c r="AO101" i="2" s="1"/>
  <c r="AX101" i="2" s="1"/>
  <c r="V125" i="2"/>
  <c r="AR125" i="2"/>
  <c r="AU125" i="2"/>
  <c r="AV125" i="2" s="1"/>
  <c r="G245" i="2"/>
  <c r="K245" i="2"/>
  <c r="H245" i="2"/>
  <c r="I245" i="2" s="1"/>
  <c r="P39" i="702"/>
  <c r="J39" i="702"/>
  <c r="E7" i="474"/>
  <c r="AA39" i="702"/>
  <c r="Y38" i="932"/>
  <c r="T151" i="2"/>
  <c r="AM151" i="2"/>
  <c r="AN310" i="2"/>
  <c r="AW310" i="2" s="1"/>
  <c r="K39" i="702"/>
  <c r="Z400" i="2"/>
  <c r="AB400" i="2" s="1"/>
  <c r="AO400" i="2" s="1"/>
  <c r="AX400" i="2" s="1"/>
  <c r="AA400" i="2"/>
  <c r="AN400" i="2" s="1"/>
  <c r="AW400" i="2" s="1"/>
  <c r="AL400" i="2"/>
  <c r="I45" i="2"/>
  <c r="AU45" i="2"/>
  <c r="AA164" i="2"/>
  <c r="AN164" i="2" s="1"/>
  <c r="AW164" i="2" s="1"/>
  <c r="AB164" i="2"/>
  <c r="Z164" i="2"/>
  <c r="AI59" i="2"/>
  <c r="AJ98" i="2"/>
  <c r="X383" i="2"/>
  <c r="Z383" i="2" s="1"/>
  <c r="AB383" i="2" s="1"/>
  <c r="AA70" i="2"/>
  <c r="AN70" i="2" s="1"/>
  <c r="AW70" i="2" s="1"/>
  <c r="AB70" i="2"/>
  <c r="AL70" i="2"/>
  <c r="Z70" i="2"/>
  <c r="T62" i="2"/>
  <c r="AM62" i="2"/>
  <c r="AI62" i="2" s="1"/>
  <c r="Z102" i="2"/>
  <c r="AB102" i="2"/>
  <c r="AO102" i="2" s="1"/>
  <c r="AX102" i="2" s="1"/>
  <c r="AA102" i="2"/>
  <c r="AN102" i="2" s="1"/>
  <c r="AW102" i="2" s="1"/>
  <c r="AL102" i="2"/>
  <c r="A134" i="2"/>
  <c r="B134" i="2"/>
  <c r="C134" i="2"/>
  <c r="D135" i="2"/>
  <c r="B7" i="730"/>
  <c r="B25" i="730"/>
  <c r="W235" i="2"/>
  <c r="X233" i="2" s="1"/>
  <c r="AU262" i="2"/>
  <c r="V262" i="2"/>
  <c r="AR262" i="2"/>
  <c r="R262" i="2"/>
  <c r="AR80" i="2"/>
  <c r="AU80" i="2"/>
  <c r="H184" i="2"/>
  <c r="I184" i="2" s="1"/>
  <c r="G184" i="2"/>
  <c r="F187" i="2"/>
  <c r="AI160" i="2"/>
  <c r="AJ158" i="2" s="1"/>
  <c r="AL158" i="2" s="1"/>
  <c r="AO158" i="2" s="1"/>
  <c r="AX158" i="2" s="1"/>
  <c r="AO325" i="2"/>
  <c r="AX325" i="2" s="1"/>
  <c r="V140" i="2"/>
  <c r="W140" i="2" s="1"/>
  <c r="AR140" i="2"/>
  <c r="R140" i="2"/>
  <c r="AU140" i="2"/>
  <c r="Z113" i="2"/>
  <c r="AA113" i="2"/>
  <c r="AN113" i="2" s="1"/>
  <c r="AW113" i="2" s="1"/>
  <c r="AL113" i="2"/>
  <c r="AB113" i="2"/>
  <c r="AO113" i="2" s="1"/>
  <c r="AX113" i="2" s="1"/>
  <c r="AI113" i="2"/>
  <c r="AJ113" i="2" s="1"/>
  <c r="W177" i="2"/>
  <c r="AA177" i="2"/>
  <c r="AN177" i="2" s="1"/>
  <c r="AW177" i="2" s="1"/>
  <c r="AA163" i="2"/>
  <c r="AN163" i="2" s="1"/>
  <c r="AW163" i="2" s="1"/>
  <c r="AL163" i="2"/>
  <c r="Z163" i="2"/>
  <c r="AB163" i="2" s="1"/>
  <c r="AO163" i="2" s="1"/>
  <c r="AX163" i="2" s="1"/>
  <c r="AU178" i="2"/>
  <c r="V178" i="2"/>
  <c r="R178" i="2"/>
  <c r="AR178" i="2"/>
  <c r="AU59" i="2"/>
  <c r="R59" i="2"/>
  <c r="AR59" i="2"/>
  <c r="V59" i="2"/>
  <c r="W59" i="2" s="1"/>
  <c r="C236" i="2"/>
  <c r="A236" i="2"/>
  <c r="B236" i="2"/>
  <c r="D237" i="2"/>
  <c r="I49" i="2"/>
  <c r="AU49" i="2"/>
  <c r="Z107" i="2"/>
  <c r="AA107" i="2"/>
  <c r="AN107" i="2" s="1"/>
  <c r="AW107" i="2" s="1"/>
  <c r="AB107" i="2"/>
  <c r="W280" i="2"/>
  <c r="X278" i="2" s="1"/>
  <c r="Z278" i="2" s="1"/>
  <c r="AB278" i="2" s="1"/>
  <c r="I347" i="2"/>
  <c r="A296" i="2"/>
  <c r="D297" i="2"/>
  <c r="B296" i="2"/>
  <c r="H183" i="2"/>
  <c r="G183" i="2"/>
  <c r="F186" i="2"/>
  <c r="Z205" i="2"/>
  <c r="AA205" i="2"/>
  <c r="AN205" i="2" s="1"/>
  <c r="AW205" i="2" s="1"/>
  <c r="AB205" i="2"/>
  <c r="AO205" i="2" s="1"/>
  <c r="AX205" i="2" s="1"/>
  <c r="AL205" i="2"/>
  <c r="Z127" i="2"/>
  <c r="AB127" i="2" s="1"/>
  <c r="AO127" i="2" s="1"/>
  <c r="AX127" i="2" s="1"/>
  <c r="AI127" i="2"/>
  <c r="AA127" i="2"/>
  <c r="AN127" i="2" s="1"/>
  <c r="AW127" i="2" s="1"/>
  <c r="AL127" i="2"/>
  <c r="AI107" i="2"/>
  <c r="W197" i="2"/>
  <c r="T58" i="2"/>
  <c r="AM58" i="2"/>
  <c r="B7" i="840"/>
  <c r="B25" i="840"/>
  <c r="R110" i="2"/>
  <c r="V110" i="2"/>
  <c r="AR110" i="2"/>
  <c r="AU110" i="2"/>
  <c r="AR342" i="2"/>
  <c r="AU342" i="2"/>
  <c r="K342" i="2"/>
  <c r="J343" i="2"/>
  <c r="I198" i="2"/>
  <c r="AX44" i="2"/>
  <c r="K387" i="2"/>
  <c r="J388" i="2"/>
  <c r="Z295" i="2"/>
  <c r="AA295" i="2"/>
  <c r="AN295" i="2" s="1"/>
  <c r="AW295" i="2" s="1"/>
  <c r="AB295" i="2"/>
  <c r="AL295" i="2"/>
  <c r="H93" i="2"/>
  <c r="G93" i="2"/>
  <c r="F96" i="2"/>
  <c r="I73" i="2"/>
  <c r="W171" i="2"/>
  <c r="AI385" i="2"/>
  <c r="X39" i="702"/>
  <c r="U39" i="702"/>
  <c r="V77" i="2"/>
  <c r="G154" i="2"/>
  <c r="K154" i="2"/>
  <c r="H154" i="2"/>
  <c r="I154" i="2" s="1"/>
  <c r="F157" i="2"/>
  <c r="W39" i="702"/>
  <c r="Z209" i="2"/>
  <c r="AA209" i="2"/>
  <c r="AN209" i="2" s="1"/>
  <c r="AW209" i="2" s="1"/>
  <c r="AB209" i="2"/>
  <c r="AL209" i="2"/>
  <c r="T149" i="2"/>
  <c r="AM149" i="2"/>
  <c r="AU78" i="2"/>
  <c r="AR78" i="2"/>
  <c r="R78" i="2"/>
  <c r="AL85" i="2"/>
  <c r="Z85" i="2"/>
  <c r="AB85" i="2" s="1"/>
  <c r="AO85" i="2" s="1"/>
  <c r="AX85" i="2" s="1"/>
  <c r="AA85" i="2"/>
  <c r="AN85" i="2" s="1"/>
  <c r="AW85" i="2" s="1"/>
  <c r="AI85" i="2"/>
  <c r="Z214" i="2"/>
  <c r="AA214" i="2"/>
  <c r="AN214" i="2" s="1"/>
  <c r="AW214" i="2" s="1"/>
  <c r="AB214" i="2"/>
  <c r="AL214" i="2"/>
  <c r="A194" i="2"/>
  <c r="B194" i="2"/>
  <c r="C194" i="2"/>
  <c r="D195" i="2"/>
  <c r="E17" i="351"/>
  <c r="AR222" i="2"/>
  <c r="AS221" i="2" s="1"/>
  <c r="V222" i="2"/>
  <c r="W222" i="2" s="1"/>
  <c r="R222" i="2"/>
  <c r="AU222" i="2"/>
  <c r="AV221" i="2" s="1"/>
  <c r="AN103" i="2"/>
  <c r="AW103" i="2" s="1"/>
  <c r="W160" i="2"/>
  <c r="X158" i="2" s="1"/>
  <c r="AB169" i="2"/>
  <c r="AO169" i="2" s="1"/>
  <c r="AX169" i="2" s="1"/>
  <c r="AL169" i="2"/>
  <c r="Z169" i="2"/>
  <c r="AA169" i="2"/>
  <c r="AN169" i="2" s="1"/>
  <c r="AW169" i="2" s="1"/>
  <c r="R181" i="2"/>
  <c r="AR181" i="2"/>
  <c r="AU181" i="2"/>
  <c r="V181" i="2"/>
  <c r="W181" i="2" s="1"/>
  <c r="AI163" i="2"/>
  <c r="AJ161" i="2" s="1"/>
  <c r="AL161" i="2" s="1"/>
  <c r="AO161" i="2" s="1"/>
  <c r="AX161" i="2" s="1"/>
  <c r="K312" i="2"/>
  <c r="J313" i="2"/>
  <c r="AI211" i="2"/>
  <c r="Z193" i="2"/>
  <c r="AA193" i="2"/>
  <c r="AN193" i="2" s="1"/>
  <c r="AW193" i="2" s="1"/>
  <c r="AB193" i="2"/>
  <c r="AL193" i="2"/>
  <c r="AJ248" i="2"/>
  <c r="AI280" i="2"/>
  <c r="AJ278" i="2" s="1"/>
  <c r="AL278" i="2" s="1"/>
  <c r="R146" i="2"/>
  <c r="V146" i="2"/>
  <c r="AR146" i="2"/>
  <c r="AS146" i="2" s="1"/>
  <c r="AU146" i="2"/>
  <c r="AV146" i="2" s="1"/>
  <c r="A251" i="2"/>
  <c r="B251" i="2"/>
  <c r="D252" i="2"/>
  <c r="C251" i="2"/>
  <c r="B7" i="778"/>
  <c r="B25" i="778"/>
  <c r="R88" i="2"/>
  <c r="AU88" i="2"/>
  <c r="AV86" i="2" s="1"/>
  <c r="AR88" i="2"/>
  <c r="AS86" i="2" s="1"/>
  <c r="V88" i="2"/>
  <c r="W88" i="2" s="1"/>
  <c r="X86" i="2" s="1"/>
  <c r="W72" i="2"/>
  <c r="T341" i="2"/>
  <c r="AM341" i="2"/>
  <c r="R341" i="2"/>
  <c r="V341" i="2"/>
  <c r="AR341" i="2"/>
  <c r="AU341" i="2"/>
  <c r="H201" i="2"/>
  <c r="I201" i="2" s="1"/>
  <c r="G201" i="2"/>
  <c r="K201" i="2"/>
  <c r="V91" i="2"/>
  <c r="R91" i="2"/>
  <c r="AR91" i="2"/>
  <c r="AU91" i="2"/>
  <c r="W44" i="2"/>
  <c r="AA44" i="2"/>
  <c r="AN44" i="2" s="1"/>
  <c r="AW44" i="2" s="1"/>
  <c r="K327" i="2"/>
  <c r="J328" i="2"/>
  <c r="AU122" i="2"/>
  <c r="AV122" i="2" s="1"/>
  <c r="V122" i="2"/>
  <c r="AR122" i="2"/>
  <c r="W145" i="2"/>
  <c r="X143" i="2" s="1"/>
  <c r="H229" i="2"/>
  <c r="G229" i="2"/>
  <c r="F232" i="2"/>
  <c r="AO244" i="2"/>
  <c r="AX244" i="2" s="1"/>
  <c r="K7" i="474"/>
  <c r="I39" i="702"/>
  <c r="G39" i="702"/>
  <c r="T39" i="702"/>
  <c r="AB243" i="2"/>
  <c r="AO243" i="2" s="1"/>
  <c r="AX243" i="2" s="1"/>
  <c r="Z243" i="2"/>
  <c r="AA243" i="2"/>
  <c r="AN243" i="2" s="1"/>
  <c r="AW243" i="2" s="1"/>
  <c r="AL243" i="2"/>
  <c r="T242" i="2"/>
  <c r="AM242" i="2"/>
  <c r="H7" i="474"/>
  <c r="Z38" i="932"/>
  <c r="AB255" i="2"/>
  <c r="AL255" i="2"/>
  <c r="Z255" i="2"/>
  <c r="AA255" i="2"/>
  <c r="AN255" i="2" s="1"/>
  <c r="AW255" i="2" s="1"/>
  <c r="AA196" i="2"/>
  <c r="AN196" i="2" s="1"/>
  <c r="AW196" i="2" s="1"/>
  <c r="AB196" i="2"/>
  <c r="AL196" i="2"/>
  <c r="Z196" i="2"/>
  <c r="G95" i="2"/>
  <c r="H95" i="2"/>
  <c r="R39" i="702"/>
  <c r="AR217" i="2"/>
  <c r="V217" i="2"/>
  <c r="R217" i="2"/>
  <c r="AU217" i="2"/>
  <c r="T262" i="2"/>
  <c r="AM262" i="2"/>
  <c r="AI262" i="2" s="1"/>
  <c r="Z213" i="2"/>
  <c r="AA213" i="2"/>
  <c r="AN213" i="2" s="1"/>
  <c r="AW213" i="2" s="1"/>
  <c r="AB213" i="2"/>
  <c r="AL213" i="2"/>
  <c r="AI213" i="2"/>
  <c r="V149" i="2"/>
  <c r="AU149" i="2"/>
  <c r="R149" i="2"/>
  <c r="AR149" i="2"/>
  <c r="AI146" i="2"/>
  <c r="AJ146" i="2" s="1"/>
  <c r="V179" i="2"/>
  <c r="W179" i="2" s="1"/>
  <c r="AR179" i="2"/>
  <c r="AS179" i="2" s="1"/>
  <c r="AU179" i="2"/>
  <c r="AV179" i="2" s="1"/>
  <c r="R179" i="2"/>
  <c r="T153" i="2"/>
  <c r="AM153" i="2"/>
  <c r="A326" i="2"/>
  <c r="D327" i="2"/>
  <c r="B326" i="2"/>
  <c r="AI164" i="2"/>
  <c r="AJ164" i="2" s="1"/>
  <c r="AL164" i="2" s="1"/>
  <c r="T311" i="2"/>
  <c r="AU311" i="2"/>
  <c r="AM311" i="2"/>
  <c r="AR311" i="2"/>
  <c r="R311" i="2"/>
  <c r="V311" i="2"/>
  <c r="W311" i="2" s="1"/>
  <c r="AI172" i="2"/>
  <c r="G170" i="2"/>
  <c r="H170" i="2"/>
  <c r="I170" i="2" s="1"/>
  <c r="K170" i="2"/>
  <c r="AL211" i="2"/>
  <c r="Z211" i="2"/>
  <c r="AB211" i="2" s="1"/>
  <c r="AO211" i="2" s="1"/>
  <c r="AX211" i="2" s="1"/>
  <c r="AA211" i="2"/>
  <c r="AN211" i="2" s="1"/>
  <c r="AW211" i="2" s="1"/>
  <c r="AI55" i="2"/>
  <c r="AJ53" i="2" s="1"/>
  <c r="AL53" i="2" s="1"/>
  <c r="AO53" i="2" s="1"/>
  <c r="AX53" i="2" s="1"/>
  <c r="G350" i="2"/>
  <c r="H350" i="2"/>
  <c r="I350" i="2" s="1"/>
  <c r="R180" i="2"/>
  <c r="AR180" i="2"/>
  <c r="AU180" i="2"/>
  <c r="V180" i="2"/>
  <c r="W180" i="2" s="1"/>
  <c r="V39" i="2"/>
  <c r="W39" i="2" s="1"/>
  <c r="R39" i="2"/>
  <c r="AR39" i="2"/>
  <c r="A311" i="2"/>
  <c r="D312" i="2"/>
  <c r="B311" i="2"/>
  <c r="V58" i="2"/>
  <c r="W58" i="2" s="1"/>
  <c r="AU58" i="2"/>
  <c r="R58" i="2"/>
  <c r="AR58" i="2"/>
  <c r="AL139" i="2"/>
  <c r="AA139" i="2"/>
  <c r="AN139" i="2" s="1"/>
  <c r="AW139" i="2" s="1"/>
  <c r="Z139" i="2"/>
  <c r="AB139" i="2" s="1"/>
  <c r="AO139" i="2" s="1"/>
  <c r="AX139" i="2" s="1"/>
  <c r="AI139" i="2"/>
  <c r="B17" i="881"/>
  <c r="B41" i="881"/>
  <c r="B59" i="881"/>
  <c r="AL124" i="2"/>
  <c r="Z124" i="2"/>
  <c r="AB124" i="2" s="1"/>
  <c r="AO124" i="2" s="1"/>
  <c r="AX124" i="2" s="1"/>
  <c r="AA124" i="2"/>
  <c r="AN124" i="2" s="1"/>
  <c r="AW124" i="2" s="1"/>
  <c r="AI124" i="2"/>
  <c r="V75" i="2"/>
  <c r="AR75" i="2"/>
  <c r="R75" i="2"/>
  <c r="AU75" i="2"/>
  <c r="V55" i="2"/>
  <c r="AU55" i="2"/>
  <c r="AV53" i="2" s="1"/>
  <c r="R55" i="2"/>
  <c r="AR55" i="2"/>
  <c r="AS53" i="2" s="1"/>
  <c r="T198" i="2"/>
  <c r="AM198" i="2"/>
  <c r="AA208" i="2"/>
  <c r="AN208" i="2" s="1"/>
  <c r="AW208" i="2" s="1"/>
  <c r="AL208" i="2"/>
  <c r="Z208" i="2"/>
  <c r="AB208" i="2" s="1"/>
  <c r="AO208" i="2" s="1"/>
  <c r="AX208" i="2" s="1"/>
  <c r="T326" i="2"/>
  <c r="AM326" i="2"/>
  <c r="AU326" i="2"/>
  <c r="AR326" i="2"/>
  <c r="R326" i="2"/>
  <c r="V326" i="2"/>
  <c r="V40" i="2"/>
  <c r="R40" i="2"/>
  <c r="AR40" i="2"/>
  <c r="AI214" i="2"/>
  <c r="V90" i="2"/>
  <c r="AR90" i="2"/>
  <c r="R90" i="2"/>
  <c r="AU90" i="2"/>
  <c r="H228" i="2"/>
  <c r="G228" i="2"/>
  <c r="F231" i="2"/>
  <c r="K357" i="2"/>
  <c r="J358" i="2"/>
  <c r="D73" i="2"/>
  <c r="A72" i="2"/>
  <c r="B72" i="2"/>
  <c r="C72" i="2"/>
  <c r="AN256" i="2"/>
  <c r="AW256" i="2" s="1"/>
  <c r="X33" i="705"/>
  <c r="Z33" i="705"/>
  <c r="AA33" i="705"/>
  <c r="Z150" i="2"/>
  <c r="AA150" i="2"/>
  <c r="AN150" i="2" s="1"/>
  <c r="AW150" i="2" s="1"/>
  <c r="AB150" i="2"/>
  <c r="AL150" i="2"/>
  <c r="AU77" i="2"/>
  <c r="AR77" i="2"/>
  <c r="AU242" i="2"/>
  <c r="AV242" i="2" s="1"/>
  <c r="R242" i="2"/>
  <c r="V242" i="2"/>
  <c r="AR242" i="2"/>
  <c r="AS242" i="2" s="1"/>
  <c r="L39" i="702"/>
  <c r="N39" i="702"/>
  <c r="AA38" i="932"/>
  <c r="T212" i="2"/>
  <c r="AM212" i="2"/>
  <c r="AI212" i="2" s="1"/>
  <c r="AR151" i="2"/>
  <c r="V151" i="2"/>
  <c r="AU151" i="2"/>
  <c r="R151" i="2"/>
  <c r="AA195" i="2"/>
  <c r="AN195" i="2" s="1"/>
  <c r="AW195" i="2" s="1"/>
  <c r="AL195" i="2"/>
  <c r="Z195" i="2"/>
  <c r="AB195" i="2" s="1"/>
  <c r="AO195" i="2" s="1"/>
  <c r="AX195" i="2" s="1"/>
  <c r="Z39" i="702"/>
  <c r="V172" i="2"/>
  <c r="AU172" i="2"/>
  <c r="R172" i="2"/>
  <c r="AR172" i="2"/>
  <c r="K282" i="2"/>
  <c r="J283" i="2"/>
  <c r="AB123" i="2"/>
  <c r="AO123" i="2" s="1"/>
  <c r="AX123" i="2" s="1"/>
  <c r="AL123" i="2"/>
  <c r="Z123" i="2"/>
  <c r="AA123" i="2"/>
  <c r="AN123" i="2" s="1"/>
  <c r="AW123" i="2" s="1"/>
  <c r="W123" i="2"/>
  <c r="AI123" i="2"/>
  <c r="AJ209" i="2"/>
  <c r="AC38" i="932"/>
  <c r="Z355" i="2"/>
  <c r="AA355" i="2"/>
  <c r="AN355" i="2" s="1"/>
  <c r="AW355" i="2" s="1"/>
  <c r="AB355" i="2"/>
  <c r="AO355" i="2" s="1"/>
  <c r="AX355" i="2" s="1"/>
  <c r="AL355" i="2"/>
  <c r="G65" i="2"/>
  <c r="H65" i="2"/>
  <c r="I65" i="2" s="1"/>
  <c r="K65" i="2"/>
  <c r="W164" i="2"/>
  <c r="X164" i="2" s="1"/>
  <c r="Z259" i="2"/>
  <c r="AA259" i="2"/>
  <c r="AN259" i="2" s="1"/>
  <c r="AW259" i="2" s="1"/>
  <c r="AB259" i="2"/>
  <c r="AO259" i="2" s="1"/>
  <c r="AX259" i="2" s="1"/>
  <c r="AL259" i="2"/>
  <c r="I46" i="2"/>
  <c r="AU46" i="2"/>
  <c r="K372" i="2"/>
  <c r="J373" i="2"/>
  <c r="I167" i="2"/>
  <c r="W211" i="2"/>
  <c r="AI70" i="2"/>
  <c r="AJ68" i="2" s="1"/>
  <c r="V247" i="2"/>
  <c r="AU247" i="2"/>
  <c r="AR247" i="2"/>
  <c r="R247" i="2"/>
  <c r="AI259" i="2"/>
  <c r="X338" i="2"/>
  <c r="Z338" i="2" s="1"/>
  <c r="AB338" i="2" s="1"/>
  <c r="Z197" i="2"/>
  <c r="AB197" i="2" s="1"/>
  <c r="AA197" i="2"/>
  <c r="AN197" i="2" s="1"/>
  <c r="AW197" i="2" s="1"/>
  <c r="A389" i="2"/>
  <c r="D390" i="2"/>
  <c r="B389" i="2"/>
  <c r="H61" i="2"/>
  <c r="G61" i="2"/>
  <c r="K61" i="2"/>
  <c r="F64" i="2"/>
  <c r="A61" i="2"/>
  <c r="B61" i="2"/>
  <c r="C61" i="2"/>
  <c r="T105" i="2"/>
  <c r="AM105" i="2"/>
  <c r="AI235" i="2"/>
  <c r="AJ233" i="2" s="1"/>
  <c r="B7" i="786"/>
  <c r="B25" i="786"/>
  <c r="Z250" i="2"/>
  <c r="AB250" i="2"/>
  <c r="AL250" i="2"/>
  <c r="AA250" i="2"/>
  <c r="AN250" i="2" s="1"/>
  <c r="AW250" i="2" s="1"/>
  <c r="T258" i="2"/>
  <c r="AM258" i="2"/>
  <c r="AI258" i="2" s="1"/>
  <c r="AL84" i="2"/>
  <c r="Z84" i="2"/>
  <c r="AA84" i="2"/>
  <c r="AN84" i="2" s="1"/>
  <c r="AW84" i="2" s="1"/>
  <c r="AB84" i="2"/>
  <c r="AO84" i="2" s="1"/>
  <c r="AX84" i="2" s="1"/>
  <c r="AI84" i="2"/>
  <c r="AJ83" i="2" s="1"/>
  <c r="Z72" i="2"/>
  <c r="AA72" i="2"/>
  <c r="AN72" i="2" s="1"/>
  <c r="AW72" i="2" s="1"/>
  <c r="AB72" i="2"/>
  <c r="AL72" i="2"/>
  <c r="AI72" i="2"/>
  <c r="K81" i="2"/>
  <c r="H81" i="2"/>
  <c r="I81" i="2" s="1"/>
  <c r="G81" i="2"/>
  <c r="AR176" i="2"/>
  <c r="V176" i="2"/>
  <c r="AU176" i="2"/>
  <c r="AV176" i="2" s="1"/>
  <c r="AA41" i="2"/>
  <c r="AN41" i="2" s="1"/>
  <c r="AW41" i="2" s="1"/>
  <c r="W41" i="2"/>
  <c r="AA385" i="2"/>
  <c r="AN385" i="2" s="1"/>
  <c r="AW385" i="2" s="1"/>
  <c r="Z385" i="2"/>
  <c r="AB385" i="2" s="1"/>
  <c r="AO385" i="2" s="1"/>
  <c r="AX385" i="2" s="1"/>
  <c r="AL385" i="2"/>
  <c r="T356" i="2"/>
  <c r="AM356" i="2"/>
  <c r="AR356" i="2"/>
  <c r="R356" i="2"/>
  <c r="V356" i="2"/>
  <c r="W356" i="2" s="1"/>
  <c r="AU356" i="2"/>
  <c r="AA145" i="2"/>
  <c r="AN145" i="2" s="1"/>
  <c r="AW145" i="2" s="1"/>
  <c r="AL145" i="2"/>
  <c r="Z145" i="2"/>
  <c r="AB145" i="2" s="1"/>
  <c r="AO145" i="2" s="1"/>
  <c r="AX145" i="2" s="1"/>
  <c r="V226" i="2"/>
  <c r="AR226" i="2"/>
  <c r="R226" i="2"/>
  <c r="AU226" i="2"/>
  <c r="AV224" i="2" s="1"/>
  <c r="AN166" i="2"/>
  <c r="AW166" i="2" s="1"/>
  <c r="W104" i="2"/>
  <c r="A36" i="2"/>
  <c r="B36" i="2"/>
  <c r="D37" i="2"/>
  <c r="C36" i="2"/>
  <c r="R257" i="2"/>
  <c r="AR257" i="2"/>
  <c r="AS257" i="2" s="1"/>
  <c r="V257" i="2"/>
  <c r="AU257" i="2"/>
  <c r="AV257" i="2" s="1"/>
  <c r="V39" i="702"/>
  <c r="F39" i="702"/>
  <c r="AV383" i="2"/>
  <c r="G215" i="2"/>
  <c r="H215" i="2"/>
  <c r="I215" i="2" s="1"/>
  <c r="K215" i="2"/>
  <c r="AJ239" i="2"/>
  <c r="AO308" i="2"/>
  <c r="AX308" i="2" s="1"/>
  <c r="W195" i="2"/>
  <c r="H348" i="2"/>
  <c r="G348" i="2"/>
  <c r="F351" i="2"/>
  <c r="T109" i="2"/>
  <c r="AM109" i="2"/>
  <c r="W400" i="2"/>
  <c r="X398" i="2" s="1"/>
  <c r="Z398" i="2" s="1"/>
  <c r="AB398" i="2" s="1"/>
  <c r="AO398" i="2" s="1"/>
  <c r="AX398" i="2" s="1"/>
  <c r="AR92" i="2"/>
  <c r="R92" i="2"/>
  <c r="V92" i="2"/>
  <c r="W92" i="2" s="1"/>
  <c r="AU92" i="2"/>
  <c r="R277" i="2"/>
  <c r="AU277" i="2"/>
  <c r="AR277" i="2"/>
  <c r="V277" i="2"/>
  <c r="W277" i="2" s="1"/>
  <c r="W224" i="2"/>
  <c r="AA224" i="2"/>
  <c r="AN224" i="2" s="1"/>
  <c r="AW224" i="2" s="1"/>
  <c r="AB148" i="2"/>
  <c r="AL148" i="2"/>
  <c r="Z148" i="2"/>
  <c r="AA148" i="2"/>
  <c r="AN148" i="2" s="1"/>
  <c r="AW148" i="2" s="1"/>
  <c r="R89" i="2"/>
  <c r="AR89" i="2"/>
  <c r="AS89" i="2" s="1"/>
  <c r="V89" i="2"/>
  <c r="W89" i="2" s="1"/>
  <c r="AU89" i="2"/>
  <c r="AV89" i="2" s="1"/>
  <c r="AO192" i="2"/>
  <c r="AX192" i="2" s="1"/>
  <c r="W230" i="2"/>
  <c r="B117" i="2"/>
  <c r="C117" i="2"/>
  <c r="D118" i="2"/>
  <c r="A117" i="2"/>
  <c r="W196" i="2"/>
  <c r="AX224" i="2"/>
  <c r="W148" i="2"/>
  <c r="I345" i="2"/>
  <c r="X203" i="2"/>
  <c r="AA106" i="2"/>
  <c r="AN106" i="2" s="1"/>
  <c r="AW106" i="2" s="1"/>
  <c r="Z106" i="2"/>
  <c r="AB106" i="2"/>
  <c r="AO106" i="2" s="1"/>
  <c r="AX106" i="2" s="1"/>
  <c r="AL106" i="2"/>
  <c r="W200" i="2"/>
  <c r="C17" i="351"/>
  <c r="AL230" i="2"/>
  <c r="Z230" i="2"/>
  <c r="AB230" i="2" s="1"/>
  <c r="AO230" i="2" s="1"/>
  <c r="AX230" i="2" s="1"/>
  <c r="AA230" i="2"/>
  <c r="AN230" i="2" s="1"/>
  <c r="AW230" i="2" s="1"/>
  <c r="AI230" i="2"/>
  <c r="C41" i="881"/>
  <c r="V199" i="2"/>
  <c r="AU199" i="2"/>
  <c r="R199" i="2"/>
  <c r="AR199" i="2"/>
  <c r="AL132" i="2"/>
  <c r="Z132" i="2"/>
  <c r="AB132" i="2" s="1"/>
  <c r="AO132" i="2" s="1"/>
  <c r="AX132" i="2" s="1"/>
  <c r="AA132" i="2"/>
  <c r="AN132" i="2" s="1"/>
  <c r="AW132" i="2" s="1"/>
  <c r="AI132" i="2"/>
  <c r="AJ131" i="2" s="1"/>
  <c r="H112" i="2"/>
  <c r="G112" i="2"/>
  <c r="K112" i="2"/>
  <c r="R276" i="2"/>
  <c r="AR276" i="2"/>
  <c r="AS275" i="2" s="1"/>
  <c r="V276" i="2"/>
  <c r="W276" i="2" s="1"/>
  <c r="X275" i="2" s="1"/>
  <c r="AU276" i="2"/>
  <c r="AV275" i="2" s="1"/>
  <c r="W239" i="2"/>
  <c r="X239" i="2" s="1"/>
  <c r="W141" i="2"/>
  <c r="B109" i="2"/>
  <c r="C109" i="2"/>
  <c r="D110" i="2"/>
  <c r="A109" i="2"/>
  <c r="W340" i="2"/>
  <c r="E25" i="715"/>
  <c r="H202" i="2"/>
  <c r="G202" i="2"/>
  <c r="K202" i="2"/>
  <c r="B269" i="2"/>
  <c r="C269" i="2"/>
  <c r="D270" i="2"/>
  <c r="A269" i="2"/>
  <c r="D225" i="2"/>
  <c r="A224" i="2"/>
  <c r="B224" i="2"/>
  <c r="C224" i="2"/>
  <c r="X131" i="2"/>
  <c r="AR109" i="2"/>
  <c r="V109" i="2"/>
  <c r="R109" i="2"/>
  <c r="AU109" i="2"/>
  <c r="K402" i="2"/>
  <c r="J403" i="2"/>
  <c r="Z239" i="2"/>
  <c r="AA239" i="2"/>
  <c r="AN239" i="2" s="1"/>
  <c r="AW239" i="2" s="1"/>
  <c r="AL239" i="2"/>
  <c r="AB239" i="2"/>
  <c r="K63" i="2"/>
  <c r="F66" i="2"/>
  <c r="H63" i="2"/>
  <c r="I63" i="2" s="1"/>
  <c r="G63" i="2"/>
  <c r="X254" i="2"/>
  <c r="H52" i="2"/>
  <c r="G52" i="2"/>
  <c r="V57" i="2"/>
  <c r="R57" i="2"/>
  <c r="AR57" i="2"/>
  <c r="AS56" i="2" s="1"/>
  <c r="AU57" i="2"/>
  <c r="AV56" i="2" s="1"/>
  <c r="AI340" i="2"/>
  <c r="AJ338" i="2" s="1"/>
  <c r="AL338" i="2" s="1"/>
  <c r="K297" i="2"/>
  <c r="J298" i="2"/>
  <c r="D25" i="715"/>
  <c r="T199" i="2"/>
  <c r="AM199" i="2"/>
  <c r="AI199" i="2" s="1"/>
  <c r="Z227" i="2"/>
  <c r="AA227" i="2"/>
  <c r="AN227" i="2" s="1"/>
  <c r="AW227" i="2" s="1"/>
  <c r="AL227" i="2"/>
  <c r="AB227" i="2"/>
  <c r="AO227" i="2" s="1"/>
  <c r="AX227" i="2" s="1"/>
  <c r="AI227" i="2"/>
  <c r="AS209" i="2"/>
  <c r="AI150" i="2"/>
  <c r="T401" i="2"/>
  <c r="AM401" i="2"/>
  <c r="R401" i="2"/>
  <c r="AR401" i="2"/>
  <c r="V401" i="2"/>
  <c r="W401" i="2" s="1"/>
  <c r="AU401" i="2"/>
  <c r="T60" i="2"/>
  <c r="AM60" i="2"/>
  <c r="AI60" i="2" s="1"/>
  <c r="Z254" i="2"/>
  <c r="AB254" i="2" s="1"/>
  <c r="AO254" i="2" s="1"/>
  <c r="AX254" i="2" s="1"/>
  <c r="AA254" i="2"/>
  <c r="AN254" i="2" s="1"/>
  <c r="AW254" i="2" s="1"/>
  <c r="AL254" i="2"/>
  <c r="AI254" i="2"/>
  <c r="AJ254" i="2" s="1"/>
  <c r="AV353" i="2"/>
  <c r="D216" i="2"/>
  <c r="A215" i="2"/>
  <c r="B215" i="2"/>
  <c r="C215" i="2"/>
  <c r="AN370" i="2"/>
  <c r="AW370" i="2" s="1"/>
  <c r="D17" i="351"/>
  <c r="T296" i="2"/>
  <c r="AM296" i="2"/>
  <c r="AI296" i="2" s="1"/>
  <c r="V296" i="2"/>
  <c r="W296" i="2" s="1"/>
  <c r="AR296" i="2"/>
  <c r="R296" i="2"/>
  <c r="AU296" i="2"/>
  <c r="AU153" i="2"/>
  <c r="AR153" i="2"/>
  <c r="V153" i="2"/>
  <c r="R153" i="2"/>
  <c r="W209" i="2"/>
  <c r="X209" i="2" s="1"/>
  <c r="AV254" i="2"/>
  <c r="W353" i="2"/>
  <c r="X353" i="2" s="1"/>
  <c r="Z353" i="2" s="1"/>
  <c r="AB246" i="2"/>
  <c r="Z246" i="2"/>
  <c r="AA246" i="2"/>
  <c r="AN246" i="2" s="1"/>
  <c r="AW246" i="2" s="1"/>
  <c r="AL246" i="2"/>
  <c r="AI190" i="2"/>
  <c r="AJ188" i="2" s="1"/>
  <c r="AL188" i="2" s="1"/>
  <c r="AO188" i="2" s="1"/>
  <c r="AX188" i="2" s="1"/>
  <c r="Z141" i="2"/>
  <c r="AB141" i="2" s="1"/>
  <c r="AO141" i="2" s="1"/>
  <c r="AX141" i="2" s="1"/>
  <c r="AA141" i="2"/>
  <c r="AN141" i="2" s="1"/>
  <c r="AW141" i="2" s="1"/>
  <c r="AL141" i="2"/>
  <c r="AI141" i="2"/>
  <c r="I43" i="2"/>
  <c r="AU43" i="2"/>
  <c r="AL340" i="2"/>
  <c r="Z340" i="2"/>
  <c r="AB340" i="2" s="1"/>
  <c r="AA340" i="2"/>
  <c r="AN340" i="2" s="1"/>
  <c r="AW340" i="2" s="1"/>
  <c r="K156" i="2"/>
  <c r="H156" i="2"/>
  <c r="G156" i="2"/>
  <c r="AV209" i="2"/>
  <c r="AU60" i="2"/>
  <c r="V60" i="2"/>
  <c r="W60" i="2" s="1"/>
  <c r="R60" i="2"/>
  <c r="AR60" i="2"/>
  <c r="AS254" i="2"/>
  <c r="AA87" i="2"/>
  <c r="AN87" i="2" s="1"/>
  <c r="AW87" i="2" s="1"/>
  <c r="AL87" i="2"/>
  <c r="Z87" i="2"/>
  <c r="AB87" i="2" s="1"/>
  <c r="AO87" i="2" s="1"/>
  <c r="AX87" i="2" s="1"/>
  <c r="AI87" i="2"/>
  <c r="AA353" i="2"/>
  <c r="AN353" i="2" s="1"/>
  <c r="AW353" i="2" s="1"/>
  <c r="AB353" i="2"/>
  <c r="AI353" i="2"/>
  <c r="AJ353" i="2" s="1"/>
  <c r="AL353" i="2" s="1"/>
  <c r="Z190" i="2"/>
  <c r="AA190" i="2"/>
  <c r="AN190" i="2" s="1"/>
  <c r="AW190" i="2" s="1"/>
  <c r="AB190" i="2"/>
  <c r="AL190" i="2"/>
  <c r="X191" i="2"/>
  <c r="AI57" i="2"/>
  <c r="Z200" i="2"/>
  <c r="AB200" i="2" s="1"/>
  <c r="AA200" i="2"/>
  <c r="AN200" i="2" s="1"/>
  <c r="AW200" i="2" s="1"/>
  <c r="T260" i="2"/>
  <c r="AM260" i="2"/>
  <c r="AI260" i="2" s="1"/>
  <c r="D41" i="881"/>
  <c r="D59" i="881"/>
  <c r="E342" i="2"/>
  <c r="E148" i="2"/>
  <c r="E297" i="2"/>
  <c r="E252" i="2"/>
  <c r="E110" i="2"/>
  <c r="E216" i="2"/>
  <c r="E405" i="2"/>
  <c r="E63" i="2"/>
  <c r="E73" i="2"/>
  <c r="E270" i="2"/>
  <c r="E225" i="2"/>
  <c r="E282" i="2"/>
  <c r="E177" i="2"/>
  <c r="E359" i="2"/>
  <c r="E165" i="2"/>
  <c r="E195" i="2"/>
  <c r="E37" i="2"/>
  <c r="E118" i="2"/>
  <c r="E91" i="2"/>
  <c r="E135" i="2"/>
  <c r="E327" i="2"/>
  <c r="E312" i="2"/>
  <c r="E374" i="2"/>
  <c r="E237" i="2"/>
  <c r="E390" i="2"/>
  <c r="G32" i="881" a="1"/>
  <c r="E8" i="739" a="1"/>
  <c r="H32" i="881" a="1"/>
  <c r="D8" i="739" a="1"/>
  <c r="E18" i="730" a="1"/>
  <c r="D18" i="730" a="1"/>
  <c r="K6" i="739" l="1"/>
  <c r="D8" i="739"/>
  <c r="D13" i="739" s="1"/>
  <c r="E8" i="739"/>
  <c r="E13" i="739" s="1"/>
  <c r="D18" i="730"/>
  <c r="E18" i="730"/>
  <c r="G32" i="881"/>
  <c r="H32" i="881"/>
  <c r="D391" i="2"/>
  <c r="A390" i="2"/>
  <c r="B390" i="2"/>
  <c r="AR184" i="2"/>
  <c r="V184" i="2"/>
  <c r="AU184" i="2"/>
  <c r="R184" i="2"/>
  <c r="AO383" i="2"/>
  <c r="AX383" i="2" s="1"/>
  <c r="AA386" i="2"/>
  <c r="AN386" i="2" s="1"/>
  <c r="AW386" i="2" s="1"/>
  <c r="V105" i="2"/>
  <c r="AR105" i="2"/>
  <c r="AS104" i="2" s="1"/>
  <c r="R105" i="2"/>
  <c r="AU105" i="2"/>
  <c r="AV104" i="2" s="1"/>
  <c r="AU63" i="2"/>
  <c r="V63" i="2"/>
  <c r="W63" i="2" s="1"/>
  <c r="R63" i="2"/>
  <c r="AR63" i="2"/>
  <c r="T402" i="2"/>
  <c r="AU402" i="2"/>
  <c r="V402" i="2"/>
  <c r="W402" i="2" s="1"/>
  <c r="AM402" i="2"/>
  <c r="AI402" i="2" s="1"/>
  <c r="R402" i="2"/>
  <c r="AR402" i="2"/>
  <c r="I202" i="2"/>
  <c r="AO148" i="2"/>
  <c r="AX148" i="2" s="1"/>
  <c r="Z257" i="2"/>
  <c r="AB257" i="2" s="1"/>
  <c r="AO257" i="2" s="1"/>
  <c r="AX257" i="2" s="1"/>
  <c r="AA257" i="2"/>
  <c r="AN257" i="2" s="1"/>
  <c r="AW257" i="2" s="1"/>
  <c r="AL257" i="2"/>
  <c r="AI257" i="2"/>
  <c r="AJ257" i="2" s="1"/>
  <c r="Z226" i="2"/>
  <c r="AA226" i="2"/>
  <c r="AN226" i="2" s="1"/>
  <c r="AW226" i="2" s="1"/>
  <c r="AB226" i="2"/>
  <c r="AO226" i="2" s="1"/>
  <c r="AX226" i="2" s="1"/>
  <c r="AL226" i="2"/>
  <c r="AI226" i="2"/>
  <c r="Z217" i="2"/>
  <c r="AA217" i="2"/>
  <c r="AN217" i="2" s="1"/>
  <c r="AW217" i="2" s="1"/>
  <c r="AB217" i="2"/>
  <c r="AL217" i="2"/>
  <c r="AI217" i="2"/>
  <c r="Y43" i="702"/>
  <c r="V201" i="2"/>
  <c r="R201" i="2"/>
  <c r="AR201" i="2"/>
  <c r="AU201" i="2"/>
  <c r="A237" i="2"/>
  <c r="C237" i="2"/>
  <c r="D238" i="2"/>
  <c r="B237" i="2"/>
  <c r="T152" i="2"/>
  <c r="AM152" i="2"/>
  <c r="H66" i="2"/>
  <c r="G66" i="2"/>
  <c r="K66" i="2"/>
  <c r="AB247" i="2"/>
  <c r="AO247" i="2" s="1"/>
  <c r="AX247" i="2" s="1"/>
  <c r="AL247" i="2"/>
  <c r="Z247" i="2"/>
  <c r="AA247" i="2"/>
  <c r="AN247" i="2" s="1"/>
  <c r="AW247" i="2" s="1"/>
  <c r="AI247" i="2"/>
  <c r="T372" i="2"/>
  <c r="AM372" i="2"/>
  <c r="AR372" i="2"/>
  <c r="V372" i="2"/>
  <c r="W372" i="2" s="1"/>
  <c r="R372" i="2"/>
  <c r="AU372" i="2"/>
  <c r="T65" i="2"/>
  <c r="AM65" i="2"/>
  <c r="J284" i="2"/>
  <c r="K283" i="2"/>
  <c r="H231" i="2"/>
  <c r="I231" i="2" s="1"/>
  <c r="G231" i="2"/>
  <c r="AR215" i="2"/>
  <c r="AS215" i="2" s="1"/>
  <c r="R215" i="2"/>
  <c r="AU215" i="2"/>
  <c r="AV215" i="2" s="1"/>
  <c r="V215" i="2"/>
  <c r="W215" i="2" s="1"/>
  <c r="H351" i="2"/>
  <c r="I351" i="2" s="1"/>
  <c r="G351" i="2"/>
  <c r="AD38" i="932"/>
  <c r="T215" i="2"/>
  <c r="AM215" i="2"/>
  <c r="AI215" i="2" s="1"/>
  <c r="AJ215" i="2" s="1"/>
  <c r="V65" i="2"/>
  <c r="W65" i="2" s="1"/>
  <c r="AR65" i="2"/>
  <c r="AU65" i="2"/>
  <c r="R65" i="2"/>
  <c r="AR245" i="2"/>
  <c r="AS245" i="2" s="1"/>
  <c r="AU245" i="2"/>
  <c r="AV245" i="2" s="1"/>
  <c r="R245" i="2"/>
  <c r="V245" i="2"/>
  <c r="W245" i="2" s="1"/>
  <c r="T76" i="2"/>
  <c r="AM76" i="2"/>
  <c r="A374" i="2"/>
  <c r="D375" i="2"/>
  <c r="B374" i="2"/>
  <c r="T112" i="2"/>
  <c r="AM112" i="2"/>
  <c r="X221" i="2"/>
  <c r="AJ137" i="2"/>
  <c r="R81" i="2"/>
  <c r="AR81" i="2"/>
  <c r="AU81" i="2"/>
  <c r="Z60" i="2"/>
  <c r="AA60" i="2"/>
  <c r="AN60" i="2" s="1"/>
  <c r="AW60" i="2" s="1"/>
  <c r="AB60" i="2"/>
  <c r="AL60" i="2"/>
  <c r="AO340" i="2"/>
  <c r="AX340" i="2" s="1"/>
  <c r="T81" i="2"/>
  <c r="U81" i="2"/>
  <c r="V81" i="2" s="1"/>
  <c r="AM81" i="2"/>
  <c r="AL178" i="2"/>
  <c r="Z178" i="2"/>
  <c r="AB178" i="2" s="1"/>
  <c r="AO178" i="2" s="1"/>
  <c r="AX178" i="2" s="1"/>
  <c r="AA178" i="2"/>
  <c r="AN178" i="2" s="1"/>
  <c r="AW178" i="2" s="1"/>
  <c r="AI178" i="2"/>
  <c r="AJ176" i="2" s="1"/>
  <c r="Z140" i="2"/>
  <c r="AA140" i="2"/>
  <c r="AN140" i="2" s="1"/>
  <c r="AW140" i="2" s="1"/>
  <c r="AL140" i="2"/>
  <c r="AB140" i="2"/>
  <c r="AI140" i="2"/>
  <c r="AV44" i="2"/>
  <c r="T245" i="2"/>
  <c r="AM245" i="2"/>
  <c r="AI245" i="2" s="1"/>
  <c r="AJ245" i="2" s="1"/>
  <c r="AI386" i="2"/>
  <c r="Z216" i="2"/>
  <c r="AA216" i="2"/>
  <c r="AN216" i="2" s="1"/>
  <c r="AW216" i="2" s="1"/>
  <c r="AB216" i="2"/>
  <c r="AO216" i="2" s="1"/>
  <c r="AX216" i="2" s="1"/>
  <c r="AL216" i="2"/>
  <c r="AA281" i="2"/>
  <c r="AN281" i="2" s="1"/>
  <c r="AW281" i="2" s="1"/>
  <c r="AJ383" i="2"/>
  <c r="AL383" i="2" s="1"/>
  <c r="K79" i="2"/>
  <c r="H79" i="2"/>
  <c r="I79" i="2" s="1"/>
  <c r="F82" i="2"/>
  <c r="T108" i="2"/>
  <c r="AM108" i="2"/>
  <c r="AI108" i="2" s="1"/>
  <c r="G185" i="2"/>
  <c r="H185" i="2"/>
  <c r="I185" i="2" s="1"/>
  <c r="W78" i="2"/>
  <c r="H155" i="2"/>
  <c r="K155" i="2"/>
  <c r="G155" i="2"/>
  <c r="Z212" i="2"/>
  <c r="AA212" i="2"/>
  <c r="AN212" i="2" s="1"/>
  <c r="AW212" i="2" s="1"/>
  <c r="AB212" i="2"/>
  <c r="AO212" i="2" s="1"/>
  <c r="AX212" i="2" s="1"/>
  <c r="AL212" i="2"/>
  <c r="AA356" i="2"/>
  <c r="AN356" i="2" s="1"/>
  <c r="AW356" i="2" s="1"/>
  <c r="AO250" i="2"/>
  <c r="AX250" i="2" s="1"/>
  <c r="I228" i="2"/>
  <c r="W40" i="2"/>
  <c r="X38" i="2" s="1"/>
  <c r="B312" i="2"/>
  <c r="D313" i="2"/>
  <c r="A312" i="2"/>
  <c r="AA311" i="2"/>
  <c r="AN311" i="2" s="1"/>
  <c r="AW311" i="2" s="1"/>
  <c r="B327" i="2"/>
  <c r="D328" i="2"/>
  <c r="A327" i="2"/>
  <c r="X179" i="2"/>
  <c r="AO213" i="2"/>
  <c r="AX213" i="2" s="1"/>
  <c r="AI242" i="2"/>
  <c r="AJ242" i="2" s="1"/>
  <c r="AO193" i="2"/>
  <c r="AX193" i="2" s="1"/>
  <c r="K157" i="2"/>
  <c r="H157" i="2"/>
  <c r="G157" i="2"/>
  <c r="J344" i="2"/>
  <c r="K343" i="2"/>
  <c r="W110" i="2"/>
  <c r="AI58" i="2"/>
  <c r="AJ56" i="2" s="1"/>
  <c r="AL56" i="2" s="1"/>
  <c r="AO56" i="2" s="1"/>
  <c r="AX56" i="2" s="1"/>
  <c r="AO278" i="2"/>
  <c r="AX278" i="2" s="1"/>
  <c r="W178" i="2"/>
  <c r="A135" i="2"/>
  <c r="B135" i="2"/>
  <c r="C135" i="2"/>
  <c r="D136" i="2"/>
  <c r="V45" i="2"/>
  <c r="R45" i="2"/>
  <c r="AR45" i="2"/>
  <c r="AV47" i="2"/>
  <c r="W216" i="2"/>
  <c r="AV41" i="2"/>
  <c r="D92" i="2"/>
  <c r="A91" i="2"/>
  <c r="B91" i="2"/>
  <c r="C91" i="2"/>
  <c r="W62" i="2"/>
  <c r="I182" i="2"/>
  <c r="Z40" i="2"/>
  <c r="AA40" i="2"/>
  <c r="AN40" i="2" s="1"/>
  <c r="AW40" i="2" s="1"/>
  <c r="AB40" i="2"/>
  <c r="AO40" i="2" s="1"/>
  <c r="AX40" i="2" s="1"/>
  <c r="AL40" i="2"/>
  <c r="W217" i="2"/>
  <c r="AL109" i="2"/>
  <c r="Z109" i="2"/>
  <c r="AB109" i="2" s="1"/>
  <c r="AO109" i="2" s="1"/>
  <c r="AX109" i="2" s="1"/>
  <c r="AA109" i="2"/>
  <c r="AN109" i="2" s="1"/>
  <c r="AW109" i="2" s="1"/>
  <c r="W153" i="2"/>
  <c r="W57" i="2"/>
  <c r="X56" i="2" s="1"/>
  <c r="AO239" i="2"/>
  <c r="AX239" i="2" s="1"/>
  <c r="W109" i="2"/>
  <c r="B118" i="2"/>
  <c r="C118" i="2"/>
  <c r="D119" i="2"/>
  <c r="A118" i="2"/>
  <c r="I348" i="2"/>
  <c r="C37" i="2"/>
  <c r="A37" i="2"/>
  <c r="B37" i="2"/>
  <c r="D38" i="2"/>
  <c r="W226" i="2"/>
  <c r="X224" i="2" s="1"/>
  <c r="W247" i="2"/>
  <c r="AJ122" i="2"/>
  <c r="W151" i="2"/>
  <c r="W242" i="2"/>
  <c r="X242" i="2" s="1"/>
  <c r="W326" i="2"/>
  <c r="W55" i="2"/>
  <c r="X53" i="2" s="1"/>
  <c r="AS122" i="2"/>
  <c r="AX122" i="2"/>
  <c r="W341" i="2"/>
  <c r="AA88" i="2"/>
  <c r="AN88" i="2" s="1"/>
  <c r="AW88" i="2" s="1"/>
  <c r="AB88" i="2"/>
  <c r="AL88" i="2"/>
  <c r="Z88" i="2"/>
  <c r="AI88" i="2"/>
  <c r="AJ86" i="2" s="1"/>
  <c r="AO209" i="2"/>
  <c r="AX209" i="2" s="1"/>
  <c r="V154" i="2"/>
  <c r="AR154" i="2"/>
  <c r="R154" i="2"/>
  <c r="AU154" i="2"/>
  <c r="AA77" i="2"/>
  <c r="AN77" i="2" s="1"/>
  <c r="AW77" i="2" s="1"/>
  <c r="W77" i="2"/>
  <c r="T342" i="2"/>
  <c r="AM342" i="2"/>
  <c r="Z110" i="2"/>
  <c r="AB110" i="2" s="1"/>
  <c r="AA110" i="2"/>
  <c r="AN110" i="2" s="1"/>
  <c r="AW110" i="2" s="1"/>
  <c r="H186" i="2"/>
  <c r="I186" i="2" s="1"/>
  <c r="G186" i="2"/>
  <c r="AB262" i="2"/>
  <c r="AO262" i="2" s="1"/>
  <c r="AX262" i="2" s="1"/>
  <c r="AL262" i="2"/>
  <c r="Z262" i="2"/>
  <c r="AA262" i="2"/>
  <c r="AN262" i="2" s="1"/>
  <c r="AW262" i="2" s="1"/>
  <c r="AI151" i="2"/>
  <c r="V48" i="2"/>
  <c r="R48" i="2"/>
  <c r="AR48" i="2"/>
  <c r="AR42" i="2"/>
  <c r="V42" i="2"/>
  <c r="R42" i="2"/>
  <c r="H111" i="2"/>
  <c r="K111" i="2"/>
  <c r="G111" i="2"/>
  <c r="Z258" i="2"/>
  <c r="AB258" i="2" s="1"/>
  <c r="AO258" i="2" s="1"/>
  <c r="AX258" i="2" s="1"/>
  <c r="AA258" i="2"/>
  <c r="AN258" i="2" s="1"/>
  <c r="AW258" i="2" s="1"/>
  <c r="AL258" i="2"/>
  <c r="AA371" i="2"/>
  <c r="AN371" i="2" s="1"/>
  <c r="AW371" i="2" s="1"/>
  <c r="Z62" i="2"/>
  <c r="AB62" i="2" s="1"/>
  <c r="AA62" i="2"/>
  <c r="AN62" i="2" s="1"/>
  <c r="AW62" i="2" s="1"/>
  <c r="T261" i="2"/>
  <c r="AM261" i="2"/>
  <c r="R142" i="2"/>
  <c r="AR142" i="2"/>
  <c r="AS140" i="2" s="1"/>
  <c r="V142" i="2"/>
  <c r="W142" i="2" s="1"/>
  <c r="X140" i="2" s="1"/>
  <c r="AU142" i="2"/>
  <c r="AV140" i="2" s="1"/>
  <c r="AO150" i="2"/>
  <c r="AX150" i="2" s="1"/>
  <c r="AO295" i="2"/>
  <c r="AX295" i="2" s="1"/>
  <c r="AA153" i="2"/>
  <c r="AN153" i="2" s="1"/>
  <c r="AW153" i="2" s="1"/>
  <c r="AB153" i="2"/>
  <c r="AL153" i="2"/>
  <c r="Z153" i="2"/>
  <c r="T63" i="2"/>
  <c r="AM63" i="2"/>
  <c r="AI63" i="2" s="1"/>
  <c r="I112" i="2"/>
  <c r="AL199" i="2"/>
  <c r="Z199" i="2"/>
  <c r="AB199" i="2" s="1"/>
  <c r="AO199" i="2" s="1"/>
  <c r="AX199" i="2" s="1"/>
  <c r="AA199" i="2"/>
  <c r="AN199" i="2" s="1"/>
  <c r="AW199" i="2" s="1"/>
  <c r="Z92" i="2"/>
  <c r="AB92" i="2" s="1"/>
  <c r="AO92" i="2" s="1"/>
  <c r="AX92" i="2" s="1"/>
  <c r="AA92" i="2"/>
  <c r="AN92" i="2" s="1"/>
  <c r="AW92" i="2" s="1"/>
  <c r="AL92" i="2"/>
  <c r="AI92" i="2"/>
  <c r="AI356" i="2"/>
  <c r="K64" i="2"/>
  <c r="F67" i="2"/>
  <c r="H64" i="2"/>
  <c r="G64" i="2"/>
  <c r="Z172" i="2"/>
  <c r="AB172" i="2" s="1"/>
  <c r="AO172" i="2" s="1"/>
  <c r="AX172" i="2" s="1"/>
  <c r="AA172" i="2"/>
  <c r="AN172" i="2" s="1"/>
  <c r="AW172" i="2" s="1"/>
  <c r="AL172" i="2"/>
  <c r="Z242" i="2"/>
  <c r="AB242" i="2" s="1"/>
  <c r="AO242" i="2" s="1"/>
  <c r="AX242" i="2" s="1"/>
  <c r="AA242" i="2"/>
  <c r="AN242" i="2" s="1"/>
  <c r="AW242" i="2" s="1"/>
  <c r="AL242" i="2"/>
  <c r="Z90" i="2"/>
  <c r="AB90" i="2" s="1"/>
  <c r="AO90" i="2" s="1"/>
  <c r="AX90" i="2" s="1"/>
  <c r="AA90" i="2"/>
  <c r="AN90" i="2" s="1"/>
  <c r="AW90" i="2" s="1"/>
  <c r="AL90" i="2"/>
  <c r="AI90" i="2"/>
  <c r="AA326" i="2"/>
  <c r="AN326" i="2" s="1"/>
  <c r="AW326" i="2" s="1"/>
  <c r="Z180" i="2"/>
  <c r="AA180" i="2"/>
  <c r="AN180" i="2" s="1"/>
  <c r="AW180" i="2" s="1"/>
  <c r="AB180" i="2"/>
  <c r="AO180" i="2" s="1"/>
  <c r="AX180" i="2" s="1"/>
  <c r="AL180" i="2"/>
  <c r="AI180" i="2"/>
  <c r="AI311" i="2"/>
  <c r="AI153" i="2"/>
  <c r="AS149" i="2"/>
  <c r="AA122" i="2"/>
  <c r="AN122" i="2" s="1"/>
  <c r="AW122" i="2" s="1"/>
  <c r="W122" i="2"/>
  <c r="X122" i="2" s="1"/>
  <c r="Z91" i="2"/>
  <c r="AB91" i="2" s="1"/>
  <c r="AO91" i="2" s="1"/>
  <c r="AX91" i="2" s="1"/>
  <c r="AA91" i="2"/>
  <c r="AN91" i="2" s="1"/>
  <c r="AW91" i="2" s="1"/>
  <c r="AL91" i="2"/>
  <c r="AI91" i="2"/>
  <c r="AA341" i="2"/>
  <c r="AN341" i="2" s="1"/>
  <c r="AW341" i="2" s="1"/>
  <c r="Z181" i="2"/>
  <c r="AA181" i="2"/>
  <c r="AN181" i="2" s="1"/>
  <c r="AW181" i="2" s="1"/>
  <c r="AB181" i="2"/>
  <c r="AO181" i="2" s="1"/>
  <c r="AX181" i="2" s="1"/>
  <c r="AL181" i="2"/>
  <c r="AI181" i="2"/>
  <c r="A195" i="2"/>
  <c r="B195" i="2"/>
  <c r="C195" i="2"/>
  <c r="D196" i="2"/>
  <c r="AI149" i="2"/>
  <c r="AJ149" i="2" s="1"/>
  <c r="T154" i="2"/>
  <c r="AM154" i="2"/>
  <c r="R73" i="2"/>
  <c r="AR73" i="2"/>
  <c r="AS71" i="2" s="1"/>
  <c r="AU73" i="2"/>
  <c r="AV71" i="2" s="1"/>
  <c r="V73" i="2"/>
  <c r="W73" i="2" s="1"/>
  <c r="X71" i="2" s="1"/>
  <c r="J389" i="2"/>
  <c r="K388" i="2"/>
  <c r="AS125" i="2"/>
  <c r="AX125" i="2"/>
  <c r="D166" i="2"/>
  <c r="A165" i="2"/>
  <c r="B165" i="2"/>
  <c r="C165" i="2"/>
  <c r="H97" i="2"/>
  <c r="I97" i="2" s="1"/>
  <c r="G97" i="2"/>
  <c r="AI110" i="2"/>
  <c r="A359" i="2"/>
  <c r="D360" i="2"/>
  <c r="B359" i="2"/>
  <c r="AI281" i="2"/>
  <c r="B177" i="2"/>
  <c r="C177" i="2"/>
  <c r="D178" i="2"/>
  <c r="A177" i="2"/>
  <c r="R108" i="2"/>
  <c r="AR108" i="2"/>
  <c r="AS107" i="2" s="1"/>
  <c r="AU108" i="2"/>
  <c r="AV107" i="2" s="1"/>
  <c r="V108" i="2"/>
  <c r="W108" i="2" s="1"/>
  <c r="X107" i="2" s="1"/>
  <c r="B282" i="2"/>
  <c r="D283" i="2"/>
  <c r="A282" i="2"/>
  <c r="AL260" i="2"/>
  <c r="Z260" i="2"/>
  <c r="AA260" i="2"/>
  <c r="AN260" i="2" s="1"/>
  <c r="AW260" i="2" s="1"/>
  <c r="AB260" i="2"/>
  <c r="AO260" i="2" s="1"/>
  <c r="AX260" i="2" s="1"/>
  <c r="W212" i="2"/>
  <c r="X212" i="2" s="1"/>
  <c r="AB78" i="2"/>
  <c r="AL78" i="2"/>
  <c r="Z78" i="2"/>
  <c r="AA78" i="2"/>
  <c r="AN78" i="2" s="1"/>
  <c r="AW78" i="2" s="1"/>
  <c r="Z57" i="2"/>
  <c r="AB57" i="2" s="1"/>
  <c r="AO57" i="2" s="1"/>
  <c r="AX57" i="2" s="1"/>
  <c r="AA57" i="2"/>
  <c r="AN57" i="2" s="1"/>
  <c r="AW57" i="2" s="1"/>
  <c r="AL57" i="2"/>
  <c r="D226" i="2"/>
  <c r="A225" i="2"/>
  <c r="B225" i="2"/>
  <c r="C225" i="2"/>
  <c r="AR46" i="2"/>
  <c r="V46" i="2"/>
  <c r="R46" i="2"/>
  <c r="J299" i="2"/>
  <c r="K298" i="2"/>
  <c r="B270" i="2"/>
  <c r="C270" i="2"/>
  <c r="D271" i="2"/>
  <c r="A270" i="2"/>
  <c r="W199" i="2"/>
  <c r="I156" i="2"/>
  <c r="T297" i="2"/>
  <c r="AM297" i="2"/>
  <c r="AU297" i="2"/>
  <c r="AR297" i="2"/>
  <c r="V297" i="2"/>
  <c r="W297" i="2" s="1"/>
  <c r="R297" i="2"/>
  <c r="I52" i="2"/>
  <c r="AU52" i="2"/>
  <c r="Z89" i="2"/>
  <c r="AL89" i="2"/>
  <c r="AA89" i="2"/>
  <c r="AN89" i="2" s="1"/>
  <c r="AW89" i="2" s="1"/>
  <c r="AB89" i="2"/>
  <c r="AO89" i="2" s="1"/>
  <c r="AX89" i="2" s="1"/>
  <c r="AI89" i="2"/>
  <c r="AJ89" i="2" s="1"/>
  <c r="AI109" i="2"/>
  <c r="AA176" i="2"/>
  <c r="AN176" i="2" s="1"/>
  <c r="AW176" i="2" s="1"/>
  <c r="W176" i="2"/>
  <c r="X176" i="2" s="1"/>
  <c r="AO72" i="2"/>
  <c r="AX72" i="2" s="1"/>
  <c r="T61" i="2"/>
  <c r="AM61" i="2"/>
  <c r="AB38" i="932"/>
  <c r="D74" i="2"/>
  <c r="A73" i="2"/>
  <c r="B73" i="2"/>
  <c r="C73" i="2"/>
  <c r="Z75" i="2"/>
  <c r="AB75" i="2" s="1"/>
  <c r="AO75" i="2" s="1"/>
  <c r="AX75" i="2" s="1"/>
  <c r="AA75" i="2"/>
  <c r="AN75" i="2" s="1"/>
  <c r="AW75" i="2" s="1"/>
  <c r="AL75" i="2"/>
  <c r="AI75" i="2"/>
  <c r="T170" i="2"/>
  <c r="AM170" i="2"/>
  <c r="Z149" i="2"/>
  <c r="AB149" i="2" s="1"/>
  <c r="AO149" i="2" s="1"/>
  <c r="AX149" i="2" s="1"/>
  <c r="AA149" i="2"/>
  <c r="AN149" i="2" s="1"/>
  <c r="AW149" i="2" s="1"/>
  <c r="AL149" i="2"/>
  <c r="W91" i="2"/>
  <c r="AI341" i="2"/>
  <c r="W146" i="2"/>
  <c r="X146" i="2" s="1"/>
  <c r="H96" i="2"/>
  <c r="I96" i="2" s="1"/>
  <c r="G96" i="2"/>
  <c r="T387" i="2"/>
  <c r="AU387" i="2"/>
  <c r="V387" i="2"/>
  <c r="W387" i="2" s="1"/>
  <c r="R387" i="2"/>
  <c r="AM387" i="2"/>
  <c r="AR387" i="2"/>
  <c r="V342" i="2"/>
  <c r="AJ107" i="2"/>
  <c r="AL107" i="2" s="1"/>
  <c r="AO107" i="2" s="1"/>
  <c r="AX107" i="2" s="1"/>
  <c r="I183" i="2"/>
  <c r="W262" i="2"/>
  <c r="AA125" i="2"/>
  <c r="AN125" i="2" s="1"/>
  <c r="AW125" i="2" s="1"/>
  <c r="W125" i="2"/>
  <c r="X125" i="2" s="1"/>
  <c r="AO235" i="2"/>
  <c r="AX235" i="2" s="1"/>
  <c r="B63" i="2"/>
  <c r="C63" i="2"/>
  <c r="D64" i="2"/>
  <c r="A63" i="2"/>
  <c r="A405" i="2"/>
  <c r="B405" i="2"/>
  <c r="D406" i="2"/>
  <c r="AU261" i="2"/>
  <c r="AV260" i="2" s="1"/>
  <c r="AR261" i="2"/>
  <c r="V261" i="2"/>
  <c r="R261" i="2"/>
  <c r="AS260" i="2"/>
  <c r="Z151" i="2"/>
  <c r="AA151" i="2"/>
  <c r="AN151" i="2" s="1"/>
  <c r="AW151" i="2" s="1"/>
  <c r="AB151" i="2"/>
  <c r="AO151" i="2" s="1"/>
  <c r="AX151" i="2" s="1"/>
  <c r="AL151" i="2"/>
  <c r="I229" i="2"/>
  <c r="AU198" i="2"/>
  <c r="AV197" i="2" s="1"/>
  <c r="V198" i="2"/>
  <c r="W198" i="2" s="1"/>
  <c r="X197" i="2" s="1"/>
  <c r="R198" i="2"/>
  <c r="AR198" i="2"/>
  <c r="AS197" i="2" s="1"/>
  <c r="T282" i="2"/>
  <c r="AM282" i="2"/>
  <c r="AI282" i="2" s="1"/>
  <c r="AR282" i="2"/>
  <c r="V282" i="2"/>
  <c r="W282" i="2" s="1"/>
  <c r="R282" i="2"/>
  <c r="AU282" i="2"/>
  <c r="AO190" i="2"/>
  <c r="AX190" i="2" s="1"/>
  <c r="AA401" i="2"/>
  <c r="AN401" i="2" s="1"/>
  <c r="AW401" i="2" s="1"/>
  <c r="AU167" i="2"/>
  <c r="AV167" i="2" s="1"/>
  <c r="R167" i="2"/>
  <c r="AR167" i="2"/>
  <c r="AS167" i="2" s="1"/>
  <c r="V167" i="2"/>
  <c r="W167" i="2" s="1"/>
  <c r="X167" i="2" s="1"/>
  <c r="W172" i="2"/>
  <c r="AJ212" i="2"/>
  <c r="D45" i="730"/>
  <c r="Y36" i="705"/>
  <c r="AB33" i="705"/>
  <c r="J359" i="2"/>
  <c r="K358" i="2"/>
  <c r="W90" i="2"/>
  <c r="X89" i="2" s="1"/>
  <c r="AI198" i="2"/>
  <c r="AJ197" i="2" s="1"/>
  <c r="AL197" i="2" s="1"/>
  <c r="AO197" i="2" s="1"/>
  <c r="AX197" i="2" s="1"/>
  <c r="Z58" i="2"/>
  <c r="AA58" i="2"/>
  <c r="AN58" i="2" s="1"/>
  <c r="AW58" i="2" s="1"/>
  <c r="AB58" i="2"/>
  <c r="AO58" i="2" s="1"/>
  <c r="AX58" i="2" s="1"/>
  <c r="AL58" i="2"/>
  <c r="AS38" i="2"/>
  <c r="V170" i="2"/>
  <c r="W170" i="2" s="1"/>
  <c r="X170" i="2" s="1"/>
  <c r="AR170" i="2"/>
  <c r="AS170" i="2" s="1"/>
  <c r="AU170" i="2"/>
  <c r="AV170" i="2" s="1"/>
  <c r="R170" i="2"/>
  <c r="AV149" i="2"/>
  <c r="AD39" i="702"/>
  <c r="J329" i="2"/>
  <c r="K328" i="2"/>
  <c r="T201" i="2"/>
  <c r="AM201" i="2"/>
  <c r="AI201" i="2" s="1"/>
  <c r="Z146" i="2"/>
  <c r="AB146" i="2" s="1"/>
  <c r="AO146" i="2" s="1"/>
  <c r="AX146" i="2" s="1"/>
  <c r="AA146" i="2"/>
  <c r="AN146" i="2" s="1"/>
  <c r="AW146" i="2" s="1"/>
  <c r="AL146" i="2"/>
  <c r="J314" i="2"/>
  <c r="K313" i="2"/>
  <c r="Z59" i="2"/>
  <c r="AB59" i="2" s="1"/>
  <c r="AA59" i="2"/>
  <c r="AN59" i="2" s="1"/>
  <c r="AW59" i="2" s="1"/>
  <c r="H187" i="2"/>
  <c r="I187" i="2" s="1"/>
  <c r="G187" i="2"/>
  <c r="AO164" i="2"/>
  <c r="AX164" i="2" s="1"/>
  <c r="AC39" i="702"/>
  <c r="W386" i="2"/>
  <c r="Z223" i="2"/>
  <c r="AA223" i="2"/>
  <c r="AN223" i="2" s="1"/>
  <c r="AW223" i="2" s="1"/>
  <c r="AB223" i="2"/>
  <c r="AO223" i="2" s="1"/>
  <c r="AX223" i="2" s="1"/>
  <c r="AL223" i="2"/>
  <c r="AI223" i="2"/>
  <c r="I94" i="2"/>
  <c r="Z225" i="2"/>
  <c r="AB225" i="2" s="1"/>
  <c r="AO225" i="2" s="1"/>
  <c r="AX225" i="2" s="1"/>
  <c r="AA225" i="2"/>
  <c r="AN225" i="2" s="1"/>
  <c r="AW225" i="2" s="1"/>
  <c r="AL225" i="2"/>
  <c r="AI225" i="2"/>
  <c r="AJ224" i="2" s="1"/>
  <c r="W371" i="2"/>
  <c r="W80" i="2"/>
  <c r="AA80" i="2"/>
  <c r="AN80" i="2" s="1"/>
  <c r="AW80" i="2" s="1"/>
  <c r="AU152" i="2"/>
  <c r="AV152" i="2" s="1"/>
  <c r="R152" i="2"/>
  <c r="V152" i="2"/>
  <c r="W152" i="2" s="1"/>
  <c r="AR152" i="2"/>
  <c r="AS152" i="2" s="1"/>
  <c r="I51" i="2"/>
  <c r="AU51" i="2"/>
  <c r="AV50" i="2" s="1"/>
  <c r="AJ125" i="2"/>
  <c r="AD33" i="705"/>
  <c r="AB55" i="2"/>
  <c r="AO55" i="2" s="1"/>
  <c r="AX55" i="2" s="1"/>
  <c r="AL55" i="2"/>
  <c r="Z55" i="2"/>
  <c r="AA55" i="2"/>
  <c r="AN55" i="2" s="1"/>
  <c r="AW55" i="2" s="1"/>
  <c r="AO196" i="2"/>
  <c r="AX196" i="2" s="1"/>
  <c r="AO255" i="2"/>
  <c r="AX255" i="2" s="1"/>
  <c r="AO214" i="2"/>
  <c r="AX214" i="2" s="1"/>
  <c r="D217" i="2"/>
  <c r="A216" i="2"/>
  <c r="B216" i="2"/>
  <c r="C216" i="2"/>
  <c r="AR43" i="2"/>
  <c r="V43" i="2"/>
  <c r="R43" i="2"/>
  <c r="T156" i="2"/>
  <c r="AM156" i="2"/>
  <c r="AO246" i="2"/>
  <c r="AX246" i="2" s="1"/>
  <c r="AS176" i="2"/>
  <c r="AX176" i="2"/>
  <c r="AO338" i="2"/>
  <c r="AX338" i="2" s="1"/>
  <c r="AO353" i="2"/>
  <c r="AX353" i="2" s="1"/>
  <c r="AA296" i="2"/>
  <c r="AN296" i="2" s="1"/>
  <c r="AW296" i="2" s="1"/>
  <c r="AI401" i="2"/>
  <c r="J404" i="2"/>
  <c r="K403" i="2"/>
  <c r="T202" i="2"/>
  <c r="AM202" i="2"/>
  <c r="D111" i="2"/>
  <c r="A110" i="2"/>
  <c r="B110" i="2"/>
  <c r="C110" i="2"/>
  <c r="Z276" i="2"/>
  <c r="AA276" i="2"/>
  <c r="AN276" i="2" s="1"/>
  <c r="AW276" i="2" s="1"/>
  <c r="AB276" i="2"/>
  <c r="AL276" i="2"/>
  <c r="AI276" i="2"/>
  <c r="Z277" i="2"/>
  <c r="AB277" i="2" s="1"/>
  <c r="AO277" i="2" s="1"/>
  <c r="AX277" i="2" s="1"/>
  <c r="AA277" i="2"/>
  <c r="AN277" i="2" s="1"/>
  <c r="AW277" i="2" s="1"/>
  <c r="AL277" i="2"/>
  <c r="AI277" i="2"/>
  <c r="X194" i="2"/>
  <c r="W257" i="2"/>
  <c r="X257" i="2" s="1"/>
  <c r="AI105" i="2"/>
  <c r="AJ104" i="2" s="1"/>
  <c r="AL104" i="2" s="1"/>
  <c r="AO104" i="2" s="1"/>
  <c r="AX104" i="2" s="1"/>
  <c r="I61" i="2"/>
  <c r="J374" i="2"/>
  <c r="K373" i="2"/>
  <c r="AC33" i="705"/>
  <c r="T357" i="2"/>
  <c r="AU357" i="2"/>
  <c r="V357" i="2"/>
  <c r="AM357" i="2"/>
  <c r="AI357" i="2" s="1"/>
  <c r="R357" i="2"/>
  <c r="AR357" i="2"/>
  <c r="AI326" i="2"/>
  <c r="W75" i="2"/>
  <c r="AL39" i="2"/>
  <c r="Z39" i="2"/>
  <c r="AA39" i="2"/>
  <c r="AN39" i="2" s="1"/>
  <c r="AW39" i="2" s="1"/>
  <c r="AB39" i="2"/>
  <c r="Z179" i="2"/>
  <c r="AB179" i="2" s="1"/>
  <c r="AO179" i="2" s="1"/>
  <c r="AX179" i="2" s="1"/>
  <c r="AA179" i="2"/>
  <c r="AN179" i="2" s="1"/>
  <c r="AW179" i="2" s="1"/>
  <c r="AL179" i="2"/>
  <c r="AI179" i="2"/>
  <c r="AJ179" i="2" s="1"/>
  <c r="W149" i="2"/>
  <c r="X149" i="2" s="1"/>
  <c r="H232" i="2"/>
  <c r="I232" i="2" s="1"/>
  <c r="G232" i="2"/>
  <c r="T327" i="2"/>
  <c r="V327" i="2"/>
  <c r="W327" i="2" s="1"/>
  <c r="AR327" i="2"/>
  <c r="AM327" i="2"/>
  <c r="AI327" i="2" s="1"/>
  <c r="AU327" i="2"/>
  <c r="R327" i="2"/>
  <c r="A252" i="2"/>
  <c r="B252" i="2"/>
  <c r="C252" i="2"/>
  <c r="D253" i="2"/>
  <c r="T312" i="2"/>
  <c r="AM312" i="2"/>
  <c r="AI312" i="2" s="1"/>
  <c r="R312" i="2"/>
  <c r="AU312" i="2"/>
  <c r="AR312" i="2"/>
  <c r="V312" i="2"/>
  <c r="W312" i="2" s="1"/>
  <c r="Z222" i="2"/>
  <c r="AA222" i="2"/>
  <c r="AN222" i="2" s="1"/>
  <c r="AW222" i="2" s="1"/>
  <c r="AB222" i="2"/>
  <c r="AL222" i="2"/>
  <c r="AI222" i="2"/>
  <c r="AJ221" i="2" s="1"/>
  <c r="I93" i="2"/>
  <c r="R342" i="2"/>
  <c r="B297" i="2"/>
  <c r="D298" i="2"/>
  <c r="A297" i="2"/>
  <c r="V49" i="2"/>
  <c r="W49" i="2" s="1"/>
  <c r="R49" i="2"/>
  <c r="AR49" i="2"/>
  <c r="AO70" i="2"/>
  <c r="AX70" i="2" s="1"/>
  <c r="V76" i="2"/>
  <c r="W76" i="2" s="1"/>
  <c r="R76" i="2"/>
  <c r="AR76" i="2"/>
  <c r="AS74" i="2" s="1"/>
  <c r="AU76" i="2"/>
  <c r="AV74" i="2" s="1"/>
  <c r="AI371" i="2"/>
  <c r="B148" i="2"/>
  <c r="A148" i="2"/>
  <c r="C148" i="2"/>
  <c r="D149" i="2"/>
  <c r="AI78" i="2"/>
  <c r="D343" i="2"/>
  <c r="A342" i="2"/>
  <c r="B342" i="2"/>
  <c r="E64" i="2"/>
  <c r="E217" i="2"/>
  <c r="E111" i="2"/>
  <c r="E238" i="2"/>
  <c r="E298" i="2"/>
  <c r="E178" i="2"/>
  <c r="E74" i="2"/>
  <c r="E375" i="2"/>
  <c r="E119" i="2"/>
  <c r="E38" i="2"/>
  <c r="E328" i="2"/>
  <c r="E271" i="2"/>
  <c r="E149" i="2"/>
  <c r="E283" i="2"/>
  <c r="E196" i="2"/>
  <c r="E360" i="2"/>
  <c r="E253" i="2"/>
  <c r="E166" i="2"/>
  <c r="E343" i="2"/>
  <c r="E313" i="2"/>
  <c r="E92" i="2"/>
  <c r="E406" i="2"/>
  <c r="E391" i="2"/>
  <c r="E136" i="2"/>
  <c r="E226" i="2"/>
  <c r="H8" i="739" a="1"/>
  <c r="I8" i="739" a="1"/>
  <c r="I8" i="739" l="1"/>
  <c r="H8" i="739"/>
  <c r="K314" i="2"/>
  <c r="J315" i="2"/>
  <c r="D227" i="2"/>
  <c r="A226" i="2"/>
  <c r="B226" i="2"/>
  <c r="C226" i="2"/>
  <c r="AJ281" i="2"/>
  <c r="AL281" i="2" s="1"/>
  <c r="AS47" i="2"/>
  <c r="AI342" i="2"/>
  <c r="AA154" i="2"/>
  <c r="AN154" i="2" s="1"/>
  <c r="AW154" i="2" s="1"/>
  <c r="AL154" i="2"/>
  <c r="Z154" i="2"/>
  <c r="AB154" i="2" s="1"/>
  <c r="AO154" i="2" s="1"/>
  <c r="AX154" i="2" s="1"/>
  <c r="AU182" i="2"/>
  <c r="R182" i="2"/>
  <c r="V182" i="2"/>
  <c r="W182" i="2" s="1"/>
  <c r="AR182" i="2"/>
  <c r="AS182" i="2" s="1"/>
  <c r="A136" i="2"/>
  <c r="B136" i="2"/>
  <c r="C136" i="2"/>
  <c r="D137" i="2"/>
  <c r="AO140" i="2"/>
  <c r="AX140" i="2" s="1"/>
  <c r="AI76" i="2"/>
  <c r="Z372" i="2"/>
  <c r="AA372" i="2"/>
  <c r="AN372" i="2" s="1"/>
  <c r="AW372" i="2" s="1"/>
  <c r="AB372" i="2"/>
  <c r="AO372" i="2" s="1"/>
  <c r="AX372" i="2" s="1"/>
  <c r="AL372" i="2"/>
  <c r="D392" i="2"/>
  <c r="A391" i="2"/>
  <c r="B391" i="2"/>
  <c r="W342" i="2"/>
  <c r="AR93" i="2"/>
  <c r="R93" i="2"/>
  <c r="V93" i="2"/>
  <c r="W93" i="2" s="1"/>
  <c r="AU93" i="2"/>
  <c r="AO222" i="2"/>
  <c r="AX222" i="2" s="1"/>
  <c r="AA152" i="2"/>
  <c r="AN152" i="2" s="1"/>
  <c r="AW152" i="2" s="1"/>
  <c r="AL152" i="2"/>
  <c r="AB152" i="2"/>
  <c r="AO152" i="2" s="1"/>
  <c r="AX152" i="2" s="1"/>
  <c r="Z152" i="2"/>
  <c r="W261" i="2"/>
  <c r="X260" i="2" s="1"/>
  <c r="D407" i="2"/>
  <c r="A406" i="2"/>
  <c r="B406" i="2"/>
  <c r="AO78" i="2"/>
  <c r="AX78" i="2" s="1"/>
  <c r="AO153" i="2"/>
  <c r="AX153" i="2" s="1"/>
  <c r="AL48" i="2"/>
  <c r="Z48" i="2"/>
  <c r="AB48" i="2" s="1"/>
  <c r="AO48" i="2" s="1"/>
  <c r="AX48" i="2" s="1"/>
  <c r="AA48" i="2"/>
  <c r="B92" i="2"/>
  <c r="C92" i="2"/>
  <c r="A92" i="2"/>
  <c r="D93" i="2"/>
  <c r="B313" i="2"/>
  <c r="D314" i="2"/>
  <c r="A313" i="2"/>
  <c r="AU185" i="2"/>
  <c r="R185" i="2"/>
  <c r="V185" i="2"/>
  <c r="W185" i="2" s="1"/>
  <c r="AR185" i="2"/>
  <c r="AU231" i="2"/>
  <c r="R231" i="2"/>
  <c r="V231" i="2"/>
  <c r="W231" i="2" s="1"/>
  <c r="AR231" i="2"/>
  <c r="Z184" i="2"/>
  <c r="AB184" i="2" s="1"/>
  <c r="AO184" i="2" s="1"/>
  <c r="AX184" i="2" s="1"/>
  <c r="AA184" i="2"/>
  <c r="AN184" i="2" s="1"/>
  <c r="AW184" i="2" s="1"/>
  <c r="AL184" i="2"/>
  <c r="AI184" i="2"/>
  <c r="Z342" i="2"/>
  <c r="AB342" i="2" s="1"/>
  <c r="AO342" i="2" s="1"/>
  <c r="AX342" i="2" s="1"/>
  <c r="AA342" i="2"/>
  <c r="AN342" i="2" s="1"/>
  <c r="AW342" i="2" s="1"/>
  <c r="AL342" i="2"/>
  <c r="AL43" i="2"/>
  <c r="Z43" i="2"/>
  <c r="AB43" i="2" s="1"/>
  <c r="AO43" i="2" s="1"/>
  <c r="AX43" i="2" s="1"/>
  <c r="AA43" i="2"/>
  <c r="AN43" i="2" s="1"/>
  <c r="AW43" i="2" s="1"/>
  <c r="AB261" i="2"/>
  <c r="AL261" i="2"/>
  <c r="Z261" i="2"/>
  <c r="AA261" i="2"/>
  <c r="AN261" i="2" s="1"/>
  <c r="AW261" i="2" s="1"/>
  <c r="AR96" i="2"/>
  <c r="R96" i="2"/>
  <c r="AU96" i="2"/>
  <c r="V96" i="2"/>
  <c r="D344" i="2"/>
  <c r="A343" i="2"/>
  <c r="B343" i="2"/>
  <c r="W43" i="2"/>
  <c r="D167" i="2"/>
  <c r="B166" i="2"/>
  <c r="C166" i="2"/>
  <c r="A166" i="2"/>
  <c r="A253" i="2"/>
  <c r="B253" i="2"/>
  <c r="D254" i="2"/>
  <c r="C253" i="2"/>
  <c r="T403" i="2"/>
  <c r="AM403" i="2"/>
  <c r="V403" i="2"/>
  <c r="AU403" i="2"/>
  <c r="AV401" i="2" s="1"/>
  <c r="AR403" i="2"/>
  <c r="AS401" i="2" s="1"/>
  <c r="R403" i="2"/>
  <c r="I13" i="739"/>
  <c r="Z170" i="2"/>
  <c r="AA170" i="2"/>
  <c r="AN170" i="2" s="1"/>
  <c r="AW170" i="2" s="1"/>
  <c r="AB170" i="2"/>
  <c r="AO170" i="2" s="1"/>
  <c r="AX170" i="2" s="1"/>
  <c r="Z167" i="2"/>
  <c r="AA167" i="2"/>
  <c r="AN167" i="2" s="1"/>
  <c r="AW167" i="2" s="1"/>
  <c r="AB167" i="2"/>
  <c r="AR229" i="2"/>
  <c r="V229" i="2"/>
  <c r="W229" i="2" s="1"/>
  <c r="AU229" i="2"/>
  <c r="R229" i="2"/>
  <c r="AI387" i="2"/>
  <c r="AI170" i="2"/>
  <c r="AJ170" i="2" s="1"/>
  <c r="AL170" i="2" s="1"/>
  <c r="AI297" i="2"/>
  <c r="AL46" i="2"/>
  <c r="Z46" i="2"/>
  <c r="AA46" i="2"/>
  <c r="AN46" i="2" s="1"/>
  <c r="AW46" i="2" s="1"/>
  <c r="AB46" i="2"/>
  <c r="AO46" i="2" s="1"/>
  <c r="AX46" i="2" s="1"/>
  <c r="D361" i="2"/>
  <c r="A360" i="2"/>
  <c r="B360" i="2"/>
  <c r="AI154" i="2"/>
  <c r="A196" i="2"/>
  <c r="B196" i="2"/>
  <c r="C196" i="2"/>
  <c r="D197" i="2"/>
  <c r="Z142" i="2"/>
  <c r="AB142" i="2" s="1"/>
  <c r="AO142" i="2" s="1"/>
  <c r="AX142" i="2" s="1"/>
  <c r="AA142" i="2"/>
  <c r="AN142" i="2" s="1"/>
  <c r="AW142" i="2" s="1"/>
  <c r="AL142" i="2"/>
  <c r="AI142" i="2"/>
  <c r="AM111" i="2"/>
  <c r="T111" i="2"/>
  <c r="W48" i="2"/>
  <c r="X47" i="2" s="1"/>
  <c r="W154" i="2"/>
  <c r="T343" i="2"/>
  <c r="AM343" i="2"/>
  <c r="AI343" i="2" s="1"/>
  <c r="AR343" i="2"/>
  <c r="AS341" i="2" s="1"/>
  <c r="V343" i="2"/>
  <c r="R343" i="2"/>
  <c r="AU343" i="2"/>
  <c r="AV341" i="2" s="1"/>
  <c r="I157" i="2"/>
  <c r="AI112" i="2"/>
  <c r="X245" i="2"/>
  <c r="T283" i="2"/>
  <c r="AM283" i="2"/>
  <c r="AI283" i="2" s="1"/>
  <c r="V283" i="2"/>
  <c r="R283" i="2"/>
  <c r="AU283" i="2"/>
  <c r="AV281" i="2" s="1"/>
  <c r="AR283" i="2"/>
  <c r="AS281" i="2" s="1"/>
  <c r="AI152" i="2"/>
  <c r="AJ152" i="2" s="1"/>
  <c r="AV200" i="2"/>
  <c r="H41" i="881"/>
  <c r="H59" i="881"/>
  <c r="X152" i="2"/>
  <c r="X74" i="2"/>
  <c r="H13" i="739"/>
  <c r="AO276" i="2"/>
  <c r="AX276" i="2" s="1"/>
  <c r="B283" i="2"/>
  <c r="D284" i="2"/>
  <c r="A283" i="2"/>
  <c r="D150" i="2"/>
  <c r="A149" i="2"/>
  <c r="B149" i="2"/>
  <c r="C149" i="2"/>
  <c r="AL49" i="2"/>
  <c r="Z49" i="2"/>
  <c r="AB49" i="2" s="1"/>
  <c r="AO49" i="2" s="1"/>
  <c r="AX49" i="2" s="1"/>
  <c r="AA49" i="2"/>
  <c r="J405" i="2"/>
  <c r="K404" i="2"/>
  <c r="T358" i="2"/>
  <c r="AM358" i="2"/>
  <c r="AU358" i="2"/>
  <c r="AV356" i="2" s="1"/>
  <c r="AR358" i="2"/>
  <c r="AS356" i="2" s="1"/>
  <c r="R358" i="2"/>
  <c r="V358" i="2"/>
  <c r="Z387" i="2"/>
  <c r="AB387" i="2" s="1"/>
  <c r="AO387" i="2" s="1"/>
  <c r="AX387" i="2" s="1"/>
  <c r="AA387" i="2"/>
  <c r="AN387" i="2" s="1"/>
  <c r="AW387" i="2" s="1"/>
  <c r="AL387" i="2"/>
  <c r="B271" i="2"/>
  <c r="C271" i="2"/>
  <c r="D272" i="2"/>
  <c r="A271" i="2"/>
  <c r="W46" i="2"/>
  <c r="AA108" i="2"/>
  <c r="AN108" i="2" s="1"/>
  <c r="AW108" i="2" s="1"/>
  <c r="AB108" i="2"/>
  <c r="AL108" i="2"/>
  <c r="Z108" i="2"/>
  <c r="Z73" i="2"/>
  <c r="AB73" i="2" s="1"/>
  <c r="AO73" i="2" s="1"/>
  <c r="AX73" i="2" s="1"/>
  <c r="AA73" i="2"/>
  <c r="AN73" i="2" s="1"/>
  <c r="AW73" i="2" s="1"/>
  <c r="AL73" i="2"/>
  <c r="I64" i="2"/>
  <c r="AI261" i="2"/>
  <c r="AJ260" i="2" s="1"/>
  <c r="I111" i="2"/>
  <c r="K344" i="2"/>
  <c r="J345" i="2"/>
  <c r="T157" i="2"/>
  <c r="AM157" i="2"/>
  <c r="H82" i="2"/>
  <c r="G82" i="2"/>
  <c r="K82" i="2"/>
  <c r="Z81" i="2"/>
  <c r="AB81" i="2" s="1"/>
  <c r="AO81" i="2" s="1"/>
  <c r="AX81" i="2" s="1"/>
  <c r="AA81" i="2"/>
  <c r="AN81" i="2" s="1"/>
  <c r="AW81" i="2" s="1"/>
  <c r="AL81" i="2"/>
  <c r="AL245" i="2"/>
  <c r="Z245" i="2"/>
  <c r="AB245" i="2" s="1"/>
  <c r="AO245" i="2" s="1"/>
  <c r="AX245" i="2" s="1"/>
  <c r="AA245" i="2"/>
  <c r="AN245" i="2" s="1"/>
  <c r="AW245" i="2" s="1"/>
  <c r="K284" i="2"/>
  <c r="J285" i="2"/>
  <c r="AI372" i="2"/>
  <c r="T66" i="2"/>
  <c r="AM66" i="2"/>
  <c r="V202" i="2"/>
  <c r="W202" i="2" s="1"/>
  <c r="AU202" i="2"/>
  <c r="R202" i="2"/>
  <c r="AR202" i="2"/>
  <c r="AS200" i="2" s="1"/>
  <c r="AL63" i="2"/>
  <c r="Z63" i="2"/>
  <c r="AB63" i="2" s="1"/>
  <c r="AO63" i="2" s="1"/>
  <c r="AX63" i="2" s="1"/>
  <c r="AA63" i="2"/>
  <c r="AN63" i="2" s="1"/>
  <c r="AW63" i="2" s="1"/>
  <c r="AA105" i="2"/>
  <c r="AN105" i="2" s="1"/>
  <c r="AW105" i="2" s="1"/>
  <c r="Z105" i="2"/>
  <c r="AB105" i="2"/>
  <c r="AL105" i="2"/>
  <c r="W184" i="2"/>
  <c r="G41" i="881"/>
  <c r="Z357" i="2"/>
  <c r="AB357" i="2" s="1"/>
  <c r="AO357" i="2" s="1"/>
  <c r="AX357" i="2" s="1"/>
  <c r="AA357" i="2"/>
  <c r="AN357" i="2" s="1"/>
  <c r="AW357" i="2" s="1"/>
  <c r="AL357" i="2"/>
  <c r="K359" i="2"/>
  <c r="J360" i="2"/>
  <c r="AJ74" i="2"/>
  <c r="AL74" i="2" s="1"/>
  <c r="AO74" i="2" s="1"/>
  <c r="AX74" i="2" s="1"/>
  <c r="K67" i="2"/>
  <c r="T67" i="2" s="1"/>
  <c r="H67" i="2"/>
  <c r="G67" i="2"/>
  <c r="AR112" i="2"/>
  <c r="R112" i="2"/>
  <c r="AU112" i="2"/>
  <c r="V112" i="2"/>
  <c r="AU186" i="2"/>
  <c r="V186" i="2"/>
  <c r="R186" i="2"/>
  <c r="AR186" i="2"/>
  <c r="B328" i="2"/>
  <c r="D329" i="2"/>
  <c r="A328" i="2"/>
  <c r="AU228" i="2"/>
  <c r="AV227" i="2" s="1"/>
  <c r="V228" i="2"/>
  <c r="W228" i="2" s="1"/>
  <c r="X227" i="2" s="1"/>
  <c r="R228" i="2"/>
  <c r="AR228" i="2"/>
  <c r="AS227" i="2" s="1"/>
  <c r="AI167" i="2"/>
  <c r="AJ167" i="2" s="1"/>
  <c r="AL167" i="2" s="1"/>
  <c r="AU79" i="2"/>
  <c r="AV77" i="2" s="1"/>
  <c r="R79" i="2"/>
  <c r="AR79" i="2"/>
  <c r="AS77" i="2" s="1"/>
  <c r="AO60" i="2"/>
  <c r="AX60" i="2" s="1"/>
  <c r="X215" i="2"/>
  <c r="Z201" i="2"/>
  <c r="AA201" i="2"/>
  <c r="AN201" i="2" s="1"/>
  <c r="AW201" i="2" s="1"/>
  <c r="AB201" i="2"/>
  <c r="AO201" i="2" s="1"/>
  <c r="AX201" i="2" s="1"/>
  <c r="AL201" i="2"/>
  <c r="AO217" i="2"/>
  <c r="AX217" i="2" s="1"/>
  <c r="E25" i="730"/>
  <c r="T64" i="2"/>
  <c r="AM64" i="2"/>
  <c r="AI73" i="2"/>
  <c r="AJ71" i="2" s="1"/>
  <c r="AL71" i="2" s="1"/>
  <c r="AO71" i="2" s="1"/>
  <c r="AX71" i="2" s="1"/>
  <c r="AL42" i="2"/>
  <c r="Z42" i="2"/>
  <c r="AB42" i="2" s="1"/>
  <c r="AO42" i="2" s="1"/>
  <c r="AX42" i="2" s="1"/>
  <c r="AA42" i="2"/>
  <c r="AN42" i="2" s="1"/>
  <c r="AW42" i="2" s="1"/>
  <c r="AO88" i="2"/>
  <c r="AX88" i="2" s="1"/>
  <c r="A38" i="2"/>
  <c r="B38" i="2"/>
  <c r="C38" i="2"/>
  <c r="D39" i="2"/>
  <c r="B119" i="2"/>
  <c r="C119" i="2"/>
  <c r="D120" i="2"/>
  <c r="A119" i="2"/>
  <c r="AS44" i="2"/>
  <c r="N39" i="701"/>
  <c r="U79" i="2"/>
  <c r="V79" i="2" s="1"/>
  <c r="T79" i="2"/>
  <c r="AM79" i="2"/>
  <c r="D376" i="2"/>
  <c r="A375" i="2"/>
  <c r="B375" i="2"/>
  <c r="AI65" i="2"/>
  <c r="I66" i="2"/>
  <c r="W201" i="2"/>
  <c r="X200" i="2" s="1"/>
  <c r="Z402" i="2"/>
  <c r="AA402" i="2"/>
  <c r="AN402" i="2" s="1"/>
  <c r="AW402" i="2" s="1"/>
  <c r="AB402" i="2"/>
  <c r="AO402" i="2" s="1"/>
  <c r="AX402" i="2" s="1"/>
  <c r="AL402" i="2"/>
  <c r="W105" i="2"/>
  <c r="X104" i="2" s="1"/>
  <c r="D25" i="730"/>
  <c r="R232" i="2"/>
  <c r="AR232" i="2"/>
  <c r="AU232" i="2"/>
  <c r="V232" i="2"/>
  <c r="W232" i="2" s="1"/>
  <c r="AO39" i="2"/>
  <c r="AX39" i="2" s="1"/>
  <c r="T373" i="2"/>
  <c r="AM373" i="2"/>
  <c r="AI373" i="2" s="1"/>
  <c r="AJ371" i="2" s="1"/>
  <c r="AL371" i="2" s="1"/>
  <c r="AU373" i="2"/>
  <c r="AV371" i="2" s="1"/>
  <c r="V373" i="2"/>
  <c r="W373" i="2" s="1"/>
  <c r="X371" i="2" s="1"/>
  <c r="Z371" i="2" s="1"/>
  <c r="AB371" i="2" s="1"/>
  <c r="AO371" i="2" s="1"/>
  <c r="AX371" i="2" s="1"/>
  <c r="R373" i="2"/>
  <c r="AR373" i="2"/>
  <c r="AS371" i="2" s="1"/>
  <c r="A74" i="2"/>
  <c r="B74" i="2"/>
  <c r="D75" i="2"/>
  <c r="C74" i="2"/>
  <c r="V52" i="2"/>
  <c r="R52" i="2"/>
  <c r="AR52" i="2"/>
  <c r="B178" i="2"/>
  <c r="C178" i="2"/>
  <c r="D179" i="2"/>
  <c r="A178" i="2"/>
  <c r="AR97" i="2"/>
  <c r="R97" i="2"/>
  <c r="AU97" i="2"/>
  <c r="V97" i="2"/>
  <c r="W97" i="2" s="1"/>
  <c r="B298" i="2"/>
  <c r="D299" i="2"/>
  <c r="A298" i="2"/>
  <c r="AL327" i="2"/>
  <c r="AA327" i="2"/>
  <c r="AN327" i="2" s="1"/>
  <c r="AW327" i="2" s="1"/>
  <c r="Z327" i="2"/>
  <c r="AB327" i="2"/>
  <c r="AO327" i="2" s="1"/>
  <c r="AX327" i="2" s="1"/>
  <c r="W357" i="2"/>
  <c r="K374" i="2"/>
  <c r="J375" i="2"/>
  <c r="V51" i="2"/>
  <c r="W51" i="2" s="1"/>
  <c r="R51" i="2"/>
  <c r="AR51" i="2"/>
  <c r="D52" i="730"/>
  <c r="AL282" i="2"/>
  <c r="Z282" i="2"/>
  <c r="AA282" i="2"/>
  <c r="AN282" i="2" s="1"/>
  <c r="AW282" i="2" s="1"/>
  <c r="AB282" i="2"/>
  <c r="AU183" i="2"/>
  <c r="V183" i="2"/>
  <c r="R183" i="2"/>
  <c r="AR183" i="2"/>
  <c r="AJ341" i="2"/>
  <c r="AL341" i="2" s="1"/>
  <c r="AL297" i="2"/>
  <c r="Z297" i="2"/>
  <c r="AB297" i="2" s="1"/>
  <c r="AO297" i="2" s="1"/>
  <c r="AX297" i="2" s="1"/>
  <c r="AA297" i="2"/>
  <c r="AN297" i="2" s="1"/>
  <c r="AW297" i="2" s="1"/>
  <c r="T298" i="2"/>
  <c r="AM298" i="2"/>
  <c r="R298" i="2"/>
  <c r="AU298" i="2"/>
  <c r="AV296" i="2" s="1"/>
  <c r="AR298" i="2"/>
  <c r="AS296" i="2" s="1"/>
  <c r="V298" i="2"/>
  <c r="W298" i="2" s="1"/>
  <c r="X296" i="2" s="1"/>
  <c r="Z296" i="2" s="1"/>
  <c r="AB296" i="2" s="1"/>
  <c r="T388" i="2"/>
  <c r="AM388" i="2"/>
  <c r="AI388" i="2" s="1"/>
  <c r="AJ386" i="2" s="1"/>
  <c r="AL386" i="2" s="1"/>
  <c r="AU388" i="2"/>
  <c r="AV386" i="2" s="1"/>
  <c r="V388" i="2"/>
  <c r="R388" i="2"/>
  <c r="AR388" i="2"/>
  <c r="AS386" i="2" s="1"/>
  <c r="W42" i="2"/>
  <c r="X41" i="2" s="1"/>
  <c r="H6" i="474"/>
  <c r="Z45" i="2"/>
  <c r="AA45" i="2"/>
  <c r="AN45" i="2" s="1"/>
  <c r="AW45" i="2" s="1"/>
  <c r="AB45" i="2"/>
  <c r="AO45" i="2" s="1"/>
  <c r="AX45" i="2" s="1"/>
  <c r="AL45" i="2"/>
  <c r="T155" i="2"/>
  <c r="AM155" i="2"/>
  <c r="AI81" i="2"/>
  <c r="Z65" i="2"/>
  <c r="AB65" i="2" s="1"/>
  <c r="AA65" i="2"/>
  <c r="AN65" i="2" s="1"/>
  <c r="AW65" i="2" s="1"/>
  <c r="Z215" i="2"/>
  <c r="AB215" i="2" s="1"/>
  <c r="AO215" i="2" s="1"/>
  <c r="AX215" i="2" s="1"/>
  <c r="AA215" i="2"/>
  <c r="AN215" i="2" s="1"/>
  <c r="AW215" i="2" s="1"/>
  <c r="AL215" i="2"/>
  <c r="A238" i="2"/>
  <c r="C238" i="2"/>
  <c r="D239" i="2"/>
  <c r="B238" i="2"/>
  <c r="K329" i="2"/>
  <c r="J330" i="2"/>
  <c r="AU94" i="2"/>
  <c r="R94" i="2"/>
  <c r="V94" i="2"/>
  <c r="W94" i="2" s="1"/>
  <c r="AR94" i="2"/>
  <c r="V187" i="2"/>
  <c r="W187" i="2" s="1"/>
  <c r="AU187" i="2"/>
  <c r="R187" i="2"/>
  <c r="AR187" i="2"/>
  <c r="V156" i="2"/>
  <c r="AU156" i="2"/>
  <c r="R156" i="2"/>
  <c r="AR156" i="2"/>
  <c r="Z76" i="2"/>
  <c r="AA76" i="2"/>
  <c r="AN76" i="2" s="1"/>
  <c r="AW76" i="2" s="1"/>
  <c r="AB76" i="2"/>
  <c r="AO76" i="2" s="1"/>
  <c r="AX76" i="2" s="1"/>
  <c r="AL76" i="2"/>
  <c r="AL312" i="2"/>
  <c r="Z312" i="2"/>
  <c r="AB312" i="2" s="1"/>
  <c r="AO312" i="2" s="1"/>
  <c r="AX312" i="2" s="1"/>
  <c r="AA312" i="2"/>
  <c r="AN312" i="2" s="1"/>
  <c r="AW312" i="2" s="1"/>
  <c r="AR61" i="2"/>
  <c r="AS59" i="2" s="1"/>
  <c r="AU61" i="2"/>
  <c r="AV59" i="2" s="1"/>
  <c r="V61" i="2"/>
  <c r="R61" i="2"/>
  <c r="AJ275" i="2"/>
  <c r="C111" i="2"/>
  <c r="D112" i="2"/>
  <c r="A111" i="2"/>
  <c r="B111" i="2"/>
  <c r="A217" i="2"/>
  <c r="B217" i="2"/>
  <c r="C217" i="2"/>
  <c r="T313" i="2"/>
  <c r="AM313" i="2"/>
  <c r="V313" i="2"/>
  <c r="R313" i="2"/>
  <c r="AU313" i="2"/>
  <c r="AV311" i="2" s="1"/>
  <c r="AR313" i="2"/>
  <c r="AS311" i="2" s="1"/>
  <c r="T328" i="2"/>
  <c r="AM328" i="2"/>
  <c r="AI328" i="2" s="1"/>
  <c r="AJ326" i="2" s="1"/>
  <c r="AL326" i="2" s="1"/>
  <c r="V328" i="2"/>
  <c r="W328" i="2" s="1"/>
  <c r="X326" i="2" s="1"/>
  <c r="Z326" i="2" s="1"/>
  <c r="AB326" i="2" s="1"/>
  <c r="R328" i="2"/>
  <c r="AR328" i="2"/>
  <c r="AS326" i="2" s="1"/>
  <c r="AU328" i="2"/>
  <c r="AV326" i="2" s="1"/>
  <c r="AL198" i="2"/>
  <c r="Z198" i="2"/>
  <c r="AB198" i="2" s="1"/>
  <c r="AO198" i="2" s="1"/>
  <c r="AX198" i="2" s="1"/>
  <c r="AA198" i="2"/>
  <c r="AN198" i="2" s="1"/>
  <c r="AW198" i="2" s="1"/>
  <c r="B64" i="2"/>
  <c r="C64" i="2"/>
  <c r="D65" i="2"/>
  <c r="A64" i="2"/>
  <c r="AI61" i="2"/>
  <c r="AJ59" i="2" s="1"/>
  <c r="AL59" i="2" s="1"/>
  <c r="AO59" i="2" s="1"/>
  <c r="AX59" i="2" s="1"/>
  <c r="K299" i="2"/>
  <c r="J300" i="2"/>
  <c r="K389" i="2"/>
  <c r="J390" i="2"/>
  <c r="AS41" i="2"/>
  <c r="W45" i="2"/>
  <c r="X44" i="2" s="1"/>
  <c r="I155" i="2"/>
  <c r="AJ140" i="2"/>
  <c r="W81" i="2"/>
  <c r="E167" i="2"/>
  <c r="E272" i="2"/>
  <c r="E120" i="2"/>
  <c r="E179" i="2"/>
  <c r="E299" i="2"/>
  <c r="E227" i="2"/>
  <c r="E75" i="2"/>
  <c r="E137" i="2"/>
  <c r="E407" i="2"/>
  <c r="E239" i="2"/>
  <c r="E112" i="2"/>
  <c r="E93" i="2"/>
  <c r="E392" i="2"/>
  <c r="E344" i="2"/>
  <c r="E284" i="2"/>
  <c r="E329" i="2"/>
  <c r="E65" i="2"/>
  <c r="E39" i="2"/>
  <c r="E376" i="2"/>
  <c r="E361" i="2"/>
  <c r="E197" i="2"/>
  <c r="E150" i="2"/>
  <c r="E314" i="2"/>
  <c r="E254" i="2"/>
  <c r="K13" i="739" l="1"/>
  <c r="K8" i="739"/>
  <c r="AO326" i="2"/>
  <c r="AX326" i="2" s="1"/>
  <c r="Z61" i="2"/>
  <c r="AA61" i="2"/>
  <c r="AN61" i="2" s="1"/>
  <c r="AW61" i="2" s="1"/>
  <c r="AB61" i="2"/>
  <c r="AL61" i="2"/>
  <c r="Z183" i="2"/>
  <c r="AA183" i="2"/>
  <c r="AN183" i="2" s="1"/>
  <c r="AW183" i="2" s="1"/>
  <c r="AB183" i="2"/>
  <c r="AO183" i="2" s="1"/>
  <c r="AX183" i="2" s="1"/>
  <c r="AL183" i="2"/>
  <c r="AI183" i="2"/>
  <c r="T374" i="2"/>
  <c r="AM374" i="2"/>
  <c r="AI374" i="2" s="1"/>
  <c r="AU374" i="2"/>
  <c r="AR374" i="2"/>
  <c r="V374" i="2"/>
  <c r="W374" i="2" s="1"/>
  <c r="R374" i="2"/>
  <c r="AL79" i="2"/>
  <c r="Z79" i="2"/>
  <c r="AB79" i="2" s="1"/>
  <c r="AO79" i="2" s="1"/>
  <c r="AX79" i="2" s="1"/>
  <c r="AA79" i="2"/>
  <c r="AN79" i="2" s="1"/>
  <c r="AW79" i="2" s="1"/>
  <c r="Z358" i="2"/>
  <c r="AB358" i="2" s="1"/>
  <c r="AO358" i="2" s="1"/>
  <c r="AX358" i="2" s="1"/>
  <c r="AA358" i="2"/>
  <c r="AN358" i="2" s="1"/>
  <c r="AW358" i="2" s="1"/>
  <c r="AL358" i="2"/>
  <c r="K405" i="2"/>
  <c r="J406" i="2"/>
  <c r="V157" i="2"/>
  <c r="R157" i="2"/>
  <c r="AU157" i="2"/>
  <c r="AR157" i="2"/>
  <c r="AA403" i="2"/>
  <c r="AN403" i="2" s="1"/>
  <c r="AW403" i="2" s="1"/>
  <c r="Z403" i="2"/>
  <c r="AB403" i="2" s="1"/>
  <c r="AO403" i="2" s="1"/>
  <c r="AX403" i="2" s="1"/>
  <c r="AL403" i="2"/>
  <c r="C254" i="2"/>
  <c r="A254" i="2"/>
  <c r="B254" i="2"/>
  <c r="D255" i="2"/>
  <c r="A314" i="2"/>
  <c r="D315" i="2"/>
  <c r="B314" i="2"/>
  <c r="T314" i="2"/>
  <c r="AM314" i="2"/>
  <c r="AI314" i="2" s="1"/>
  <c r="R314" i="2"/>
  <c r="V314" i="2"/>
  <c r="W314" i="2" s="1"/>
  <c r="AU314" i="2"/>
  <c r="AR314" i="2"/>
  <c r="AA94" i="2"/>
  <c r="AN94" i="2" s="1"/>
  <c r="AW94" i="2" s="1"/>
  <c r="Z94" i="2"/>
  <c r="AB94" i="2" s="1"/>
  <c r="AO94" i="2" s="1"/>
  <c r="AX94" i="2" s="1"/>
  <c r="AL94" i="2"/>
  <c r="AI94" i="2"/>
  <c r="W61" i="2"/>
  <c r="X59" i="2" s="1"/>
  <c r="W156" i="2"/>
  <c r="W183" i="2"/>
  <c r="X356" i="2"/>
  <c r="Z356" i="2" s="1"/>
  <c r="AB356" i="2" s="1"/>
  <c r="AO356" i="2" s="1"/>
  <c r="AX356" i="2" s="1"/>
  <c r="W112" i="2"/>
  <c r="V64" i="2"/>
  <c r="W64" i="2" s="1"/>
  <c r="X62" i="2" s="1"/>
  <c r="AU64" i="2"/>
  <c r="AV62" i="2" s="1"/>
  <c r="R64" i="2"/>
  <c r="AR64" i="2"/>
  <c r="AS62" i="2" s="1"/>
  <c r="AH49" i="2"/>
  <c r="AM49" i="2" s="1"/>
  <c r="AN49" i="2"/>
  <c r="AW49" i="2" s="1"/>
  <c r="D151" i="2"/>
  <c r="A150" i="2"/>
  <c r="C150" i="2"/>
  <c r="B150" i="2"/>
  <c r="A197" i="2"/>
  <c r="B197" i="2"/>
  <c r="C197" i="2"/>
  <c r="D198" i="2"/>
  <c r="D362" i="2"/>
  <c r="A361" i="2"/>
  <c r="B361" i="2"/>
  <c r="AS230" i="2"/>
  <c r="AH48" i="2"/>
  <c r="AM48" i="2" s="1"/>
  <c r="AN48" i="2" s="1"/>
  <c r="AW48" i="2" s="1"/>
  <c r="Z313" i="2"/>
  <c r="AB313" i="2" s="1"/>
  <c r="AO313" i="2" s="1"/>
  <c r="AX313" i="2" s="1"/>
  <c r="AA313" i="2"/>
  <c r="AN313" i="2" s="1"/>
  <c r="AW313" i="2" s="1"/>
  <c r="AL313" i="2"/>
  <c r="D377" i="2"/>
  <c r="A376" i="2"/>
  <c r="B376" i="2"/>
  <c r="B39" i="2"/>
  <c r="D40" i="2"/>
  <c r="C39" i="2"/>
  <c r="A39" i="2"/>
  <c r="K285" i="2"/>
  <c r="J286" i="2"/>
  <c r="T82" i="2"/>
  <c r="AM82" i="2"/>
  <c r="K345" i="2"/>
  <c r="J346" i="2"/>
  <c r="X230" i="2"/>
  <c r="AS185" i="2"/>
  <c r="T299" i="2"/>
  <c r="AM299" i="2"/>
  <c r="AI299" i="2" s="1"/>
  <c r="AU299" i="2"/>
  <c r="AR299" i="2"/>
  <c r="R299" i="2"/>
  <c r="V299" i="2"/>
  <c r="K330" i="2"/>
  <c r="J331" i="2"/>
  <c r="A65" i="2"/>
  <c r="B65" i="2"/>
  <c r="D66" i="2"/>
  <c r="C65" i="2"/>
  <c r="W313" i="2"/>
  <c r="X311" i="2" s="1"/>
  <c r="Z311" i="2" s="1"/>
  <c r="AB311" i="2" s="1"/>
  <c r="AL187" i="2"/>
  <c r="Z187" i="2"/>
  <c r="AB187" i="2" s="1"/>
  <c r="AO187" i="2" s="1"/>
  <c r="AX187" i="2" s="1"/>
  <c r="AA187" i="2"/>
  <c r="AN187" i="2" s="1"/>
  <c r="AW187" i="2" s="1"/>
  <c r="AI187" i="2"/>
  <c r="T329" i="2"/>
  <c r="AM329" i="2"/>
  <c r="AI329" i="2" s="1"/>
  <c r="AU329" i="2"/>
  <c r="AR329" i="2"/>
  <c r="R329" i="2"/>
  <c r="V329" i="2"/>
  <c r="W329" i="2" s="1"/>
  <c r="Z388" i="2"/>
  <c r="AA388" i="2"/>
  <c r="AN388" i="2" s="1"/>
  <c r="AW388" i="2" s="1"/>
  <c r="AB388" i="2"/>
  <c r="AO388" i="2" s="1"/>
  <c r="AX388" i="2" s="1"/>
  <c r="AL388" i="2"/>
  <c r="AS50" i="2"/>
  <c r="AL52" i="2"/>
  <c r="Z52" i="2"/>
  <c r="AB52" i="2" s="1"/>
  <c r="AO52" i="2" s="1"/>
  <c r="AX52" i="2" s="1"/>
  <c r="AA52" i="2"/>
  <c r="A329" i="2"/>
  <c r="D330" i="2"/>
  <c r="B329" i="2"/>
  <c r="Z112" i="2"/>
  <c r="AB112" i="2" s="1"/>
  <c r="AO112" i="2" s="1"/>
  <c r="AX112" i="2" s="1"/>
  <c r="AA112" i="2"/>
  <c r="AN112" i="2" s="1"/>
  <c r="AW112" i="2" s="1"/>
  <c r="AL112" i="2"/>
  <c r="AO105" i="2"/>
  <c r="AX105" i="2" s="1"/>
  <c r="Z202" i="2"/>
  <c r="AB202" i="2" s="1"/>
  <c r="AO202" i="2" s="1"/>
  <c r="AX202" i="2" s="1"/>
  <c r="AA202" i="2"/>
  <c r="AN202" i="2" s="1"/>
  <c r="AW202" i="2" s="1"/>
  <c r="AL202" i="2"/>
  <c r="T284" i="2"/>
  <c r="R284" i="2"/>
  <c r="AM284" i="2"/>
  <c r="V284" i="2"/>
  <c r="AU284" i="2"/>
  <c r="AR284" i="2"/>
  <c r="T344" i="2"/>
  <c r="AM344" i="2"/>
  <c r="AI344" i="2" s="1"/>
  <c r="AU344" i="2"/>
  <c r="R344" i="2"/>
  <c r="AR344" i="2"/>
  <c r="V344" i="2"/>
  <c r="AO108" i="2"/>
  <c r="AX108" i="2" s="1"/>
  <c r="AI358" i="2"/>
  <c r="AJ356" i="2" s="1"/>
  <c r="AL356" i="2" s="1"/>
  <c r="A284" i="2"/>
  <c r="D285" i="2"/>
  <c r="B284" i="2"/>
  <c r="AI202" i="2"/>
  <c r="AJ200" i="2" s="1"/>
  <c r="AL200" i="2" s="1"/>
  <c r="AO200" i="2" s="1"/>
  <c r="AX200" i="2" s="1"/>
  <c r="Z283" i="2"/>
  <c r="AA283" i="2"/>
  <c r="AN283" i="2" s="1"/>
  <c r="AW283" i="2" s="1"/>
  <c r="AB283" i="2"/>
  <c r="AO283" i="2" s="1"/>
  <c r="AX283" i="2" s="1"/>
  <c r="AL283" i="2"/>
  <c r="Z229" i="2"/>
  <c r="AB229" i="2" s="1"/>
  <c r="AO229" i="2" s="1"/>
  <c r="AX229" i="2" s="1"/>
  <c r="AA229" i="2"/>
  <c r="AN229" i="2" s="1"/>
  <c r="AW229" i="2" s="1"/>
  <c r="AL229" i="2"/>
  <c r="AI229" i="2"/>
  <c r="W403" i="2"/>
  <c r="X401" i="2" s="1"/>
  <c r="Z401" i="2" s="1"/>
  <c r="AB401" i="2" s="1"/>
  <c r="AO401" i="2" s="1"/>
  <c r="AX401" i="2" s="1"/>
  <c r="A344" i="2"/>
  <c r="D345" i="2"/>
  <c r="B344" i="2"/>
  <c r="AO261" i="2"/>
  <c r="AX261" i="2" s="1"/>
  <c r="AB231" i="2"/>
  <c r="AO231" i="2" s="1"/>
  <c r="AX231" i="2" s="1"/>
  <c r="AL231" i="2"/>
  <c r="Z231" i="2"/>
  <c r="AA231" i="2"/>
  <c r="AN231" i="2" s="1"/>
  <c r="AW231" i="2" s="1"/>
  <c r="AI231" i="2"/>
  <c r="A392" i="2"/>
  <c r="D393" i="2"/>
  <c r="B392" i="2"/>
  <c r="X182" i="2"/>
  <c r="K390" i="2"/>
  <c r="J391" i="2"/>
  <c r="Z328" i="2"/>
  <c r="AB328" i="2"/>
  <c r="AL328" i="2"/>
  <c r="AA328" i="2"/>
  <c r="AN328" i="2" s="1"/>
  <c r="AW328" i="2" s="1"/>
  <c r="AI313" i="2"/>
  <c r="AJ311" i="2" s="1"/>
  <c r="AL311" i="2" s="1"/>
  <c r="W388" i="2"/>
  <c r="X386" i="2" s="1"/>
  <c r="Z386" i="2" s="1"/>
  <c r="AB386" i="2" s="1"/>
  <c r="AO386" i="2" s="1"/>
  <c r="AX386" i="2" s="1"/>
  <c r="AL51" i="2"/>
  <c r="Z51" i="2"/>
  <c r="AA51" i="2"/>
  <c r="AB51" i="2"/>
  <c r="AO51" i="2" s="1"/>
  <c r="AX51" i="2" s="1"/>
  <c r="Z97" i="2"/>
  <c r="AB97" i="2" s="1"/>
  <c r="AO97" i="2" s="1"/>
  <c r="AX97" i="2" s="1"/>
  <c r="AA97" i="2"/>
  <c r="AN97" i="2" s="1"/>
  <c r="AW97" i="2" s="1"/>
  <c r="AL97" i="2"/>
  <c r="AI97" i="2"/>
  <c r="W52" i="2"/>
  <c r="Z373" i="2"/>
  <c r="AA373" i="2"/>
  <c r="AN373" i="2" s="1"/>
  <c r="AW373" i="2" s="1"/>
  <c r="AB373" i="2"/>
  <c r="AL373" i="2"/>
  <c r="AI79" i="2"/>
  <c r="AJ77" i="2" s="1"/>
  <c r="AL77" i="2" s="1"/>
  <c r="AO77" i="2" s="1"/>
  <c r="AX77" i="2" s="1"/>
  <c r="U39" i="701"/>
  <c r="J39" i="701"/>
  <c r="L39" i="701"/>
  <c r="F39" i="701"/>
  <c r="S39" i="701"/>
  <c r="H39" i="701"/>
  <c r="Z39" i="701"/>
  <c r="G39" i="701"/>
  <c r="X39" i="701"/>
  <c r="I82" i="2"/>
  <c r="W283" i="2"/>
  <c r="X281" i="2" s="1"/>
  <c r="Z281" i="2" s="1"/>
  <c r="AB281" i="2" s="1"/>
  <c r="AO281" i="2" s="1"/>
  <c r="AX281" i="2" s="1"/>
  <c r="AI403" i="2"/>
  <c r="AJ401" i="2" s="1"/>
  <c r="AL401" i="2" s="1"/>
  <c r="W96" i="2"/>
  <c r="X95" i="2" s="1"/>
  <c r="AV230" i="2"/>
  <c r="AB185" i="2"/>
  <c r="AO185" i="2" s="1"/>
  <c r="AX185" i="2" s="1"/>
  <c r="AL185" i="2"/>
  <c r="Z185" i="2"/>
  <c r="AA185" i="2"/>
  <c r="AN185" i="2" s="1"/>
  <c r="AW185" i="2" s="1"/>
  <c r="AI185" i="2"/>
  <c r="C93" i="2"/>
  <c r="A93" i="2"/>
  <c r="B93" i="2"/>
  <c r="D94" i="2"/>
  <c r="AV92" i="2"/>
  <c r="Z182" i="2"/>
  <c r="AB182" i="2" s="1"/>
  <c r="AO182" i="2" s="1"/>
  <c r="AX182" i="2" s="1"/>
  <c r="AA182" i="2"/>
  <c r="AN182" i="2" s="1"/>
  <c r="AW182" i="2" s="1"/>
  <c r="AL182" i="2"/>
  <c r="AI182" i="2"/>
  <c r="T389" i="2"/>
  <c r="AM389" i="2"/>
  <c r="AI389" i="2" s="1"/>
  <c r="AR389" i="2"/>
  <c r="V389" i="2"/>
  <c r="W389" i="2" s="1"/>
  <c r="AU389" i="2"/>
  <c r="R389" i="2"/>
  <c r="A112" i="2"/>
  <c r="B112" i="2"/>
  <c r="C112" i="2"/>
  <c r="C239" i="2"/>
  <c r="D240" i="2"/>
  <c r="A239" i="2"/>
  <c r="B239" i="2"/>
  <c r="Z298" i="2"/>
  <c r="AA298" i="2"/>
  <c r="AN298" i="2" s="1"/>
  <c r="AW298" i="2" s="1"/>
  <c r="AB298" i="2"/>
  <c r="AO298" i="2" s="1"/>
  <c r="AX298" i="2" s="1"/>
  <c r="AL298" i="2"/>
  <c r="AO282" i="2"/>
  <c r="AX282" i="2" s="1"/>
  <c r="X50" i="2"/>
  <c r="AL232" i="2"/>
  <c r="Z232" i="2"/>
  <c r="AB232" i="2" s="1"/>
  <c r="AO232" i="2" s="1"/>
  <c r="AX232" i="2" s="1"/>
  <c r="AA232" i="2"/>
  <c r="AN232" i="2" s="1"/>
  <c r="AW232" i="2" s="1"/>
  <c r="AI232" i="2"/>
  <c r="AB186" i="2"/>
  <c r="AO186" i="2" s="1"/>
  <c r="AX186" i="2" s="1"/>
  <c r="AL186" i="2"/>
  <c r="Z186" i="2"/>
  <c r="AA186" i="2"/>
  <c r="AN186" i="2" s="1"/>
  <c r="AW186" i="2" s="1"/>
  <c r="AI186" i="2"/>
  <c r="K360" i="2"/>
  <c r="J361" i="2"/>
  <c r="Z343" i="2"/>
  <c r="AB343" i="2" s="1"/>
  <c r="AO343" i="2" s="1"/>
  <c r="AX343" i="2" s="1"/>
  <c r="AA343" i="2"/>
  <c r="AN343" i="2" s="1"/>
  <c r="AW343" i="2" s="1"/>
  <c r="AL343" i="2"/>
  <c r="AV95" i="2"/>
  <c r="AV185" i="2"/>
  <c r="A407" i="2"/>
  <c r="D408" i="2"/>
  <c r="B407" i="2"/>
  <c r="X92" i="2"/>
  <c r="A137" i="2"/>
  <c r="B137" i="2"/>
  <c r="C137" i="2"/>
  <c r="D138" i="2"/>
  <c r="AV182" i="2"/>
  <c r="R155" i="2"/>
  <c r="V155" i="2"/>
  <c r="AR155" i="2"/>
  <c r="AS155" i="2" s="1"/>
  <c r="AU155" i="2"/>
  <c r="AV155" i="2" s="1"/>
  <c r="AL156" i="2"/>
  <c r="Z156" i="2"/>
  <c r="AB156" i="2" s="1"/>
  <c r="AO156" i="2" s="1"/>
  <c r="AX156" i="2" s="1"/>
  <c r="AA156" i="2"/>
  <c r="AN156" i="2" s="1"/>
  <c r="AW156" i="2" s="1"/>
  <c r="K300" i="2"/>
  <c r="J301" i="2"/>
  <c r="AI298" i="2"/>
  <c r="AI156" i="2"/>
  <c r="D76" i="2"/>
  <c r="A75" i="2"/>
  <c r="B75" i="2"/>
  <c r="C75" i="2"/>
  <c r="R66" i="2"/>
  <c r="AR66" i="2"/>
  <c r="AU66" i="2"/>
  <c r="W79" i="2"/>
  <c r="X77" i="2" s="1"/>
  <c r="W186" i="2"/>
  <c r="X185" i="2" s="1"/>
  <c r="I67" i="2"/>
  <c r="T359" i="2"/>
  <c r="AM359" i="2"/>
  <c r="AR359" i="2"/>
  <c r="R359" i="2"/>
  <c r="AU359" i="2"/>
  <c r="V359" i="2"/>
  <c r="W359" i="2" s="1"/>
  <c r="AR111" i="2"/>
  <c r="AS110" i="2" s="1"/>
  <c r="AU111" i="2"/>
  <c r="AV110" i="2" s="1"/>
  <c r="V111" i="2"/>
  <c r="W111" i="2" s="1"/>
  <c r="X110" i="2" s="1"/>
  <c r="R111" i="2"/>
  <c r="W343" i="2"/>
  <c r="X341" i="2" s="1"/>
  <c r="Z341" i="2" s="1"/>
  <c r="AB341" i="2" s="1"/>
  <c r="AO341" i="2" s="1"/>
  <c r="AX341" i="2" s="1"/>
  <c r="AJ296" i="2"/>
  <c r="AL296" i="2" s="1"/>
  <c r="AO296" i="2" s="1"/>
  <c r="AX296" i="2" s="1"/>
  <c r="Z96" i="2"/>
  <c r="AA96" i="2"/>
  <c r="AN96" i="2" s="1"/>
  <c r="AW96" i="2" s="1"/>
  <c r="AL96" i="2"/>
  <c r="AB96" i="2"/>
  <c r="AO96" i="2" s="1"/>
  <c r="AX96" i="2" s="1"/>
  <c r="AI96" i="2"/>
  <c r="AJ95" i="2" s="1"/>
  <c r="AA93" i="2"/>
  <c r="AN93" i="2" s="1"/>
  <c r="AW93" i="2" s="1"/>
  <c r="AB93" i="2"/>
  <c r="AO93" i="2" s="1"/>
  <c r="AX93" i="2" s="1"/>
  <c r="Z93" i="2"/>
  <c r="AL93" i="2"/>
  <c r="AI93" i="2"/>
  <c r="AJ92" i="2" s="1"/>
  <c r="D228" i="2"/>
  <c r="A227" i="2"/>
  <c r="B227" i="2"/>
  <c r="C227" i="2"/>
  <c r="K375" i="2"/>
  <c r="J376" i="2"/>
  <c r="A299" i="2"/>
  <c r="D300" i="2"/>
  <c r="B299" i="2"/>
  <c r="B179" i="2"/>
  <c r="C179" i="2"/>
  <c r="D180" i="2"/>
  <c r="A179" i="2"/>
  <c r="D121" i="2"/>
  <c r="A120" i="2"/>
  <c r="B120" i="2"/>
  <c r="C120" i="2"/>
  <c r="Z228" i="2"/>
  <c r="AB228" i="2" s="1"/>
  <c r="AO228" i="2" s="1"/>
  <c r="AX228" i="2" s="1"/>
  <c r="AA228" i="2"/>
  <c r="AN228" i="2" s="1"/>
  <c r="AW228" i="2" s="1"/>
  <c r="AL228" i="2"/>
  <c r="AI228" i="2"/>
  <c r="AJ227" i="2" s="1"/>
  <c r="AI66" i="2"/>
  <c r="AJ65" i="2" s="1"/>
  <c r="AL65" i="2" s="1"/>
  <c r="AO65" i="2" s="1"/>
  <c r="AX65" i="2" s="1"/>
  <c r="AI157" i="2"/>
  <c r="B272" i="2"/>
  <c r="C272" i="2"/>
  <c r="D273" i="2"/>
  <c r="A272" i="2"/>
  <c r="W358" i="2"/>
  <c r="T404" i="2"/>
  <c r="AM404" i="2"/>
  <c r="AI404" i="2" s="1"/>
  <c r="AR404" i="2"/>
  <c r="R404" i="2"/>
  <c r="AU404" i="2"/>
  <c r="V404" i="2"/>
  <c r="AO167" i="2"/>
  <c r="AX167" i="2" s="1"/>
  <c r="C167" i="2"/>
  <c r="A167" i="2"/>
  <c r="D168" i="2"/>
  <c r="B167" i="2"/>
  <c r="AS95" i="2"/>
  <c r="AS92" i="2"/>
  <c r="K315" i="2"/>
  <c r="J316" i="2"/>
  <c r="E151" i="2"/>
  <c r="E362" i="2"/>
  <c r="E330" i="2"/>
  <c r="E138" i="2"/>
  <c r="E76" i="2"/>
  <c r="E228" i="2"/>
  <c r="E300" i="2"/>
  <c r="E345" i="2"/>
  <c r="E94" i="2"/>
  <c r="E40" i="2"/>
  <c r="E66" i="2"/>
  <c r="E285" i="2"/>
  <c r="E408" i="2"/>
  <c r="E255" i="2"/>
  <c r="E393" i="2"/>
  <c r="E180" i="2"/>
  <c r="E273" i="2"/>
  <c r="E168" i="2"/>
  <c r="E377" i="2"/>
  <c r="E240" i="2"/>
  <c r="E198" i="2"/>
  <c r="E315" i="2"/>
  <c r="E121" i="2"/>
  <c r="D7" i="739" a="1"/>
  <c r="E7" i="739" a="1"/>
  <c r="D7" i="739" l="1"/>
  <c r="E7" i="739"/>
  <c r="J332" i="2"/>
  <c r="K331" i="2"/>
  <c r="D122" i="2"/>
  <c r="A121" i="2"/>
  <c r="B121" i="2"/>
  <c r="C121" i="2"/>
  <c r="T360" i="2"/>
  <c r="AM360" i="2"/>
  <c r="V360" i="2"/>
  <c r="AU360" i="2"/>
  <c r="R360" i="2"/>
  <c r="AR360" i="2"/>
  <c r="AA389" i="2"/>
  <c r="AN389" i="2" s="1"/>
  <c r="AW389" i="2" s="1"/>
  <c r="AH51" i="2"/>
  <c r="AM51" i="2" s="1"/>
  <c r="AN51" i="2" s="1"/>
  <c r="AW51" i="2" s="1"/>
  <c r="AO328" i="2"/>
  <c r="AX328" i="2" s="1"/>
  <c r="W344" i="2"/>
  <c r="W284" i="2"/>
  <c r="AA329" i="2"/>
  <c r="AN329" i="2" s="1"/>
  <c r="AW329" i="2" s="1"/>
  <c r="T330" i="2"/>
  <c r="AM330" i="2"/>
  <c r="AI330" i="2" s="1"/>
  <c r="R330" i="2"/>
  <c r="AR330" i="2"/>
  <c r="V330" i="2"/>
  <c r="W330" i="2" s="1"/>
  <c r="AU330" i="2"/>
  <c r="J287" i="2"/>
  <c r="K286" i="2"/>
  <c r="B315" i="2"/>
  <c r="D316" i="2"/>
  <c r="A315" i="2"/>
  <c r="T405" i="2"/>
  <c r="AR405" i="2"/>
  <c r="V405" i="2"/>
  <c r="W405" i="2" s="1"/>
  <c r="R405" i="2"/>
  <c r="AU405" i="2"/>
  <c r="AM405" i="2"/>
  <c r="AI405" i="2" s="1"/>
  <c r="B198" i="2"/>
  <c r="C198" i="2"/>
  <c r="D199" i="2"/>
  <c r="A198" i="2"/>
  <c r="J407" i="2"/>
  <c r="K406" i="2"/>
  <c r="J317" i="2"/>
  <c r="K316" i="2"/>
  <c r="J377" i="2"/>
  <c r="K376" i="2"/>
  <c r="AA359" i="2"/>
  <c r="AN359" i="2" s="1"/>
  <c r="AW359" i="2" s="1"/>
  <c r="J302" i="2"/>
  <c r="K301" i="2"/>
  <c r="W155" i="2"/>
  <c r="D241" i="2"/>
  <c r="A240" i="2"/>
  <c r="B240" i="2"/>
  <c r="C240" i="2"/>
  <c r="AJ182" i="2"/>
  <c r="AI284" i="2"/>
  <c r="W299" i="2"/>
  <c r="T285" i="2"/>
  <c r="AM285" i="2"/>
  <c r="AI285" i="2" s="1"/>
  <c r="AR285" i="2"/>
  <c r="V285" i="2"/>
  <c r="W285" i="2" s="1"/>
  <c r="R285" i="2"/>
  <c r="AU285" i="2"/>
  <c r="A377" i="2"/>
  <c r="D378" i="2"/>
  <c r="B377" i="2"/>
  <c r="AA374" i="2"/>
  <c r="AN374" i="2" s="1"/>
  <c r="AW374" i="2" s="1"/>
  <c r="T375" i="2"/>
  <c r="AR375" i="2"/>
  <c r="V375" i="2"/>
  <c r="W375" i="2" s="1"/>
  <c r="AM375" i="2"/>
  <c r="R375" i="2"/>
  <c r="AU375" i="2"/>
  <c r="T300" i="2"/>
  <c r="AR300" i="2"/>
  <c r="V300" i="2"/>
  <c r="AM300" i="2"/>
  <c r="AI300" i="2" s="1"/>
  <c r="AU300" i="2"/>
  <c r="R300" i="2"/>
  <c r="J392" i="2"/>
  <c r="K391" i="2"/>
  <c r="AA344" i="2"/>
  <c r="AN344" i="2" s="1"/>
  <c r="AW344" i="2" s="1"/>
  <c r="AA284" i="2"/>
  <c r="AN284" i="2" s="1"/>
  <c r="AW284" i="2" s="1"/>
  <c r="AO311" i="2"/>
  <c r="AX311" i="2" s="1"/>
  <c r="AA299" i="2"/>
  <c r="AN299" i="2" s="1"/>
  <c r="AW299" i="2" s="1"/>
  <c r="AB64" i="2"/>
  <c r="AO64" i="2" s="1"/>
  <c r="AX64" i="2" s="1"/>
  <c r="AL64" i="2"/>
  <c r="Z64" i="2"/>
  <c r="AA64" i="2"/>
  <c r="AN64" i="2" s="1"/>
  <c r="AW64" i="2" s="1"/>
  <c r="B168" i="2"/>
  <c r="C168" i="2"/>
  <c r="D169" i="2"/>
  <c r="A168" i="2"/>
  <c r="T315" i="2"/>
  <c r="R315" i="2"/>
  <c r="AU315" i="2"/>
  <c r="AM315" i="2"/>
  <c r="AI315" i="2" s="1"/>
  <c r="AR315" i="2"/>
  <c r="V315" i="2"/>
  <c r="W315" i="2" s="1"/>
  <c r="W66" i="2"/>
  <c r="X65" i="2" s="1"/>
  <c r="Z66" i="2"/>
  <c r="AB66" i="2" s="1"/>
  <c r="AO66" i="2" s="1"/>
  <c r="AA66" i="2"/>
  <c r="AN66" i="2" s="1"/>
  <c r="AL66" i="2"/>
  <c r="AL155" i="2"/>
  <c r="Z155" i="2"/>
  <c r="AB155" i="2" s="1"/>
  <c r="AO155" i="2" s="1"/>
  <c r="AX155" i="2" s="1"/>
  <c r="AA155" i="2"/>
  <c r="AN155" i="2" s="1"/>
  <c r="AW155" i="2" s="1"/>
  <c r="W404" i="2"/>
  <c r="B273" i="2"/>
  <c r="C273" i="2"/>
  <c r="D274" i="2"/>
  <c r="A273" i="2"/>
  <c r="D181" i="2"/>
  <c r="A180" i="2"/>
  <c r="B180" i="2"/>
  <c r="C180" i="2"/>
  <c r="Z111" i="2"/>
  <c r="AA111" i="2"/>
  <c r="AN111" i="2" s="1"/>
  <c r="AW111" i="2" s="1"/>
  <c r="AB111" i="2"/>
  <c r="AO111" i="2" s="1"/>
  <c r="AX111" i="2" s="1"/>
  <c r="AL111" i="2"/>
  <c r="AI359" i="2"/>
  <c r="AJ185" i="2"/>
  <c r="T390" i="2"/>
  <c r="AU390" i="2"/>
  <c r="AM390" i="2"/>
  <c r="AI390" i="2" s="1"/>
  <c r="AR390" i="2"/>
  <c r="R390" i="2"/>
  <c r="V390" i="2"/>
  <c r="W390" i="2" s="1"/>
  <c r="D394" i="2"/>
  <c r="A393" i="2"/>
  <c r="B393" i="2"/>
  <c r="AA314" i="2"/>
  <c r="AN314" i="2" s="1"/>
  <c r="AW314" i="2" s="1"/>
  <c r="A255" i="2"/>
  <c r="B255" i="2"/>
  <c r="C255" i="2"/>
  <c r="D256" i="2"/>
  <c r="J362" i="2"/>
  <c r="K361" i="2"/>
  <c r="A408" i="2"/>
  <c r="B408" i="2"/>
  <c r="D409" i="2"/>
  <c r="AI155" i="2"/>
  <c r="AJ155" i="2" s="1"/>
  <c r="B285" i="2"/>
  <c r="D286" i="2"/>
  <c r="A285" i="2"/>
  <c r="A66" i="2"/>
  <c r="B66" i="2"/>
  <c r="C66" i="2"/>
  <c r="D67" i="2"/>
  <c r="J347" i="2"/>
  <c r="K346" i="2"/>
  <c r="D47" i="2"/>
  <c r="D44" i="2"/>
  <c r="A40" i="2"/>
  <c r="B40" i="2"/>
  <c r="D41" i="2"/>
  <c r="C40" i="2"/>
  <c r="C94" i="2"/>
  <c r="A94" i="2"/>
  <c r="B94" i="2"/>
  <c r="D95" i="2"/>
  <c r="V82" i="2"/>
  <c r="R82" i="2"/>
  <c r="AR82" i="2"/>
  <c r="AS80" i="2" s="1"/>
  <c r="AU82" i="2"/>
  <c r="AV80" i="2" s="1"/>
  <c r="D346" i="2"/>
  <c r="A345" i="2"/>
  <c r="B345" i="2"/>
  <c r="AI111" i="2"/>
  <c r="AJ110" i="2" s="1"/>
  <c r="AL110" i="2" s="1"/>
  <c r="AO110" i="2" s="1"/>
  <c r="AX110" i="2" s="1"/>
  <c r="AM345" i="2"/>
  <c r="AI345" i="2" s="1"/>
  <c r="T345" i="2"/>
  <c r="AU345" i="2"/>
  <c r="AR345" i="2"/>
  <c r="V345" i="2"/>
  <c r="W345" i="2" s="1"/>
  <c r="R345" i="2"/>
  <c r="AL157" i="2"/>
  <c r="Z157" i="2"/>
  <c r="AB157" i="2" s="1"/>
  <c r="AO157" i="2" s="1"/>
  <c r="AX157" i="2" s="1"/>
  <c r="AA157" i="2"/>
  <c r="AN157" i="2" s="1"/>
  <c r="AW157" i="2" s="1"/>
  <c r="B300" i="2"/>
  <c r="D301" i="2"/>
  <c r="A300" i="2"/>
  <c r="AA404" i="2"/>
  <c r="AN404" i="2" s="1"/>
  <c r="AW404" i="2" s="1"/>
  <c r="AR67" i="2"/>
  <c r="AS65" i="2" s="1"/>
  <c r="AU67" i="2"/>
  <c r="AV65" i="2" s="1"/>
  <c r="R67" i="2"/>
  <c r="D229" i="2"/>
  <c r="A228" i="2"/>
  <c r="B228" i="2"/>
  <c r="C228" i="2"/>
  <c r="D77" i="2"/>
  <c r="A76" i="2"/>
  <c r="B76" i="2"/>
  <c r="C76" i="2"/>
  <c r="B138" i="2"/>
  <c r="C138" i="2"/>
  <c r="A138" i="2"/>
  <c r="D139" i="2"/>
  <c r="AO373" i="2"/>
  <c r="AX373" i="2" s="1"/>
  <c r="AJ230" i="2"/>
  <c r="B330" i="2"/>
  <c r="A330" i="2"/>
  <c r="D331" i="2"/>
  <c r="AH52" i="2"/>
  <c r="AM52" i="2" s="1"/>
  <c r="AN52" i="2"/>
  <c r="AW52" i="2" s="1"/>
  <c r="AI82" i="2"/>
  <c r="AJ80" i="2" s="1"/>
  <c r="AL80" i="2" s="1"/>
  <c r="AO80" i="2" s="1"/>
  <c r="AX80" i="2" s="1"/>
  <c r="A362" i="2"/>
  <c r="D363" i="2"/>
  <c r="B362" i="2"/>
  <c r="D152" i="2"/>
  <c r="A151" i="2"/>
  <c r="C151" i="2"/>
  <c r="B151" i="2"/>
  <c r="AI64" i="2"/>
  <c r="AJ62" i="2" s="1"/>
  <c r="AL62" i="2" s="1"/>
  <c r="AO62" i="2" s="1"/>
  <c r="AX62" i="2" s="1"/>
  <c r="W157" i="2"/>
  <c r="AO61" i="2"/>
  <c r="AX61" i="2" s="1"/>
  <c r="E199" i="2"/>
  <c r="E95" i="2"/>
  <c r="E77" i="2"/>
  <c r="E378" i="2"/>
  <c r="E181" i="2"/>
  <c r="E256" i="2"/>
  <c r="E67" i="2"/>
  <c r="E41" i="2"/>
  <c r="E363" i="2"/>
  <c r="E169" i="2"/>
  <c r="E286" i="2"/>
  <c r="E229" i="2"/>
  <c r="E152" i="2"/>
  <c r="E394" i="2"/>
  <c r="E301" i="2"/>
  <c r="E316" i="2"/>
  <c r="E47" i="2"/>
  <c r="E331" i="2"/>
  <c r="E274" i="2"/>
  <c r="E139" i="2"/>
  <c r="E122" i="2"/>
  <c r="E241" i="2"/>
  <c r="E44" i="2"/>
  <c r="E346" i="2"/>
  <c r="E409" i="2"/>
  <c r="AV314" i="2" l="1"/>
  <c r="AS374" i="2"/>
  <c r="AV329" i="2"/>
  <c r="D410" i="2"/>
  <c r="A409" i="2"/>
  <c r="B409" i="2"/>
  <c r="J393" i="2"/>
  <c r="K392" i="2"/>
  <c r="D347" i="2"/>
  <c r="A346" i="2"/>
  <c r="B346" i="2"/>
  <c r="D45" i="2"/>
  <c r="A44" i="2"/>
  <c r="B44" i="2"/>
  <c r="C44" i="2"/>
  <c r="AL315" i="2"/>
  <c r="Z315" i="2"/>
  <c r="AB315" i="2" s="1"/>
  <c r="AO315" i="2" s="1"/>
  <c r="AX315" i="2" s="1"/>
  <c r="AA315" i="2"/>
  <c r="AN315" i="2" s="1"/>
  <c r="AW315" i="2" s="1"/>
  <c r="AL285" i="2"/>
  <c r="Z285" i="2"/>
  <c r="AA285" i="2"/>
  <c r="AN285" i="2" s="1"/>
  <c r="AW285" i="2" s="1"/>
  <c r="AB285" i="2"/>
  <c r="AO285" i="2" s="1"/>
  <c r="AX285" i="2" s="1"/>
  <c r="D242" i="2"/>
  <c r="A241" i="2"/>
  <c r="B241" i="2"/>
  <c r="C241" i="2"/>
  <c r="K377" i="2"/>
  <c r="J378" i="2"/>
  <c r="W360" i="2"/>
  <c r="A122" i="2"/>
  <c r="B122" i="2"/>
  <c r="C122" i="2"/>
  <c r="D123" i="2"/>
  <c r="B139" i="2"/>
  <c r="C139" i="2"/>
  <c r="A139" i="2"/>
  <c r="D140" i="2"/>
  <c r="B274" i="2"/>
  <c r="C274" i="2"/>
  <c r="D275" i="2"/>
  <c r="A274" i="2"/>
  <c r="T376" i="2"/>
  <c r="AM376" i="2"/>
  <c r="AU376" i="2"/>
  <c r="AV374" i="2" s="1"/>
  <c r="V376" i="2"/>
  <c r="W376" i="2" s="1"/>
  <c r="X374" i="2" s="1"/>
  <c r="Z374" i="2" s="1"/>
  <c r="AB374" i="2" s="1"/>
  <c r="R376" i="2"/>
  <c r="AR376" i="2"/>
  <c r="B331" i="2"/>
  <c r="A331" i="2"/>
  <c r="D332" i="2"/>
  <c r="A47" i="2"/>
  <c r="B47" i="2"/>
  <c r="C47" i="2"/>
  <c r="D48" i="2"/>
  <c r="X155" i="2"/>
  <c r="T316" i="2"/>
  <c r="AM316" i="2"/>
  <c r="R316" i="2"/>
  <c r="V316" i="2"/>
  <c r="W316" i="2" s="1"/>
  <c r="X314" i="2" s="1"/>
  <c r="Z314" i="2" s="1"/>
  <c r="AB314" i="2" s="1"/>
  <c r="AU316" i="2"/>
  <c r="AR316" i="2"/>
  <c r="AS314" i="2" s="1"/>
  <c r="B316" i="2"/>
  <c r="D317" i="2"/>
  <c r="A316" i="2"/>
  <c r="AL330" i="2"/>
  <c r="AA330" i="2"/>
  <c r="AN330" i="2" s="1"/>
  <c r="AW330" i="2" s="1"/>
  <c r="Z330" i="2"/>
  <c r="AB330" i="2" s="1"/>
  <c r="AO330" i="2" s="1"/>
  <c r="AX330" i="2" s="1"/>
  <c r="AI360" i="2"/>
  <c r="T331" i="2"/>
  <c r="AM331" i="2"/>
  <c r="R331" i="2"/>
  <c r="AR331" i="2"/>
  <c r="AS329" i="2" s="1"/>
  <c r="AU331" i="2"/>
  <c r="V331" i="2"/>
  <c r="B301" i="2"/>
  <c r="D302" i="2"/>
  <c r="A301" i="2"/>
  <c r="T346" i="2"/>
  <c r="AM346" i="2"/>
  <c r="AI346" i="2" s="1"/>
  <c r="AJ344" i="2" s="1"/>
  <c r="AL344" i="2" s="1"/>
  <c r="R346" i="2"/>
  <c r="AU346" i="2"/>
  <c r="AV344" i="2" s="1"/>
  <c r="AR346" i="2"/>
  <c r="AS344" i="2" s="1"/>
  <c r="V346" i="2"/>
  <c r="T361" i="2"/>
  <c r="AM361" i="2"/>
  <c r="V361" i="2"/>
  <c r="R361" i="2"/>
  <c r="AR361" i="2"/>
  <c r="AS359" i="2" s="1"/>
  <c r="AU361" i="2"/>
  <c r="AV359" i="2" s="1"/>
  <c r="D395" i="2"/>
  <c r="A394" i="2"/>
  <c r="B394" i="2"/>
  <c r="T301" i="2"/>
  <c r="AM301" i="2"/>
  <c r="AI301" i="2" s="1"/>
  <c r="AJ299" i="2" s="1"/>
  <c r="AL299" i="2" s="1"/>
  <c r="R301" i="2"/>
  <c r="AU301" i="2"/>
  <c r="AV299" i="2" s="1"/>
  <c r="AR301" i="2"/>
  <c r="AS299" i="2" s="1"/>
  <c r="V301" i="2"/>
  <c r="K317" i="2"/>
  <c r="J318" i="2"/>
  <c r="J333" i="2"/>
  <c r="K332" i="2"/>
  <c r="C152" i="2"/>
  <c r="D153" i="2"/>
  <c r="A152" i="2"/>
  <c r="B152" i="2"/>
  <c r="D230" i="2"/>
  <c r="A229" i="2"/>
  <c r="B229" i="2"/>
  <c r="C229" i="2"/>
  <c r="K347" i="2"/>
  <c r="J348" i="2"/>
  <c r="B286" i="2"/>
  <c r="D287" i="2"/>
  <c r="A286" i="2"/>
  <c r="K362" i="2"/>
  <c r="J363" i="2"/>
  <c r="AL300" i="2"/>
  <c r="Z300" i="2"/>
  <c r="AA300" i="2"/>
  <c r="AN300" i="2" s="1"/>
  <c r="AW300" i="2" s="1"/>
  <c r="AB300" i="2"/>
  <c r="Z375" i="2"/>
  <c r="AA375" i="2"/>
  <c r="AN375" i="2" s="1"/>
  <c r="AW375" i="2" s="1"/>
  <c r="AB375" i="2"/>
  <c r="AO375" i="2" s="1"/>
  <c r="AX375" i="2" s="1"/>
  <c r="AL375" i="2"/>
  <c r="K302" i="2"/>
  <c r="J303" i="2"/>
  <c r="T406" i="2"/>
  <c r="AM406" i="2"/>
  <c r="V406" i="2"/>
  <c r="R406" i="2"/>
  <c r="AU406" i="2"/>
  <c r="AV404" i="2" s="1"/>
  <c r="AR406" i="2"/>
  <c r="AS404" i="2" s="1"/>
  <c r="Z82" i="2"/>
  <c r="AB82" i="2" s="1"/>
  <c r="AO82" i="2" s="1"/>
  <c r="AX82" i="2" s="1"/>
  <c r="AA82" i="2"/>
  <c r="AN82" i="2" s="1"/>
  <c r="AW82" i="2" s="1"/>
  <c r="AL82" i="2"/>
  <c r="B169" i="2"/>
  <c r="C169" i="2"/>
  <c r="D170" i="2"/>
  <c r="A169" i="2"/>
  <c r="D364" i="2"/>
  <c r="A363" i="2"/>
  <c r="B363" i="2"/>
  <c r="W82" i="2"/>
  <c r="X80" i="2" s="1"/>
  <c r="Z390" i="2"/>
  <c r="AA390" i="2"/>
  <c r="AN390" i="2" s="1"/>
  <c r="AW390" i="2" s="1"/>
  <c r="AB390" i="2"/>
  <c r="AL390" i="2"/>
  <c r="AI375" i="2"/>
  <c r="K407" i="2"/>
  <c r="J408" i="2"/>
  <c r="AA405" i="2"/>
  <c r="AN405" i="2" s="1"/>
  <c r="AW405" i="2" s="1"/>
  <c r="AL405" i="2"/>
  <c r="Z405" i="2"/>
  <c r="AB405" i="2" s="1"/>
  <c r="AO405" i="2" s="1"/>
  <c r="AX405" i="2" s="1"/>
  <c r="T286" i="2"/>
  <c r="AM286" i="2"/>
  <c r="AI286" i="2" s="1"/>
  <c r="AJ284" i="2" s="1"/>
  <c r="AL284" i="2" s="1"/>
  <c r="R286" i="2"/>
  <c r="AU286" i="2"/>
  <c r="AV284" i="2" s="1"/>
  <c r="AR286" i="2"/>
  <c r="AS284" i="2" s="1"/>
  <c r="V286" i="2"/>
  <c r="C41" i="2"/>
  <c r="D42" i="2"/>
  <c r="A41" i="2"/>
  <c r="B41" i="2"/>
  <c r="A67" i="2"/>
  <c r="B67" i="2"/>
  <c r="C67" i="2"/>
  <c r="C256" i="2"/>
  <c r="D257" i="2"/>
  <c r="A256" i="2"/>
  <c r="B256" i="2"/>
  <c r="D182" i="2"/>
  <c r="A181" i="2"/>
  <c r="B181" i="2"/>
  <c r="C181" i="2"/>
  <c r="D379" i="2"/>
  <c r="A378" i="2"/>
  <c r="B378" i="2"/>
  <c r="K287" i="2"/>
  <c r="J288" i="2"/>
  <c r="A77" i="2"/>
  <c r="B77" i="2"/>
  <c r="D78" i="2"/>
  <c r="C77" i="2"/>
  <c r="Z345" i="2"/>
  <c r="AB345" i="2" s="1"/>
  <c r="AO345" i="2" s="1"/>
  <c r="AX345" i="2" s="1"/>
  <c r="AA345" i="2"/>
  <c r="AN345" i="2" s="1"/>
  <c r="AW345" i="2" s="1"/>
  <c r="AL345" i="2"/>
  <c r="C95" i="2"/>
  <c r="D96" i="2"/>
  <c r="A95" i="2"/>
  <c r="B95" i="2"/>
  <c r="T391" i="2"/>
  <c r="AM391" i="2"/>
  <c r="AI391" i="2" s="1"/>
  <c r="AJ389" i="2" s="1"/>
  <c r="AL389" i="2" s="1"/>
  <c r="AU391" i="2"/>
  <c r="AV389" i="2" s="1"/>
  <c r="AR391" i="2"/>
  <c r="AS389" i="2" s="1"/>
  <c r="R391" i="2"/>
  <c r="V391" i="2"/>
  <c r="W391" i="2" s="1"/>
  <c r="X389" i="2" s="1"/>
  <c r="Z389" i="2" s="1"/>
  <c r="AB389" i="2" s="1"/>
  <c r="AO389" i="2" s="1"/>
  <c r="AX389" i="2" s="1"/>
  <c r="W300" i="2"/>
  <c r="B199" i="2"/>
  <c r="C199" i="2"/>
  <c r="D200" i="2"/>
  <c r="A199" i="2"/>
  <c r="Z360" i="2"/>
  <c r="AA360" i="2"/>
  <c r="AN360" i="2" s="1"/>
  <c r="AW360" i="2" s="1"/>
  <c r="AB360" i="2"/>
  <c r="AO360" i="2" s="1"/>
  <c r="AX360" i="2" s="1"/>
  <c r="AL360" i="2"/>
  <c r="E242" i="2"/>
  <c r="E48" i="2"/>
  <c r="E170" i="2"/>
  <c r="E347" i="2"/>
  <c r="E275" i="2"/>
  <c r="E317" i="2"/>
  <c r="E96" i="2"/>
  <c r="E123" i="2"/>
  <c r="E364" i="2"/>
  <c r="E257" i="2"/>
  <c r="E379" i="2"/>
  <c r="E78" i="2"/>
  <c r="E410" i="2"/>
  <c r="E42" i="2"/>
  <c r="E200" i="2"/>
  <c r="E302" i="2"/>
  <c r="E45" i="2"/>
  <c r="E332" i="2"/>
  <c r="E153" i="2"/>
  <c r="E230" i="2"/>
  <c r="E395" i="2"/>
  <c r="E140" i="2"/>
  <c r="E287" i="2"/>
  <c r="E182" i="2"/>
  <c r="T317" i="2" l="1"/>
  <c r="AM317" i="2"/>
  <c r="AI317" i="2" s="1"/>
  <c r="AU317" i="2"/>
  <c r="R317" i="2"/>
  <c r="V317" i="2"/>
  <c r="AR317" i="2"/>
  <c r="Z391" i="2"/>
  <c r="AA391" i="2"/>
  <c r="AN391" i="2" s="1"/>
  <c r="AW391" i="2" s="1"/>
  <c r="AB391" i="2"/>
  <c r="AL391" i="2"/>
  <c r="T287" i="2"/>
  <c r="AM287" i="2"/>
  <c r="AI287" i="2" s="1"/>
  <c r="V287" i="2"/>
  <c r="AR287" i="2"/>
  <c r="R287" i="2"/>
  <c r="AU287" i="2"/>
  <c r="D183" i="2"/>
  <c r="A182" i="2"/>
  <c r="B182" i="2"/>
  <c r="C182" i="2"/>
  <c r="Z286" i="2"/>
  <c r="AB286" i="2" s="1"/>
  <c r="AO286" i="2" s="1"/>
  <c r="AX286" i="2" s="1"/>
  <c r="AA286" i="2"/>
  <c r="AN286" i="2" s="1"/>
  <c r="AW286" i="2" s="1"/>
  <c r="AL286" i="2"/>
  <c r="T407" i="2"/>
  <c r="AM407" i="2"/>
  <c r="AI407" i="2" s="1"/>
  <c r="AR407" i="2"/>
  <c r="V407" i="2"/>
  <c r="AU407" i="2"/>
  <c r="R407" i="2"/>
  <c r="W406" i="2"/>
  <c r="X404" i="2" s="1"/>
  <c r="Z404" i="2" s="1"/>
  <c r="AB404" i="2" s="1"/>
  <c r="A287" i="2"/>
  <c r="D288" i="2"/>
  <c r="B287" i="2"/>
  <c r="W301" i="2"/>
  <c r="X299" i="2" s="1"/>
  <c r="Z299" i="2" s="1"/>
  <c r="AB299" i="2" s="1"/>
  <c r="AO299" i="2" s="1"/>
  <c r="AX299" i="2" s="1"/>
  <c r="W346" i="2"/>
  <c r="X344" i="2" s="1"/>
  <c r="Z344" i="2" s="1"/>
  <c r="AB344" i="2" s="1"/>
  <c r="AO344" i="2" s="1"/>
  <c r="AX344" i="2" s="1"/>
  <c r="B140" i="2"/>
  <c r="C140" i="2"/>
  <c r="D141" i="2"/>
  <c r="A140" i="2"/>
  <c r="K393" i="2"/>
  <c r="J394" i="2"/>
  <c r="AI406" i="2"/>
  <c r="AJ404" i="2" s="1"/>
  <c r="AL404" i="2" s="1"/>
  <c r="AO300" i="2"/>
  <c r="AX300" i="2" s="1"/>
  <c r="A395" i="2"/>
  <c r="D396" i="2"/>
  <c r="B395" i="2"/>
  <c r="W331" i="2"/>
  <c r="X329" i="2" s="1"/>
  <c r="Z329" i="2" s="1"/>
  <c r="AB329" i="2" s="1"/>
  <c r="AO329" i="2" s="1"/>
  <c r="AX329" i="2" s="1"/>
  <c r="AI376" i="2"/>
  <c r="AJ374" i="2" s="1"/>
  <c r="AL374" i="2" s="1"/>
  <c r="AO374" i="2" s="1"/>
  <c r="AX374" i="2" s="1"/>
  <c r="K378" i="2"/>
  <c r="J379" i="2"/>
  <c r="Z406" i="2"/>
  <c r="AB406" i="2" s="1"/>
  <c r="AO406" i="2" s="1"/>
  <c r="AX406" i="2" s="1"/>
  <c r="AL406" i="2"/>
  <c r="AA406" i="2"/>
  <c r="AN406" i="2" s="1"/>
  <c r="AW406" i="2" s="1"/>
  <c r="B230" i="2"/>
  <c r="C230" i="2"/>
  <c r="D231" i="2"/>
  <c r="A230" i="2"/>
  <c r="T392" i="2"/>
  <c r="AM392" i="2"/>
  <c r="AR392" i="2"/>
  <c r="V392" i="2"/>
  <c r="W392" i="2" s="1"/>
  <c r="AU392" i="2"/>
  <c r="R392" i="2"/>
  <c r="K348" i="2"/>
  <c r="J349" i="2"/>
  <c r="A153" i="2"/>
  <c r="B153" i="2"/>
  <c r="C153" i="2"/>
  <c r="D154" i="2"/>
  <c r="Z316" i="2"/>
  <c r="AB316" i="2" s="1"/>
  <c r="AO316" i="2" s="1"/>
  <c r="AX316" i="2" s="1"/>
  <c r="AA316" i="2"/>
  <c r="AN316" i="2" s="1"/>
  <c r="AW316" i="2" s="1"/>
  <c r="AL316" i="2"/>
  <c r="A332" i="2"/>
  <c r="D333" i="2"/>
  <c r="B332" i="2"/>
  <c r="T377" i="2"/>
  <c r="AM377" i="2"/>
  <c r="V377" i="2"/>
  <c r="W377" i="2" s="1"/>
  <c r="AU377" i="2"/>
  <c r="AR377" i="2"/>
  <c r="R377" i="2"/>
  <c r="A45" i="2"/>
  <c r="B45" i="2"/>
  <c r="D46" i="2"/>
  <c r="C45" i="2"/>
  <c r="K408" i="2"/>
  <c r="J409" i="2"/>
  <c r="A302" i="2"/>
  <c r="D303" i="2"/>
  <c r="B302" i="2"/>
  <c r="A200" i="2"/>
  <c r="B200" i="2"/>
  <c r="C200" i="2"/>
  <c r="D201" i="2"/>
  <c r="A42" i="2"/>
  <c r="B42" i="2"/>
  <c r="D43" i="2"/>
  <c r="C42" i="2"/>
  <c r="AO390" i="2"/>
  <c r="AX390" i="2" s="1"/>
  <c r="K303" i="2"/>
  <c r="J304" i="2"/>
  <c r="T347" i="2"/>
  <c r="AM347" i="2"/>
  <c r="AR347" i="2"/>
  <c r="R347" i="2"/>
  <c r="V347" i="2"/>
  <c r="AU347" i="2"/>
  <c r="Z301" i="2"/>
  <c r="AB301" i="2" s="1"/>
  <c r="AO301" i="2" s="1"/>
  <c r="AX301" i="2" s="1"/>
  <c r="AA301" i="2"/>
  <c r="AN301" i="2" s="1"/>
  <c r="AW301" i="2" s="1"/>
  <c r="AL301" i="2"/>
  <c r="Z346" i="2"/>
  <c r="AB346" i="2" s="1"/>
  <c r="AO346" i="2" s="1"/>
  <c r="AX346" i="2" s="1"/>
  <c r="AA346" i="2"/>
  <c r="AN346" i="2" s="1"/>
  <c r="AW346" i="2" s="1"/>
  <c r="AL346" i="2"/>
  <c r="AI316" i="2"/>
  <c r="AJ314" i="2" s="1"/>
  <c r="AL314" i="2" s="1"/>
  <c r="AO314" i="2" s="1"/>
  <c r="AX314" i="2" s="1"/>
  <c r="A410" i="2"/>
  <c r="D411" i="2"/>
  <c r="B410" i="2"/>
  <c r="B78" i="2"/>
  <c r="C78" i="2"/>
  <c r="D79" i="2"/>
  <c r="A78" i="2"/>
  <c r="D380" i="2"/>
  <c r="A379" i="2"/>
  <c r="B379" i="2"/>
  <c r="A257" i="2"/>
  <c r="D258" i="2"/>
  <c r="B257" i="2"/>
  <c r="C257" i="2"/>
  <c r="D365" i="2"/>
  <c r="A364" i="2"/>
  <c r="B364" i="2"/>
  <c r="T302" i="2"/>
  <c r="V302" i="2"/>
  <c r="AR302" i="2"/>
  <c r="AM302" i="2"/>
  <c r="AI302" i="2" s="1"/>
  <c r="R302" i="2"/>
  <c r="AU302" i="2"/>
  <c r="T332" i="2"/>
  <c r="AM332" i="2"/>
  <c r="V332" i="2"/>
  <c r="AU332" i="2"/>
  <c r="R332" i="2"/>
  <c r="AR332" i="2"/>
  <c r="Z361" i="2"/>
  <c r="AA361" i="2"/>
  <c r="AN361" i="2" s="1"/>
  <c r="AW361" i="2" s="1"/>
  <c r="AB361" i="2"/>
  <c r="AO361" i="2" s="1"/>
  <c r="AX361" i="2" s="1"/>
  <c r="AL361" i="2"/>
  <c r="Z331" i="2"/>
  <c r="AB331" i="2" s="1"/>
  <c r="AO331" i="2" s="1"/>
  <c r="AX331" i="2" s="1"/>
  <c r="AA331" i="2"/>
  <c r="AN331" i="2" s="1"/>
  <c r="AW331" i="2" s="1"/>
  <c r="AL331" i="2"/>
  <c r="B123" i="2"/>
  <c r="C123" i="2"/>
  <c r="D124" i="2"/>
  <c r="A123" i="2"/>
  <c r="K288" i="2"/>
  <c r="J289" i="2"/>
  <c r="D97" i="2"/>
  <c r="A96" i="2"/>
  <c r="B96" i="2"/>
  <c r="C96" i="2"/>
  <c r="W286" i="2"/>
  <c r="X284" i="2" s="1"/>
  <c r="Z284" i="2" s="1"/>
  <c r="AB284" i="2" s="1"/>
  <c r="AO284" i="2" s="1"/>
  <c r="AX284" i="2" s="1"/>
  <c r="K363" i="2"/>
  <c r="J364" i="2"/>
  <c r="K333" i="2"/>
  <c r="J334" i="2"/>
  <c r="W361" i="2"/>
  <c r="X359" i="2" s="1"/>
  <c r="Z359" i="2" s="1"/>
  <c r="AB359" i="2" s="1"/>
  <c r="AO359" i="2" s="1"/>
  <c r="AX359" i="2" s="1"/>
  <c r="AI331" i="2"/>
  <c r="AJ329" i="2" s="1"/>
  <c r="AL329" i="2" s="1"/>
  <c r="A317" i="2"/>
  <c r="D318" i="2"/>
  <c r="B317" i="2"/>
  <c r="B275" i="2"/>
  <c r="C275" i="2"/>
  <c r="D276" i="2"/>
  <c r="A275" i="2"/>
  <c r="A347" i="2"/>
  <c r="D348" i="2"/>
  <c r="B347" i="2"/>
  <c r="A170" i="2"/>
  <c r="B170" i="2"/>
  <c r="C170" i="2"/>
  <c r="D171" i="2"/>
  <c r="T362" i="2"/>
  <c r="AM362" i="2"/>
  <c r="R362" i="2"/>
  <c r="AR362" i="2"/>
  <c r="V362" i="2"/>
  <c r="W362" i="2" s="1"/>
  <c r="AU362" i="2"/>
  <c r="K318" i="2"/>
  <c r="J319" i="2"/>
  <c r="AI361" i="2"/>
  <c r="AJ359" i="2" s="1"/>
  <c r="AL359" i="2" s="1"/>
  <c r="B48" i="2"/>
  <c r="C48" i="2"/>
  <c r="A48" i="2"/>
  <c r="D49" i="2"/>
  <c r="AA376" i="2"/>
  <c r="AN376" i="2" s="1"/>
  <c r="AW376" i="2" s="1"/>
  <c r="Z376" i="2"/>
  <c r="AB376" i="2"/>
  <c r="AO376" i="2" s="1"/>
  <c r="AX376" i="2" s="1"/>
  <c r="AL376" i="2"/>
  <c r="B242" i="2"/>
  <c r="C242" i="2"/>
  <c r="D243" i="2"/>
  <c r="A242" i="2"/>
  <c r="E97" i="2"/>
  <c r="E141" i="2"/>
  <c r="E303" i="2"/>
  <c r="E43" i="2"/>
  <c r="E396" i="2"/>
  <c r="E333" i="2"/>
  <c r="E79" i="2"/>
  <c r="E154" i="2"/>
  <c r="E46" i="2"/>
  <c r="E183" i="2"/>
  <c r="E288" i="2"/>
  <c r="E365" i="2"/>
  <c r="E348" i="2"/>
  <c r="E124" i="2"/>
  <c r="E380" i="2"/>
  <c r="E49" i="2"/>
  <c r="E171" i="2"/>
  <c r="E243" i="2"/>
  <c r="E201" i="2"/>
  <c r="E411" i="2"/>
  <c r="E258" i="2"/>
  <c r="E318" i="2"/>
  <c r="E231" i="2"/>
  <c r="E276" i="2"/>
  <c r="C276" i="2" l="1"/>
  <c r="D277" i="2"/>
  <c r="A276" i="2"/>
  <c r="B276" i="2"/>
  <c r="T318" i="2"/>
  <c r="AR318" i="2"/>
  <c r="AM318" i="2"/>
  <c r="V318" i="2"/>
  <c r="R318" i="2"/>
  <c r="AU318" i="2"/>
  <c r="T333" i="2"/>
  <c r="AM333" i="2"/>
  <c r="R333" i="2"/>
  <c r="AR333" i="2"/>
  <c r="AU333" i="2"/>
  <c r="V333" i="2"/>
  <c r="J290" i="2"/>
  <c r="K289" i="2"/>
  <c r="W302" i="2"/>
  <c r="AI347" i="2"/>
  <c r="J410" i="2"/>
  <c r="K409" i="2"/>
  <c r="AM348" i="2"/>
  <c r="AI348" i="2" s="1"/>
  <c r="T348" i="2"/>
  <c r="R348" i="2"/>
  <c r="AU348" i="2"/>
  <c r="AR348" i="2"/>
  <c r="V348" i="2"/>
  <c r="B231" i="2"/>
  <c r="D232" i="2"/>
  <c r="A231" i="2"/>
  <c r="C231" i="2"/>
  <c r="T378" i="2"/>
  <c r="AR378" i="2"/>
  <c r="AM378" i="2"/>
  <c r="AI378" i="2" s="1"/>
  <c r="V378" i="2"/>
  <c r="R378" i="2"/>
  <c r="AU378" i="2"/>
  <c r="W287" i="2"/>
  <c r="W317" i="2"/>
  <c r="B318" i="2"/>
  <c r="D319" i="2"/>
  <c r="A318" i="2"/>
  <c r="D259" i="2"/>
  <c r="A258" i="2"/>
  <c r="B258" i="2"/>
  <c r="C258" i="2"/>
  <c r="J365" i="2"/>
  <c r="K364" i="2"/>
  <c r="T288" i="2"/>
  <c r="AM288" i="2"/>
  <c r="R288" i="2"/>
  <c r="AU288" i="2"/>
  <c r="AR288" i="2"/>
  <c r="V288" i="2"/>
  <c r="W332" i="2"/>
  <c r="A411" i="2"/>
  <c r="B411" i="2"/>
  <c r="D412" i="2"/>
  <c r="C201" i="2"/>
  <c r="D202" i="2"/>
  <c r="A201" i="2"/>
  <c r="B201" i="2"/>
  <c r="T408" i="2"/>
  <c r="AM408" i="2"/>
  <c r="V408" i="2"/>
  <c r="R408" i="2"/>
  <c r="AU408" i="2"/>
  <c r="AR408" i="2"/>
  <c r="AA392" i="2"/>
  <c r="AN392" i="2" s="1"/>
  <c r="AW392" i="2" s="1"/>
  <c r="W407" i="2"/>
  <c r="AA317" i="2"/>
  <c r="AN317" i="2" s="1"/>
  <c r="AW317" i="2" s="1"/>
  <c r="C243" i="2"/>
  <c r="D244" i="2"/>
  <c r="A243" i="2"/>
  <c r="B243" i="2"/>
  <c r="C171" i="2"/>
  <c r="D172" i="2"/>
  <c r="A171" i="2"/>
  <c r="B171" i="2"/>
  <c r="J335" i="2"/>
  <c r="K334" i="2"/>
  <c r="AA332" i="2"/>
  <c r="AN332" i="2" s="1"/>
  <c r="AW332" i="2" s="1"/>
  <c r="A49" i="2"/>
  <c r="B49" i="2"/>
  <c r="C49" i="2"/>
  <c r="T363" i="2"/>
  <c r="V363" i="2"/>
  <c r="W363" i="2" s="1"/>
  <c r="R363" i="2"/>
  <c r="AU363" i="2"/>
  <c r="AM363" i="2"/>
  <c r="AR363" i="2"/>
  <c r="AI332" i="2"/>
  <c r="J305" i="2"/>
  <c r="K304" i="2"/>
  <c r="AI377" i="2"/>
  <c r="J395" i="2"/>
  <c r="K394" i="2"/>
  <c r="A380" i="2"/>
  <c r="D381" i="2"/>
  <c r="B380" i="2"/>
  <c r="T393" i="2"/>
  <c r="AR393" i="2"/>
  <c r="V393" i="2"/>
  <c r="R393" i="2"/>
  <c r="AM393" i="2"/>
  <c r="AI393" i="2" s="1"/>
  <c r="AU393" i="2"/>
  <c r="B124" i="2"/>
  <c r="C124" i="2"/>
  <c r="D125" i="2"/>
  <c r="A124" i="2"/>
  <c r="AA362" i="2"/>
  <c r="AN362" i="2" s="1"/>
  <c r="AW362" i="2" s="1"/>
  <c r="D349" i="2"/>
  <c r="A348" i="2"/>
  <c r="B348" i="2"/>
  <c r="A365" i="2"/>
  <c r="D366" i="2"/>
  <c r="B365" i="2"/>
  <c r="B288" i="2"/>
  <c r="D289" i="2"/>
  <c r="A288" i="2"/>
  <c r="D184" i="2"/>
  <c r="A183" i="2"/>
  <c r="B183" i="2"/>
  <c r="C183" i="2"/>
  <c r="AO391" i="2"/>
  <c r="AX391" i="2" s="1"/>
  <c r="T303" i="2"/>
  <c r="R303" i="2"/>
  <c r="AU303" i="2"/>
  <c r="AR303" i="2"/>
  <c r="V303" i="2"/>
  <c r="AM303" i="2"/>
  <c r="AI303" i="2" s="1"/>
  <c r="B46" i="2"/>
  <c r="C46" i="2"/>
  <c r="A46" i="2"/>
  <c r="A154" i="2"/>
  <c r="B154" i="2"/>
  <c r="C154" i="2"/>
  <c r="D155" i="2"/>
  <c r="AI362" i="2"/>
  <c r="AA302" i="2"/>
  <c r="AN302" i="2" s="1"/>
  <c r="AW302" i="2" s="1"/>
  <c r="B79" i="2"/>
  <c r="C79" i="2"/>
  <c r="D80" i="2"/>
  <c r="A79" i="2"/>
  <c r="W347" i="2"/>
  <c r="A333" i="2"/>
  <c r="B333" i="2"/>
  <c r="D334" i="2"/>
  <c r="AI392" i="2"/>
  <c r="D397" i="2"/>
  <c r="A396" i="2"/>
  <c r="B396" i="2"/>
  <c r="AA347" i="2"/>
  <c r="AN347" i="2" s="1"/>
  <c r="AW347" i="2" s="1"/>
  <c r="D50" i="2"/>
  <c r="B43" i="2"/>
  <c r="C43" i="2"/>
  <c r="A43" i="2"/>
  <c r="B303" i="2"/>
  <c r="D304" i="2"/>
  <c r="A303" i="2"/>
  <c r="AA377" i="2"/>
  <c r="AN377" i="2" s="1"/>
  <c r="AW377" i="2" s="1"/>
  <c r="D142" i="2"/>
  <c r="A141" i="2"/>
  <c r="B141" i="2"/>
  <c r="C141" i="2"/>
  <c r="AO404" i="2"/>
  <c r="AX404" i="2" s="1"/>
  <c r="AA287" i="2"/>
  <c r="AN287" i="2" s="1"/>
  <c r="AW287" i="2" s="1"/>
  <c r="J320" i="2"/>
  <c r="K319" i="2"/>
  <c r="A97" i="2"/>
  <c r="B97" i="2"/>
  <c r="C97" i="2"/>
  <c r="J350" i="2"/>
  <c r="K349" i="2"/>
  <c r="J380" i="2"/>
  <c r="K379" i="2"/>
  <c r="AA407" i="2"/>
  <c r="AN407" i="2" s="1"/>
  <c r="AW407" i="2" s="1"/>
  <c r="E125" i="2"/>
  <c r="E277" i="2"/>
  <c r="E319" i="2"/>
  <c r="E184" i="2"/>
  <c r="E80" i="2"/>
  <c r="E142" i="2"/>
  <c r="E155" i="2"/>
  <c r="E172" i="2"/>
  <c r="E366" i="2"/>
  <c r="E232" i="2"/>
  <c r="E259" i="2"/>
  <c r="E412" i="2"/>
  <c r="E202" i="2"/>
  <c r="E381" i="2"/>
  <c r="E349" i="2"/>
  <c r="E304" i="2"/>
  <c r="E334" i="2"/>
  <c r="E50" i="2"/>
  <c r="E244" i="2"/>
  <c r="E289" i="2"/>
  <c r="E397" i="2"/>
  <c r="AV302" i="2" l="1"/>
  <c r="AS287" i="2"/>
  <c r="AS347" i="2"/>
  <c r="A397" i="2"/>
  <c r="B397" i="2"/>
  <c r="K380" i="2"/>
  <c r="J381" i="2"/>
  <c r="AL303" i="2"/>
  <c r="Z303" i="2"/>
  <c r="AB303" i="2" s="1"/>
  <c r="AO303" i="2" s="1"/>
  <c r="AX303" i="2" s="1"/>
  <c r="AA303" i="2"/>
  <c r="AN303" i="2" s="1"/>
  <c r="AW303" i="2" s="1"/>
  <c r="B289" i="2"/>
  <c r="D290" i="2"/>
  <c r="A289" i="2"/>
  <c r="Z363" i="2"/>
  <c r="AB363" i="2" s="1"/>
  <c r="AO363" i="2" s="1"/>
  <c r="AX363" i="2" s="1"/>
  <c r="AA363" i="2"/>
  <c r="AN363" i="2" s="1"/>
  <c r="AW363" i="2" s="1"/>
  <c r="AL363" i="2"/>
  <c r="W288" i="2"/>
  <c r="AI333" i="2"/>
  <c r="T349" i="2"/>
  <c r="AM349" i="2"/>
  <c r="AI349" i="2" s="1"/>
  <c r="AJ347" i="2" s="1"/>
  <c r="AL347" i="2" s="1"/>
  <c r="R349" i="2"/>
  <c r="AU349" i="2"/>
  <c r="AV347" i="2" s="1"/>
  <c r="AR349" i="2"/>
  <c r="V349" i="2"/>
  <c r="W349" i="2" s="1"/>
  <c r="T334" i="2"/>
  <c r="AM334" i="2"/>
  <c r="AU334" i="2"/>
  <c r="AV332" i="2" s="1"/>
  <c r="AR334" i="2"/>
  <c r="AS332" i="2" s="1"/>
  <c r="V334" i="2"/>
  <c r="R334" i="2"/>
  <c r="C244" i="2"/>
  <c r="D245" i="2"/>
  <c r="A244" i="2"/>
  <c r="B244" i="2"/>
  <c r="Z348" i="2"/>
  <c r="AA348" i="2"/>
  <c r="AN348" i="2" s="1"/>
  <c r="AW348" i="2" s="1"/>
  <c r="AB348" i="2"/>
  <c r="AO348" i="2" s="1"/>
  <c r="AX348" i="2" s="1"/>
  <c r="AL348" i="2"/>
  <c r="T379" i="2"/>
  <c r="AM379" i="2"/>
  <c r="AU379" i="2"/>
  <c r="AV377" i="2" s="1"/>
  <c r="AR379" i="2"/>
  <c r="AS377" i="2" s="1"/>
  <c r="V379" i="2"/>
  <c r="R379" i="2"/>
  <c r="A50" i="2"/>
  <c r="B50" i="2"/>
  <c r="C50" i="2"/>
  <c r="D51" i="2"/>
  <c r="B334" i="2"/>
  <c r="A334" i="2"/>
  <c r="D335" i="2"/>
  <c r="K350" i="2"/>
  <c r="J351" i="2"/>
  <c r="B304" i="2"/>
  <c r="D305" i="2"/>
  <c r="A304" i="2"/>
  <c r="D350" i="2"/>
  <c r="A349" i="2"/>
  <c r="B349" i="2"/>
  <c r="D382" i="2"/>
  <c r="A381" i="2"/>
  <c r="B381" i="2"/>
  <c r="T304" i="2"/>
  <c r="AM304" i="2"/>
  <c r="V304" i="2"/>
  <c r="R304" i="2"/>
  <c r="AU304" i="2"/>
  <c r="AR304" i="2"/>
  <c r="AS302" i="2" s="1"/>
  <c r="J336" i="2"/>
  <c r="K335" i="2"/>
  <c r="C202" i="2"/>
  <c r="A202" i="2"/>
  <c r="B202" i="2"/>
  <c r="X287" i="2"/>
  <c r="Z287" i="2" s="1"/>
  <c r="AB287" i="2" s="1"/>
  <c r="AO287" i="2" s="1"/>
  <c r="AX287" i="2" s="1"/>
  <c r="T289" i="2"/>
  <c r="AM289" i="2"/>
  <c r="AI289" i="2" s="1"/>
  <c r="V289" i="2"/>
  <c r="W289" i="2" s="1"/>
  <c r="R289" i="2"/>
  <c r="AU289" i="2"/>
  <c r="AV287" i="2" s="1"/>
  <c r="AR289" i="2"/>
  <c r="K305" i="2"/>
  <c r="J306" i="2"/>
  <c r="AL288" i="2"/>
  <c r="Z288" i="2"/>
  <c r="AB288" i="2" s="1"/>
  <c r="AO288" i="2" s="1"/>
  <c r="AX288" i="2" s="1"/>
  <c r="AA288" i="2"/>
  <c r="AN288" i="2" s="1"/>
  <c r="AW288" i="2" s="1"/>
  <c r="K290" i="2"/>
  <c r="J291" i="2"/>
  <c r="AL318" i="2"/>
  <c r="Z318" i="2"/>
  <c r="AB318" i="2" s="1"/>
  <c r="AO318" i="2" s="1"/>
  <c r="AX318" i="2" s="1"/>
  <c r="AA318" i="2"/>
  <c r="AN318" i="2" s="1"/>
  <c r="AW318" i="2" s="1"/>
  <c r="AA408" i="2"/>
  <c r="AN408" i="2" s="1"/>
  <c r="AW408" i="2" s="1"/>
  <c r="AL408" i="2"/>
  <c r="Z408" i="2"/>
  <c r="AB408" i="2" s="1"/>
  <c r="AO408" i="2" s="1"/>
  <c r="AX408" i="2" s="1"/>
  <c r="A412" i="2"/>
  <c r="B412" i="2"/>
  <c r="AI288" i="2"/>
  <c r="AJ287" i="2" s="1"/>
  <c r="AL287" i="2" s="1"/>
  <c r="D260" i="2"/>
  <c r="A259" i="2"/>
  <c r="B259" i="2"/>
  <c r="C259" i="2"/>
  <c r="B232" i="2"/>
  <c r="A232" i="2"/>
  <c r="C232" i="2"/>
  <c r="W333" i="2"/>
  <c r="W318" i="2"/>
  <c r="W303" i="2"/>
  <c r="D367" i="2"/>
  <c r="A366" i="2"/>
  <c r="B366" i="2"/>
  <c r="Z393" i="2"/>
  <c r="AA393" i="2"/>
  <c r="AN393" i="2" s="1"/>
  <c r="AW393" i="2" s="1"/>
  <c r="AB393" i="2"/>
  <c r="AO393" i="2" s="1"/>
  <c r="AX393" i="2" s="1"/>
  <c r="AL393" i="2"/>
  <c r="C172" i="2"/>
  <c r="A172" i="2"/>
  <c r="B172" i="2"/>
  <c r="W408" i="2"/>
  <c r="X407" i="2" s="1"/>
  <c r="Z407" i="2" s="1"/>
  <c r="AB407" i="2" s="1"/>
  <c r="AO407" i="2" s="1"/>
  <c r="AX407" i="2" s="1"/>
  <c r="Z378" i="2"/>
  <c r="AA378" i="2"/>
  <c r="AN378" i="2" s="1"/>
  <c r="AW378" i="2" s="1"/>
  <c r="AB378" i="2"/>
  <c r="AO378" i="2" s="1"/>
  <c r="AX378" i="2" s="1"/>
  <c r="AL378" i="2"/>
  <c r="T409" i="2"/>
  <c r="AM409" i="2"/>
  <c r="AI409" i="2" s="1"/>
  <c r="AR409" i="2"/>
  <c r="AS407" i="2" s="1"/>
  <c r="V409" i="2"/>
  <c r="W409" i="2" s="1"/>
  <c r="R409" i="2"/>
  <c r="AU409" i="2"/>
  <c r="AV407" i="2" s="1"/>
  <c r="AI318" i="2"/>
  <c r="AJ317" i="2" s="1"/>
  <c r="AL317" i="2" s="1"/>
  <c r="A155" i="2"/>
  <c r="B155" i="2"/>
  <c r="C155" i="2"/>
  <c r="D156" i="2"/>
  <c r="T319" i="2"/>
  <c r="AM319" i="2"/>
  <c r="AI319" i="2" s="1"/>
  <c r="AU319" i="2"/>
  <c r="AV317" i="2" s="1"/>
  <c r="AR319" i="2"/>
  <c r="AS317" i="2" s="1"/>
  <c r="V319" i="2"/>
  <c r="R319" i="2"/>
  <c r="A142" i="2"/>
  <c r="B142" i="2"/>
  <c r="C142" i="2"/>
  <c r="A80" i="2"/>
  <c r="B80" i="2"/>
  <c r="C80" i="2"/>
  <c r="D81" i="2"/>
  <c r="D185" i="2"/>
  <c r="A184" i="2"/>
  <c r="B184" i="2"/>
  <c r="C184" i="2"/>
  <c r="W393" i="2"/>
  <c r="T394" i="2"/>
  <c r="AM394" i="2"/>
  <c r="AR394" i="2"/>
  <c r="AS392" i="2" s="1"/>
  <c r="V394" i="2"/>
  <c r="R394" i="2"/>
  <c r="AU394" i="2"/>
  <c r="AV392" i="2" s="1"/>
  <c r="AI363" i="2"/>
  <c r="AI408" i="2"/>
  <c r="AJ407" i="2" s="1"/>
  <c r="AL407" i="2" s="1"/>
  <c r="T364" i="2"/>
  <c r="AM364" i="2"/>
  <c r="AR364" i="2"/>
  <c r="AS362" i="2" s="1"/>
  <c r="V364" i="2"/>
  <c r="R364" i="2"/>
  <c r="AU364" i="2"/>
  <c r="AV362" i="2" s="1"/>
  <c r="B319" i="2"/>
  <c r="D320" i="2"/>
  <c r="A319" i="2"/>
  <c r="W378" i="2"/>
  <c r="W348" i="2"/>
  <c r="X347" i="2" s="1"/>
  <c r="Z347" i="2" s="1"/>
  <c r="AB347" i="2" s="1"/>
  <c r="AO347" i="2" s="1"/>
  <c r="AX347" i="2" s="1"/>
  <c r="K410" i="2"/>
  <c r="J411" i="2"/>
  <c r="C277" i="2"/>
  <c r="A277" i="2"/>
  <c r="B277" i="2"/>
  <c r="K320" i="2"/>
  <c r="J321" i="2"/>
  <c r="A125" i="2"/>
  <c r="B125" i="2"/>
  <c r="C125" i="2"/>
  <c r="D126" i="2"/>
  <c r="J396" i="2"/>
  <c r="K395" i="2"/>
  <c r="K365" i="2"/>
  <c r="J366" i="2"/>
  <c r="AL333" i="2"/>
  <c r="AA333" i="2"/>
  <c r="AN333" i="2" s="1"/>
  <c r="AW333" i="2" s="1"/>
  <c r="Z333" i="2"/>
  <c r="AB333" i="2"/>
  <c r="AO333" i="2" s="1"/>
  <c r="AX333" i="2" s="1"/>
  <c r="E335" i="2"/>
  <c r="E126" i="2"/>
  <c r="E260" i="2"/>
  <c r="E382" i="2"/>
  <c r="E320" i="2"/>
  <c r="E156" i="2"/>
  <c r="E245" i="2"/>
  <c r="E305" i="2"/>
  <c r="E81" i="2"/>
  <c r="E367" i="2"/>
  <c r="E185" i="2"/>
  <c r="E350" i="2"/>
  <c r="E290" i="2"/>
  <c r="E51" i="2"/>
  <c r="AJ362" i="2" l="1"/>
  <c r="AL362" i="2" s="1"/>
  <c r="W364" i="2"/>
  <c r="X362" i="2" s="1"/>
  <c r="Z362" i="2" s="1"/>
  <c r="AB362" i="2" s="1"/>
  <c r="T305" i="2"/>
  <c r="V305" i="2"/>
  <c r="W305" i="2" s="1"/>
  <c r="AU305" i="2"/>
  <c r="AM305" i="2"/>
  <c r="AI305" i="2" s="1"/>
  <c r="AR305" i="2"/>
  <c r="R305" i="2"/>
  <c r="B51" i="2"/>
  <c r="C51" i="2"/>
  <c r="A51" i="2"/>
  <c r="D52" i="2"/>
  <c r="A290" i="2"/>
  <c r="D291" i="2"/>
  <c r="B290" i="2"/>
  <c r="T380" i="2"/>
  <c r="AM380" i="2"/>
  <c r="AI380" i="2" s="1"/>
  <c r="R380" i="2"/>
  <c r="V380" i="2"/>
  <c r="AU380" i="2"/>
  <c r="AR380" i="2"/>
  <c r="Z304" i="2"/>
  <c r="AB304" i="2" s="1"/>
  <c r="AO304" i="2" s="1"/>
  <c r="AX304" i="2" s="1"/>
  <c r="AA304" i="2"/>
  <c r="AN304" i="2" s="1"/>
  <c r="AW304" i="2" s="1"/>
  <c r="AL304" i="2"/>
  <c r="AA394" i="2"/>
  <c r="AN394" i="2" s="1"/>
  <c r="AW394" i="2" s="1"/>
  <c r="Z394" i="2"/>
  <c r="AB394" i="2" s="1"/>
  <c r="AO394" i="2" s="1"/>
  <c r="AX394" i="2" s="1"/>
  <c r="AL394" i="2"/>
  <c r="W304" i="2"/>
  <c r="X302" i="2" s="1"/>
  <c r="Z302" i="2" s="1"/>
  <c r="AB302" i="2" s="1"/>
  <c r="AO302" i="2" s="1"/>
  <c r="AX302" i="2" s="1"/>
  <c r="A350" i="2"/>
  <c r="D351" i="2"/>
  <c r="B350" i="2"/>
  <c r="K381" i="2"/>
  <c r="J382" i="2"/>
  <c r="K382" i="2" s="1"/>
  <c r="A185" i="2"/>
  <c r="B185" i="2"/>
  <c r="C185" i="2"/>
  <c r="D186" i="2"/>
  <c r="Z319" i="2"/>
  <c r="AA319" i="2"/>
  <c r="AN319" i="2" s="1"/>
  <c r="AW319" i="2" s="1"/>
  <c r="AB319" i="2"/>
  <c r="AO319" i="2" s="1"/>
  <c r="AX319" i="2" s="1"/>
  <c r="AL319" i="2"/>
  <c r="A367" i="2"/>
  <c r="B367" i="2"/>
  <c r="K291" i="2"/>
  <c r="J292" i="2"/>
  <c r="K292" i="2" s="1"/>
  <c r="AI304" i="2"/>
  <c r="AJ302" i="2" s="1"/>
  <c r="AL302" i="2" s="1"/>
  <c r="AI379" i="2"/>
  <c r="AJ377" i="2" s="1"/>
  <c r="AL377" i="2" s="1"/>
  <c r="T365" i="2"/>
  <c r="AM365" i="2"/>
  <c r="V365" i="2"/>
  <c r="AR365" i="2"/>
  <c r="AU365" i="2"/>
  <c r="R365" i="2"/>
  <c r="K321" i="2"/>
  <c r="J322" i="2"/>
  <c r="K322" i="2" s="1"/>
  <c r="AI364" i="2"/>
  <c r="D82" i="2"/>
  <c r="A81" i="2"/>
  <c r="B81" i="2"/>
  <c r="C81" i="2"/>
  <c r="W319" i="2"/>
  <c r="X317" i="2" s="1"/>
  <c r="Z317" i="2" s="1"/>
  <c r="AB317" i="2" s="1"/>
  <c r="AO317" i="2" s="1"/>
  <c r="AX317" i="2" s="1"/>
  <c r="T290" i="2"/>
  <c r="AM290" i="2"/>
  <c r="AU290" i="2"/>
  <c r="AR290" i="2"/>
  <c r="V290" i="2"/>
  <c r="W290" i="2" s="1"/>
  <c r="R290" i="2"/>
  <c r="A305" i="2"/>
  <c r="D306" i="2"/>
  <c r="B305" i="2"/>
  <c r="A245" i="2"/>
  <c r="C245" i="2"/>
  <c r="B245" i="2"/>
  <c r="D246" i="2"/>
  <c r="K411" i="2"/>
  <c r="J412" i="2"/>
  <c r="K412" i="2" s="1"/>
  <c r="Z364" i="2"/>
  <c r="AA364" i="2"/>
  <c r="AN364" i="2" s="1"/>
  <c r="AW364" i="2" s="1"/>
  <c r="AB364" i="2"/>
  <c r="AO364" i="2" s="1"/>
  <c r="AX364" i="2" s="1"/>
  <c r="AL364" i="2"/>
  <c r="B156" i="2"/>
  <c r="C156" i="2"/>
  <c r="A156" i="2"/>
  <c r="D157" i="2"/>
  <c r="K30" i="706"/>
  <c r="M30" i="706"/>
  <c r="AA27" i="707"/>
  <c r="J30" i="706"/>
  <c r="G30" i="706"/>
  <c r="X30" i="706"/>
  <c r="X28" i="708"/>
  <c r="Z28" i="708"/>
  <c r="W30" i="706"/>
  <c r="U30" i="706"/>
  <c r="I30" i="706"/>
  <c r="H30" i="706"/>
  <c r="Y27" i="707"/>
  <c r="Q30" i="706"/>
  <c r="C30" i="706"/>
  <c r="AA30" i="706"/>
  <c r="S30" i="706"/>
  <c r="N30" i="706"/>
  <c r="Z27" i="707"/>
  <c r="P30" i="706"/>
  <c r="X27" i="707"/>
  <c r="Y28" i="708"/>
  <c r="Z30" i="706"/>
  <c r="AA28" i="708"/>
  <c r="T30" i="706"/>
  <c r="Y30" i="706"/>
  <c r="L30" i="706"/>
  <c r="R30" i="706"/>
  <c r="F30" i="706"/>
  <c r="K306" i="2"/>
  <c r="J307" i="2"/>
  <c r="K307" i="2" s="1"/>
  <c r="T410" i="2"/>
  <c r="AM410" i="2"/>
  <c r="AI410" i="2" s="1"/>
  <c r="V410" i="2"/>
  <c r="W410" i="2" s="1"/>
  <c r="AU410" i="2"/>
  <c r="R410" i="2"/>
  <c r="AR410" i="2"/>
  <c r="AI334" i="2"/>
  <c r="AJ332" i="2" s="1"/>
  <c r="AL332" i="2" s="1"/>
  <c r="K366" i="2"/>
  <c r="J367" i="2"/>
  <c r="K367" i="2" s="1"/>
  <c r="W394" i="2"/>
  <c r="T320" i="2"/>
  <c r="AM320" i="2"/>
  <c r="AU320" i="2"/>
  <c r="R320" i="2"/>
  <c r="V320" i="2"/>
  <c r="AR320" i="2"/>
  <c r="AI394" i="2"/>
  <c r="AJ392" i="2" s="1"/>
  <c r="AL392" i="2" s="1"/>
  <c r="Z289" i="2"/>
  <c r="AB289" i="2" s="1"/>
  <c r="AO289" i="2" s="1"/>
  <c r="AX289" i="2" s="1"/>
  <c r="AA289" i="2"/>
  <c r="AN289" i="2" s="1"/>
  <c r="AW289" i="2" s="1"/>
  <c r="AL289" i="2"/>
  <c r="T335" i="2"/>
  <c r="AM335" i="2"/>
  <c r="AI335" i="2" s="1"/>
  <c r="AR335" i="2"/>
  <c r="V335" i="2"/>
  <c r="W335" i="2" s="1"/>
  <c r="AU335" i="2"/>
  <c r="R335" i="2"/>
  <c r="T395" i="2"/>
  <c r="AM395" i="2"/>
  <c r="AR395" i="2"/>
  <c r="R395" i="2"/>
  <c r="V395" i="2"/>
  <c r="AU395" i="2"/>
  <c r="A320" i="2"/>
  <c r="D321" i="2"/>
  <c r="B320" i="2"/>
  <c r="K351" i="2"/>
  <c r="J352" i="2"/>
  <c r="K352" i="2" s="1"/>
  <c r="AB334" i="2"/>
  <c r="AO334" i="2" s="1"/>
  <c r="AX334" i="2" s="1"/>
  <c r="Z334" i="2"/>
  <c r="AA334" i="2"/>
  <c r="AN334" i="2" s="1"/>
  <c r="AW334" i="2" s="1"/>
  <c r="AL334" i="2"/>
  <c r="A382" i="2"/>
  <c r="B382" i="2"/>
  <c r="T350" i="2"/>
  <c r="AM350" i="2"/>
  <c r="AI350" i="2" s="1"/>
  <c r="V350" i="2"/>
  <c r="W350" i="2" s="1"/>
  <c r="AU350" i="2"/>
  <c r="R350" i="2"/>
  <c r="AR350" i="2"/>
  <c r="Z379" i="2"/>
  <c r="AB379" i="2" s="1"/>
  <c r="AO379" i="2" s="1"/>
  <c r="AX379" i="2" s="1"/>
  <c r="AA379" i="2"/>
  <c r="AN379" i="2" s="1"/>
  <c r="AW379" i="2" s="1"/>
  <c r="AL379" i="2"/>
  <c r="W334" i="2"/>
  <c r="X332" i="2" s="1"/>
  <c r="Z332" i="2" s="1"/>
  <c r="AB332" i="2" s="1"/>
  <c r="AO332" i="2" s="1"/>
  <c r="AX332" i="2" s="1"/>
  <c r="A260" i="2"/>
  <c r="B260" i="2"/>
  <c r="D261" i="2"/>
  <c r="C260" i="2"/>
  <c r="K336" i="2"/>
  <c r="J337" i="2"/>
  <c r="K337" i="2" s="1"/>
  <c r="K396" i="2"/>
  <c r="J397" i="2"/>
  <c r="K397" i="2" s="1"/>
  <c r="X392" i="2"/>
  <c r="Z392" i="2" s="1"/>
  <c r="AB392" i="2" s="1"/>
  <c r="AO392" i="2" s="1"/>
  <c r="AX392" i="2" s="1"/>
  <c r="D127" i="2"/>
  <c r="A126" i="2"/>
  <c r="B126" i="2"/>
  <c r="C126" i="2"/>
  <c r="Z409" i="2"/>
  <c r="AB409" i="2" s="1"/>
  <c r="AO409" i="2" s="1"/>
  <c r="AX409" i="2" s="1"/>
  <c r="AL409" i="2"/>
  <c r="AA409" i="2"/>
  <c r="AN409" i="2" s="1"/>
  <c r="AW409" i="2" s="1"/>
  <c r="I39" i="701"/>
  <c r="I8" i="474"/>
  <c r="K6" i="474"/>
  <c r="P39" i="701"/>
  <c r="AA39" i="701"/>
  <c r="Y39" i="701"/>
  <c r="W39" i="701"/>
  <c r="I9" i="474"/>
  <c r="AA33" i="704"/>
  <c r="I6" i="474"/>
  <c r="Y34" i="703"/>
  <c r="Q39" i="701"/>
  <c r="Y33" i="704"/>
  <c r="E9" i="474"/>
  <c r="AA34" i="703"/>
  <c r="X33" i="704"/>
  <c r="M39" i="701"/>
  <c r="T39" i="701"/>
  <c r="J6" i="474"/>
  <c r="R39" i="701"/>
  <c r="E6" i="474"/>
  <c r="K39" i="701"/>
  <c r="C39" i="701"/>
  <c r="K9" i="474"/>
  <c r="H8" i="474"/>
  <c r="J8" i="474"/>
  <c r="Z33" i="704"/>
  <c r="J9" i="474"/>
  <c r="K8" i="474"/>
  <c r="H9" i="474"/>
  <c r="E8" i="474"/>
  <c r="X34" i="703"/>
  <c r="Z34" i="703"/>
  <c r="A335" i="2"/>
  <c r="D336" i="2"/>
  <c r="B335" i="2"/>
  <c r="W379" i="2"/>
  <c r="X377" i="2" s="1"/>
  <c r="Z377" i="2" s="1"/>
  <c r="AB377" i="2" s="1"/>
  <c r="AO377" i="2" s="1"/>
  <c r="AX377" i="2" s="1"/>
  <c r="Z349" i="2"/>
  <c r="AA349" i="2"/>
  <c r="AN349" i="2" s="1"/>
  <c r="AW349" i="2" s="1"/>
  <c r="AB349" i="2"/>
  <c r="AO349" i="2" s="1"/>
  <c r="AX349" i="2" s="1"/>
  <c r="AL349" i="2"/>
  <c r="E291" i="2"/>
  <c r="E186" i="2"/>
  <c r="E157" i="2"/>
  <c r="E246" i="2"/>
  <c r="E351" i="2"/>
  <c r="E306" i="2"/>
  <c r="E127" i="2"/>
  <c r="E261" i="2"/>
  <c r="E321" i="2"/>
  <c r="E336" i="2"/>
  <c r="E52" i="2"/>
  <c r="E82" i="2"/>
  <c r="I32" i="881" a="1"/>
  <c r="L32" i="881" a="1"/>
  <c r="J32" i="881" a="1"/>
  <c r="D10" i="739" a="1"/>
  <c r="D9" i="739" a="1"/>
  <c r="E32" i="881" a="1"/>
  <c r="D18" i="729" a="1"/>
  <c r="E18" i="731" a="1"/>
  <c r="E11" i="739" a="1"/>
  <c r="F32" i="881" a="1"/>
  <c r="D18" i="731" a="1"/>
  <c r="D11" i="739" a="1"/>
  <c r="E9" i="739" a="1"/>
  <c r="E10" i="739" a="1"/>
  <c r="D11" i="739" l="1"/>
  <c r="L32" i="881"/>
  <c r="E9" i="739"/>
  <c r="D18" i="731"/>
  <c r="E18" i="731"/>
  <c r="I32" i="881"/>
  <c r="F32" i="881"/>
  <c r="E11" i="739"/>
  <c r="D18" i="729"/>
  <c r="E32" i="881"/>
  <c r="D9" i="739"/>
  <c r="E10" i="739"/>
  <c r="D10" i="739"/>
  <c r="J32" i="881"/>
  <c r="AD34" i="703"/>
  <c r="E10" i="985"/>
  <c r="AA320" i="2"/>
  <c r="AN320" i="2" s="1"/>
  <c r="AW320" i="2" s="1"/>
  <c r="T352" i="2"/>
  <c r="AR352" i="2"/>
  <c r="AM352" i="2"/>
  <c r="AI352" i="2" s="1"/>
  <c r="AU352" i="2"/>
  <c r="V352" i="2"/>
  <c r="W352" i="2" s="1"/>
  <c r="R352" i="2"/>
  <c r="T396" i="2"/>
  <c r="AM396" i="2"/>
  <c r="AI396" i="2" s="1"/>
  <c r="AR396" i="2"/>
  <c r="AS395" i="2" s="1"/>
  <c r="V396" i="2"/>
  <c r="W396" i="2" s="1"/>
  <c r="R396" i="2"/>
  <c r="AU396" i="2"/>
  <c r="AD33" i="704"/>
  <c r="C10" i="985"/>
  <c r="D10" i="985"/>
  <c r="AC33" i="704"/>
  <c r="D12" i="739"/>
  <c r="AC34" i="703"/>
  <c r="AB33" i="704"/>
  <c r="T337" i="2"/>
  <c r="AM337" i="2"/>
  <c r="AU337" i="2"/>
  <c r="V337" i="2"/>
  <c r="W337" i="2" s="1"/>
  <c r="X335" i="2" s="1"/>
  <c r="Z335" i="2" s="1"/>
  <c r="AB335" i="2" s="1"/>
  <c r="AR337" i="2"/>
  <c r="R337" i="2"/>
  <c r="T351" i="2"/>
  <c r="AM351" i="2"/>
  <c r="V351" i="2"/>
  <c r="W351" i="2" s="1"/>
  <c r="R351" i="2"/>
  <c r="AU351" i="2"/>
  <c r="AR351" i="2"/>
  <c r="AS350" i="2" s="1"/>
  <c r="AI395" i="2"/>
  <c r="AA410" i="2"/>
  <c r="AN410" i="2" s="1"/>
  <c r="AW410" i="2" s="1"/>
  <c r="A82" i="2"/>
  <c r="B82" i="2"/>
  <c r="C82" i="2"/>
  <c r="W365" i="2"/>
  <c r="A52" i="2"/>
  <c r="B52" i="2"/>
  <c r="C52" i="2"/>
  <c r="D10" i="411"/>
  <c r="G10" i="411"/>
  <c r="AC39" i="701"/>
  <c r="T336" i="2"/>
  <c r="AM336" i="2"/>
  <c r="AR336" i="2"/>
  <c r="AU336" i="2"/>
  <c r="AV335" i="2" s="1"/>
  <c r="R336" i="2"/>
  <c r="V336" i="2"/>
  <c r="W336" i="2" s="1"/>
  <c r="AI320" i="2"/>
  <c r="E10" i="414"/>
  <c r="W32" i="706"/>
  <c r="AI365" i="2"/>
  <c r="T382" i="2"/>
  <c r="AM382" i="2"/>
  <c r="AR382" i="2"/>
  <c r="V382" i="2"/>
  <c r="R382" i="2"/>
  <c r="AU382" i="2"/>
  <c r="W380" i="2"/>
  <c r="D337" i="2"/>
  <c r="A336" i="2"/>
  <c r="B336" i="2"/>
  <c r="AD35" i="704"/>
  <c r="F10" i="411"/>
  <c r="C10" i="411"/>
  <c r="B321" i="2"/>
  <c r="D322" i="2"/>
  <c r="A321" i="2"/>
  <c r="AA335" i="2"/>
  <c r="AN335" i="2" s="1"/>
  <c r="AW335" i="2" s="1"/>
  <c r="AD30" i="706"/>
  <c r="AI290" i="2"/>
  <c r="T381" i="2"/>
  <c r="AU381" i="2"/>
  <c r="AV380" i="2" s="1"/>
  <c r="V381" i="2"/>
  <c r="AM381" i="2"/>
  <c r="R381" i="2"/>
  <c r="AR381" i="2"/>
  <c r="AS380" i="2" s="1"/>
  <c r="AA380" i="2"/>
  <c r="AN380" i="2" s="1"/>
  <c r="AW380" i="2" s="1"/>
  <c r="AO362" i="2"/>
  <c r="AX362" i="2" s="1"/>
  <c r="E12" i="739"/>
  <c r="B34" i="881"/>
  <c r="B50" i="881" s="1"/>
  <c r="AC35" i="704"/>
  <c r="E10" i="411"/>
  <c r="H10" i="411"/>
  <c r="D45" i="729"/>
  <c r="W41" i="701"/>
  <c r="B261" i="2"/>
  <c r="C261" i="2"/>
  <c r="D262" i="2"/>
  <c r="A261" i="2"/>
  <c r="D10" i="414"/>
  <c r="AC30" i="706"/>
  <c r="AD28" i="708"/>
  <c r="AD27" i="707"/>
  <c r="T322" i="2"/>
  <c r="AM322" i="2"/>
  <c r="AI322" i="2" s="1"/>
  <c r="V322" i="2"/>
  <c r="R322" i="2"/>
  <c r="AR322" i="2"/>
  <c r="AU322" i="2"/>
  <c r="D10" i="516"/>
  <c r="E10" i="516"/>
  <c r="A127" i="2"/>
  <c r="B127" i="2"/>
  <c r="C127" i="2"/>
  <c r="AA350" i="2"/>
  <c r="AN350" i="2" s="1"/>
  <c r="AW350" i="2" s="1"/>
  <c r="T367" i="2"/>
  <c r="AM367" i="2"/>
  <c r="AI367" i="2" s="1"/>
  <c r="AR367" i="2"/>
  <c r="V367" i="2"/>
  <c r="W367" i="2" s="1"/>
  <c r="R367" i="2"/>
  <c r="AU367" i="2"/>
  <c r="B306" i="2"/>
  <c r="D307" i="2"/>
  <c r="A306" i="2"/>
  <c r="T321" i="2"/>
  <c r="V321" i="2"/>
  <c r="W321" i="2" s="1"/>
  <c r="R321" i="2"/>
  <c r="AU321" i="2"/>
  <c r="AV320" i="2" s="1"/>
  <c r="AM321" i="2"/>
  <c r="AI321" i="2" s="1"/>
  <c r="AR321" i="2"/>
  <c r="AS320" i="2" s="1"/>
  <c r="D352" i="2"/>
  <c r="A351" i="2"/>
  <c r="B351" i="2"/>
  <c r="AA305" i="2"/>
  <c r="AN305" i="2" s="1"/>
  <c r="AW305" i="2" s="1"/>
  <c r="C246" i="2"/>
  <c r="D247" i="2"/>
  <c r="B246" i="2"/>
  <c r="A246" i="2"/>
  <c r="AD39" i="701"/>
  <c r="AV350" i="2"/>
  <c r="W395" i="2"/>
  <c r="X395" i="2" s="1"/>
  <c r="Z395" i="2" s="1"/>
  <c r="AB395" i="2" s="1"/>
  <c r="AS335" i="2"/>
  <c r="T366" i="2"/>
  <c r="AM366" i="2"/>
  <c r="R366" i="2"/>
  <c r="AU366" i="2"/>
  <c r="AR366" i="2"/>
  <c r="AS365" i="2" s="1"/>
  <c r="V366" i="2"/>
  <c r="T307" i="2"/>
  <c r="AM307" i="2"/>
  <c r="AI307" i="2" s="1"/>
  <c r="V307" i="2"/>
  <c r="W307" i="2" s="1"/>
  <c r="R307" i="2"/>
  <c r="AU307" i="2"/>
  <c r="AR307" i="2"/>
  <c r="C10" i="414"/>
  <c r="B157" i="2"/>
  <c r="C157" i="2"/>
  <c r="A157" i="2"/>
  <c r="T412" i="2"/>
  <c r="AM412" i="2"/>
  <c r="AI412" i="2" s="1"/>
  <c r="R412" i="2"/>
  <c r="AU412" i="2"/>
  <c r="AR412" i="2"/>
  <c r="V412" i="2"/>
  <c r="AA365" i="2"/>
  <c r="AN365" i="2" s="1"/>
  <c r="AW365" i="2" s="1"/>
  <c r="T292" i="2"/>
  <c r="AM292" i="2"/>
  <c r="AI292" i="2" s="1"/>
  <c r="V292" i="2"/>
  <c r="R292" i="2"/>
  <c r="AU292" i="2"/>
  <c r="AR292" i="2"/>
  <c r="B186" i="2"/>
  <c r="C186" i="2"/>
  <c r="D187" i="2"/>
  <c r="A186" i="2"/>
  <c r="D10" i="517"/>
  <c r="D19" i="517" s="1"/>
  <c r="D18" i="786"/>
  <c r="Y39" i="704"/>
  <c r="T397" i="2"/>
  <c r="AM397" i="2"/>
  <c r="AI397" i="2" s="1"/>
  <c r="R397" i="2"/>
  <c r="AU397" i="2"/>
  <c r="AV395" i="2" s="1"/>
  <c r="AR397" i="2"/>
  <c r="V397" i="2"/>
  <c r="W397" i="2" s="1"/>
  <c r="X350" i="2"/>
  <c r="Z350" i="2" s="1"/>
  <c r="AB350" i="2" s="1"/>
  <c r="AA395" i="2"/>
  <c r="AN395" i="2" s="1"/>
  <c r="AW395" i="2" s="1"/>
  <c r="W320" i="2"/>
  <c r="T306" i="2"/>
  <c r="R306" i="2"/>
  <c r="AU306" i="2"/>
  <c r="AV305" i="2" s="1"/>
  <c r="AR306" i="2"/>
  <c r="AS305" i="2" s="1"/>
  <c r="AM306" i="2"/>
  <c r="V306" i="2"/>
  <c r="AC27" i="707"/>
  <c r="AC28" i="708"/>
  <c r="E10" i="517"/>
  <c r="E19" i="517" s="1"/>
  <c r="G10" i="517"/>
  <c r="G19" i="517" s="1"/>
  <c r="H10" i="517"/>
  <c r="H19" i="517" s="1"/>
  <c r="T411" i="2"/>
  <c r="AR411" i="2"/>
  <c r="AS410" i="2" s="1"/>
  <c r="AU411" i="2"/>
  <c r="AV410" i="2" s="1"/>
  <c r="R411" i="2"/>
  <c r="V411" i="2"/>
  <c r="AM411" i="2"/>
  <c r="AA290" i="2"/>
  <c r="AN290" i="2" s="1"/>
  <c r="AW290" i="2" s="1"/>
  <c r="AV365" i="2"/>
  <c r="T291" i="2"/>
  <c r="AM291" i="2"/>
  <c r="R291" i="2"/>
  <c r="AU291" i="2"/>
  <c r="AV290" i="2" s="1"/>
  <c r="V291" i="2"/>
  <c r="AR291" i="2"/>
  <c r="AS290" i="2" s="1"/>
  <c r="B291" i="2"/>
  <c r="D292" i="2"/>
  <c r="A291" i="2"/>
  <c r="E187" i="2"/>
  <c r="E292" i="2"/>
  <c r="E322" i="2"/>
  <c r="E307" i="2"/>
  <c r="E352" i="2"/>
  <c r="E247" i="2"/>
  <c r="E337" i="2"/>
  <c r="E262" i="2"/>
  <c r="H11" i="739" a="1"/>
  <c r="H10" i="739" a="1"/>
  <c r="H7" i="739" a="1"/>
  <c r="H9" i="739" a="1"/>
  <c r="D18" i="840" a="1"/>
  <c r="G18" i="731" a="1"/>
  <c r="I7" i="739" a="1"/>
  <c r="I9" i="739" a="1"/>
  <c r="I10" i="739" a="1"/>
  <c r="E18" i="840" a="1"/>
  <c r="H18" i="731" a="1"/>
  <c r="I11" i="739" a="1"/>
  <c r="H18" i="731" l="1"/>
  <c r="H25" i="731" s="1"/>
  <c r="G18" i="731"/>
  <c r="G25" i="731" s="1"/>
  <c r="E18" i="840"/>
  <c r="E25" i="840" s="1"/>
  <c r="D18" i="840"/>
  <c r="D25" i="840" s="1"/>
  <c r="I9" i="739"/>
  <c r="H9" i="739"/>
  <c r="H11" i="739"/>
  <c r="I11" i="739"/>
  <c r="H7" i="739"/>
  <c r="H10" i="739"/>
  <c r="I7" i="739"/>
  <c r="I10" i="739"/>
  <c r="I19" i="731"/>
  <c r="D25" i="731"/>
  <c r="W291" i="2"/>
  <c r="X290" i="2" s="1"/>
  <c r="Z290" i="2" s="1"/>
  <c r="AB290" i="2" s="1"/>
  <c r="AO290" i="2" s="1"/>
  <c r="AX290" i="2" s="1"/>
  <c r="AI411" i="2"/>
  <c r="AJ410" i="2" s="1"/>
  <c r="AL410" i="2" s="1"/>
  <c r="W306" i="2"/>
  <c r="X305" i="2" s="1"/>
  <c r="Z305" i="2" s="1"/>
  <c r="AB305" i="2" s="1"/>
  <c r="D25" i="786"/>
  <c r="E18" i="786"/>
  <c r="F18" i="786"/>
  <c r="W412" i="2"/>
  <c r="Z307" i="2"/>
  <c r="AA307" i="2"/>
  <c r="AN307" i="2" s="1"/>
  <c r="AW307" i="2" s="1"/>
  <c r="AB307" i="2"/>
  <c r="AL307" i="2"/>
  <c r="AI366" i="2"/>
  <c r="AL321" i="2"/>
  <c r="Z321" i="2"/>
  <c r="AB321" i="2" s="1"/>
  <c r="AO321" i="2" s="1"/>
  <c r="AX321" i="2" s="1"/>
  <c r="AA321" i="2"/>
  <c r="AN321" i="2" s="1"/>
  <c r="AW321" i="2" s="1"/>
  <c r="B262" i="2"/>
  <c r="C262" i="2"/>
  <c r="A262" i="2"/>
  <c r="E17" i="411"/>
  <c r="AI381" i="2"/>
  <c r="AJ380" i="2" s="1"/>
  <c r="AL380" i="2" s="1"/>
  <c r="C17" i="411"/>
  <c r="AI382" i="2"/>
  <c r="E17" i="414"/>
  <c r="Z396" i="2"/>
  <c r="AB396" i="2" s="1"/>
  <c r="AO396" i="2" s="1"/>
  <c r="AX396" i="2" s="1"/>
  <c r="AA396" i="2"/>
  <c r="AN396" i="2" s="1"/>
  <c r="AW396" i="2" s="1"/>
  <c r="AL396" i="2"/>
  <c r="W411" i="2"/>
  <c r="AI306" i="2"/>
  <c r="AJ305" i="2" s="1"/>
  <c r="AL305" i="2" s="1"/>
  <c r="W381" i="2"/>
  <c r="F17" i="411"/>
  <c r="AI336" i="2"/>
  <c r="Z351" i="2"/>
  <c r="AB351" i="2" s="1"/>
  <c r="AO351" i="2" s="1"/>
  <c r="AX351" i="2" s="1"/>
  <c r="AA351" i="2"/>
  <c r="AN351" i="2" s="1"/>
  <c r="AW351" i="2" s="1"/>
  <c r="AL351" i="2"/>
  <c r="AI337" i="2"/>
  <c r="E41" i="881"/>
  <c r="L41" i="881"/>
  <c r="AA411" i="2"/>
  <c r="AN411" i="2" s="1"/>
  <c r="AW411" i="2" s="1"/>
  <c r="AL411" i="2"/>
  <c r="Z411" i="2"/>
  <c r="AB411" i="2" s="1"/>
  <c r="AO411" i="2" s="1"/>
  <c r="AX411" i="2" s="1"/>
  <c r="Z292" i="2"/>
  <c r="AB292" i="2" s="1"/>
  <c r="AO292" i="2" s="1"/>
  <c r="AX292" i="2" s="1"/>
  <c r="AA292" i="2"/>
  <c r="AN292" i="2" s="1"/>
  <c r="AW292" i="2" s="1"/>
  <c r="AL292" i="2"/>
  <c r="C17" i="414"/>
  <c r="Z322" i="2"/>
  <c r="AB322" i="2" s="1"/>
  <c r="AO322" i="2" s="1"/>
  <c r="AX322" i="2" s="1"/>
  <c r="AA322" i="2"/>
  <c r="AN322" i="2" s="1"/>
  <c r="AW322" i="2" s="1"/>
  <c r="AL322" i="2"/>
  <c r="H12" i="739"/>
  <c r="I12" i="739"/>
  <c r="B337" i="2"/>
  <c r="A337" i="2"/>
  <c r="I11" i="708" s="1"/>
  <c r="AJ365" i="2"/>
  <c r="AL365" i="2" s="1"/>
  <c r="D25" i="729"/>
  <c r="F18" i="729"/>
  <c r="H17" i="411"/>
  <c r="AL291" i="2"/>
  <c r="Z291" i="2"/>
  <c r="AA291" i="2"/>
  <c r="AN291" i="2" s="1"/>
  <c r="AW291" i="2" s="1"/>
  <c r="AB291" i="2"/>
  <c r="AI291" i="2"/>
  <c r="W292" i="2"/>
  <c r="Z412" i="2"/>
  <c r="AB412" i="2"/>
  <c r="AL412" i="2"/>
  <c r="AA412" i="2"/>
  <c r="AN412" i="2" s="1"/>
  <c r="AW412" i="2" s="1"/>
  <c r="W322" i="2"/>
  <c r="D17" i="414"/>
  <c r="Y16" i="932"/>
  <c r="AA17" i="932"/>
  <c r="Z15" i="932"/>
  <c r="AA15" i="932"/>
  <c r="Y21" i="932"/>
  <c r="AA20" i="932"/>
  <c r="Z19" i="932"/>
  <c r="Z10" i="932"/>
  <c r="AA11" i="932"/>
  <c r="Y10" i="932"/>
  <c r="Y9" i="932"/>
  <c r="Y17" i="932"/>
  <c r="AJ11" i="932"/>
  <c r="AN11" i="932" s="1"/>
  <c r="AJ15" i="932"/>
  <c r="AN15" i="932" s="1"/>
  <c r="AI15" i="932"/>
  <c r="AI19" i="932"/>
  <c r="X20" i="932"/>
  <c r="X17" i="932"/>
  <c r="Z20" i="932"/>
  <c r="AA19" i="932"/>
  <c r="X19" i="932"/>
  <c r="X10" i="932"/>
  <c r="AA16" i="932"/>
  <c r="AI17" i="932"/>
  <c r="X15" i="932"/>
  <c r="Z17" i="932"/>
  <c r="AC19" i="932"/>
  <c r="X21" i="932"/>
  <c r="AJ16" i="932"/>
  <c r="AN16" i="932" s="1"/>
  <c r="Z11" i="932"/>
  <c r="AC10" i="932"/>
  <c r="AC11" i="932"/>
  <c r="Z9" i="932"/>
  <c r="Z16" i="932"/>
  <c r="AJ21" i="932"/>
  <c r="AN21" i="932" s="1"/>
  <c r="AJ17" i="932"/>
  <c r="AN17" i="932" s="1"/>
  <c r="AD15" i="932"/>
  <c r="AI11" i="932"/>
  <c r="Y11" i="932"/>
  <c r="AI20" i="932"/>
  <c r="Y20" i="932"/>
  <c r="Y8" i="932"/>
  <c r="AD13" i="932"/>
  <c r="AI9" i="932"/>
  <c r="AA9" i="932"/>
  <c r="AC17" i="932"/>
  <c r="X9" i="932"/>
  <c r="AC9" i="932"/>
  <c r="AJ10" i="932"/>
  <c r="AN10" i="932" s="1"/>
  <c r="AA10" i="932"/>
  <c r="AJ19" i="932"/>
  <c r="AN19" i="932" s="1"/>
  <c r="AJ9" i="932"/>
  <c r="AN9" i="932" s="1"/>
  <c r="AD20" i="932"/>
  <c r="Y19" i="932"/>
  <c r="X16" i="932"/>
  <c r="AI10" i="932"/>
  <c r="AJ14" i="932"/>
  <c r="AN14" i="932" s="1"/>
  <c r="AD10" i="932"/>
  <c r="X11" i="932"/>
  <c r="AC20" i="932"/>
  <c r="AJ20" i="932"/>
  <c r="AN20" i="932" s="1"/>
  <c r="Y15" i="932"/>
  <c r="AA21" i="932"/>
  <c r="Z21" i="932"/>
  <c r="AC15" i="932"/>
  <c r="AI16" i="932"/>
  <c r="AI351" i="2"/>
  <c r="AJ350" i="2" s="1"/>
  <c r="AL350" i="2" s="1"/>
  <c r="AO350" i="2" s="1"/>
  <c r="AX350" i="2" s="1"/>
  <c r="C17" i="985"/>
  <c r="J41" i="881"/>
  <c r="J59" i="881"/>
  <c r="AL306" i="2"/>
  <c r="Z306" i="2"/>
  <c r="AB306" i="2" s="1"/>
  <c r="AO306" i="2" s="1"/>
  <c r="AX306" i="2" s="1"/>
  <c r="AA306" i="2"/>
  <c r="AN306" i="2" s="1"/>
  <c r="AW306" i="2" s="1"/>
  <c r="W366" i="2"/>
  <c r="X365" i="2" s="1"/>
  <c r="Z365" i="2" s="1"/>
  <c r="AB365" i="2" s="1"/>
  <c r="AO365" i="2" s="1"/>
  <c r="AX365" i="2" s="1"/>
  <c r="C247" i="2"/>
  <c r="N25" i="932" s="1"/>
  <c r="A247" i="2"/>
  <c r="B247" i="2"/>
  <c r="A352" i="2"/>
  <c r="B352" i="2"/>
  <c r="B307" i="2"/>
  <c r="A307" i="2"/>
  <c r="AJ290" i="2"/>
  <c r="AL290" i="2" s="1"/>
  <c r="AJ320" i="2"/>
  <c r="AL320" i="2" s="1"/>
  <c r="H49" i="704"/>
  <c r="I49" i="704" s="1"/>
  <c r="H49" i="702"/>
  <c r="I49" i="702" s="1"/>
  <c r="H48" i="701"/>
  <c r="I48" i="701" s="1"/>
  <c r="E48" i="474"/>
  <c r="J105" i="474"/>
  <c r="J33" i="474"/>
  <c r="O22" i="702"/>
  <c r="I20" i="702"/>
  <c r="V10" i="702"/>
  <c r="V10" i="701"/>
  <c r="I81" i="474"/>
  <c r="G15" i="702"/>
  <c r="AJ17" i="703"/>
  <c r="AN17" i="703" s="1"/>
  <c r="M9" i="701"/>
  <c r="O20" i="702"/>
  <c r="I35" i="474"/>
  <c r="H60" i="474"/>
  <c r="Z19" i="704"/>
  <c r="AA22" i="701"/>
  <c r="Z9" i="704"/>
  <c r="H33" i="474"/>
  <c r="U10" i="701"/>
  <c r="AS10" i="701" s="1"/>
  <c r="Y20" i="702"/>
  <c r="K15" i="701"/>
  <c r="K23" i="474"/>
  <c r="G13" i="701"/>
  <c r="H48" i="474"/>
  <c r="K21" i="474"/>
  <c r="J35" i="474"/>
  <c r="I13" i="701"/>
  <c r="T16" i="702"/>
  <c r="AA20" i="701"/>
  <c r="Y15" i="701"/>
  <c r="Z16" i="704"/>
  <c r="I89" i="474"/>
  <c r="J10" i="702"/>
  <c r="P24" i="702"/>
  <c r="H23" i="474"/>
  <c r="E42" i="474"/>
  <c r="V17" i="701"/>
  <c r="W16" i="702"/>
  <c r="S10" i="702"/>
  <c r="U10" i="702" s="1"/>
  <c r="H41" i="474"/>
  <c r="O9" i="701"/>
  <c r="H92" i="474"/>
  <c r="H49" i="474"/>
  <c r="AA10" i="346"/>
  <c r="E51" i="474"/>
  <c r="J49" i="474"/>
  <c r="E79" i="474"/>
  <c r="S19" i="702"/>
  <c r="J42" i="474"/>
  <c r="I11" i="701"/>
  <c r="AR11" i="701" s="1"/>
  <c r="E52" i="474"/>
  <c r="Q11" i="702"/>
  <c r="K44" i="474"/>
  <c r="I52" i="474"/>
  <c r="J30" i="474"/>
  <c r="Y15" i="704"/>
  <c r="E49" i="474"/>
  <c r="L16" i="702"/>
  <c r="M27" i="701"/>
  <c r="M20" i="702"/>
  <c r="I9" i="701"/>
  <c r="H31" i="474"/>
  <c r="AJ14" i="704"/>
  <c r="AN14" i="704" s="1"/>
  <c r="K35" i="474"/>
  <c r="R15" i="702"/>
  <c r="F17" i="702"/>
  <c r="AJ17" i="702" s="1"/>
  <c r="AN17" i="702" s="1"/>
  <c r="H59" i="702"/>
  <c r="I59" i="702" s="1"/>
  <c r="H61" i="702"/>
  <c r="I61" i="702" s="1"/>
  <c r="H58" i="704"/>
  <c r="I58" i="704" s="1"/>
  <c r="H50" i="701"/>
  <c r="I50" i="701" s="1"/>
  <c r="H56" i="701"/>
  <c r="I56" i="701" s="1"/>
  <c r="H49" i="703"/>
  <c r="I49" i="703" s="1"/>
  <c r="H59" i="701"/>
  <c r="I59" i="701" s="1"/>
  <c r="H57" i="346"/>
  <c r="I57" i="346" s="1"/>
  <c r="K36" i="474"/>
  <c r="Y20" i="703"/>
  <c r="Q21" i="701"/>
  <c r="J43" i="474"/>
  <c r="J16" i="702"/>
  <c r="X20" i="703"/>
  <c r="AJ9" i="704"/>
  <c r="AN9" i="704" s="1"/>
  <c r="E53" i="474"/>
  <c r="K15" i="474"/>
  <c r="J41" i="474"/>
  <c r="Z15" i="346"/>
  <c r="F23" i="346"/>
  <c r="AJ23" i="346" s="1"/>
  <c r="AA21" i="702"/>
  <c r="G11" i="701"/>
  <c r="J20" i="701"/>
  <c r="I16" i="702"/>
  <c r="E20" i="474"/>
  <c r="E33" i="474"/>
  <c r="H53" i="474"/>
  <c r="Z17" i="701"/>
  <c r="G21" i="702"/>
  <c r="H57" i="702"/>
  <c r="I57" i="702" s="1"/>
  <c r="X17" i="703"/>
  <c r="G9" i="702"/>
  <c r="W15" i="702"/>
  <c r="W20" i="702"/>
  <c r="J22" i="474"/>
  <c r="AJ16" i="703"/>
  <c r="AN16" i="703" s="1"/>
  <c r="I34" i="474"/>
  <c r="M22" i="701"/>
  <c r="O8" i="701"/>
  <c r="AD21" i="346"/>
  <c r="N16" i="702"/>
  <c r="W15" i="701"/>
  <c r="M21" i="701"/>
  <c r="K17" i="701"/>
  <c r="AA16" i="704"/>
  <c r="H26" i="474"/>
  <c r="K22" i="702"/>
  <c r="J26" i="474"/>
  <c r="S16" i="702"/>
  <c r="I11" i="474"/>
  <c r="R27" i="702"/>
  <c r="O16" i="702"/>
  <c r="M19" i="701"/>
  <c r="AA19" i="704"/>
  <c r="G19" i="702"/>
  <c r="U19" i="702"/>
  <c r="H25" i="474"/>
  <c r="J48" i="474"/>
  <c r="P21" i="702"/>
  <c r="H60" i="702"/>
  <c r="I60" i="702" s="1"/>
  <c r="N17" i="701"/>
  <c r="L25" i="702"/>
  <c r="H51" i="474"/>
  <c r="H15" i="701"/>
  <c r="J29" i="474"/>
  <c r="H9" i="701"/>
  <c r="H105" i="474"/>
  <c r="G20" i="701"/>
  <c r="K19" i="701"/>
  <c r="K15" i="702"/>
  <c r="O17" i="702"/>
  <c r="Z17" i="704"/>
  <c r="Y15" i="703"/>
  <c r="C9" i="702"/>
  <c r="AI9" i="702" s="1"/>
  <c r="Z20" i="703"/>
  <c r="AA14" i="346"/>
  <c r="G11" i="702"/>
  <c r="AA16" i="702"/>
  <c r="H57" i="474"/>
  <c r="Y9" i="703"/>
  <c r="X20" i="704"/>
  <c r="I21" i="702"/>
  <c r="V9" i="701"/>
  <c r="X23" i="701"/>
  <c r="X11" i="703"/>
  <c r="W14" i="702"/>
  <c r="Y15" i="702"/>
  <c r="E90" i="474"/>
  <c r="H20" i="701"/>
  <c r="H45" i="703"/>
  <c r="I45" i="703" s="1"/>
  <c r="R21" i="702"/>
  <c r="I17" i="702"/>
  <c r="Q10" i="701"/>
  <c r="X21" i="703"/>
  <c r="X19" i="703"/>
  <c r="T9" i="701"/>
  <c r="P17" i="702"/>
  <c r="I31" i="474"/>
  <c r="J31" i="474"/>
  <c r="Z16" i="702"/>
  <c r="AI21" i="346"/>
  <c r="AA17" i="703"/>
  <c r="X11" i="701"/>
  <c r="F9" i="702"/>
  <c r="AJ9" i="702" s="1"/>
  <c r="AN9" i="702" s="1"/>
  <c r="T24" i="701"/>
  <c r="V17" i="702"/>
  <c r="M17" i="701"/>
  <c r="X11" i="346"/>
  <c r="AA25" i="702"/>
  <c r="L16" i="701"/>
  <c r="AJ20" i="346"/>
  <c r="AO20" i="346" s="1"/>
  <c r="K16" i="701"/>
  <c r="J15" i="474"/>
  <c r="X10" i="703"/>
  <c r="H50" i="346"/>
  <c r="I50" i="346" s="1"/>
  <c r="N19" i="701"/>
  <c r="J75" i="474"/>
  <c r="Y23" i="701"/>
  <c r="K96" i="474"/>
  <c r="F19" i="702"/>
  <c r="AJ19" i="702" s="1"/>
  <c r="AN19" i="702" s="1"/>
  <c r="I45" i="474"/>
  <c r="AJ20" i="703"/>
  <c r="AN20" i="703" s="1"/>
  <c r="H58" i="702"/>
  <c r="I58" i="702" s="1"/>
  <c r="I72" i="715"/>
  <c r="J21" i="474"/>
  <c r="J17" i="474"/>
  <c r="R15" i="701"/>
  <c r="N10" i="702"/>
  <c r="Z20" i="702"/>
  <c r="O10" i="701"/>
  <c r="F18" i="701"/>
  <c r="AJ18" i="701" s="1"/>
  <c r="AN18" i="701" s="1"/>
  <c r="F21" i="701"/>
  <c r="AJ21" i="701" s="1"/>
  <c r="H15" i="702"/>
  <c r="Y14" i="703"/>
  <c r="AI15" i="346"/>
  <c r="Q12" i="701"/>
  <c r="R19" i="701"/>
  <c r="H44" i="474"/>
  <c r="M17" i="702"/>
  <c r="H36" i="474"/>
  <c r="S12" i="701"/>
  <c r="AJ16" i="704"/>
  <c r="AN16" i="704" s="1"/>
  <c r="O21" i="701"/>
  <c r="AA14" i="703"/>
  <c r="Y9" i="346"/>
  <c r="W11" i="701"/>
  <c r="H22" i="474"/>
  <c r="I44" i="474"/>
  <c r="E36" i="474"/>
  <c r="C11" i="701"/>
  <c r="AI11" i="701" s="1"/>
  <c r="Y17" i="702"/>
  <c r="I51" i="474"/>
  <c r="V20" i="701"/>
  <c r="Q19" i="702"/>
  <c r="X15" i="704"/>
  <c r="H13" i="474"/>
  <c r="K48" i="474"/>
  <c r="Z11" i="701"/>
  <c r="AI21" i="704"/>
  <c r="J20" i="702"/>
  <c r="E22" i="474"/>
  <c r="E25" i="474"/>
  <c r="P11" i="701"/>
  <c r="AC11" i="701" s="1"/>
  <c r="Y9" i="704"/>
  <c r="J32" i="474"/>
  <c r="T17" i="701"/>
  <c r="AI16" i="703"/>
  <c r="J15" i="701"/>
  <c r="Q17" i="701"/>
  <c r="I37" i="474"/>
  <c r="H22" i="702"/>
  <c r="Z9" i="703"/>
  <c r="J11" i="474"/>
  <c r="Y9" i="702"/>
  <c r="X10" i="704"/>
  <c r="H48" i="702"/>
  <c r="I48" i="702" s="1"/>
  <c r="AA20" i="704"/>
  <c r="E14" i="474"/>
  <c r="AI17" i="703"/>
  <c r="J9" i="702"/>
  <c r="J68" i="474"/>
  <c r="J53" i="474"/>
  <c r="P12" i="701"/>
  <c r="AA15" i="346"/>
  <c r="G15" i="701"/>
  <c r="I12" i="474"/>
  <c r="K19" i="702"/>
  <c r="I16" i="474"/>
  <c r="K49" i="474"/>
  <c r="Z11" i="703"/>
  <c r="Z19" i="703"/>
  <c r="AJ19" i="704"/>
  <c r="AN19" i="704" s="1"/>
  <c r="E43" i="474"/>
  <c r="O10" i="702"/>
  <c r="Z14" i="702"/>
  <c r="AA10" i="702"/>
  <c r="K12" i="474"/>
  <c r="AI10" i="703"/>
  <c r="Y20" i="704"/>
  <c r="Z11" i="346"/>
  <c r="I70" i="715"/>
  <c r="Q15" i="702"/>
  <c r="V15" i="701"/>
  <c r="AD15" i="346"/>
  <c r="AI9" i="346"/>
  <c r="S20" i="701"/>
  <c r="P10" i="702"/>
  <c r="Q20" i="701"/>
  <c r="I49" i="474"/>
  <c r="X16" i="703"/>
  <c r="AA21" i="704"/>
  <c r="C24" i="702"/>
  <c r="AJ9" i="346"/>
  <c r="H19" i="702"/>
  <c r="C17" i="701"/>
  <c r="AI17" i="701" s="1"/>
  <c r="AA21" i="701"/>
  <c r="N17" i="702"/>
  <c r="U20" i="701"/>
  <c r="R21" i="701"/>
  <c r="I24" i="346"/>
  <c r="T20" i="702"/>
  <c r="AJ21" i="704"/>
  <c r="AN21" i="704" s="1"/>
  <c r="Z16" i="703"/>
  <c r="U14" i="702"/>
  <c r="K53" i="474"/>
  <c r="X15" i="702"/>
  <c r="K38" i="474"/>
  <c r="S9" i="702"/>
  <c r="H54" i="702"/>
  <c r="I54" i="702" s="1"/>
  <c r="AI11" i="346"/>
  <c r="X11" i="702"/>
  <c r="F16" i="701"/>
  <c r="AJ16" i="701" s="1"/>
  <c r="Q27" i="346"/>
  <c r="AI21" i="703"/>
  <c r="G16" i="701"/>
  <c r="H54" i="346"/>
  <c r="I54" i="346" s="1"/>
  <c r="H50" i="703"/>
  <c r="I50" i="703" s="1"/>
  <c r="H43" i="703"/>
  <c r="I43" i="703" s="1"/>
  <c r="H51" i="703"/>
  <c r="I51" i="703" s="1"/>
  <c r="H54" i="704"/>
  <c r="I54" i="704" s="1"/>
  <c r="H58" i="701"/>
  <c r="I58" i="701" s="1"/>
  <c r="L8" i="701"/>
  <c r="I21" i="701"/>
  <c r="Z10" i="703"/>
  <c r="AJ21" i="703"/>
  <c r="AN21" i="703" s="1"/>
  <c r="Z9" i="346"/>
  <c r="AA21" i="703"/>
  <c r="C21" i="702"/>
  <c r="AI21" i="702" s="1"/>
  <c r="V9" i="702"/>
  <c r="J23" i="346"/>
  <c r="AA19" i="346"/>
  <c r="I27" i="474"/>
  <c r="I20" i="474"/>
  <c r="K19" i="474"/>
  <c r="M16" i="702"/>
  <c r="K45" i="474"/>
  <c r="K40" i="474"/>
  <c r="AA8" i="703"/>
  <c r="H18" i="474"/>
  <c r="I19" i="701"/>
  <c r="J14" i="701"/>
  <c r="S19" i="701"/>
  <c r="E27" i="474"/>
  <c r="X10" i="701"/>
  <c r="Q19" i="701"/>
  <c r="N20" i="702"/>
  <c r="H93" i="474"/>
  <c r="I15" i="702"/>
  <c r="H10" i="702"/>
  <c r="G20" i="702"/>
  <c r="L15" i="701"/>
  <c r="E12" i="474"/>
  <c r="H21" i="474"/>
  <c r="U11" i="701"/>
  <c r="AS11" i="701" s="1"/>
  <c r="S27" i="702"/>
  <c r="U27" i="702" s="1"/>
  <c r="J19" i="701"/>
  <c r="J17" i="702"/>
  <c r="Y11" i="703"/>
  <c r="J11" i="701"/>
  <c r="U22" i="702"/>
  <c r="I48" i="474"/>
  <c r="Y16" i="702"/>
  <c r="J34" i="474"/>
  <c r="Y11" i="701"/>
  <c r="C21" i="701"/>
  <c r="AI21" i="701" s="1"/>
  <c r="H43" i="474"/>
  <c r="J45" i="474"/>
  <c r="X14" i="701"/>
  <c r="K25" i="474"/>
  <c r="J21" i="701"/>
  <c r="N15" i="701"/>
  <c r="I20" i="701"/>
  <c r="Z13" i="701"/>
  <c r="P19" i="701"/>
  <c r="H89" i="474"/>
  <c r="Z21" i="702"/>
  <c r="X20" i="702"/>
  <c r="S20" i="702"/>
  <c r="AA9" i="704"/>
  <c r="N9" i="702"/>
  <c r="Y12" i="346"/>
  <c r="Y21" i="702"/>
  <c r="R12" i="701"/>
  <c r="K52" i="474"/>
  <c r="X26" i="701"/>
  <c r="J36" i="474"/>
  <c r="V11" i="701"/>
  <c r="L9" i="701"/>
  <c r="J25" i="474"/>
  <c r="J40" i="474"/>
  <c r="V19" i="701"/>
  <c r="H20" i="474"/>
  <c r="I15" i="474"/>
  <c r="J52" i="474"/>
  <c r="J17" i="701"/>
  <c r="E44" i="474"/>
  <c r="Z23" i="702"/>
  <c r="AA15" i="702"/>
  <c r="O16" i="701"/>
  <c r="AI12" i="346"/>
  <c r="C10" i="701"/>
  <c r="AI10" i="701" s="1"/>
  <c r="P10" i="701"/>
  <c r="H29" i="474"/>
  <c r="L19" i="701"/>
  <c r="J54" i="474"/>
  <c r="R17" i="701"/>
  <c r="I62" i="715"/>
  <c r="H38" i="474"/>
  <c r="H26" i="701"/>
  <c r="I19" i="702"/>
  <c r="AA16" i="701"/>
  <c r="F19" i="701"/>
  <c r="AJ19" i="701" s="1"/>
  <c r="L11" i="701"/>
  <c r="H12" i="474"/>
  <c r="E17" i="474"/>
  <c r="L10" i="702"/>
  <c r="K41" i="474"/>
  <c r="H58" i="346"/>
  <c r="I58" i="346" s="1"/>
  <c r="AA16" i="346"/>
  <c r="I64" i="715"/>
  <c r="S15" i="702"/>
  <c r="W11" i="702"/>
  <c r="H46" i="474"/>
  <c r="H45" i="474"/>
  <c r="J23" i="474"/>
  <c r="H14" i="474"/>
  <c r="H56" i="702"/>
  <c r="I56" i="702" s="1"/>
  <c r="K86" i="474"/>
  <c r="I26" i="474"/>
  <c r="O17" i="701"/>
  <c r="T19" i="702"/>
  <c r="G18" i="701"/>
  <c r="U17" i="701"/>
  <c r="V15" i="702"/>
  <c r="Y17" i="346"/>
  <c r="H25" i="702"/>
  <c r="AJ11" i="703"/>
  <c r="AN11" i="703" s="1"/>
  <c r="AN19" i="703"/>
  <c r="Y19" i="702"/>
  <c r="I10" i="474"/>
  <c r="N15" i="702"/>
  <c r="S16" i="701"/>
  <c r="AJ17" i="346"/>
  <c r="AO17" i="346" s="1"/>
  <c r="J28" i="474"/>
  <c r="J47" i="474"/>
  <c r="H55" i="702"/>
  <c r="I55" i="702" s="1"/>
  <c r="H49" i="701"/>
  <c r="I49" i="701" s="1"/>
  <c r="H60" i="701"/>
  <c r="I60" i="701" s="1"/>
  <c r="Z15" i="704"/>
  <c r="Z12" i="701"/>
  <c r="H54" i="474"/>
  <c r="K11" i="702"/>
  <c r="AJ10" i="704"/>
  <c r="AN10" i="704" s="1"/>
  <c r="S17" i="701"/>
  <c r="S17" i="702"/>
  <c r="Y9" i="701"/>
  <c r="C10" i="702"/>
  <c r="AI10" i="702" s="1"/>
  <c r="I15" i="701"/>
  <c r="Z15" i="701"/>
  <c r="K32" i="474"/>
  <c r="Y10" i="704"/>
  <c r="T9" i="702"/>
  <c r="J9" i="701"/>
  <c r="N9" i="701"/>
  <c r="G19" i="701"/>
  <c r="M20" i="701"/>
  <c r="K34" i="474"/>
  <c r="C19" i="701"/>
  <c r="AI19" i="701" s="1"/>
  <c r="G9" i="701"/>
  <c r="O11" i="702"/>
  <c r="H15" i="474"/>
  <c r="F20" i="701"/>
  <c r="AJ20" i="701" s="1"/>
  <c r="R10" i="702"/>
  <c r="X9" i="346"/>
  <c r="I69" i="474"/>
  <c r="X21" i="704"/>
  <c r="F16" i="702"/>
  <c r="AJ16" i="702" s="1"/>
  <c r="AN16" i="702" s="1"/>
  <c r="AI9" i="703"/>
  <c r="AI20" i="703"/>
  <c r="H52" i="474"/>
  <c r="W19" i="702"/>
  <c r="M11" i="701"/>
  <c r="AA11" i="702"/>
  <c r="Z8" i="702"/>
  <c r="I38" i="474"/>
  <c r="J20" i="474"/>
  <c r="K10" i="702"/>
  <c r="H16" i="474"/>
  <c r="N12" i="701"/>
  <c r="K29" i="474"/>
  <c r="Q21" i="702"/>
  <c r="E10" i="474"/>
  <c r="J13" i="474"/>
  <c r="L9" i="702"/>
  <c r="AJ20" i="704"/>
  <c r="U16" i="702"/>
  <c r="AA10" i="703"/>
  <c r="Z15" i="702"/>
  <c r="E38" i="474"/>
  <c r="J21" i="702"/>
  <c r="AA15" i="701"/>
  <c r="AA17" i="704"/>
  <c r="H21" i="701"/>
  <c r="H54" i="701"/>
  <c r="I54" i="701" s="1"/>
  <c r="Y19" i="704"/>
  <c r="AA10" i="701"/>
  <c r="H40" i="474"/>
  <c r="M19" i="702"/>
  <c r="P9" i="701"/>
  <c r="J37" i="474"/>
  <c r="H37" i="474"/>
  <c r="I50" i="474"/>
  <c r="U20" i="702"/>
  <c r="AC21" i="346"/>
  <c r="P20" i="702"/>
  <c r="N11" i="702"/>
  <c r="I43" i="474"/>
  <c r="AJ11" i="346"/>
  <c r="K16" i="702"/>
  <c r="P9" i="702"/>
  <c r="E16" i="474"/>
  <c r="I22" i="702"/>
  <c r="Z21" i="701"/>
  <c r="H20" i="702"/>
  <c r="V26" i="701"/>
  <c r="G17" i="702"/>
  <c r="E29" i="474"/>
  <c r="P11" i="702"/>
  <c r="E85" i="474"/>
  <c r="K33" i="474"/>
  <c r="W9" i="702"/>
  <c r="J46" i="474"/>
  <c r="L25" i="346"/>
  <c r="Z17" i="703"/>
  <c r="P15" i="702"/>
  <c r="AC15" i="702" s="1"/>
  <c r="E19" i="474"/>
  <c r="H47" i="474"/>
  <c r="E37" i="474"/>
  <c r="AI11" i="703"/>
  <c r="M21" i="702"/>
  <c r="J15" i="702"/>
  <c r="H25" i="701"/>
  <c r="Q15" i="701"/>
  <c r="K13" i="474"/>
  <c r="S24" i="701"/>
  <c r="K26" i="474"/>
  <c r="K20" i="474"/>
  <c r="R17" i="702"/>
  <c r="N21" i="701"/>
  <c r="O15" i="702"/>
  <c r="X20" i="346"/>
  <c r="L20" i="701"/>
  <c r="H49" i="346"/>
  <c r="I49" i="346" s="1"/>
  <c r="E15" i="474"/>
  <c r="V16" i="701"/>
  <c r="O15" i="701"/>
  <c r="H50" i="702"/>
  <c r="I50" i="702" s="1"/>
  <c r="J16" i="474"/>
  <c r="W16" i="701"/>
  <c r="S24" i="702"/>
  <c r="X16" i="701"/>
  <c r="T21" i="702"/>
  <c r="H50" i="474"/>
  <c r="C13" i="702"/>
  <c r="AI13" i="702" s="1"/>
  <c r="H53" i="703"/>
  <c r="I53" i="703" s="1"/>
  <c r="H60" i="346"/>
  <c r="I60" i="346" s="1"/>
  <c r="H56" i="704"/>
  <c r="I56" i="704" s="1"/>
  <c r="H60" i="704"/>
  <c r="I60" i="704" s="1"/>
  <c r="H28" i="474"/>
  <c r="X9" i="703"/>
  <c r="H27" i="474"/>
  <c r="T10" i="702"/>
  <c r="W20" i="701"/>
  <c r="I39" i="474"/>
  <c r="E45" i="474"/>
  <c r="G16" i="702"/>
  <c r="AJ15" i="704"/>
  <c r="AN15" i="704" s="1"/>
  <c r="J51" i="474"/>
  <c r="X27" i="701"/>
  <c r="H42" i="474"/>
  <c r="Y17" i="703"/>
  <c r="AA19" i="702"/>
  <c r="Y21" i="701"/>
  <c r="Z25" i="701"/>
  <c r="K21" i="702"/>
  <c r="K17" i="702"/>
  <c r="Z20" i="701"/>
  <c r="I22" i="474"/>
  <c r="K9" i="702"/>
  <c r="Y17" i="701"/>
  <c r="H21" i="702"/>
  <c r="AA9" i="703"/>
  <c r="F21" i="702"/>
  <c r="AJ21" i="702" s="1"/>
  <c r="AN21" i="702" s="1"/>
  <c r="N11" i="701"/>
  <c r="X15" i="703"/>
  <c r="I19" i="474"/>
  <c r="M15" i="702"/>
  <c r="P17" i="701"/>
  <c r="AC17" i="701" s="1"/>
  <c r="F26" i="702"/>
  <c r="AJ26" i="702" s="1"/>
  <c r="AI10" i="346"/>
  <c r="C16" i="702"/>
  <c r="AI16" i="702" s="1"/>
  <c r="Y10" i="703"/>
  <c r="P21" i="701"/>
  <c r="AC21" i="701" s="1"/>
  <c r="K46" i="474"/>
  <c r="L21" i="701"/>
  <c r="K42" i="474"/>
  <c r="Z20" i="704"/>
  <c r="V19" i="702"/>
  <c r="K47" i="474"/>
  <c r="E32" i="474"/>
  <c r="X16" i="704"/>
  <c r="N10" i="701"/>
  <c r="Q9" i="702"/>
  <c r="U11" i="702"/>
  <c r="J25" i="702"/>
  <c r="AA17" i="702"/>
  <c r="X21" i="702"/>
  <c r="F15" i="701"/>
  <c r="AJ15" i="701" s="1"/>
  <c r="AN15" i="701" s="1"/>
  <c r="I10" i="702"/>
  <c r="AA16" i="703"/>
  <c r="H11" i="701"/>
  <c r="J50" i="474"/>
  <c r="AI19" i="704"/>
  <c r="H19" i="474"/>
  <c r="J19" i="474"/>
  <c r="X16" i="346"/>
  <c r="R20" i="702"/>
  <c r="E54" i="474"/>
  <c r="H9" i="702"/>
  <c r="I32" i="474"/>
  <c r="J14" i="474"/>
  <c r="Y19" i="346"/>
  <c r="E18" i="474"/>
  <c r="I14" i="474"/>
  <c r="AC10" i="703"/>
  <c r="W10" i="702"/>
  <c r="AA17" i="701"/>
  <c r="X21" i="346"/>
  <c r="C19" i="702"/>
  <c r="AI19" i="702" s="1"/>
  <c r="Z21" i="346"/>
  <c r="R9" i="701"/>
  <c r="O21" i="702"/>
  <c r="I47" i="474"/>
  <c r="E55" i="474"/>
  <c r="E26" i="474"/>
  <c r="J11" i="702"/>
  <c r="O19" i="701"/>
  <c r="C27" i="346"/>
  <c r="AI16" i="346"/>
  <c r="Z17" i="346"/>
  <c r="K11" i="474"/>
  <c r="K22" i="474"/>
  <c r="F23" i="701"/>
  <c r="AJ23" i="701" s="1"/>
  <c r="H17" i="701"/>
  <c r="AI17" i="346"/>
  <c r="R9" i="702"/>
  <c r="AA9" i="701"/>
  <c r="H32" i="474"/>
  <c r="X17" i="702"/>
  <c r="I65" i="474"/>
  <c r="I33" i="474"/>
  <c r="Z20" i="346"/>
  <c r="W9" i="701"/>
  <c r="X25" i="702"/>
  <c r="AC15" i="704"/>
  <c r="M9" i="702"/>
  <c r="X9" i="702"/>
  <c r="W17" i="702"/>
  <c r="J10" i="701"/>
  <c r="U17" i="702"/>
  <c r="F17" i="701"/>
  <c r="AJ17" i="701" s="1"/>
  <c r="J107" i="474"/>
  <c r="AJ15" i="703"/>
  <c r="AN15" i="703" s="1"/>
  <c r="H80" i="474"/>
  <c r="X19" i="702"/>
  <c r="H11" i="702"/>
  <c r="C9" i="701"/>
  <c r="AI9" i="701" s="1"/>
  <c r="K54" i="474"/>
  <c r="Y20" i="346"/>
  <c r="C15" i="702"/>
  <c r="AI15" i="702" s="1"/>
  <c r="AA26" i="701"/>
  <c r="AA20" i="346"/>
  <c r="AA11" i="703"/>
  <c r="AI9" i="704"/>
  <c r="AD17" i="346"/>
  <c r="E50" i="474"/>
  <c r="AJ10" i="703"/>
  <c r="AN10" i="703" s="1"/>
  <c r="T15" i="702"/>
  <c r="T24" i="346"/>
  <c r="AJ19" i="346"/>
  <c r="AA19" i="703"/>
  <c r="X15" i="701"/>
  <c r="T17" i="702"/>
  <c r="AD17" i="702" s="1"/>
  <c r="C16" i="701"/>
  <c r="AI16" i="701" s="1"/>
  <c r="X17" i="701"/>
  <c r="AI19" i="346"/>
  <c r="P16" i="701"/>
  <c r="AC16" i="701" s="1"/>
  <c r="U16" i="701"/>
  <c r="R11" i="702"/>
  <c r="H55" i="703"/>
  <c r="I55" i="703" s="1"/>
  <c r="I69" i="715"/>
  <c r="U19" i="701"/>
  <c r="Y10" i="702"/>
  <c r="H16" i="702"/>
  <c r="K95" i="474"/>
  <c r="I36" i="474"/>
  <c r="Y11" i="702"/>
  <c r="K18" i="474"/>
  <c r="P19" i="702"/>
  <c r="Z10" i="346"/>
  <c r="S11" i="702"/>
  <c r="I53" i="474"/>
  <c r="K21" i="701"/>
  <c r="X9" i="704"/>
  <c r="Z10" i="702"/>
  <c r="Y10" i="346"/>
  <c r="G21" i="701"/>
  <c r="F10" i="701"/>
  <c r="AJ10" i="701" s="1"/>
  <c r="AN10" i="701" s="1"/>
  <c r="AA15" i="704"/>
  <c r="X10" i="346"/>
  <c r="K43" i="474"/>
  <c r="R19" i="702"/>
  <c r="O9" i="702"/>
  <c r="AI20" i="704"/>
  <c r="L20" i="702"/>
  <c r="S21" i="702"/>
  <c r="U21" i="702" s="1"/>
  <c r="L21" i="702"/>
  <c r="E35" i="474"/>
  <c r="P14" i="702"/>
  <c r="AC14" i="702" s="1"/>
  <c r="I41" i="474"/>
  <c r="AA9" i="346"/>
  <c r="F15" i="702"/>
  <c r="AJ15" i="702" s="1"/>
  <c r="AN15" i="702" s="1"/>
  <c r="R10" i="701"/>
  <c r="X15" i="346"/>
  <c r="AJ21" i="346"/>
  <c r="AO21" i="346" s="1"/>
  <c r="H19" i="701"/>
  <c r="I9" i="702"/>
  <c r="M11" i="702"/>
  <c r="H11" i="474"/>
  <c r="AA11" i="701"/>
  <c r="Z21" i="703"/>
  <c r="K10" i="474"/>
  <c r="L19" i="702"/>
  <c r="J19" i="702"/>
  <c r="E56" i="474"/>
  <c r="O19" i="702"/>
  <c r="J44" i="474"/>
  <c r="E21" i="474"/>
  <c r="Z19" i="702"/>
  <c r="R20" i="701"/>
  <c r="P20" i="701"/>
  <c r="AC20" i="701" s="1"/>
  <c r="T23" i="346"/>
  <c r="X13" i="704"/>
  <c r="AA15" i="703"/>
  <c r="C17" i="702"/>
  <c r="AI17" i="702" s="1"/>
  <c r="Q20" i="702"/>
  <c r="H39" i="474"/>
  <c r="R16" i="702"/>
  <c r="I46" i="474"/>
  <c r="W23" i="701"/>
  <c r="X17" i="346"/>
  <c r="N21" i="702"/>
  <c r="J88" i="474"/>
  <c r="T21" i="701"/>
  <c r="AI10" i="704"/>
  <c r="AI17" i="704"/>
  <c r="T16" i="701"/>
  <c r="AD16" i="701" s="1"/>
  <c r="Y16" i="703"/>
  <c r="C15" i="701"/>
  <c r="AI15" i="701" s="1"/>
  <c r="X18" i="704"/>
  <c r="T10" i="701"/>
  <c r="Y21" i="703"/>
  <c r="AD20" i="346"/>
  <c r="K20" i="702"/>
  <c r="Q16" i="702"/>
  <c r="K27" i="474"/>
  <c r="AA19" i="701"/>
  <c r="K16" i="474"/>
  <c r="Z10" i="704"/>
  <c r="AJ15" i="346"/>
  <c r="AO15" i="346" s="1"/>
  <c r="H17" i="702"/>
  <c r="C11" i="702"/>
  <c r="AI11" i="702" s="1"/>
  <c r="M16" i="701"/>
  <c r="AA12" i="703"/>
  <c r="I23" i="474"/>
  <c r="W10" i="701"/>
  <c r="W17" i="701"/>
  <c r="AA11" i="346"/>
  <c r="I29" i="474"/>
  <c r="R16" i="701"/>
  <c r="E11" i="474"/>
  <c r="K39" i="474"/>
  <c r="I16" i="701"/>
  <c r="Z10" i="701"/>
  <c r="E34" i="474"/>
  <c r="H17" i="474"/>
  <c r="Q10" i="702"/>
  <c r="L17" i="701"/>
  <c r="Q11" i="701"/>
  <c r="S9" i="701"/>
  <c r="U9" i="701" s="1"/>
  <c r="Y15" i="346"/>
  <c r="F11" i="701"/>
  <c r="AJ11" i="701" s="1"/>
  <c r="AN11" i="701" s="1"/>
  <c r="J39" i="474"/>
  <c r="O24" i="346"/>
  <c r="M10" i="701"/>
  <c r="AD10" i="346"/>
  <c r="H12" i="701"/>
  <c r="E30" i="474"/>
  <c r="K17" i="474"/>
  <c r="L11" i="702"/>
  <c r="AC17" i="346"/>
  <c r="H59" i="704"/>
  <c r="I59" i="704" s="1"/>
  <c r="H47" i="346"/>
  <c r="I47" i="346" s="1"/>
  <c r="F10" i="702"/>
  <c r="AJ10" i="702" s="1"/>
  <c r="AN10" i="702" s="1"/>
  <c r="Y21" i="704"/>
  <c r="M10" i="702"/>
  <c r="K14" i="474"/>
  <c r="Y8" i="702"/>
  <c r="AI15" i="703"/>
  <c r="J109" i="474"/>
  <c r="Z15" i="703"/>
  <c r="N20" i="701"/>
  <c r="H10" i="701"/>
  <c r="P15" i="701"/>
  <c r="AC15" i="701" s="1"/>
  <c r="F13" i="701"/>
  <c r="F9" i="701"/>
  <c r="AJ9" i="701" s="1"/>
  <c r="S11" i="701"/>
  <c r="Y16" i="346"/>
  <c r="E39" i="474"/>
  <c r="Y19" i="703"/>
  <c r="Q9" i="701"/>
  <c r="H23" i="346"/>
  <c r="K11" i="701"/>
  <c r="S15" i="701"/>
  <c r="E23" i="474"/>
  <c r="X20" i="701"/>
  <c r="Y21" i="346"/>
  <c r="V20" i="702"/>
  <c r="T11" i="702"/>
  <c r="AI19" i="703"/>
  <c r="I21" i="474"/>
  <c r="I68" i="715"/>
  <c r="F20" i="702"/>
  <c r="AJ20" i="702" s="1"/>
  <c r="AN20" i="702" s="1"/>
  <c r="T20" i="701"/>
  <c r="AD20" i="701" s="1"/>
  <c r="C20" i="702"/>
  <c r="AI20" i="702" s="1"/>
  <c r="Z19" i="701"/>
  <c r="X9" i="701"/>
  <c r="AA21" i="346"/>
  <c r="E46" i="474"/>
  <c r="AA20" i="702"/>
  <c r="H30" i="474"/>
  <c r="K20" i="701"/>
  <c r="Z9" i="701"/>
  <c r="H44" i="703"/>
  <c r="I44" i="703" s="1"/>
  <c r="G17" i="701"/>
  <c r="K9" i="701"/>
  <c r="W21" i="701"/>
  <c r="I30" i="474"/>
  <c r="J18" i="474"/>
  <c r="X19" i="346"/>
  <c r="X27" i="346"/>
  <c r="U9" i="702"/>
  <c r="I40" i="474"/>
  <c r="C20" i="701"/>
  <c r="AI20" i="701" s="1"/>
  <c r="AA10" i="704"/>
  <c r="Z11" i="702"/>
  <c r="H64" i="702"/>
  <c r="I64" i="702" s="1"/>
  <c r="I66" i="474"/>
  <c r="W21" i="702"/>
  <c r="AA20" i="703"/>
  <c r="E47" i="474"/>
  <c r="E28" i="474"/>
  <c r="Q17" i="702"/>
  <c r="L10" i="701"/>
  <c r="H103" i="474"/>
  <c r="Y19" i="701"/>
  <c r="W19" i="701"/>
  <c r="P16" i="702"/>
  <c r="AC16" i="702" s="1"/>
  <c r="U15" i="701"/>
  <c r="J38" i="474"/>
  <c r="E31" i="474"/>
  <c r="I95" i="474"/>
  <c r="X10" i="702"/>
  <c r="H56" i="346"/>
  <c r="I56" i="346" s="1"/>
  <c r="I28" i="474"/>
  <c r="T15" i="701"/>
  <c r="AD15" i="701" s="1"/>
  <c r="I42" i="474"/>
  <c r="J10" i="474"/>
  <c r="J27" i="474"/>
  <c r="AJ16" i="346"/>
  <c r="AO16" i="346" s="1"/>
  <c r="Z17" i="702"/>
  <c r="Y17" i="704"/>
  <c r="J16" i="701"/>
  <c r="E41" i="474"/>
  <c r="H55" i="701"/>
  <c r="I55" i="701" s="1"/>
  <c r="Y16" i="701"/>
  <c r="I17" i="701"/>
  <c r="V16" i="702"/>
  <c r="I10" i="701"/>
  <c r="AR10" i="701" s="1"/>
  <c r="K30" i="474"/>
  <c r="H13" i="701"/>
  <c r="X21" i="701"/>
  <c r="H35" i="474"/>
  <c r="F11" i="702"/>
  <c r="AJ11" i="702" s="1"/>
  <c r="AN11" i="702" s="1"/>
  <c r="O11" i="701"/>
  <c r="AJ17" i="704"/>
  <c r="AN17" i="704" s="1"/>
  <c r="K103" i="474"/>
  <c r="S10" i="701"/>
  <c r="AA9" i="702"/>
  <c r="H63" i="474"/>
  <c r="I13" i="474"/>
  <c r="O20" i="701"/>
  <c r="N19" i="702"/>
  <c r="K51" i="474"/>
  <c r="Q24" i="702"/>
  <c r="I17" i="474"/>
  <c r="M15" i="701"/>
  <c r="H54" i="703"/>
  <c r="I54" i="703" s="1"/>
  <c r="X19" i="704"/>
  <c r="AD9" i="346"/>
  <c r="AC19" i="703"/>
  <c r="E13" i="474"/>
  <c r="Z19" i="346"/>
  <c r="AI15" i="704"/>
  <c r="Z9" i="702"/>
  <c r="V11" i="702"/>
  <c r="K37" i="474"/>
  <c r="Z18" i="704"/>
  <c r="Z16" i="701"/>
  <c r="Q16" i="701"/>
  <c r="K50" i="474"/>
  <c r="Y16" i="704"/>
  <c r="Y11" i="346"/>
  <c r="V21" i="701"/>
  <c r="T11" i="701"/>
  <c r="AD11" i="701" s="1"/>
  <c r="V21" i="702"/>
  <c r="I54" i="474"/>
  <c r="H59" i="346"/>
  <c r="I59" i="346" s="1"/>
  <c r="R11" i="701"/>
  <c r="H34" i="474"/>
  <c r="G10" i="702"/>
  <c r="L15" i="702"/>
  <c r="I25" i="474"/>
  <c r="W13" i="702"/>
  <c r="K28" i="474"/>
  <c r="AA14" i="702"/>
  <c r="G10" i="701"/>
  <c r="K10" i="701"/>
  <c r="Z25" i="346"/>
  <c r="Z16" i="346"/>
  <c r="AJ9" i="703"/>
  <c r="AN9" i="703" s="1"/>
  <c r="T19" i="701"/>
  <c r="AD19" i="701" s="1"/>
  <c r="H55" i="704"/>
  <c r="I55" i="704" s="1"/>
  <c r="X17" i="704"/>
  <c r="H48" i="704"/>
  <c r="I48" i="704" s="1"/>
  <c r="Y20" i="701"/>
  <c r="I11" i="702"/>
  <c r="U15" i="702"/>
  <c r="Z21" i="704"/>
  <c r="X19" i="701"/>
  <c r="X16" i="702"/>
  <c r="K31" i="474"/>
  <c r="Y10" i="701"/>
  <c r="L13" i="702"/>
  <c r="J12" i="474"/>
  <c r="AI16" i="704"/>
  <c r="AI20" i="346"/>
  <c r="S21" i="701"/>
  <c r="U21" i="701" s="1"/>
  <c r="H16" i="701"/>
  <c r="H10" i="474"/>
  <c r="L17" i="702"/>
  <c r="H48" i="346"/>
  <c r="I48" i="346" s="1"/>
  <c r="N16" i="701"/>
  <c r="AA17" i="346"/>
  <c r="E40" i="474"/>
  <c r="I18" i="474"/>
  <c r="G8" i="702"/>
  <c r="H55" i="346"/>
  <c r="I55" i="346" s="1"/>
  <c r="E17" i="985"/>
  <c r="F41" i="881"/>
  <c r="F59" i="881"/>
  <c r="E17" i="516"/>
  <c r="Y42" i="701"/>
  <c r="B322" i="2"/>
  <c r="A322" i="2"/>
  <c r="Z382" i="2"/>
  <c r="AB382" i="2" s="1"/>
  <c r="AO382" i="2" s="1"/>
  <c r="AX382" i="2" s="1"/>
  <c r="AA382" i="2"/>
  <c r="AN382" i="2" s="1"/>
  <c r="AW382" i="2" s="1"/>
  <c r="AL382" i="2"/>
  <c r="G17" i="411"/>
  <c r="H43" i="706"/>
  <c r="H38" i="706"/>
  <c r="I38" i="706" s="1"/>
  <c r="H45" i="707"/>
  <c r="I45" i="707" s="1"/>
  <c r="H37" i="708"/>
  <c r="I37" i="708" s="1"/>
  <c r="O17" i="706"/>
  <c r="V10" i="706"/>
  <c r="X16" i="706"/>
  <c r="Z14" i="706"/>
  <c r="AA15" i="707"/>
  <c r="M18" i="706"/>
  <c r="X12" i="707"/>
  <c r="I8" i="706"/>
  <c r="Z13" i="706"/>
  <c r="Y14" i="706"/>
  <c r="AA9" i="706"/>
  <c r="U9" i="706"/>
  <c r="AA15" i="705"/>
  <c r="G9" i="706"/>
  <c r="Z9" i="708"/>
  <c r="F17" i="706"/>
  <c r="AJ17" i="706" s="1"/>
  <c r="AN17" i="706" s="1"/>
  <c r="Z12" i="707"/>
  <c r="R9" i="708"/>
  <c r="AA10" i="708"/>
  <c r="Y18" i="705"/>
  <c r="C12" i="706"/>
  <c r="AI12" i="706" s="1"/>
  <c r="P9" i="706"/>
  <c r="N8" i="706"/>
  <c r="Y14" i="707"/>
  <c r="Y15" i="707"/>
  <c r="AD17" i="705"/>
  <c r="I12" i="706"/>
  <c r="W12" i="706"/>
  <c r="P8" i="706"/>
  <c r="Y10" i="708"/>
  <c r="I13" i="706"/>
  <c r="H43" i="705"/>
  <c r="I43" i="705" s="1"/>
  <c r="AA16" i="705"/>
  <c r="Y8" i="708"/>
  <c r="AA10" i="705"/>
  <c r="AA19" i="705"/>
  <c r="AJ10" i="705"/>
  <c r="AJ20" i="705"/>
  <c r="AN20" i="705" s="1"/>
  <c r="K8" i="706"/>
  <c r="H49" i="706"/>
  <c r="AI11" i="707"/>
  <c r="AJ12" i="707"/>
  <c r="AN12" i="707" s="1"/>
  <c r="AJ18" i="705"/>
  <c r="AA11" i="705"/>
  <c r="H50" i="932"/>
  <c r="I50" i="932" s="1"/>
  <c r="M17" i="706"/>
  <c r="AI10" i="705"/>
  <c r="M12" i="706"/>
  <c r="AJ8" i="708"/>
  <c r="AN8" i="708" s="1"/>
  <c r="AJ8" i="705"/>
  <c r="AN8" i="705" s="1"/>
  <c r="AI13" i="707"/>
  <c r="X10" i="705"/>
  <c r="Y11" i="705"/>
  <c r="P14" i="706"/>
  <c r="AI16" i="705"/>
  <c r="O8" i="706"/>
  <c r="X15" i="705"/>
  <c r="J9" i="706"/>
  <c r="V12" i="708"/>
  <c r="X8" i="706"/>
  <c r="W17" i="706"/>
  <c r="I9" i="706"/>
  <c r="Y13" i="707"/>
  <c r="I25" i="708"/>
  <c r="V15" i="706"/>
  <c r="Y8" i="705"/>
  <c r="T8" i="706"/>
  <c r="C14" i="706"/>
  <c r="AI14" i="706" s="1"/>
  <c r="M8" i="706"/>
  <c r="X13" i="707"/>
  <c r="Z8" i="708"/>
  <c r="X14" i="707"/>
  <c r="AA8" i="706"/>
  <c r="L9" i="706"/>
  <c r="K14" i="706"/>
  <c r="K18" i="706"/>
  <c r="T16" i="706"/>
  <c r="AD16" i="706" s="1"/>
  <c r="H25" i="932"/>
  <c r="W9" i="706"/>
  <c r="R8" i="706"/>
  <c r="L8" i="706"/>
  <c r="X9" i="705"/>
  <c r="P25" i="708"/>
  <c r="R13" i="706"/>
  <c r="AA11" i="707"/>
  <c r="AI10" i="707"/>
  <c r="AI18" i="705"/>
  <c r="H45" i="705"/>
  <c r="I45" i="705" s="1"/>
  <c r="N17" i="706"/>
  <c r="H9" i="708"/>
  <c r="Y16" i="706"/>
  <c r="J12" i="706"/>
  <c r="V17" i="706"/>
  <c r="Q16" i="706"/>
  <c r="S12" i="706"/>
  <c r="N10" i="706"/>
  <c r="Y8" i="707"/>
  <c r="H42" i="706"/>
  <c r="H48" i="707"/>
  <c r="I48" i="707" s="1"/>
  <c r="Q8" i="706"/>
  <c r="W11" i="706"/>
  <c r="R14" i="706"/>
  <c r="H9" i="706"/>
  <c r="T12" i="706"/>
  <c r="N12" i="708"/>
  <c r="Q17" i="706"/>
  <c r="N9" i="706"/>
  <c r="AA17" i="706"/>
  <c r="S14" i="706"/>
  <c r="P11" i="706"/>
  <c r="L18" i="706"/>
  <c r="V13" i="706"/>
  <c r="H12" i="706"/>
  <c r="AC15" i="705"/>
  <c r="L16" i="706"/>
  <c r="V8" i="706"/>
  <c r="Y9" i="706"/>
  <c r="J14" i="706"/>
  <c r="Q18" i="706"/>
  <c r="H11" i="708"/>
  <c r="Y19" i="705"/>
  <c r="AA8" i="708"/>
  <c r="Y12" i="707"/>
  <c r="Z12" i="706"/>
  <c r="Z9" i="707"/>
  <c r="V9" i="706"/>
  <c r="Z18" i="706"/>
  <c r="AA21" i="705"/>
  <c r="Y15" i="705"/>
  <c r="AA8" i="707"/>
  <c r="C13" i="706"/>
  <c r="AI13" i="706" s="1"/>
  <c r="K17" i="706"/>
  <c r="Z14" i="707"/>
  <c r="P13" i="706"/>
  <c r="Z10" i="705"/>
  <c r="Z20" i="705"/>
  <c r="AC10" i="705"/>
  <c r="AJ13" i="707"/>
  <c r="AN13" i="707" s="1"/>
  <c r="V9" i="708"/>
  <c r="X20" i="705"/>
  <c r="X17" i="705"/>
  <c r="Q13" i="706"/>
  <c r="T17" i="706"/>
  <c r="AD17" i="706" s="1"/>
  <c r="H44" i="706"/>
  <c r="H52" i="705"/>
  <c r="I52" i="705" s="1"/>
  <c r="H59" i="932"/>
  <c r="I59" i="932" s="1"/>
  <c r="J13" i="706"/>
  <c r="G8" i="706"/>
  <c r="C18" i="706"/>
  <c r="AI18" i="706" s="1"/>
  <c r="H14" i="706"/>
  <c r="L25" i="932"/>
  <c r="AI11" i="705"/>
  <c r="V11" i="706"/>
  <c r="I16" i="706"/>
  <c r="R17" i="706"/>
  <c r="X21" i="705"/>
  <c r="T18" i="706"/>
  <c r="X14" i="706"/>
  <c r="S16" i="706"/>
  <c r="U16" i="706" s="1"/>
  <c r="G12" i="706"/>
  <c r="AD14" i="707"/>
  <c r="K12" i="708"/>
  <c r="W10" i="708"/>
  <c r="Y9" i="705"/>
  <c r="Q10" i="706"/>
  <c r="L12" i="706"/>
  <c r="W14" i="706"/>
  <c r="Y12" i="706"/>
  <c r="G17" i="706"/>
  <c r="X12" i="706"/>
  <c r="M25" i="708"/>
  <c r="O12" i="706"/>
  <c r="V16" i="706"/>
  <c r="AA10" i="707"/>
  <c r="AJ15" i="705"/>
  <c r="AN15" i="705" s="1"/>
  <c r="AJ19" i="705"/>
  <c r="AI15" i="705"/>
  <c r="AC9" i="705"/>
  <c r="Z19" i="705"/>
  <c r="S13" i="706"/>
  <c r="Z15" i="705"/>
  <c r="W13" i="706"/>
  <c r="AA14" i="705"/>
  <c r="O13" i="706"/>
  <c r="X8" i="705"/>
  <c r="Z16" i="706"/>
  <c r="X19" i="705"/>
  <c r="P9" i="708"/>
  <c r="I18" i="706"/>
  <c r="Z18" i="705"/>
  <c r="H48" i="705"/>
  <c r="I48" i="705" s="1"/>
  <c r="H55" i="932"/>
  <c r="I55" i="932" s="1"/>
  <c r="H43" i="707"/>
  <c r="I43" i="707" s="1"/>
  <c r="W16" i="706"/>
  <c r="Y12" i="705"/>
  <c r="Y11" i="706"/>
  <c r="S9" i="706"/>
  <c r="W18" i="706"/>
  <c r="Z11" i="708"/>
  <c r="X8" i="708"/>
  <c r="X18" i="705"/>
  <c r="X17" i="706"/>
  <c r="C16" i="706"/>
  <c r="AI16" i="706" s="1"/>
  <c r="N12" i="706"/>
  <c r="H16" i="706"/>
  <c r="U14" i="706"/>
  <c r="L23" i="932"/>
  <c r="Z13" i="707"/>
  <c r="AA14" i="706"/>
  <c r="Z21" i="705"/>
  <c r="Q9" i="706"/>
  <c r="AI14" i="707"/>
  <c r="X16" i="705"/>
  <c r="V14" i="706"/>
  <c r="T9" i="706"/>
  <c r="X12" i="708"/>
  <c r="N9" i="708"/>
  <c r="C17" i="706"/>
  <c r="AI17" i="706" s="1"/>
  <c r="Y13" i="706"/>
  <c r="L15" i="706"/>
  <c r="P16" i="706"/>
  <c r="AC16" i="706" s="1"/>
  <c r="AI20" i="705"/>
  <c r="Z12" i="708"/>
  <c r="Z9" i="706"/>
  <c r="H8" i="706"/>
  <c r="O15" i="706"/>
  <c r="AC19" i="705"/>
  <c r="H42" i="707"/>
  <c r="I42" i="707" s="1"/>
  <c r="H37" i="707"/>
  <c r="I37" i="707" s="1"/>
  <c r="G14" i="706"/>
  <c r="Y10" i="705"/>
  <c r="H49" i="705"/>
  <c r="I49" i="705" s="1"/>
  <c r="AA14" i="707"/>
  <c r="H36" i="708"/>
  <c r="I36" i="708" s="1"/>
  <c r="F10" i="706"/>
  <c r="AJ10" i="706" s="1"/>
  <c r="AN10" i="706" s="1"/>
  <c r="P10" i="708"/>
  <c r="AA12" i="707"/>
  <c r="Q14" i="706"/>
  <c r="V12" i="706"/>
  <c r="H46" i="705"/>
  <c r="I46" i="705" s="1"/>
  <c r="H46" i="706"/>
  <c r="H39" i="706"/>
  <c r="H49" i="932"/>
  <c r="I49" i="932" s="1"/>
  <c r="I15" i="706"/>
  <c r="F16" i="706"/>
  <c r="AJ16" i="706" s="1"/>
  <c r="AN16" i="706" s="1"/>
  <c r="J17" i="706"/>
  <c r="AA13" i="706"/>
  <c r="J16" i="706"/>
  <c r="AD11" i="705"/>
  <c r="F14" i="706"/>
  <c r="AJ14" i="706" s="1"/>
  <c r="H10" i="706"/>
  <c r="AA8" i="705"/>
  <c r="L14" i="706"/>
  <c r="F9" i="706"/>
  <c r="AJ9" i="706" s="1"/>
  <c r="H24" i="932"/>
  <c r="X8" i="707"/>
  <c r="P12" i="706"/>
  <c r="AJ9" i="705"/>
  <c r="AN9" i="705" s="1"/>
  <c r="K23" i="932"/>
  <c r="M13" i="706"/>
  <c r="AI9" i="705"/>
  <c r="W10" i="706"/>
  <c r="S17" i="706"/>
  <c r="U17" i="706" s="1"/>
  <c r="J8" i="706"/>
  <c r="G13" i="706"/>
  <c r="I14" i="706"/>
  <c r="Z11" i="705"/>
  <c r="K12" i="706"/>
  <c r="K13" i="706"/>
  <c r="Y17" i="706"/>
  <c r="Z11" i="707"/>
  <c r="C8" i="706"/>
  <c r="Q23" i="932"/>
  <c r="Y21" i="705"/>
  <c r="N11" i="706"/>
  <c r="F13" i="706"/>
  <c r="AJ13" i="706" s="1"/>
  <c r="H18" i="706"/>
  <c r="AA16" i="706"/>
  <c r="N13" i="706"/>
  <c r="Y16" i="705"/>
  <c r="J25" i="932"/>
  <c r="H17" i="706"/>
  <c r="AA9" i="705"/>
  <c r="AJ11" i="705"/>
  <c r="AN11" i="705" s="1"/>
  <c r="H46" i="707"/>
  <c r="I46" i="707" s="1"/>
  <c r="C15" i="706"/>
  <c r="AI15" i="706" s="1"/>
  <c r="AA12" i="706"/>
  <c r="F12" i="706"/>
  <c r="AJ12" i="706" s="1"/>
  <c r="AN12" i="706" s="1"/>
  <c r="AI14" i="705"/>
  <c r="F8" i="706"/>
  <c r="AJ8" i="706" s="1"/>
  <c r="AA13" i="707"/>
  <c r="Y25" i="708"/>
  <c r="H44" i="705"/>
  <c r="I44" i="705" s="1"/>
  <c r="H47" i="706"/>
  <c r="L17" i="706"/>
  <c r="N14" i="706"/>
  <c r="K9" i="706"/>
  <c r="C9" i="706"/>
  <c r="AI9" i="706" s="1"/>
  <c r="N16" i="706"/>
  <c r="G11" i="706"/>
  <c r="O12" i="708"/>
  <c r="Z17" i="706"/>
  <c r="Z9" i="705"/>
  <c r="M10" i="706"/>
  <c r="M9" i="706"/>
  <c r="Q25" i="932"/>
  <c r="M14" i="706"/>
  <c r="O9" i="706"/>
  <c r="AJ16" i="705"/>
  <c r="AN16" i="705" s="1"/>
  <c r="T13" i="706"/>
  <c r="AD15" i="705"/>
  <c r="S8" i="706"/>
  <c r="U8" i="706" s="1"/>
  <c r="AI8" i="708"/>
  <c r="O13" i="708"/>
  <c r="O16" i="706"/>
  <c r="X9" i="706"/>
  <c r="Q12" i="706"/>
  <c r="X13" i="706"/>
  <c r="X11" i="705"/>
  <c r="T25" i="708"/>
  <c r="Y8" i="706"/>
  <c r="I17" i="706"/>
  <c r="H13" i="706"/>
  <c r="Y11" i="707"/>
  <c r="U13" i="706"/>
  <c r="U15" i="706"/>
  <c r="R12" i="706"/>
  <c r="M16" i="706"/>
  <c r="O14" i="706"/>
  <c r="AJ15" i="707"/>
  <c r="AN15" i="707" s="1"/>
  <c r="R16" i="706"/>
  <c r="K16" i="706"/>
  <c r="T14" i="706"/>
  <c r="AA20" i="705"/>
  <c r="AI9" i="707"/>
  <c r="AJ14" i="707"/>
  <c r="AN14" i="707" s="1"/>
  <c r="X11" i="707"/>
  <c r="H47" i="932"/>
  <c r="I47" i="932" s="1"/>
  <c r="H51" i="705"/>
  <c r="I51" i="705" s="1"/>
  <c r="L13" i="706"/>
  <c r="R9" i="706"/>
  <c r="H42" i="705"/>
  <c r="I42" i="705" s="1"/>
  <c r="Z16" i="705"/>
  <c r="AI19" i="705"/>
  <c r="AI12" i="707"/>
  <c r="U12" i="706"/>
  <c r="P17" i="706"/>
  <c r="AC17" i="706" s="1"/>
  <c r="W8" i="706"/>
  <c r="I9" i="708"/>
  <c r="Z8" i="706"/>
  <c r="G16" i="706"/>
  <c r="Q24" i="932"/>
  <c r="AN9" i="707"/>
  <c r="Y20" i="705"/>
  <c r="AA18" i="705"/>
  <c r="AJ11" i="707"/>
  <c r="AN11" i="707" s="1"/>
  <c r="G9" i="708"/>
  <c r="H53" i="705"/>
  <c r="I53" i="705" s="1"/>
  <c r="Z337" i="2"/>
  <c r="AB337" i="2" s="1"/>
  <c r="AO337" i="2" s="1"/>
  <c r="AX337" i="2" s="1"/>
  <c r="AA337" i="2"/>
  <c r="AN337" i="2" s="1"/>
  <c r="AW337" i="2" s="1"/>
  <c r="AL337" i="2"/>
  <c r="N51" i="881"/>
  <c r="I41" i="881"/>
  <c r="Z366" i="2"/>
  <c r="AB366" i="2" s="1"/>
  <c r="AO366" i="2" s="1"/>
  <c r="AX366" i="2" s="1"/>
  <c r="AA366" i="2"/>
  <c r="AN366" i="2" s="1"/>
  <c r="AW366" i="2" s="1"/>
  <c r="AL366" i="2"/>
  <c r="Z381" i="2"/>
  <c r="AB381" i="2" s="1"/>
  <c r="AO381" i="2" s="1"/>
  <c r="AX381" i="2" s="1"/>
  <c r="AA381" i="2"/>
  <c r="AN381" i="2" s="1"/>
  <c r="AW381" i="2" s="1"/>
  <c r="AL381" i="2"/>
  <c r="B292" i="2"/>
  <c r="A292" i="2"/>
  <c r="B187" i="2"/>
  <c r="C187" i="2"/>
  <c r="AA12" i="932" s="1"/>
  <c r="A187" i="2"/>
  <c r="H62" i="932" s="1"/>
  <c r="I62" i="932" s="1"/>
  <c r="X320" i="2"/>
  <c r="Z320" i="2" s="1"/>
  <c r="AB320" i="2" s="1"/>
  <c r="Z397" i="2"/>
  <c r="AB397" i="2" s="1"/>
  <c r="AO397" i="2" s="1"/>
  <c r="AX397" i="2" s="1"/>
  <c r="AA397" i="2"/>
  <c r="AN397" i="2" s="1"/>
  <c r="AW397" i="2" s="1"/>
  <c r="AL397" i="2"/>
  <c r="Z367" i="2"/>
  <c r="AA367" i="2"/>
  <c r="AN367" i="2" s="1"/>
  <c r="AW367" i="2" s="1"/>
  <c r="AB367" i="2"/>
  <c r="AL367" i="2"/>
  <c r="D17" i="516"/>
  <c r="D52" i="729"/>
  <c r="W382" i="2"/>
  <c r="X380" i="2" s="1"/>
  <c r="Z380" i="2" s="1"/>
  <c r="AB380" i="2" s="1"/>
  <c r="AO380" i="2" s="1"/>
  <c r="AX380" i="2" s="1"/>
  <c r="AL336" i="2"/>
  <c r="AA336" i="2"/>
  <c r="AN336" i="2" s="1"/>
  <c r="AW336" i="2" s="1"/>
  <c r="Z336" i="2"/>
  <c r="AB336" i="2" s="1"/>
  <c r="AO336" i="2" s="1"/>
  <c r="AX336" i="2" s="1"/>
  <c r="D17" i="411"/>
  <c r="AJ395" i="2"/>
  <c r="AL395" i="2" s="1"/>
  <c r="AO395" i="2" s="1"/>
  <c r="AX395" i="2" s="1"/>
  <c r="D17" i="985"/>
  <c r="Z352" i="2"/>
  <c r="AB352" i="2" s="1"/>
  <c r="AO352" i="2" s="1"/>
  <c r="AX352" i="2" s="1"/>
  <c r="AA352" i="2"/>
  <c r="AN352" i="2" s="1"/>
  <c r="AW352" i="2" s="1"/>
  <c r="AL352" i="2"/>
  <c r="E25" i="731"/>
  <c r="F18" i="840" l="1"/>
  <c r="AC15" i="703"/>
  <c r="AD19" i="703"/>
  <c r="AD16" i="703"/>
  <c r="AC9" i="703"/>
  <c r="AD21" i="703"/>
  <c r="AD10" i="703"/>
  <c r="AC17" i="703"/>
  <c r="AD12" i="707"/>
  <c r="AC10" i="707"/>
  <c r="AD13" i="707"/>
  <c r="AD10" i="707"/>
  <c r="AC12" i="707"/>
  <c r="AN20" i="704"/>
  <c r="AD19" i="704"/>
  <c r="AD20" i="704"/>
  <c r="AD15" i="704"/>
  <c r="AC21" i="704"/>
  <c r="AD21" i="704"/>
  <c r="AC9" i="704"/>
  <c r="K11" i="739"/>
  <c r="K9" i="739"/>
  <c r="AD8" i="704"/>
  <c r="G9" i="4"/>
  <c r="AO11" i="705"/>
  <c r="AP11" i="705"/>
  <c r="AO10" i="705"/>
  <c r="AP10" i="705"/>
  <c r="F17" i="4"/>
  <c r="C18" i="4"/>
  <c r="T45" i="707"/>
  <c r="M45" i="707"/>
  <c r="P45" i="707" s="1"/>
  <c r="U22" i="4"/>
  <c r="J8" i="702"/>
  <c r="K8" i="4"/>
  <c r="M26" i="4"/>
  <c r="I25" i="346"/>
  <c r="E89" i="474"/>
  <c r="M24" i="346"/>
  <c r="E92" i="474"/>
  <c r="M59" i="704"/>
  <c r="P59" i="704" s="1"/>
  <c r="T59" i="704"/>
  <c r="T22" i="702"/>
  <c r="J23" i="701"/>
  <c r="AC19" i="702"/>
  <c r="C17" i="4"/>
  <c r="U8" i="702"/>
  <c r="L25" i="701"/>
  <c r="N14" i="702"/>
  <c r="G26" i="346"/>
  <c r="R25" i="702"/>
  <c r="N16" i="4"/>
  <c r="K90" i="474"/>
  <c r="V27" i="701"/>
  <c r="E66" i="474"/>
  <c r="Q25" i="702"/>
  <c r="V11" i="4"/>
  <c r="W23" i="702"/>
  <c r="V25" i="701"/>
  <c r="AI12" i="703"/>
  <c r="P23" i="346"/>
  <c r="F18" i="4"/>
  <c r="X8" i="346"/>
  <c r="AC16" i="346"/>
  <c r="V8" i="701"/>
  <c r="H34" i="4"/>
  <c r="T27" i="346"/>
  <c r="Q25" i="346"/>
  <c r="L27" i="701"/>
  <c r="Z13" i="703"/>
  <c r="F25" i="346"/>
  <c r="AJ25" i="346" s="1"/>
  <c r="E58" i="474"/>
  <c r="L26" i="702"/>
  <c r="J34" i="4"/>
  <c r="E62" i="474"/>
  <c r="AA8" i="702"/>
  <c r="AJ13" i="704"/>
  <c r="AN13" i="704" s="1"/>
  <c r="H61" i="703"/>
  <c r="I61" i="703" s="1"/>
  <c r="X25" i="932"/>
  <c r="G26" i="932"/>
  <c r="F24" i="932"/>
  <c r="AJ24" i="932" s="1"/>
  <c r="I22" i="52"/>
  <c r="H22" i="52" s="1"/>
  <c r="C21" i="52"/>
  <c r="I16" i="52"/>
  <c r="C7" i="52"/>
  <c r="C6" i="52"/>
  <c r="C14" i="52"/>
  <c r="T47" i="932"/>
  <c r="M47" i="932"/>
  <c r="P47" i="932" s="1"/>
  <c r="M46" i="705"/>
  <c r="P46" i="705" s="1"/>
  <c r="T55" i="932"/>
  <c r="M55" i="932"/>
  <c r="P55" i="932" s="1"/>
  <c r="T59" i="932"/>
  <c r="M59" i="932"/>
  <c r="P59" i="932" s="1"/>
  <c r="U20" i="4"/>
  <c r="U26" i="4"/>
  <c r="C23" i="4"/>
  <c r="F15" i="4"/>
  <c r="I20" i="4"/>
  <c r="M20" i="4"/>
  <c r="AP12" i="346"/>
  <c r="AQ12" i="346"/>
  <c r="G16" i="4"/>
  <c r="V12" i="4"/>
  <c r="AC8" i="346"/>
  <c r="V15" i="4"/>
  <c r="S25" i="4"/>
  <c r="T16" i="4"/>
  <c r="T60" i="702"/>
  <c r="W60" i="702" s="1"/>
  <c r="AA60" i="702" s="1"/>
  <c r="M60" i="702"/>
  <c r="P60" i="702" s="1"/>
  <c r="V10" i="4"/>
  <c r="F26" i="4"/>
  <c r="Y24" i="932"/>
  <c r="X26" i="932"/>
  <c r="Y25" i="932"/>
  <c r="X18" i="932"/>
  <c r="I7" i="52"/>
  <c r="E7" i="52" s="1"/>
  <c r="D9" i="52"/>
  <c r="C9" i="52"/>
  <c r="I17" i="52"/>
  <c r="G17" i="52" s="1"/>
  <c r="AO367" i="2"/>
  <c r="AX367" i="2" s="1"/>
  <c r="AO320" i="2"/>
  <c r="AX320" i="2" s="1"/>
  <c r="T46" i="707"/>
  <c r="M46" i="707"/>
  <c r="P46" i="707" s="1"/>
  <c r="AI8" i="706"/>
  <c r="F68" i="706"/>
  <c r="F67" i="706"/>
  <c r="T49" i="932"/>
  <c r="M49" i="932"/>
  <c r="P49" i="932" s="1"/>
  <c r="AC10" i="708"/>
  <c r="M48" i="705"/>
  <c r="P48" i="705" s="1"/>
  <c r="T48" i="705"/>
  <c r="AP15" i="705"/>
  <c r="AO15" i="705"/>
  <c r="AC11" i="706"/>
  <c r="AD12" i="706"/>
  <c r="M48" i="704"/>
  <c r="P48" i="704" s="1"/>
  <c r="T48" i="704"/>
  <c r="I14" i="702"/>
  <c r="Z24" i="702"/>
  <c r="V9" i="4"/>
  <c r="S18" i="4"/>
  <c r="R15" i="4"/>
  <c r="AD11" i="702"/>
  <c r="H15" i="4"/>
  <c r="Q8" i="701"/>
  <c r="T24" i="702"/>
  <c r="AJ12" i="346"/>
  <c r="AO12" i="346" s="1"/>
  <c r="K107" i="474"/>
  <c r="K25" i="702"/>
  <c r="AJ22" i="346"/>
  <c r="S17" i="4"/>
  <c r="AA27" i="702"/>
  <c r="J55" i="474"/>
  <c r="K99" i="474"/>
  <c r="M21" i="4"/>
  <c r="K23" i="346"/>
  <c r="U18" i="701"/>
  <c r="L9" i="4"/>
  <c r="U24" i="702"/>
  <c r="J24" i="4"/>
  <c r="I27" i="702"/>
  <c r="J57" i="474"/>
  <c r="W25" i="701"/>
  <c r="K18" i="4"/>
  <c r="N13" i="4"/>
  <c r="L23" i="701"/>
  <c r="H109" i="474"/>
  <c r="R8" i="701"/>
  <c r="H14" i="702"/>
  <c r="H64" i="474"/>
  <c r="O13" i="4"/>
  <c r="T26" i="346"/>
  <c r="H8" i="4"/>
  <c r="X8" i="701"/>
  <c r="M59" i="701"/>
  <c r="P59" i="701" s="1"/>
  <c r="T59" i="701"/>
  <c r="W59" i="701" s="1"/>
  <c r="AA59" i="701" s="1"/>
  <c r="I102" i="474"/>
  <c r="I108" i="474"/>
  <c r="U12" i="701"/>
  <c r="C11" i="52"/>
  <c r="Q26" i="932"/>
  <c r="T37" i="707"/>
  <c r="Y14" i="705"/>
  <c r="D18" i="516"/>
  <c r="U18" i="706"/>
  <c r="AD13" i="706"/>
  <c r="X25" i="708"/>
  <c r="G10" i="708"/>
  <c r="H44" i="708"/>
  <c r="I44" i="708" s="1"/>
  <c r="AA15" i="706"/>
  <c r="R25" i="932"/>
  <c r="Y15" i="706"/>
  <c r="AJ8" i="707"/>
  <c r="AN8" i="707" s="1"/>
  <c r="Q11" i="706"/>
  <c r="Q20" i="706" s="1"/>
  <c r="M49" i="705"/>
  <c r="P49" i="705" s="1"/>
  <c r="T49" i="705"/>
  <c r="I11" i="706"/>
  <c r="AJ14" i="705"/>
  <c r="AN14" i="705" s="1"/>
  <c r="Z13" i="705"/>
  <c r="R23" i="932"/>
  <c r="W15" i="706"/>
  <c r="AN19" i="705"/>
  <c r="Z14" i="705"/>
  <c r="U11" i="708"/>
  <c r="K11" i="708"/>
  <c r="AA17" i="705"/>
  <c r="H36" i="707"/>
  <c r="I36" i="707" s="1"/>
  <c r="O9" i="708"/>
  <c r="O21" i="708" s="1"/>
  <c r="H38" i="707"/>
  <c r="I38" i="707" s="1"/>
  <c r="AJ12" i="705"/>
  <c r="AN12" i="705" s="1"/>
  <c r="AC13" i="706"/>
  <c r="K9" i="708"/>
  <c r="K17" i="708" s="1"/>
  <c r="S25" i="708"/>
  <c r="R18" i="706"/>
  <c r="AI21" i="705"/>
  <c r="AC13" i="707"/>
  <c r="H47" i="705"/>
  <c r="I47" i="705" s="1"/>
  <c r="K25" i="708"/>
  <c r="C10" i="708"/>
  <c r="AI10" i="708" s="1"/>
  <c r="O10" i="706"/>
  <c r="K11" i="706"/>
  <c r="M12" i="708"/>
  <c r="N10" i="708"/>
  <c r="N15" i="708" s="1"/>
  <c r="AN18" i="705"/>
  <c r="M9" i="708"/>
  <c r="M16" i="708" s="1"/>
  <c r="P12" i="708"/>
  <c r="AC8" i="706"/>
  <c r="AA11" i="706"/>
  <c r="I13" i="708"/>
  <c r="F18" i="706"/>
  <c r="AJ18" i="706" s="1"/>
  <c r="AN18" i="706" s="1"/>
  <c r="K24" i="932"/>
  <c r="K15" i="706"/>
  <c r="AC14" i="705"/>
  <c r="H66" i="346"/>
  <c r="I66" i="346" s="1"/>
  <c r="S22" i="701"/>
  <c r="M48" i="346"/>
  <c r="P48" i="346" s="1"/>
  <c r="T48" i="346"/>
  <c r="N24" i="4"/>
  <c r="X24" i="4" s="1"/>
  <c r="C12" i="702"/>
  <c r="AI12" i="702" s="1"/>
  <c r="E100" i="474"/>
  <c r="J21" i="4"/>
  <c r="M55" i="704"/>
  <c r="P55" i="704" s="1"/>
  <c r="T55" i="704"/>
  <c r="I24" i="701"/>
  <c r="P16" i="4"/>
  <c r="Q24" i="346"/>
  <c r="X18" i="702"/>
  <c r="R18" i="701"/>
  <c r="F8" i="701"/>
  <c r="AJ8" i="701" s="1"/>
  <c r="AN8" i="701" s="1"/>
  <c r="Z12" i="704"/>
  <c r="K21" i="4"/>
  <c r="AD16" i="346"/>
  <c r="AA18" i="703"/>
  <c r="P13" i="701"/>
  <c r="AC13" i="701" s="1"/>
  <c r="T12" i="702"/>
  <c r="AD12" i="702" s="1"/>
  <c r="P23" i="702"/>
  <c r="S22" i="4"/>
  <c r="L19" i="4"/>
  <c r="H9" i="4"/>
  <c r="L27" i="4"/>
  <c r="K23" i="702"/>
  <c r="H52" i="701"/>
  <c r="I52" i="701" s="1"/>
  <c r="I63" i="474"/>
  <c r="C11" i="4"/>
  <c r="V24" i="701"/>
  <c r="H19" i="4"/>
  <c r="V22" i="4"/>
  <c r="P14" i="4"/>
  <c r="Y14" i="4" s="1"/>
  <c r="Y27" i="701"/>
  <c r="I24" i="4"/>
  <c r="X22" i="346"/>
  <c r="Z24" i="701"/>
  <c r="L11" i="4"/>
  <c r="L22" i="702"/>
  <c r="O21" i="4"/>
  <c r="Q22" i="4"/>
  <c r="K9" i="4"/>
  <c r="H18" i="4"/>
  <c r="AI14" i="704"/>
  <c r="Q26" i="346"/>
  <c r="H61" i="474"/>
  <c r="J24" i="346"/>
  <c r="I66" i="715"/>
  <c r="I84" i="474"/>
  <c r="H11" i="4"/>
  <c r="H85" i="474"/>
  <c r="O13" i="701"/>
  <c r="AD20" i="703"/>
  <c r="I93" i="474"/>
  <c r="X14" i="703"/>
  <c r="T18" i="701"/>
  <c r="Y18" i="702"/>
  <c r="H12" i="702"/>
  <c r="K92" i="474"/>
  <c r="E69" i="474"/>
  <c r="I105" i="474"/>
  <c r="Q27" i="702"/>
  <c r="H47" i="701"/>
  <c r="I47" i="701" s="1"/>
  <c r="H70" i="474"/>
  <c r="Q9" i="4"/>
  <c r="R14" i="4"/>
  <c r="AO16" i="701"/>
  <c r="AP16" i="701"/>
  <c r="F12" i="4"/>
  <c r="R8" i="4"/>
  <c r="AD15" i="702"/>
  <c r="J27" i="702"/>
  <c r="C8" i="4"/>
  <c r="AN17" i="701"/>
  <c r="P34" i="4"/>
  <c r="R22" i="702"/>
  <c r="V26" i="702"/>
  <c r="Y13" i="703"/>
  <c r="S13" i="702"/>
  <c r="Z18" i="702"/>
  <c r="X12" i="702"/>
  <c r="K61" i="474"/>
  <c r="AA12" i="346"/>
  <c r="P8" i="4"/>
  <c r="J76" i="474"/>
  <c r="H47" i="704"/>
  <c r="I47" i="704" s="1"/>
  <c r="W26" i="346"/>
  <c r="I71" i="474"/>
  <c r="O22" i="4"/>
  <c r="Q16" i="4"/>
  <c r="R12" i="4"/>
  <c r="E96" i="474"/>
  <c r="K12" i="4"/>
  <c r="K23" i="4"/>
  <c r="T49" i="346"/>
  <c r="M49" i="346"/>
  <c r="P49" i="346" s="1"/>
  <c r="V14" i="4"/>
  <c r="N20" i="4"/>
  <c r="X20" i="4" s="1"/>
  <c r="O10" i="4"/>
  <c r="I94" i="474"/>
  <c r="R19" i="4"/>
  <c r="E65" i="474"/>
  <c r="F12" i="702"/>
  <c r="AJ12" i="702" s="1"/>
  <c r="AN12" i="702" s="1"/>
  <c r="K91" i="474"/>
  <c r="E71" i="474"/>
  <c r="AC20" i="702"/>
  <c r="G27" i="701"/>
  <c r="W18" i="701"/>
  <c r="AD17" i="703"/>
  <c r="E94" i="474"/>
  <c r="AN20" i="701"/>
  <c r="T55" i="702"/>
  <c r="W55" i="702" s="1"/>
  <c r="AA55" i="702" s="1"/>
  <c r="M55" i="702"/>
  <c r="P55" i="702" s="1"/>
  <c r="J11" i="4"/>
  <c r="H13" i="4"/>
  <c r="R27" i="346"/>
  <c r="V20" i="4"/>
  <c r="I86" i="474"/>
  <c r="T23" i="4"/>
  <c r="Z14" i="704"/>
  <c r="K25" i="701"/>
  <c r="Q25" i="701"/>
  <c r="S19" i="4"/>
  <c r="P27" i="346"/>
  <c r="K24" i="701"/>
  <c r="N21" i="4"/>
  <c r="X21" i="4" s="1"/>
  <c r="AA25" i="701"/>
  <c r="AJ8" i="704"/>
  <c r="AN8" i="704" s="1"/>
  <c r="Z23" i="701"/>
  <c r="R8" i="702"/>
  <c r="I25" i="701"/>
  <c r="J100" i="474"/>
  <c r="J71" i="474"/>
  <c r="C23" i="701"/>
  <c r="N12" i="702"/>
  <c r="H77" i="474"/>
  <c r="J93" i="474"/>
  <c r="N18" i="701"/>
  <c r="AD11" i="346"/>
  <c r="V23" i="346"/>
  <c r="W14" i="701"/>
  <c r="H61" i="704"/>
  <c r="I61" i="704" s="1"/>
  <c r="G34" i="4"/>
  <c r="O17" i="4"/>
  <c r="O8" i="4"/>
  <c r="N19" i="4"/>
  <c r="X19" i="4" s="1"/>
  <c r="X8" i="703"/>
  <c r="W24" i="701"/>
  <c r="G24" i="701"/>
  <c r="T14" i="701"/>
  <c r="H99" i="474"/>
  <c r="Y18" i="346"/>
  <c r="W22" i="701"/>
  <c r="U27" i="4"/>
  <c r="H55" i="474"/>
  <c r="E93" i="474"/>
  <c r="H73" i="474"/>
  <c r="I67" i="474"/>
  <c r="W24" i="704"/>
  <c r="F27" i="701"/>
  <c r="AJ27" i="701" s="1"/>
  <c r="M57" i="346"/>
  <c r="P57" i="346" s="1"/>
  <c r="Z22" i="702"/>
  <c r="G18" i="702"/>
  <c r="I24" i="474"/>
  <c r="K64" i="474"/>
  <c r="I23" i="702"/>
  <c r="P17" i="4"/>
  <c r="J98" i="474"/>
  <c r="X26" i="346"/>
  <c r="F13" i="4"/>
  <c r="U12" i="4"/>
  <c r="P23" i="701"/>
  <c r="T18" i="4"/>
  <c r="S23" i="701"/>
  <c r="Y13" i="346"/>
  <c r="T23" i="701"/>
  <c r="M14" i="4"/>
  <c r="R13" i="4"/>
  <c r="V24" i="346"/>
  <c r="S8" i="701"/>
  <c r="P22" i="702"/>
  <c r="L16" i="4"/>
  <c r="S26" i="702"/>
  <c r="H56" i="474"/>
  <c r="AD15" i="703"/>
  <c r="E95" i="474"/>
  <c r="R26" i="4"/>
  <c r="K57" i="474"/>
  <c r="Q27" i="701"/>
  <c r="J64" i="474"/>
  <c r="Q18" i="702"/>
  <c r="M49" i="703"/>
  <c r="P49" i="703" s="1"/>
  <c r="T49" i="703"/>
  <c r="T59" i="702"/>
  <c r="M59" i="702"/>
  <c r="P59" i="702" s="1"/>
  <c r="K63" i="474"/>
  <c r="V18" i="701"/>
  <c r="R23" i="346"/>
  <c r="G14" i="701"/>
  <c r="K70" i="474"/>
  <c r="E88" i="474"/>
  <c r="K77" i="474"/>
  <c r="E60" i="474"/>
  <c r="X12" i="701"/>
  <c r="AI12" i="932"/>
  <c r="AA8" i="932"/>
  <c r="Y23" i="932"/>
  <c r="Y26" i="932"/>
  <c r="W23" i="932"/>
  <c r="F26" i="932"/>
  <c r="AJ26" i="932" s="1"/>
  <c r="I25" i="932"/>
  <c r="AD16" i="932"/>
  <c r="V24" i="932"/>
  <c r="Y22" i="932"/>
  <c r="P24" i="932"/>
  <c r="W26" i="932"/>
  <c r="AA25" i="932"/>
  <c r="T23" i="932"/>
  <c r="AC13" i="932"/>
  <c r="AA14" i="932"/>
  <c r="F25" i="52"/>
  <c r="I25" i="52"/>
  <c r="E25" i="52" s="1"/>
  <c r="G10" i="52"/>
  <c r="C17" i="52"/>
  <c r="H13" i="52"/>
  <c r="G12" i="52"/>
  <c r="C29" i="52"/>
  <c r="E22" i="52"/>
  <c r="C15" i="52"/>
  <c r="G16" i="52"/>
  <c r="I12" i="52"/>
  <c r="H16" i="52"/>
  <c r="X410" i="2"/>
  <c r="Z410" i="2" s="1"/>
  <c r="AB410" i="2" s="1"/>
  <c r="AO410" i="2" s="1"/>
  <c r="AX410" i="2" s="1"/>
  <c r="K10" i="739"/>
  <c r="T25" i="4"/>
  <c r="C16" i="4"/>
  <c r="Q19" i="4"/>
  <c r="K13" i="4"/>
  <c r="S23" i="4"/>
  <c r="R22" i="4"/>
  <c r="M15" i="4"/>
  <c r="T20" i="4"/>
  <c r="Q13" i="4"/>
  <c r="L34" i="4"/>
  <c r="I23" i="706"/>
  <c r="C9" i="414" s="1"/>
  <c r="C16" i="414" s="1"/>
  <c r="S9" i="4"/>
  <c r="H26" i="4"/>
  <c r="U17" i="4"/>
  <c r="F27" i="702"/>
  <c r="AJ27" i="702" s="1"/>
  <c r="Q14" i="701"/>
  <c r="P13" i="4"/>
  <c r="Y13" i="4" s="1"/>
  <c r="L18" i="701"/>
  <c r="K26" i="346"/>
  <c r="N17" i="4"/>
  <c r="X17" i="4" s="1"/>
  <c r="G23" i="701"/>
  <c r="Z22" i="346"/>
  <c r="J84" i="474"/>
  <c r="O18" i="701"/>
  <c r="K19" i="4"/>
  <c r="Q10" i="4"/>
  <c r="I88" i="474"/>
  <c r="M8" i="702"/>
  <c r="H107" i="474"/>
  <c r="V23" i="4"/>
  <c r="Y13" i="702"/>
  <c r="J16" i="4"/>
  <c r="X23" i="702"/>
  <c r="M26" i="701"/>
  <c r="Q22" i="701"/>
  <c r="Y24" i="701"/>
  <c r="J24" i="474"/>
  <c r="I83" i="474"/>
  <c r="AA13" i="346"/>
  <c r="V12" i="701"/>
  <c r="J23" i="4"/>
  <c r="H66" i="702"/>
  <c r="I66" i="702" s="1"/>
  <c r="T27" i="702"/>
  <c r="AO17" i="701"/>
  <c r="AP17" i="701"/>
  <c r="I67" i="715"/>
  <c r="J66" i="474"/>
  <c r="F8" i="702"/>
  <c r="AJ8" i="702" s="1"/>
  <c r="AN8" i="702" s="1"/>
  <c r="K79" i="474"/>
  <c r="L12" i="702"/>
  <c r="F23" i="702"/>
  <c r="AJ23" i="702" s="1"/>
  <c r="AN23" i="702" s="1"/>
  <c r="W24" i="702"/>
  <c r="E78" i="474"/>
  <c r="H61" i="346"/>
  <c r="I61" i="346" s="1"/>
  <c r="J13" i="701"/>
  <c r="Y12" i="932"/>
  <c r="Y39" i="932" s="1"/>
  <c r="Z18" i="932"/>
  <c r="E29" i="52"/>
  <c r="AJ17" i="705"/>
  <c r="AN17" i="705" s="1"/>
  <c r="G15" i="706"/>
  <c r="F10" i="708"/>
  <c r="AJ10" i="708" s="1"/>
  <c r="AN10" i="708" s="1"/>
  <c r="J13" i="708"/>
  <c r="AA13" i="708"/>
  <c r="U9" i="708"/>
  <c r="M15" i="706"/>
  <c r="V11" i="708"/>
  <c r="AA11" i="708"/>
  <c r="AC17" i="705"/>
  <c r="T15" i="706"/>
  <c r="AD15" i="706" s="1"/>
  <c r="H23" i="932"/>
  <c r="H46" i="932"/>
  <c r="I46" i="932" s="1"/>
  <c r="AP14" i="705"/>
  <c r="V10" i="708"/>
  <c r="V15" i="708" s="1"/>
  <c r="H12" i="708"/>
  <c r="AP9" i="705"/>
  <c r="AO9" i="705"/>
  <c r="AA10" i="706"/>
  <c r="AA22" i="706" s="1"/>
  <c r="Y9" i="708"/>
  <c r="Y16" i="708" s="1"/>
  <c r="G18" i="706"/>
  <c r="U11" i="706"/>
  <c r="L25" i="708"/>
  <c r="AD13" i="705"/>
  <c r="S25" i="932"/>
  <c r="P13" i="708"/>
  <c r="H50" i="706"/>
  <c r="S13" i="708"/>
  <c r="Z17" i="705"/>
  <c r="Z8" i="705"/>
  <c r="R25" i="708"/>
  <c r="J9" i="708"/>
  <c r="J15" i="708" s="1"/>
  <c r="L13" i="708"/>
  <c r="T10" i="706"/>
  <c r="AD10" i="706" s="1"/>
  <c r="M37" i="707"/>
  <c r="P37" i="707" s="1"/>
  <c r="H54" i="705"/>
  <c r="I54" i="705" s="1"/>
  <c r="X14" i="705"/>
  <c r="AA18" i="706"/>
  <c r="S10" i="706"/>
  <c r="S21" i="706" s="1"/>
  <c r="F15" i="706"/>
  <c r="AJ15" i="706" s="1"/>
  <c r="AN15" i="706" s="1"/>
  <c r="G11" i="708"/>
  <c r="H58" i="932"/>
  <c r="I58" i="932" s="1"/>
  <c r="S11" i="706"/>
  <c r="R15" i="706"/>
  <c r="K26" i="932"/>
  <c r="H48" i="932"/>
  <c r="I48" i="932" s="1"/>
  <c r="AA25" i="708"/>
  <c r="Q11" i="708"/>
  <c r="F25" i="708"/>
  <c r="C9" i="708"/>
  <c r="AI9" i="708" s="1"/>
  <c r="H15" i="706"/>
  <c r="Y17" i="705"/>
  <c r="AC16" i="705"/>
  <c r="AD16" i="705"/>
  <c r="J18" i="706"/>
  <c r="K105" i="474"/>
  <c r="J25" i="4"/>
  <c r="C18" i="702"/>
  <c r="AI18" i="702" s="1"/>
  <c r="J25" i="701"/>
  <c r="S16" i="4"/>
  <c r="S11" i="4"/>
  <c r="H12" i="4"/>
  <c r="P24" i="701"/>
  <c r="N25" i="702"/>
  <c r="M64" i="702" s="1"/>
  <c r="P64" i="702" s="1"/>
  <c r="T13" i="702"/>
  <c r="AD13" i="702" s="1"/>
  <c r="V18" i="4"/>
  <c r="I12" i="701"/>
  <c r="G23" i="346"/>
  <c r="J8" i="701"/>
  <c r="L10" i="4"/>
  <c r="K22" i="4"/>
  <c r="G12" i="4"/>
  <c r="O20" i="4"/>
  <c r="Z27" i="701"/>
  <c r="U14" i="4"/>
  <c r="J61" i="474"/>
  <c r="H66" i="704"/>
  <c r="I66" i="704" s="1"/>
  <c r="V26" i="4"/>
  <c r="K82" i="474"/>
  <c r="G10" i="4"/>
  <c r="L20" i="4"/>
  <c r="Q26" i="701"/>
  <c r="J67" i="474"/>
  <c r="G24" i="702"/>
  <c r="Y12" i="701"/>
  <c r="L24" i="702"/>
  <c r="J102" i="474"/>
  <c r="I21" i="4"/>
  <c r="N8" i="702"/>
  <c r="M23" i="701"/>
  <c r="AA14" i="701"/>
  <c r="S22" i="702"/>
  <c r="W8" i="701"/>
  <c r="L14" i="701"/>
  <c r="K27" i="702"/>
  <c r="K60" i="474"/>
  <c r="R25" i="701"/>
  <c r="I26" i="702"/>
  <c r="S13" i="701"/>
  <c r="U13" i="701" s="1"/>
  <c r="N8" i="701"/>
  <c r="J13" i="4"/>
  <c r="AC16" i="703"/>
  <c r="Z27" i="702"/>
  <c r="E75" i="474"/>
  <c r="J92" i="474"/>
  <c r="I79" i="474"/>
  <c r="W13" i="701"/>
  <c r="AN13" i="701" s="1"/>
  <c r="O24" i="702"/>
  <c r="H52" i="704"/>
  <c r="I52" i="704" s="1"/>
  <c r="H62" i="346"/>
  <c r="I62" i="346" s="1"/>
  <c r="W27" i="702"/>
  <c r="M34" i="4"/>
  <c r="P11" i="4"/>
  <c r="V23" i="702"/>
  <c r="G22" i="702"/>
  <c r="M13" i="4"/>
  <c r="O23" i="4"/>
  <c r="AD13" i="346"/>
  <c r="E91" i="474"/>
  <c r="I101" i="474"/>
  <c r="E108" i="474"/>
  <c r="M13" i="701"/>
  <c r="C27" i="701"/>
  <c r="I8" i="702"/>
  <c r="H100" i="474"/>
  <c r="C34" i="4"/>
  <c r="H50" i="704"/>
  <c r="I50" i="704" s="1"/>
  <c r="M53" i="703"/>
  <c r="P53" i="703" s="1"/>
  <c r="T53" i="703"/>
  <c r="G26" i="4"/>
  <c r="AA25" i="346"/>
  <c r="G23" i="702"/>
  <c r="AD11" i="703"/>
  <c r="L23" i="4"/>
  <c r="P25" i="4"/>
  <c r="Q26" i="4"/>
  <c r="AD16" i="704"/>
  <c r="C26" i="4"/>
  <c r="J17" i="4"/>
  <c r="AC11" i="702"/>
  <c r="AA12" i="704"/>
  <c r="P27" i="4"/>
  <c r="Y27" i="4" s="1"/>
  <c r="J108" i="474"/>
  <c r="AC9" i="702"/>
  <c r="U9" i="4"/>
  <c r="AS13" i="346"/>
  <c r="E57" i="474"/>
  <c r="N13" i="702"/>
  <c r="S34" i="4"/>
  <c r="M54" i="701"/>
  <c r="P54" i="701" s="1"/>
  <c r="T54" i="701"/>
  <c r="W54" i="701" s="1"/>
  <c r="AA54" i="701" s="1"/>
  <c r="J18" i="702"/>
  <c r="G24" i="4"/>
  <c r="K84" i="474"/>
  <c r="AO19" i="701"/>
  <c r="AP19" i="701"/>
  <c r="K58" i="474"/>
  <c r="AI11" i="704"/>
  <c r="F18" i="702"/>
  <c r="AJ18" i="702" s="1"/>
  <c r="AN18" i="702" s="1"/>
  <c r="Z18" i="703"/>
  <c r="M60" i="701"/>
  <c r="P60" i="701" s="1"/>
  <c r="T60" i="701"/>
  <c r="W60" i="701" s="1"/>
  <c r="AA60" i="701" s="1"/>
  <c r="V13" i="4"/>
  <c r="F13" i="702"/>
  <c r="AJ13" i="702" s="1"/>
  <c r="AN13" i="702" s="1"/>
  <c r="H62" i="702"/>
  <c r="I62" i="702" s="1"/>
  <c r="W25" i="346"/>
  <c r="M19" i="4"/>
  <c r="V21" i="4"/>
  <c r="F25" i="701"/>
  <c r="AJ25" i="701" s="1"/>
  <c r="AN25" i="701" s="1"/>
  <c r="K98" i="474"/>
  <c r="E98" i="474"/>
  <c r="Z13" i="702"/>
  <c r="AJ14" i="346"/>
  <c r="AO14" i="346" s="1"/>
  <c r="AA13" i="703"/>
  <c r="C25" i="346"/>
  <c r="V12" i="702"/>
  <c r="H68" i="474"/>
  <c r="Y27" i="702"/>
  <c r="K27" i="4"/>
  <c r="K101" i="474"/>
  <c r="G17" i="4"/>
  <c r="Q23" i="701"/>
  <c r="K67" i="474"/>
  <c r="P27" i="702"/>
  <c r="AC19" i="701"/>
  <c r="Y12" i="703"/>
  <c r="AC11" i="703"/>
  <c r="W22" i="702"/>
  <c r="E73" i="474"/>
  <c r="E59" i="474"/>
  <c r="AI8" i="703"/>
  <c r="J91" i="474"/>
  <c r="K14" i="702"/>
  <c r="M58" i="701"/>
  <c r="P58" i="701" s="1"/>
  <c r="T58" i="701"/>
  <c r="W58" i="701" s="1"/>
  <c r="AA58" i="701" s="1"/>
  <c r="M54" i="704"/>
  <c r="P54" i="704" s="1"/>
  <c r="T54" i="704"/>
  <c r="M50" i="703"/>
  <c r="P50" i="703" s="1"/>
  <c r="T50" i="703"/>
  <c r="J12" i="4"/>
  <c r="Y8" i="346"/>
  <c r="O14" i="4"/>
  <c r="J69" i="474"/>
  <c r="R17" i="4"/>
  <c r="T19" i="4"/>
  <c r="S10" i="4"/>
  <c r="X18" i="701"/>
  <c r="X22" i="701"/>
  <c r="P8" i="701"/>
  <c r="L26" i="701"/>
  <c r="AD17" i="701"/>
  <c r="U23" i="702"/>
  <c r="P26" i="702"/>
  <c r="K12" i="701"/>
  <c r="AA11" i="704"/>
  <c r="I109" i="474"/>
  <c r="I56" i="474"/>
  <c r="I80" i="474"/>
  <c r="AA13" i="701"/>
  <c r="H86" i="474"/>
  <c r="O25" i="702"/>
  <c r="C10" i="4"/>
  <c r="C24" i="701"/>
  <c r="Q21" i="4"/>
  <c r="H27" i="346"/>
  <c r="V8" i="4"/>
  <c r="I15" i="4"/>
  <c r="I27" i="701"/>
  <c r="S24" i="4"/>
  <c r="C24" i="346"/>
  <c r="AA24" i="346"/>
  <c r="AC17" i="702"/>
  <c r="S8" i="4"/>
  <c r="X24" i="701"/>
  <c r="P13" i="702"/>
  <c r="AC13" i="702" s="1"/>
  <c r="K102" i="474"/>
  <c r="Z26" i="702"/>
  <c r="R14" i="701"/>
  <c r="W23" i="346"/>
  <c r="AA18" i="702"/>
  <c r="S18" i="701"/>
  <c r="K26" i="701"/>
  <c r="G22" i="701"/>
  <c r="H96" i="474"/>
  <c r="AC21" i="703"/>
  <c r="AA8" i="704"/>
  <c r="M12" i="701"/>
  <c r="N22" i="702"/>
  <c r="Z12" i="703"/>
  <c r="L23" i="702"/>
  <c r="N23" i="702" s="1"/>
  <c r="H16" i="4"/>
  <c r="N25" i="701"/>
  <c r="AA14" i="704"/>
  <c r="H62" i="701"/>
  <c r="I62" i="701" s="1"/>
  <c r="M49" i="704"/>
  <c r="P49" i="704" s="1"/>
  <c r="T49" i="704"/>
  <c r="W24" i="932"/>
  <c r="U26" i="932"/>
  <c r="AA13" i="932"/>
  <c r="G25" i="932"/>
  <c r="Y14" i="932"/>
  <c r="Y29" i="932" s="1"/>
  <c r="Y34" i="932" s="1"/>
  <c r="G24" i="932"/>
  <c r="AA24" i="932"/>
  <c r="P26" i="932"/>
  <c r="AC26" i="932" s="1"/>
  <c r="Y13" i="932"/>
  <c r="T24" i="932"/>
  <c r="Z8" i="932"/>
  <c r="AJ22" i="932"/>
  <c r="AN22" i="932" s="1"/>
  <c r="X23" i="932"/>
  <c r="U23" i="932"/>
  <c r="T62" i="932" s="1"/>
  <c r="M24" i="932"/>
  <c r="AD9" i="932"/>
  <c r="AC16" i="932"/>
  <c r="AC22" i="932"/>
  <c r="U24" i="932"/>
  <c r="AJ8" i="932"/>
  <c r="AN8" i="932" s="1"/>
  <c r="O25" i="932"/>
  <c r="N26" i="932"/>
  <c r="AD11" i="932"/>
  <c r="I23" i="52"/>
  <c r="G23" i="52" s="1"/>
  <c r="C23" i="52"/>
  <c r="I21" i="52"/>
  <c r="H21" i="52" s="1"/>
  <c r="I14" i="52"/>
  <c r="E14" i="52" s="1"/>
  <c r="I10" i="52"/>
  <c r="E10" i="52" s="1"/>
  <c r="C8" i="52"/>
  <c r="G21" i="52"/>
  <c r="C16" i="52"/>
  <c r="I20" i="52"/>
  <c r="F20" i="52" s="1"/>
  <c r="D10" i="52"/>
  <c r="F13" i="52"/>
  <c r="E16" i="52"/>
  <c r="E25" i="786"/>
  <c r="K7" i="739"/>
  <c r="M48" i="707"/>
  <c r="P48" i="707" s="1"/>
  <c r="M43" i="705"/>
  <c r="P43" i="705" s="1"/>
  <c r="T43" i="705"/>
  <c r="AC9" i="706"/>
  <c r="AP20" i="346"/>
  <c r="AQ20" i="346"/>
  <c r="M47" i="346"/>
  <c r="H22" i="4"/>
  <c r="F10" i="4"/>
  <c r="P22" i="4"/>
  <c r="Y22" i="4" s="1"/>
  <c r="AN23" i="701"/>
  <c r="O18" i="4"/>
  <c r="T60" i="704"/>
  <c r="M60" i="704"/>
  <c r="P60" i="704" s="1"/>
  <c r="R9" i="4"/>
  <c r="F14" i="4"/>
  <c r="AD19" i="702"/>
  <c r="H90" i="474"/>
  <c r="T27" i="4"/>
  <c r="I77" i="474"/>
  <c r="X22" i="702"/>
  <c r="K88" i="474"/>
  <c r="O16" i="4"/>
  <c r="O18" i="702"/>
  <c r="H66" i="474"/>
  <c r="Z8" i="703"/>
  <c r="M55" i="703"/>
  <c r="P55" i="703" s="1"/>
  <c r="T55" i="703"/>
  <c r="O11" i="4"/>
  <c r="R25" i="4"/>
  <c r="C26" i="701"/>
  <c r="V25" i="346"/>
  <c r="H24" i="701"/>
  <c r="V25" i="702"/>
  <c r="H64" i="701"/>
  <c r="I64" i="701" s="1"/>
  <c r="AA27" i="701"/>
  <c r="Q15" i="4"/>
  <c r="I17" i="4"/>
  <c r="J101" i="474"/>
  <c r="H18" i="702"/>
  <c r="W27" i="346"/>
  <c r="K24" i="346"/>
  <c r="J77" i="474"/>
  <c r="O14" i="702"/>
  <c r="K108" i="474"/>
  <c r="M12" i="4"/>
  <c r="I25" i="4"/>
  <c r="H23" i="4"/>
  <c r="K8" i="702"/>
  <c r="I25" i="702"/>
  <c r="W26" i="701"/>
  <c r="X27" i="702"/>
  <c r="M23" i="702"/>
  <c r="X8" i="702"/>
  <c r="AA18" i="932"/>
  <c r="I26" i="932"/>
  <c r="M50" i="932"/>
  <c r="P50" i="932" s="1"/>
  <c r="F7" i="52"/>
  <c r="H14" i="52"/>
  <c r="Z11" i="706"/>
  <c r="AI17" i="705"/>
  <c r="X11" i="708"/>
  <c r="X15" i="706"/>
  <c r="H63" i="932"/>
  <c r="I63" i="932" s="1"/>
  <c r="AA9" i="707"/>
  <c r="Q10" i="708"/>
  <c r="AJ21" i="705"/>
  <c r="AN21" i="705" s="1"/>
  <c r="C11" i="706"/>
  <c r="AI11" i="706" s="1"/>
  <c r="Z12" i="705"/>
  <c r="AC12" i="706"/>
  <c r="Q25" i="708"/>
  <c r="AI12" i="705"/>
  <c r="T48" i="707"/>
  <c r="Y10" i="707"/>
  <c r="C13" i="708"/>
  <c r="AI13" i="708" s="1"/>
  <c r="AC11" i="707"/>
  <c r="G12" i="708"/>
  <c r="X13" i="708"/>
  <c r="G25" i="708"/>
  <c r="H47" i="707"/>
  <c r="I47" i="707" s="1"/>
  <c r="X10" i="707"/>
  <c r="C25" i="708"/>
  <c r="AD10" i="705"/>
  <c r="S26" i="932"/>
  <c r="P10" i="706"/>
  <c r="AC10" i="706" s="1"/>
  <c r="U10" i="706"/>
  <c r="U22" i="706" s="1"/>
  <c r="H13" i="708"/>
  <c r="H65" i="932"/>
  <c r="I65" i="932" s="1"/>
  <c r="AD12" i="705"/>
  <c r="K10" i="706"/>
  <c r="K20" i="706" s="1"/>
  <c r="H64" i="932"/>
  <c r="I64" i="932" s="1"/>
  <c r="H51" i="706"/>
  <c r="X9" i="708"/>
  <c r="X15" i="708" s="1"/>
  <c r="W9" i="708"/>
  <c r="W16" i="708" s="1"/>
  <c r="R11" i="708"/>
  <c r="U12" i="708"/>
  <c r="U20" i="708" s="1"/>
  <c r="W11" i="708"/>
  <c r="I12" i="708"/>
  <c r="M11" i="708"/>
  <c r="H11" i="706"/>
  <c r="H45" i="706"/>
  <c r="F13" i="708"/>
  <c r="AJ13" i="708" s="1"/>
  <c r="AD11" i="707"/>
  <c r="K23" i="706"/>
  <c r="K31" i="706"/>
  <c r="AN10" i="705"/>
  <c r="Y18" i="706"/>
  <c r="Y31" i="706" s="1"/>
  <c r="U17" i="708"/>
  <c r="S15" i="706"/>
  <c r="S22" i="706" s="1"/>
  <c r="AC14" i="707"/>
  <c r="AC11" i="705"/>
  <c r="H39" i="708"/>
  <c r="I39" i="708" s="1"/>
  <c r="I26" i="708" s="1"/>
  <c r="L12" i="701"/>
  <c r="L29" i="701" s="1"/>
  <c r="F27" i="346"/>
  <c r="AJ27" i="346" s="1"/>
  <c r="AA12" i="701"/>
  <c r="H65" i="346"/>
  <c r="I65" i="346" s="1"/>
  <c r="I23" i="4"/>
  <c r="Q11" i="4"/>
  <c r="H88" i="474"/>
  <c r="H23" i="702"/>
  <c r="N27" i="701"/>
  <c r="J22" i="701"/>
  <c r="U18" i="4"/>
  <c r="L26" i="346"/>
  <c r="N26" i="346" s="1"/>
  <c r="E106" i="474"/>
  <c r="T8" i="701"/>
  <c r="H25" i="346"/>
  <c r="K81" i="474"/>
  <c r="H48" i="703"/>
  <c r="I48" i="703" s="1"/>
  <c r="J26" i="4"/>
  <c r="Z27" i="346"/>
  <c r="I26" i="346"/>
  <c r="O25" i="701"/>
  <c r="U10" i="4"/>
  <c r="H52" i="703"/>
  <c r="I52" i="703" s="1"/>
  <c r="P12" i="4"/>
  <c r="Y12" i="4" s="1"/>
  <c r="C13" i="701"/>
  <c r="AI13" i="701" s="1"/>
  <c r="O24" i="701"/>
  <c r="J20" i="4"/>
  <c r="N26" i="701"/>
  <c r="H20" i="4"/>
  <c r="J97" i="474"/>
  <c r="Q13" i="702"/>
  <c r="AJ8" i="346"/>
  <c r="AO8" i="346" s="1"/>
  <c r="M17" i="4"/>
  <c r="F16" i="4"/>
  <c r="AD14" i="346"/>
  <c r="H71" i="474"/>
  <c r="X13" i="701"/>
  <c r="I23" i="346"/>
  <c r="AJ14" i="703"/>
  <c r="AN14" i="703" s="1"/>
  <c r="T14" i="702"/>
  <c r="AD14" i="702" s="1"/>
  <c r="E70" i="474"/>
  <c r="T12" i="4"/>
  <c r="K106" i="474"/>
  <c r="U8" i="701"/>
  <c r="C18" i="701"/>
  <c r="AI18" i="701" s="1"/>
  <c r="L8" i="4"/>
  <c r="N9" i="4"/>
  <c r="X9" i="4" s="1"/>
  <c r="C22" i="4"/>
  <c r="AO15" i="701"/>
  <c r="AP15" i="701"/>
  <c r="T25" i="346"/>
  <c r="K55" i="474"/>
  <c r="AA18" i="346"/>
  <c r="E67" i="474"/>
  <c r="X12" i="704"/>
  <c r="E77" i="474"/>
  <c r="E109" i="474"/>
  <c r="J19" i="4"/>
  <c r="Y27" i="346"/>
  <c r="AA24" i="701"/>
  <c r="AO19" i="346"/>
  <c r="K17" i="4"/>
  <c r="V16" i="4"/>
  <c r="I13" i="4"/>
  <c r="H82" i="474"/>
  <c r="G24" i="346"/>
  <c r="I9" i="4"/>
  <c r="M9" i="4"/>
  <c r="R27" i="701"/>
  <c r="L12" i="4"/>
  <c r="AA13" i="704"/>
  <c r="G21" i="4"/>
  <c r="H74" i="474"/>
  <c r="G26" i="701"/>
  <c r="N14" i="701"/>
  <c r="K83" i="474"/>
  <c r="R14" i="702"/>
  <c r="H14" i="701"/>
  <c r="P18" i="702"/>
  <c r="Y23" i="702"/>
  <c r="H46" i="703"/>
  <c r="I46" i="703" s="1"/>
  <c r="E81" i="474"/>
  <c r="L24" i="701"/>
  <c r="N24" i="701" s="1"/>
  <c r="J96" i="474"/>
  <c r="O26" i="346"/>
  <c r="M14" i="702"/>
  <c r="T50" i="702"/>
  <c r="M50" i="702"/>
  <c r="P50" i="702" s="1"/>
  <c r="S12" i="4"/>
  <c r="H75" i="474"/>
  <c r="J26" i="346"/>
  <c r="W12" i="702"/>
  <c r="I103" i="474"/>
  <c r="H51" i="702"/>
  <c r="I51" i="702" s="1"/>
  <c r="I18" i="702"/>
  <c r="E82" i="474"/>
  <c r="I90" i="474"/>
  <c r="K109" i="474"/>
  <c r="Z14" i="703"/>
  <c r="X11" i="704"/>
  <c r="X12" i="703"/>
  <c r="H59" i="703"/>
  <c r="I59" i="703" s="1"/>
  <c r="J24" i="701"/>
  <c r="R24" i="701"/>
  <c r="Y22" i="346"/>
  <c r="N27" i="4"/>
  <c r="X27" i="4" s="1"/>
  <c r="M25" i="702"/>
  <c r="T13" i="701"/>
  <c r="AD13" i="701" s="1"/>
  <c r="Y8" i="704"/>
  <c r="C27" i="702"/>
  <c r="G23" i="4"/>
  <c r="W18" i="702"/>
  <c r="J25" i="346"/>
  <c r="R23" i="701"/>
  <c r="Z14" i="346"/>
  <c r="J26" i="701"/>
  <c r="T34" i="4"/>
  <c r="E105" i="474"/>
  <c r="AC9" i="346"/>
  <c r="H64" i="704"/>
  <c r="I64" i="704" s="1"/>
  <c r="H57" i="701"/>
  <c r="I57" i="701" s="1"/>
  <c r="T11" i="4"/>
  <c r="O15" i="4"/>
  <c r="O14" i="701"/>
  <c r="L27" i="702"/>
  <c r="N27" i="702" s="1"/>
  <c r="Y8" i="701"/>
  <c r="G27" i="4"/>
  <c r="AC15" i="346"/>
  <c r="N10" i="4"/>
  <c r="G14" i="4"/>
  <c r="C14" i="701"/>
  <c r="AI14" i="701" s="1"/>
  <c r="V27" i="346"/>
  <c r="F21" i="4"/>
  <c r="G11" i="4"/>
  <c r="J82" i="474"/>
  <c r="K27" i="701"/>
  <c r="K87" i="474"/>
  <c r="R26" i="702"/>
  <c r="Z11" i="704"/>
  <c r="H62" i="704"/>
  <c r="I62" i="704" s="1"/>
  <c r="AC20" i="346"/>
  <c r="J90" i="474"/>
  <c r="T50" i="346"/>
  <c r="M50" i="346"/>
  <c r="P50" i="346" s="1"/>
  <c r="L13" i="4"/>
  <c r="S27" i="4"/>
  <c r="J26" i="702"/>
  <c r="M24" i="4"/>
  <c r="I100" i="474"/>
  <c r="AI8" i="346"/>
  <c r="I12" i="4"/>
  <c r="V27" i="4"/>
  <c r="M45" i="703"/>
  <c r="P45" i="703" s="1"/>
  <c r="T45" i="703"/>
  <c r="H24" i="346"/>
  <c r="U12" i="702"/>
  <c r="G20" i="4"/>
  <c r="C12" i="4"/>
  <c r="T8" i="702"/>
  <c r="R26" i="701"/>
  <c r="AJ11" i="704"/>
  <c r="J58" i="474"/>
  <c r="AD17" i="704"/>
  <c r="I23" i="701"/>
  <c r="AA23" i="702"/>
  <c r="E63" i="474"/>
  <c r="M56" i="701"/>
  <c r="P56" i="701" s="1"/>
  <c r="T56" i="701"/>
  <c r="H60" i="703"/>
  <c r="I60" i="703" s="1"/>
  <c r="J89" i="474"/>
  <c r="P25" i="702"/>
  <c r="T12" i="701"/>
  <c r="H72" i="474"/>
  <c r="AA23" i="701"/>
  <c r="AI13" i="346"/>
  <c r="K12" i="702"/>
  <c r="I104" i="474"/>
  <c r="U24" i="4"/>
  <c r="H51" i="704"/>
  <c r="I51" i="704" s="1"/>
  <c r="AJ18" i="932"/>
  <c r="AN18" i="932" s="1"/>
  <c r="T25" i="932"/>
  <c r="C24" i="932"/>
  <c r="X8" i="932"/>
  <c r="N23" i="932"/>
  <c r="M62" i="932" s="1"/>
  <c r="P62" i="932" s="1"/>
  <c r="Z23" i="932"/>
  <c r="X22" i="932"/>
  <c r="AA22" i="932"/>
  <c r="Z14" i="932"/>
  <c r="F23" i="932"/>
  <c r="AJ23" i="932" s="1"/>
  <c r="AN23" i="932" s="1"/>
  <c r="Z12" i="932"/>
  <c r="V26" i="932"/>
  <c r="AC21" i="932"/>
  <c r="X12" i="932"/>
  <c r="K12" i="739"/>
  <c r="F22" i="52"/>
  <c r="E8" i="52"/>
  <c r="G25" i="52"/>
  <c r="D7" i="52"/>
  <c r="I9" i="52"/>
  <c r="C25" i="52"/>
  <c r="C24" i="52"/>
  <c r="C13" i="52"/>
  <c r="G29" i="52"/>
  <c r="H20" i="52"/>
  <c r="C19" i="52"/>
  <c r="I13" i="52"/>
  <c r="D13" i="52" s="1"/>
  <c r="J13" i="52" s="1"/>
  <c r="F17" i="52"/>
  <c r="G13" i="52"/>
  <c r="AJ335" i="2"/>
  <c r="AL335" i="2" s="1"/>
  <c r="AO335" i="2" s="1"/>
  <c r="AX335" i="2" s="1"/>
  <c r="H25" i="4"/>
  <c r="N22" i="4"/>
  <c r="X22" i="4" s="1"/>
  <c r="AP19" i="346"/>
  <c r="AQ19" i="346"/>
  <c r="Z29" i="702"/>
  <c r="C20" i="4"/>
  <c r="R24" i="4"/>
  <c r="O19" i="4"/>
  <c r="K71" i="474"/>
  <c r="H52" i="702"/>
  <c r="I52" i="702" s="1"/>
  <c r="G8" i="701"/>
  <c r="V8" i="702"/>
  <c r="Q14" i="4"/>
  <c r="J24" i="702"/>
  <c r="I91" i="474"/>
  <c r="U23" i="701"/>
  <c r="F24" i="702"/>
  <c r="AJ24" i="702" s="1"/>
  <c r="AN24" i="702" s="1"/>
  <c r="L14" i="702"/>
  <c r="K62" i="474"/>
  <c r="Y24" i="702"/>
  <c r="H67" i="474"/>
  <c r="W24" i="346"/>
  <c r="N8" i="4"/>
  <c r="G12" i="701"/>
  <c r="H27" i="701"/>
  <c r="M43" i="703"/>
  <c r="P43" i="703" s="1"/>
  <c r="T43" i="703"/>
  <c r="W43" i="703" s="1"/>
  <c r="AA43" i="703" s="1"/>
  <c r="J104" i="474"/>
  <c r="E83" i="474"/>
  <c r="Y11" i="704"/>
  <c r="P14" i="701"/>
  <c r="Q24" i="701"/>
  <c r="Q25" i="4"/>
  <c r="R22" i="701"/>
  <c r="E84" i="474"/>
  <c r="K22" i="701"/>
  <c r="M18" i="702"/>
  <c r="E61" i="474"/>
  <c r="H58" i="474"/>
  <c r="C26" i="932"/>
  <c r="O26" i="932"/>
  <c r="AO412" i="2"/>
  <c r="AX412" i="2" s="1"/>
  <c r="D12" i="52"/>
  <c r="I29" i="52"/>
  <c r="D29" i="52" s="1"/>
  <c r="J12" i="708"/>
  <c r="T53" i="705"/>
  <c r="M53" i="705"/>
  <c r="P53" i="705" s="1"/>
  <c r="T12" i="708"/>
  <c r="W23" i="706"/>
  <c r="W20" i="706"/>
  <c r="W22" i="706"/>
  <c r="W21" i="706"/>
  <c r="AD14" i="706"/>
  <c r="X18" i="706"/>
  <c r="AD8" i="708"/>
  <c r="T13" i="708"/>
  <c r="AD13" i="708" s="1"/>
  <c r="S23" i="932"/>
  <c r="X10" i="706"/>
  <c r="X21" i="706" s="1"/>
  <c r="X26" i="706" s="1"/>
  <c r="N11" i="708"/>
  <c r="S9" i="708"/>
  <c r="M44" i="705"/>
  <c r="P44" i="705" s="1"/>
  <c r="T44" i="705"/>
  <c r="AN8" i="706"/>
  <c r="H53" i="932"/>
  <c r="I53" i="932" s="1"/>
  <c r="X12" i="705"/>
  <c r="X23" i="705" s="1"/>
  <c r="X28" i="705" s="1"/>
  <c r="U10" i="708"/>
  <c r="U18" i="708" s="1"/>
  <c r="M10" i="708"/>
  <c r="M15" i="708" s="1"/>
  <c r="T10" i="708"/>
  <c r="AD10" i="708" s="1"/>
  <c r="Z15" i="706"/>
  <c r="AN14" i="706"/>
  <c r="H41" i="706"/>
  <c r="Y11" i="708"/>
  <c r="W12" i="708"/>
  <c r="T36" i="708"/>
  <c r="M36" i="708"/>
  <c r="H26" i="932"/>
  <c r="AD9" i="706"/>
  <c r="C12" i="708"/>
  <c r="AI12" i="708" s="1"/>
  <c r="X10" i="708"/>
  <c r="AC9" i="707"/>
  <c r="H56" i="932"/>
  <c r="I56" i="932" s="1"/>
  <c r="F11" i="706"/>
  <c r="AJ11" i="706" s="1"/>
  <c r="AN11" i="706" s="1"/>
  <c r="Y10" i="706"/>
  <c r="N15" i="706"/>
  <c r="C11" i="708"/>
  <c r="AI11" i="708" s="1"/>
  <c r="S24" i="932"/>
  <c r="Z8" i="707"/>
  <c r="X13" i="705"/>
  <c r="J15" i="706"/>
  <c r="S18" i="706"/>
  <c r="J24" i="932"/>
  <c r="J26" i="932"/>
  <c r="AJ13" i="705"/>
  <c r="AN13" i="705" s="1"/>
  <c r="H40" i="706"/>
  <c r="I31" i="706" s="1"/>
  <c r="AA12" i="705"/>
  <c r="AA24" i="705" s="1"/>
  <c r="AP18" i="705"/>
  <c r="AO18" i="705"/>
  <c r="AC20" i="705"/>
  <c r="X15" i="707"/>
  <c r="N25" i="708"/>
  <c r="O11" i="708"/>
  <c r="O18" i="708" s="1"/>
  <c r="L11" i="706"/>
  <c r="O18" i="706"/>
  <c r="H25" i="708"/>
  <c r="AP16" i="705"/>
  <c r="AO16" i="705"/>
  <c r="H52" i="932"/>
  <c r="I52" i="932" s="1"/>
  <c r="H54" i="932"/>
  <c r="I54" i="932" s="1"/>
  <c r="Z10" i="708"/>
  <c r="Z15" i="708" s="1"/>
  <c r="R13" i="708"/>
  <c r="Q13" i="708"/>
  <c r="R26" i="932"/>
  <c r="R10" i="706"/>
  <c r="R20" i="706" s="1"/>
  <c r="Y12" i="708"/>
  <c r="Z15" i="707"/>
  <c r="H48" i="706"/>
  <c r="C14" i="4"/>
  <c r="J18" i="701"/>
  <c r="V13" i="702"/>
  <c r="E101" i="474"/>
  <c r="H65" i="701"/>
  <c r="I65" i="701" s="1"/>
  <c r="S25" i="702"/>
  <c r="T17" i="4"/>
  <c r="AA23" i="346"/>
  <c r="X14" i="702"/>
  <c r="M10" i="4"/>
  <c r="Y22" i="701"/>
  <c r="C25" i="701"/>
  <c r="N22" i="701"/>
  <c r="M55" i="701"/>
  <c r="P55" i="701" s="1"/>
  <c r="T55" i="701"/>
  <c r="K73" i="474"/>
  <c r="M24" i="701"/>
  <c r="M56" i="346"/>
  <c r="P56" i="346" s="1"/>
  <c r="T56" i="346"/>
  <c r="W56" i="346" s="1"/>
  <c r="AA56" i="346" s="1"/>
  <c r="AB56" i="346" s="1"/>
  <c r="L8" i="702"/>
  <c r="J70" i="474"/>
  <c r="AA18" i="704"/>
  <c r="O26" i="4"/>
  <c r="O24" i="4"/>
  <c r="H26" i="702"/>
  <c r="J15" i="4"/>
  <c r="H87" i="474"/>
  <c r="K68" i="474"/>
  <c r="K20" i="4"/>
  <c r="P27" i="701"/>
  <c r="I97" i="474"/>
  <c r="I18" i="701"/>
  <c r="S21" i="4"/>
  <c r="T26" i="702"/>
  <c r="I26" i="4"/>
  <c r="M26" i="702"/>
  <c r="M27" i="4"/>
  <c r="H76" i="474"/>
  <c r="AJ13" i="703"/>
  <c r="AN13" i="703" s="1"/>
  <c r="V34" i="4"/>
  <c r="K66" i="474"/>
  <c r="S27" i="346"/>
  <c r="U27" i="346" s="1"/>
  <c r="AC17" i="704"/>
  <c r="J59" i="474"/>
  <c r="P26" i="346"/>
  <c r="AI18" i="346"/>
  <c r="O23" i="701"/>
  <c r="H78" i="474"/>
  <c r="Z12" i="702"/>
  <c r="Z30" i="702" s="1"/>
  <c r="Y12" i="704"/>
  <c r="O26" i="701"/>
  <c r="Z13" i="704"/>
  <c r="H24" i="4"/>
  <c r="AC19" i="704"/>
  <c r="T22" i="701"/>
  <c r="K14" i="4"/>
  <c r="U34" i="4"/>
  <c r="H26" i="346"/>
  <c r="J9" i="4"/>
  <c r="U15" i="4"/>
  <c r="AD19" i="346"/>
  <c r="Q23" i="702"/>
  <c r="U23" i="4"/>
  <c r="Y26" i="346"/>
  <c r="J23" i="702"/>
  <c r="AP9" i="701"/>
  <c r="AO9" i="701"/>
  <c r="N25" i="346"/>
  <c r="G14" i="702"/>
  <c r="F25" i="702"/>
  <c r="AJ25" i="702" s="1"/>
  <c r="Z18" i="346"/>
  <c r="C9" i="4"/>
  <c r="P20" i="4"/>
  <c r="Y20" i="4" s="1"/>
  <c r="AQ16" i="346"/>
  <c r="AP16" i="346"/>
  <c r="Q34" i="4"/>
  <c r="I78" i="474"/>
  <c r="AC10" i="704"/>
  <c r="M24" i="702"/>
  <c r="C8" i="701"/>
  <c r="AI8" i="701" s="1"/>
  <c r="T25" i="702"/>
  <c r="O13" i="702"/>
  <c r="Z23" i="346"/>
  <c r="H10" i="4"/>
  <c r="H42" i="703"/>
  <c r="I42" i="703" s="1"/>
  <c r="L26" i="4"/>
  <c r="AD21" i="702"/>
  <c r="V26" i="346"/>
  <c r="F25" i="4"/>
  <c r="V25" i="4"/>
  <c r="AA26" i="346"/>
  <c r="J73" i="474"/>
  <c r="N14" i="4"/>
  <c r="X14" i="4" s="1"/>
  <c r="Q12" i="4"/>
  <c r="T14" i="4"/>
  <c r="AI18" i="703"/>
  <c r="L21" i="4"/>
  <c r="I68" i="474"/>
  <c r="T22" i="4"/>
  <c r="R20" i="4"/>
  <c r="F24" i="701"/>
  <c r="AJ24" i="701" s="1"/>
  <c r="AN24" i="701" s="1"/>
  <c r="X13" i="703"/>
  <c r="AO11" i="346"/>
  <c r="U19" i="4"/>
  <c r="S23" i="702"/>
  <c r="B33" i="881"/>
  <c r="B49" i="881" s="1"/>
  <c r="T18" i="702"/>
  <c r="H101" i="474"/>
  <c r="AA24" i="702"/>
  <c r="I96" i="474"/>
  <c r="I107" i="474"/>
  <c r="H97" i="474"/>
  <c r="H57" i="703"/>
  <c r="I57" i="703" s="1"/>
  <c r="M27" i="702"/>
  <c r="J85" i="474"/>
  <c r="C19" i="4"/>
  <c r="M18" i="701"/>
  <c r="F22" i="4"/>
  <c r="E87" i="474"/>
  <c r="I14" i="701"/>
  <c r="V23" i="701"/>
  <c r="T58" i="346"/>
  <c r="M58" i="346"/>
  <c r="P58" i="346" s="1"/>
  <c r="S12" i="702"/>
  <c r="G25" i="346"/>
  <c r="AC10" i="701"/>
  <c r="V27" i="702"/>
  <c r="H17" i="4"/>
  <c r="L22" i="701"/>
  <c r="J74" i="474"/>
  <c r="M23" i="346"/>
  <c r="L14" i="4"/>
  <c r="C13" i="4"/>
  <c r="AO21" i="701"/>
  <c r="AP21" i="701"/>
  <c r="I8" i="701"/>
  <c r="Y26" i="702"/>
  <c r="Y29" i="702" s="1"/>
  <c r="Y34" i="702" s="1"/>
  <c r="P12" i="702"/>
  <c r="AC12" i="702" s="1"/>
  <c r="AA22" i="702"/>
  <c r="AA8" i="346"/>
  <c r="V14" i="702"/>
  <c r="W12" i="701"/>
  <c r="AC12" i="701" s="1"/>
  <c r="J95" i="474"/>
  <c r="H52" i="346"/>
  <c r="I52" i="346" s="1"/>
  <c r="Y24" i="346"/>
  <c r="AN16" i="701"/>
  <c r="X14" i="346"/>
  <c r="M25" i="4"/>
  <c r="O23" i="346"/>
  <c r="G22" i="4"/>
  <c r="L24" i="346"/>
  <c r="N24" i="346" s="1"/>
  <c r="K69" i="474"/>
  <c r="H14" i="4"/>
  <c r="Y14" i="702"/>
  <c r="AC10" i="702"/>
  <c r="H59" i="474"/>
  <c r="L18" i="4"/>
  <c r="N18" i="4"/>
  <c r="AI18" i="704"/>
  <c r="AA12" i="702"/>
  <c r="L18" i="702"/>
  <c r="E64" i="474"/>
  <c r="I22" i="701"/>
  <c r="AQ15" i="346"/>
  <c r="AP15" i="346"/>
  <c r="I59" i="474"/>
  <c r="K13" i="702"/>
  <c r="E99" i="474"/>
  <c r="H47" i="702"/>
  <c r="I47" i="702" s="1"/>
  <c r="H65" i="704"/>
  <c r="I65" i="704" s="1"/>
  <c r="U13" i="702"/>
  <c r="M13" i="702"/>
  <c r="K11" i="4"/>
  <c r="L15" i="4"/>
  <c r="S26" i="346"/>
  <c r="U26" i="346" s="1"/>
  <c r="Y25" i="701"/>
  <c r="G27" i="346"/>
  <c r="S13" i="4"/>
  <c r="I64" i="474"/>
  <c r="I70" i="474"/>
  <c r="L24" i="4"/>
  <c r="H94" i="474"/>
  <c r="K8" i="701"/>
  <c r="Z8" i="704"/>
  <c r="AD9" i="704"/>
  <c r="H23" i="701"/>
  <c r="M22" i="702"/>
  <c r="F26" i="346"/>
  <c r="AJ26" i="346" s="1"/>
  <c r="AO26" i="346" s="1"/>
  <c r="Z8" i="701"/>
  <c r="G25" i="702"/>
  <c r="Y26" i="701"/>
  <c r="K97" i="474"/>
  <c r="R12" i="702"/>
  <c r="X25" i="701"/>
  <c r="AI8" i="704"/>
  <c r="AI12" i="704"/>
  <c r="Y8" i="703"/>
  <c r="M50" i="701"/>
  <c r="P50" i="701" s="1"/>
  <c r="T50" i="701"/>
  <c r="W50" i="701" s="1"/>
  <c r="AA50" i="701" s="1"/>
  <c r="S26" i="4"/>
  <c r="M27" i="346"/>
  <c r="H63" i="702"/>
  <c r="I63" i="702" s="1"/>
  <c r="T26" i="701"/>
  <c r="H102" i="474"/>
  <c r="H98" i="474"/>
  <c r="N13" i="701"/>
  <c r="K34" i="4"/>
  <c r="M14" i="701"/>
  <c r="G25" i="701"/>
  <c r="C23" i="702"/>
  <c r="Z14" i="701"/>
  <c r="K75" i="474"/>
  <c r="AA13" i="702"/>
  <c r="M48" i="701"/>
  <c r="P48" i="701" s="1"/>
  <c r="T48" i="701"/>
  <c r="H58" i="703"/>
  <c r="I58" i="703" s="1"/>
  <c r="M23" i="932"/>
  <c r="Z26" i="932"/>
  <c r="O24" i="932"/>
  <c r="X14" i="932"/>
  <c r="AI18" i="932"/>
  <c r="O23" i="932"/>
  <c r="M26" i="932"/>
  <c r="AJ13" i="932"/>
  <c r="AN13" i="932" s="1"/>
  <c r="AO291" i="2"/>
  <c r="AX291" i="2" s="1"/>
  <c r="E13" i="52"/>
  <c r="F10" i="52"/>
  <c r="D21" i="52"/>
  <c r="D23" i="52"/>
  <c r="E6" i="52"/>
  <c r="D17" i="52"/>
  <c r="E17" i="52"/>
  <c r="C20" i="52"/>
  <c r="H10" i="52"/>
  <c r="H12" i="52"/>
  <c r="I18" i="52"/>
  <c r="E18" i="52" s="1"/>
  <c r="F16" i="52"/>
  <c r="I24" i="52"/>
  <c r="D24" i="52" s="1"/>
  <c r="AO307" i="2"/>
  <c r="AX307" i="2" s="1"/>
  <c r="M42" i="705"/>
  <c r="P42" i="705" s="1"/>
  <c r="T42" i="705"/>
  <c r="Y21" i="706"/>
  <c r="Y26" i="706" s="1"/>
  <c r="Y23" i="706"/>
  <c r="Y28" i="706" s="1"/>
  <c r="Y20" i="706"/>
  <c r="Y25" i="706" s="1"/>
  <c r="Y22" i="706"/>
  <c r="Y27" i="706" s="1"/>
  <c r="AO14" i="705"/>
  <c r="N34" i="4"/>
  <c r="T15" i="4"/>
  <c r="U13" i="4"/>
  <c r="T24" i="4"/>
  <c r="M54" i="346"/>
  <c r="P54" i="346" s="1"/>
  <c r="T54" i="346"/>
  <c r="T54" i="702"/>
  <c r="W54" i="702" s="1"/>
  <c r="AA54" i="702" s="1"/>
  <c r="M54" i="702"/>
  <c r="P54" i="702" s="1"/>
  <c r="F11" i="4"/>
  <c r="J10" i="4"/>
  <c r="U16" i="4"/>
  <c r="T58" i="702"/>
  <c r="M58" i="702"/>
  <c r="P58" i="702" s="1"/>
  <c r="O12" i="4"/>
  <c r="I18" i="4"/>
  <c r="T61" i="702"/>
  <c r="M61" i="702"/>
  <c r="P61" i="702" s="1"/>
  <c r="W25" i="932"/>
  <c r="AO19" i="705"/>
  <c r="AP19" i="705"/>
  <c r="S12" i="708"/>
  <c r="H61" i="932"/>
  <c r="I61" i="932" s="1"/>
  <c r="T11" i="708"/>
  <c r="AD11" i="708" s="1"/>
  <c r="AN13" i="706"/>
  <c r="R24" i="932"/>
  <c r="L10" i="706"/>
  <c r="L23" i="706" s="1"/>
  <c r="AN9" i="706"/>
  <c r="L9" i="708"/>
  <c r="L17" i="708" s="1"/>
  <c r="M42" i="707"/>
  <c r="P42" i="707" s="1"/>
  <c r="T42" i="707"/>
  <c r="AP20" i="705"/>
  <c r="AO20" i="705"/>
  <c r="R11" i="706"/>
  <c r="P15" i="706"/>
  <c r="AC15" i="706" s="1"/>
  <c r="O11" i="706"/>
  <c r="O21" i="706" s="1"/>
  <c r="J10" i="708"/>
  <c r="J18" i="708" s="1"/>
  <c r="K13" i="708"/>
  <c r="K10" i="708"/>
  <c r="M43" i="707"/>
  <c r="P43" i="707" s="1"/>
  <c r="T43" i="707"/>
  <c r="J23" i="932"/>
  <c r="J25" i="708"/>
  <c r="G10" i="706"/>
  <c r="L26" i="932"/>
  <c r="M13" i="708"/>
  <c r="S10" i="708"/>
  <c r="S16" i="708" s="1"/>
  <c r="AD20" i="705"/>
  <c r="AJ10" i="707"/>
  <c r="AN10" i="707" s="1"/>
  <c r="V21" i="706"/>
  <c r="N18" i="706"/>
  <c r="N27" i="706" s="1"/>
  <c r="F11" i="708"/>
  <c r="AJ11" i="708" s="1"/>
  <c r="AN11" i="708" s="1"/>
  <c r="K25" i="932"/>
  <c r="H46" i="708"/>
  <c r="I46" i="708" s="1"/>
  <c r="J11" i="708"/>
  <c r="AA13" i="705"/>
  <c r="F12" i="708"/>
  <c r="AJ12" i="708" s="1"/>
  <c r="AN12" i="708" s="1"/>
  <c r="AD9" i="707"/>
  <c r="P18" i="706"/>
  <c r="AC18" i="706" s="1"/>
  <c r="AC14" i="706"/>
  <c r="H35" i="707"/>
  <c r="I35" i="707" s="1"/>
  <c r="AI8" i="705"/>
  <c r="S11" i="708"/>
  <c r="S18" i="708" s="1"/>
  <c r="Q9" i="708"/>
  <c r="Q15" i="708" s="1"/>
  <c r="Z10" i="707"/>
  <c r="L10" i="708"/>
  <c r="I8" i="4"/>
  <c r="I16" i="4"/>
  <c r="J65" i="474"/>
  <c r="H63" i="701"/>
  <c r="I63" i="701" s="1"/>
  <c r="S18" i="702"/>
  <c r="U18" i="702" s="1"/>
  <c r="T57" i="702" s="1"/>
  <c r="W57" i="702" s="1"/>
  <c r="AA57" i="702" s="1"/>
  <c r="G13" i="4"/>
  <c r="Q24" i="4"/>
  <c r="G25" i="4"/>
  <c r="M23" i="4"/>
  <c r="M25" i="346"/>
  <c r="V18" i="702"/>
  <c r="AA8" i="701"/>
  <c r="N26" i="702"/>
  <c r="AC11" i="346"/>
  <c r="K93" i="474"/>
  <c r="L27" i="346"/>
  <c r="N27" i="346" s="1"/>
  <c r="E86" i="474"/>
  <c r="F22" i="701"/>
  <c r="AJ22" i="701" s="1"/>
  <c r="AN22" i="701" s="1"/>
  <c r="P22" i="701"/>
  <c r="V24" i="4"/>
  <c r="I76" i="474"/>
  <c r="J14" i="4"/>
  <c r="Y25" i="346"/>
  <c r="X25" i="346"/>
  <c r="I106" i="474"/>
  <c r="AO20" i="701"/>
  <c r="AP20" i="701"/>
  <c r="T9" i="4"/>
  <c r="G8" i="4"/>
  <c r="X12" i="346"/>
  <c r="W25" i="702"/>
  <c r="S24" i="346"/>
  <c r="U24" i="346" s="1"/>
  <c r="V13" i="701"/>
  <c r="Y23" i="346"/>
  <c r="N23" i="701"/>
  <c r="Q27" i="4"/>
  <c r="F8" i="4"/>
  <c r="AN9" i="701"/>
  <c r="J63" i="474"/>
  <c r="F9" i="4"/>
  <c r="P25" i="701"/>
  <c r="M8" i="4"/>
  <c r="R25" i="346"/>
  <c r="T13" i="4"/>
  <c r="F34" i="4"/>
  <c r="E104" i="474"/>
  <c r="I14" i="4"/>
  <c r="C23" i="346"/>
  <c r="AI14" i="703"/>
  <c r="Q18" i="701"/>
  <c r="O8" i="702"/>
  <c r="H24" i="702"/>
  <c r="K18" i="701"/>
  <c r="K14" i="701"/>
  <c r="I55" i="474"/>
  <c r="AD10" i="704"/>
  <c r="AC20" i="703"/>
  <c r="S23" i="346"/>
  <c r="J8" i="4"/>
  <c r="AI13" i="704"/>
  <c r="E76" i="474"/>
  <c r="Y18" i="703"/>
  <c r="K59" i="474"/>
  <c r="H65" i="702"/>
  <c r="I65" i="702" s="1"/>
  <c r="I27" i="346"/>
  <c r="G19" i="4"/>
  <c r="S25" i="346"/>
  <c r="U25" i="346" s="1"/>
  <c r="J27" i="346"/>
  <c r="U25" i="4"/>
  <c r="H27" i="4"/>
  <c r="Z25" i="702"/>
  <c r="C25" i="702"/>
  <c r="K26" i="4"/>
  <c r="I72" i="474"/>
  <c r="AQ17" i="346"/>
  <c r="AP17" i="346"/>
  <c r="X26" i="702"/>
  <c r="K24" i="702"/>
  <c r="O22" i="701"/>
  <c r="J78" i="474"/>
  <c r="J60" i="474"/>
  <c r="C26" i="702"/>
  <c r="R21" i="4"/>
  <c r="U22" i="701"/>
  <c r="I63" i="715"/>
  <c r="AO10" i="346"/>
  <c r="K72" i="474"/>
  <c r="X18" i="346"/>
  <c r="J22" i="702"/>
  <c r="H53" i="701"/>
  <c r="I53" i="701" s="1"/>
  <c r="E103" i="474"/>
  <c r="J12" i="701"/>
  <c r="G26" i="702"/>
  <c r="H51" i="701"/>
  <c r="I51" i="701" s="1"/>
  <c r="M56" i="704"/>
  <c r="P56" i="704" s="1"/>
  <c r="T56" i="704"/>
  <c r="J22" i="4"/>
  <c r="O9" i="4"/>
  <c r="I22" i="4"/>
  <c r="C27" i="4"/>
  <c r="Y25" i="702"/>
  <c r="Q14" i="702"/>
  <c r="I62" i="474"/>
  <c r="M22" i="4"/>
  <c r="R23" i="702"/>
  <c r="Y13" i="704"/>
  <c r="R13" i="702"/>
  <c r="K74" i="474"/>
  <c r="T10" i="4"/>
  <c r="AA26" i="702"/>
  <c r="AC9" i="701"/>
  <c r="O12" i="701"/>
  <c r="O30" i="701" s="1"/>
  <c r="J14" i="702"/>
  <c r="E68" i="474"/>
  <c r="W8" i="702"/>
  <c r="Y22" i="702"/>
  <c r="AJ12" i="704"/>
  <c r="AN12" i="704" s="1"/>
  <c r="Q20" i="4"/>
  <c r="F19" i="4"/>
  <c r="E74" i="474"/>
  <c r="P25" i="346"/>
  <c r="I10" i="4"/>
  <c r="T56" i="702"/>
  <c r="W56" i="702" s="1"/>
  <c r="AA56" i="702" s="1"/>
  <c r="M56" i="702"/>
  <c r="P56" i="702" s="1"/>
  <c r="J12" i="702"/>
  <c r="AP10" i="701"/>
  <c r="AO10" i="701"/>
  <c r="C26" i="346"/>
  <c r="P26" i="701"/>
  <c r="Z24" i="346"/>
  <c r="P9" i="4"/>
  <c r="Y9" i="4" s="1"/>
  <c r="S25" i="701"/>
  <c r="U25" i="701" s="1"/>
  <c r="AC10" i="346"/>
  <c r="E102" i="474"/>
  <c r="V22" i="701"/>
  <c r="M12" i="702"/>
  <c r="K78" i="474"/>
  <c r="I57" i="474"/>
  <c r="H62" i="474"/>
  <c r="N18" i="702"/>
  <c r="M57" i="702" s="1"/>
  <c r="P57" i="702" s="1"/>
  <c r="C12" i="701"/>
  <c r="AI12" i="701" s="1"/>
  <c r="AC16" i="704"/>
  <c r="M51" i="703"/>
  <c r="P51" i="703" s="1"/>
  <c r="T51" i="703"/>
  <c r="H56" i="703"/>
  <c r="I56" i="703" s="1"/>
  <c r="AP11" i="346"/>
  <c r="AQ11" i="346"/>
  <c r="J13" i="702"/>
  <c r="M25" i="701"/>
  <c r="V14" i="701"/>
  <c r="O27" i="346"/>
  <c r="J94" i="474"/>
  <c r="J103" i="474"/>
  <c r="T27" i="701"/>
  <c r="T48" i="702"/>
  <c r="M48" i="702"/>
  <c r="P48" i="702" s="1"/>
  <c r="H57" i="704"/>
  <c r="I57" i="704" s="1"/>
  <c r="F26" i="701"/>
  <c r="AJ26" i="701" s="1"/>
  <c r="J86" i="474"/>
  <c r="AN21" i="701"/>
  <c r="W26" i="702"/>
  <c r="AN26" i="702" s="1"/>
  <c r="H81" i="474"/>
  <c r="G13" i="702"/>
  <c r="H53" i="346"/>
  <c r="I53" i="346" s="1"/>
  <c r="R34" i="4"/>
  <c r="K24" i="4"/>
  <c r="G18" i="4"/>
  <c r="G12" i="702"/>
  <c r="C14" i="702"/>
  <c r="AI14" i="702" s="1"/>
  <c r="AP21" i="346"/>
  <c r="AQ21" i="346"/>
  <c r="I85" i="474"/>
  <c r="H69" i="474"/>
  <c r="Q18" i="4"/>
  <c r="K80" i="474"/>
  <c r="K15" i="4"/>
  <c r="X13" i="702"/>
  <c r="F20" i="4"/>
  <c r="F23" i="4"/>
  <c r="J18" i="4"/>
  <c r="O27" i="701"/>
  <c r="I73" i="474"/>
  <c r="F12" i="701"/>
  <c r="AJ12" i="701" s="1"/>
  <c r="AN12" i="701" s="1"/>
  <c r="AC21" i="702"/>
  <c r="O23" i="702"/>
  <c r="P18" i="4"/>
  <c r="K26" i="702"/>
  <c r="R13" i="701"/>
  <c r="F14" i="701"/>
  <c r="AJ14" i="701" s="1"/>
  <c r="AN14" i="701" s="1"/>
  <c r="I74" i="474"/>
  <c r="I13" i="702"/>
  <c r="M58" i="704"/>
  <c r="P58" i="704" s="1"/>
  <c r="T58" i="704"/>
  <c r="AC20" i="704"/>
  <c r="H24" i="474"/>
  <c r="H83" i="474"/>
  <c r="AD16" i="702"/>
  <c r="L13" i="701"/>
  <c r="K76" i="474"/>
  <c r="J56" i="474"/>
  <c r="H84" i="474"/>
  <c r="F22" i="702"/>
  <c r="AJ22" i="702" s="1"/>
  <c r="AN22" i="702" s="1"/>
  <c r="T49" i="702"/>
  <c r="W49" i="702" s="1"/>
  <c r="AA49" i="702" s="1"/>
  <c r="M49" i="702"/>
  <c r="P49" i="702" s="1"/>
  <c r="C15" i="4"/>
  <c r="AI13" i="932"/>
  <c r="M25" i="932"/>
  <c r="T26" i="932"/>
  <c r="AD26" i="932" s="1"/>
  <c r="AI14" i="932"/>
  <c r="Z24" i="932"/>
  <c r="V25" i="932"/>
  <c r="V23" i="932"/>
  <c r="C23" i="932"/>
  <c r="I23" i="932"/>
  <c r="N24" i="932"/>
  <c r="F25" i="932"/>
  <c r="AJ25" i="932" s="1"/>
  <c r="Y18" i="932"/>
  <c r="AD19" i="932"/>
  <c r="I24" i="932"/>
  <c r="AA23" i="932"/>
  <c r="Z13" i="932"/>
  <c r="E24" i="52"/>
  <c r="C10" i="52"/>
  <c r="I11" i="52"/>
  <c r="E11" i="52" s="1"/>
  <c r="F21" i="52"/>
  <c r="I6" i="52"/>
  <c r="G6" i="52" s="1"/>
  <c r="F6" i="52"/>
  <c r="I8" i="52"/>
  <c r="F8" i="52" s="1"/>
  <c r="D14" i="52"/>
  <c r="F14" i="52"/>
  <c r="H25" i="52"/>
  <c r="G19" i="52"/>
  <c r="E12" i="52"/>
  <c r="D16" i="52"/>
  <c r="J16" i="52" s="1"/>
  <c r="E21" i="52"/>
  <c r="I15" i="52"/>
  <c r="F15" i="52" s="1"/>
  <c r="AO305" i="2"/>
  <c r="AX305" i="2" s="1"/>
  <c r="AC12" i="705"/>
  <c r="AD18" i="706"/>
  <c r="AC8" i="708"/>
  <c r="T37" i="708"/>
  <c r="W37" i="708" s="1"/>
  <c r="M37" i="708"/>
  <c r="P37" i="708" s="1"/>
  <c r="N15" i="4"/>
  <c r="X15" i="4" s="1"/>
  <c r="F24" i="4"/>
  <c r="T21" i="4"/>
  <c r="K16" i="4"/>
  <c r="Y31" i="702"/>
  <c r="Y36" i="702" s="1"/>
  <c r="Y32" i="702"/>
  <c r="Y37" i="702" s="1"/>
  <c r="R23" i="4"/>
  <c r="Q17" i="4"/>
  <c r="I27" i="4"/>
  <c r="C24" i="4"/>
  <c r="E24" i="474"/>
  <c r="AC8" i="703"/>
  <c r="AO11" i="701"/>
  <c r="AP11" i="701"/>
  <c r="T8" i="4"/>
  <c r="U21" i="4"/>
  <c r="C21" i="4"/>
  <c r="K24" i="474"/>
  <c r="P23" i="932"/>
  <c r="P25" i="932"/>
  <c r="AC25" i="932" s="1"/>
  <c r="AJ12" i="932"/>
  <c r="AN12" i="932" s="1"/>
  <c r="G22" i="52"/>
  <c r="F9" i="52"/>
  <c r="C22" i="52"/>
  <c r="G11" i="52"/>
  <c r="F12" i="52"/>
  <c r="G9" i="52"/>
  <c r="D11" i="52"/>
  <c r="M45" i="705"/>
  <c r="P45" i="705" s="1"/>
  <c r="Y9" i="707"/>
  <c r="M51" i="705"/>
  <c r="P51" i="705" s="1"/>
  <c r="T51" i="705"/>
  <c r="I10" i="706"/>
  <c r="I22" i="706" s="1"/>
  <c r="C8" i="414" s="1"/>
  <c r="C13" i="414" s="1"/>
  <c r="M11" i="706"/>
  <c r="M22" i="706" s="1"/>
  <c r="W13" i="708"/>
  <c r="P11" i="708"/>
  <c r="AC11" i="708" s="1"/>
  <c r="I10" i="708"/>
  <c r="I15" i="708" s="1"/>
  <c r="Y13" i="708"/>
  <c r="H50" i="705"/>
  <c r="I50" i="705" s="1"/>
  <c r="AI8" i="707"/>
  <c r="J11" i="706"/>
  <c r="J31" i="706" s="1"/>
  <c r="T45" i="705"/>
  <c r="L24" i="932"/>
  <c r="C10" i="706"/>
  <c r="AI10" i="706" s="1"/>
  <c r="O10" i="708"/>
  <c r="AD21" i="705"/>
  <c r="H60" i="932"/>
  <c r="I60" i="932" s="1"/>
  <c r="AA9" i="708"/>
  <c r="AI15" i="707"/>
  <c r="R12" i="708"/>
  <c r="J10" i="706"/>
  <c r="J22" i="706" s="1"/>
  <c r="AC13" i="705"/>
  <c r="Y13" i="705"/>
  <c r="Y25" i="705" s="1"/>
  <c r="Y30" i="705" s="1"/>
  <c r="V18" i="706"/>
  <c r="V23" i="706" s="1"/>
  <c r="X9" i="707"/>
  <c r="G13" i="708"/>
  <c r="Z13" i="708"/>
  <c r="Z18" i="708" s="1"/>
  <c r="AC18" i="705"/>
  <c r="Z25" i="708"/>
  <c r="U25" i="708"/>
  <c r="H10" i="708"/>
  <c r="O22" i="708"/>
  <c r="O15" i="708"/>
  <c r="O16" i="708"/>
  <c r="O20" i="708"/>
  <c r="AA12" i="708"/>
  <c r="M52" i="705"/>
  <c r="P52" i="705" s="1"/>
  <c r="T52" i="705"/>
  <c r="U13" i="708"/>
  <c r="H41" i="705"/>
  <c r="I41" i="705" s="1"/>
  <c r="T11" i="706"/>
  <c r="AD11" i="706" s="1"/>
  <c r="AD9" i="705"/>
  <c r="W25" i="708"/>
  <c r="AC25" i="708" s="1"/>
  <c r="V13" i="708"/>
  <c r="V21" i="708" s="1"/>
  <c r="Q12" i="708"/>
  <c r="L12" i="708"/>
  <c r="X11" i="706"/>
  <c r="H51" i="932"/>
  <c r="I51" i="932" s="1"/>
  <c r="AD18" i="705"/>
  <c r="AD19" i="705"/>
  <c r="R10" i="708"/>
  <c r="R16" i="708" s="1"/>
  <c r="L11" i="708"/>
  <c r="AD8" i="706"/>
  <c r="T23" i="706"/>
  <c r="T21" i="706"/>
  <c r="Z10" i="706"/>
  <c r="Z21" i="706" s="1"/>
  <c r="T9" i="708"/>
  <c r="AD9" i="708" s="1"/>
  <c r="Q15" i="706"/>
  <c r="H47" i="708"/>
  <c r="I47" i="708" s="1"/>
  <c r="I56" i="708" s="1"/>
  <c r="I20" i="708" s="1"/>
  <c r="F9" i="708"/>
  <c r="AJ9" i="708" s="1"/>
  <c r="AN9" i="708" s="1"/>
  <c r="AI13" i="705"/>
  <c r="N13" i="708"/>
  <c r="N20" i="708" s="1"/>
  <c r="T55" i="346"/>
  <c r="M55" i="346"/>
  <c r="P55" i="346" s="1"/>
  <c r="N23" i="4"/>
  <c r="V24" i="702"/>
  <c r="H51" i="346"/>
  <c r="I51" i="346" s="1"/>
  <c r="Y14" i="704"/>
  <c r="R16" i="4"/>
  <c r="T59" i="346"/>
  <c r="M59" i="346"/>
  <c r="P59" i="346" s="1"/>
  <c r="K104" i="474"/>
  <c r="S15" i="4"/>
  <c r="K85" i="474"/>
  <c r="H64" i="346"/>
  <c r="I64" i="346" s="1"/>
  <c r="T54" i="703"/>
  <c r="M54" i="703"/>
  <c r="P54" i="703" s="1"/>
  <c r="S14" i="4"/>
  <c r="Q8" i="702"/>
  <c r="H106" i="474"/>
  <c r="I26" i="701"/>
  <c r="AC14" i="346"/>
  <c r="S27" i="701"/>
  <c r="U27" i="701" s="1"/>
  <c r="I34" i="4"/>
  <c r="I35" i="4" s="1"/>
  <c r="V17" i="4"/>
  <c r="T44" i="703"/>
  <c r="M44" i="703"/>
  <c r="P44" i="703" s="1"/>
  <c r="U25" i="702"/>
  <c r="T64" i="702" s="1"/>
  <c r="W64" i="702" s="1"/>
  <c r="AA64" i="702" s="1"/>
  <c r="Z13" i="346"/>
  <c r="X13" i="346"/>
  <c r="K65" i="474"/>
  <c r="T23" i="702"/>
  <c r="R18" i="702"/>
  <c r="O25" i="4"/>
  <c r="P23" i="4"/>
  <c r="Y23" i="4" s="1"/>
  <c r="N11" i="4"/>
  <c r="X11" i="4" s="1"/>
  <c r="AJ18" i="703"/>
  <c r="AN18" i="703" s="1"/>
  <c r="U24" i="701"/>
  <c r="E97" i="474"/>
  <c r="H22" i="701"/>
  <c r="R26" i="346"/>
  <c r="Z26" i="346"/>
  <c r="X24" i="702"/>
  <c r="X24" i="346"/>
  <c r="Y18" i="704"/>
  <c r="J81" i="474"/>
  <c r="K13" i="701"/>
  <c r="AD10" i="701"/>
  <c r="I24" i="702"/>
  <c r="R10" i="4"/>
  <c r="S14" i="701"/>
  <c r="AD21" i="701"/>
  <c r="M11" i="4"/>
  <c r="N25" i="4"/>
  <c r="X25" i="4" s="1"/>
  <c r="AJ12" i="703"/>
  <c r="AN12" i="703" s="1"/>
  <c r="K23" i="701"/>
  <c r="V22" i="702"/>
  <c r="Z26" i="701"/>
  <c r="H108" i="474"/>
  <c r="J79" i="474"/>
  <c r="X8" i="704"/>
  <c r="H95" i="474"/>
  <c r="H8" i="701"/>
  <c r="J99" i="474"/>
  <c r="AC19" i="346"/>
  <c r="I11" i="4"/>
  <c r="H53" i="704"/>
  <c r="I53" i="704" s="1"/>
  <c r="P21" i="4"/>
  <c r="Y21" i="4" s="1"/>
  <c r="Y14" i="346"/>
  <c r="F24" i="346"/>
  <c r="AJ24" i="346" s="1"/>
  <c r="C25" i="4"/>
  <c r="P19" i="4"/>
  <c r="Y19" i="4" s="1"/>
  <c r="R27" i="4"/>
  <c r="AA22" i="346"/>
  <c r="J87" i="474"/>
  <c r="P26" i="4"/>
  <c r="Y26" i="4" s="1"/>
  <c r="Q23" i="346"/>
  <c r="X14" i="704"/>
  <c r="M26" i="346"/>
  <c r="O34" i="4"/>
  <c r="T26" i="4"/>
  <c r="M18" i="4"/>
  <c r="R24" i="346"/>
  <c r="AI13" i="703"/>
  <c r="K89" i="474"/>
  <c r="W27" i="701"/>
  <c r="K18" i="702"/>
  <c r="J27" i="4"/>
  <c r="N24" i="702"/>
  <c r="AP10" i="346"/>
  <c r="AQ10" i="346"/>
  <c r="H8" i="702"/>
  <c r="J72" i="474"/>
  <c r="Z12" i="346"/>
  <c r="AD10" i="702"/>
  <c r="H63" i="704"/>
  <c r="I63" i="704" s="1"/>
  <c r="T60" i="346"/>
  <c r="M60" i="346"/>
  <c r="P60" i="346" s="1"/>
  <c r="J80" i="474"/>
  <c r="H13" i="702"/>
  <c r="G27" i="702"/>
  <c r="S20" i="4"/>
  <c r="O12" i="702"/>
  <c r="I12" i="702"/>
  <c r="AJ13" i="346"/>
  <c r="AO13" i="346" s="1"/>
  <c r="O25" i="346"/>
  <c r="AI22" i="346"/>
  <c r="Q13" i="701"/>
  <c r="Z8" i="346"/>
  <c r="E107" i="474"/>
  <c r="AA27" i="703"/>
  <c r="AJ18" i="704"/>
  <c r="AN18" i="704" s="1"/>
  <c r="S14" i="702"/>
  <c r="H18" i="701"/>
  <c r="H63" i="346"/>
  <c r="I63" i="346" s="1"/>
  <c r="K56" i="474"/>
  <c r="P8" i="702"/>
  <c r="AD9" i="703"/>
  <c r="H65" i="474"/>
  <c r="AD9" i="702"/>
  <c r="I58" i="474"/>
  <c r="Q8" i="4"/>
  <c r="T49" i="701"/>
  <c r="M49" i="701"/>
  <c r="P49" i="701" s="1"/>
  <c r="N26" i="4"/>
  <c r="X26" i="4" s="1"/>
  <c r="H21" i="4"/>
  <c r="K25" i="346"/>
  <c r="O27" i="702"/>
  <c r="L25" i="4"/>
  <c r="J27" i="701"/>
  <c r="R24" i="702"/>
  <c r="H53" i="702"/>
  <c r="I53" i="702" s="1"/>
  <c r="AN19" i="701"/>
  <c r="I99" i="474"/>
  <c r="K100" i="474"/>
  <c r="K10" i="4"/>
  <c r="L17" i="4"/>
  <c r="I98" i="474"/>
  <c r="M16" i="4"/>
  <c r="U14" i="701"/>
  <c r="H91" i="474"/>
  <c r="Z22" i="701"/>
  <c r="X18" i="703"/>
  <c r="S8" i="702"/>
  <c r="I82" i="474"/>
  <c r="Y18" i="701"/>
  <c r="Q26" i="702"/>
  <c r="J106" i="474"/>
  <c r="P10" i="4"/>
  <c r="Y10" i="4" s="1"/>
  <c r="V19" i="4"/>
  <c r="I75" i="474"/>
  <c r="Q23" i="4"/>
  <c r="AD20" i="702"/>
  <c r="F14" i="702"/>
  <c r="AJ14" i="702" s="1"/>
  <c r="AN14" i="702" s="1"/>
  <c r="T57" i="346"/>
  <c r="AO9" i="346"/>
  <c r="P24" i="4"/>
  <c r="Y24" i="4" s="1"/>
  <c r="P24" i="346"/>
  <c r="N12" i="4"/>
  <c r="X12" i="4" s="1"/>
  <c r="AP9" i="346"/>
  <c r="AQ9" i="346"/>
  <c r="Y14" i="701"/>
  <c r="AC12" i="703"/>
  <c r="P18" i="701"/>
  <c r="AC18" i="701" s="1"/>
  <c r="R18" i="4"/>
  <c r="Z18" i="701"/>
  <c r="I92" i="474"/>
  <c r="O26" i="702"/>
  <c r="Q12" i="702"/>
  <c r="H47" i="703"/>
  <c r="I47" i="703" s="1"/>
  <c r="K25" i="4"/>
  <c r="I19" i="4"/>
  <c r="AA27" i="346"/>
  <c r="U8" i="4"/>
  <c r="K27" i="346"/>
  <c r="C22" i="701"/>
  <c r="AI22" i="701" s="1"/>
  <c r="R11" i="4"/>
  <c r="U11" i="4"/>
  <c r="E80" i="474"/>
  <c r="AD9" i="701"/>
  <c r="AI14" i="346"/>
  <c r="K94" i="474"/>
  <c r="C8" i="702"/>
  <c r="AI8" i="702" s="1"/>
  <c r="J62" i="474"/>
  <c r="F27" i="4"/>
  <c r="G15" i="4"/>
  <c r="S26" i="701"/>
  <c r="U26" i="701" s="1"/>
  <c r="I87" i="474"/>
  <c r="U26" i="702"/>
  <c r="T25" i="701"/>
  <c r="L22" i="4"/>
  <c r="O27" i="4"/>
  <c r="AA18" i="701"/>
  <c r="Q22" i="702"/>
  <c r="Y13" i="701"/>
  <c r="E72" i="474"/>
  <c r="I61" i="474"/>
  <c r="Y12" i="702"/>
  <c r="Y30" i="702" s="1"/>
  <c r="Y35" i="702" s="1"/>
  <c r="L23" i="346"/>
  <c r="H27" i="702"/>
  <c r="H66" i="701"/>
  <c r="I66" i="701" s="1"/>
  <c r="C22" i="702"/>
  <c r="AI22" i="702" s="1"/>
  <c r="H61" i="701"/>
  <c r="I61" i="701" s="1"/>
  <c r="AJ8" i="703"/>
  <c r="AN8" i="703" s="1"/>
  <c r="I60" i="474"/>
  <c r="P15" i="4"/>
  <c r="Y15" i="4" s="1"/>
  <c r="X23" i="346"/>
  <c r="H104" i="474"/>
  <c r="H79" i="474"/>
  <c r="J83" i="474"/>
  <c r="AC13" i="346"/>
  <c r="M8" i="701"/>
  <c r="AI8" i="932"/>
  <c r="Z22" i="932"/>
  <c r="C25" i="932"/>
  <c r="AC14" i="932"/>
  <c r="AD12" i="932"/>
  <c r="AA26" i="932"/>
  <c r="G23" i="932"/>
  <c r="AD17" i="932"/>
  <c r="AD21" i="932"/>
  <c r="X24" i="932"/>
  <c r="Z25" i="932"/>
  <c r="U25" i="932"/>
  <c r="X13" i="932"/>
  <c r="AD14" i="932"/>
  <c r="E20" i="52"/>
  <c r="G7" i="52"/>
  <c r="H23" i="52"/>
  <c r="H9" i="52"/>
  <c r="H11" i="52"/>
  <c r="G14" i="52"/>
  <c r="E9" i="52"/>
  <c r="H7" i="52"/>
  <c r="D25" i="52"/>
  <c r="F29" i="52"/>
  <c r="C18" i="52"/>
  <c r="H6" i="52"/>
  <c r="C12" i="52"/>
  <c r="I19" i="52"/>
  <c r="F19" i="52" s="1"/>
  <c r="D22" i="52"/>
  <c r="I28" i="881" a="1"/>
  <c r="D14" i="731" a="1"/>
  <c r="I30" i="881" a="1"/>
  <c r="D16" i="731" a="1"/>
  <c r="I31" i="881" a="1"/>
  <c r="D17" i="731" a="1"/>
  <c r="I29" i="881" a="1"/>
  <c r="D15" i="731" a="1"/>
  <c r="H29" i="881" a="1"/>
  <c r="J30" i="881" a="1"/>
  <c r="I40" i="346" l="1"/>
  <c r="T29" i="346"/>
  <c r="J32" i="346"/>
  <c r="O31" i="346"/>
  <c r="O30" i="346"/>
  <c r="O29" i="346"/>
  <c r="O32" i="346"/>
  <c r="Q30" i="346"/>
  <c r="Q40" i="346"/>
  <c r="Q32" i="346"/>
  <c r="Q29" i="346"/>
  <c r="Q31" i="346"/>
  <c r="P29" i="346"/>
  <c r="D6" i="351" s="1"/>
  <c r="P31" i="346"/>
  <c r="D8" i="351" s="1"/>
  <c r="D13" i="351" s="1"/>
  <c r="P30" i="346"/>
  <c r="D7" i="351" s="1"/>
  <c r="P32" i="346"/>
  <c r="J29" i="346"/>
  <c r="J30" i="346"/>
  <c r="W48" i="346"/>
  <c r="AA48" i="346" s="1"/>
  <c r="AB48" i="346" s="1"/>
  <c r="J40" i="346"/>
  <c r="K31" i="346"/>
  <c r="K32" i="346"/>
  <c r="K40" i="346"/>
  <c r="K29" i="346"/>
  <c r="K30" i="346"/>
  <c r="J31" i="346"/>
  <c r="AO27" i="346"/>
  <c r="V31" i="346"/>
  <c r="V32" i="346"/>
  <c r="V29" i="346"/>
  <c r="V30" i="346"/>
  <c r="M29" i="346"/>
  <c r="M30" i="346"/>
  <c r="M31" i="346"/>
  <c r="M32" i="346"/>
  <c r="R31" i="346"/>
  <c r="R29" i="346"/>
  <c r="R32" i="346"/>
  <c r="R30" i="346"/>
  <c r="R40" i="346"/>
  <c r="T30" i="346"/>
  <c r="T32" i="346"/>
  <c r="U23" i="346"/>
  <c r="S29" i="346"/>
  <c r="S40" i="346"/>
  <c r="S31" i="346"/>
  <c r="S32" i="346"/>
  <c r="S30" i="346"/>
  <c r="W29" i="346"/>
  <c r="W30" i="346"/>
  <c r="AR8" i="346" s="1"/>
  <c r="W31" i="346"/>
  <c r="W32" i="346"/>
  <c r="AO24" i="346"/>
  <c r="I68" i="346"/>
  <c r="I34" i="346" s="1"/>
  <c r="AO23" i="346"/>
  <c r="I29" i="346"/>
  <c r="C6" i="351" s="1"/>
  <c r="I30" i="346"/>
  <c r="C7" i="351" s="1"/>
  <c r="I31" i="346"/>
  <c r="C8" i="351" s="1"/>
  <c r="C13" i="351" s="1"/>
  <c r="I32" i="346"/>
  <c r="C9" i="351" s="1"/>
  <c r="C16" i="351" s="1"/>
  <c r="T31" i="346"/>
  <c r="N23" i="346"/>
  <c r="L30" i="346"/>
  <c r="L29" i="346"/>
  <c r="L40" i="346"/>
  <c r="L32" i="346"/>
  <c r="L31" i="346"/>
  <c r="W54" i="346"/>
  <c r="AA54" i="346" s="1"/>
  <c r="AB54" i="346" s="1"/>
  <c r="W60" i="346"/>
  <c r="AA60" i="346" s="1"/>
  <c r="AB60" i="346" s="1"/>
  <c r="W57" i="346"/>
  <c r="AA57" i="346" s="1"/>
  <c r="AB57" i="346" s="1"/>
  <c r="W52" i="705"/>
  <c r="AA52" i="705" s="1"/>
  <c r="W45" i="705"/>
  <c r="AA45" i="705" s="1"/>
  <c r="W55" i="932"/>
  <c r="AA55" i="932" s="1"/>
  <c r="W47" i="932"/>
  <c r="AA47" i="932" s="1"/>
  <c r="W59" i="932"/>
  <c r="AA59" i="932" s="1"/>
  <c r="W56" i="704"/>
  <c r="AA56" i="704" s="1"/>
  <c r="W55" i="704"/>
  <c r="AA55" i="704" s="1"/>
  <c r="W42" i="705"/>
  <c r="AA42" i="705" s="1"/>
  <c r="W53" i="705"/>
  <c r="AA53" i="705" s="1"/>
  <c r="W44" i="705"/>
  <c r="AA44" i="705" s="1"/>
  <c r="W49" i="705"/>
  <c r="AA49" i="705" s="1"/>
  <c r="AD15" i="707"/>
  <c r="W43" i="707"/>
  <c r="E33" i="778" s="1"/>
  <c r="W51" i="703"/>
  <c r="AA51" i="703" s="1"/>
  <c r="W49" i="703"/>
  <c r="AA49" i="703" s="1"/>
  <c r="W50" i="703"/>
  <c r="AA50" i="703" s="1"/>
  <c r="AC13" i="703"/>
  <c r="W53" i="703"/>
  <c r="AA53" i="703" s="1"/>
  <c r="AD13" i="703"/>
  <c r="P24" i="703"/>
  <c r="AA26" i="703"/>
  <c r="W42" i="707"/>
  <c r="AA42" i="707" s="1"/>
  <c r="L17" i="707"/>
  <c r="W48" i="707"/>
  <c r="AA48" i="707" s="1"/>
  <c r="Y20" i="707"/>
  <c r="X28" i="707"/>
  <c r="AC12" i="704"/>
  <c r="AD13" i="704"/>
  <c r="R23" i="704"/>
  <c r="W48" i="704"/>
  <c r="AA48" i="704" s="1"/>
  <c r="AC13" i="704"/>
  <c r="W58" i="704"/>
  <c r="AA58" i="704" s="1"/>
  <c r="D7" i="517"/>
  <c r="AC14" i="704"/>
  <c r="W54" i="704"/>
  <c r="AA54" i="704" s="1"/>
  <c r="W25" i="704"/>
  <c r="AN25" i="704" s="1"/>
  <c r="W26" i="704"/>
  <c r="D9" i="517" s="1"/>
  <c r="D18" i="517" s="1"/>
  <c r="AC18" i="704"/>
  <c r="W23" i="704"/>
  <c r="E6" i="985" s="1"/>
  <c r="AN11" i="704"/>
  <c r="W49" i="704"/>
  <c r="AA49" i="704" s="1"/>
  <c r="T25" i="704"/>
  <c r="R24" i="704"/>
  <c r="W46" i="706"/>
  <c r="W43" i="706"/>
  <c r="W42" i="706"/>
  <c r="J30" i="881"/>
  <c r="H29" i="881"/>
  <c r="D15" i="731"/>
  <c r="I29" i="881"/>
  <c r="D17" i="731"/>
  <c r="D24" i="731" s="1"/>
  <c r="I31" i="881"/>
  <c r="I40" i="881" s="1"/>
  <c r="D16" i="731"/>
  <c r="D21" i="731" s="1"/>
  <c r="I30" i="881"/>
  <c r="I37" i="881" s="1"/>
  <c r="D14" i="731"/>
  <c r="I28" i="881"/>
  <c r="W62" i="932"/>
  <c r="AA62" i="932" s="1"/>
  <c r="J29" i="52"/>
  <c r="T26" i="708"/>
  <c r="G9" i="517"/>
  <c r="G18" i="517" s="1"/>
  <c r="N25" i="704"/>
  <c r="W37" i="707"/>
  <c r="W48" i="701"/>
  <c r="AA48" i="701" s="1"/>
  <c r="K35" i="4"/>
  <c r="Y25" i="703"/>
  <c r="Y30" i="703" s="1"/>
  <c r="Y27" i="703"/>
  <c r="Y32" i="703" s="1"/>
  <c r="Y24" i="703"/>
  <c r="Y29" i="703" s="1"/>
  <c r="Y26" i="703"/>
  <c r="Y31" i="703" s="1"/>
  <c r="Y35" i="703"/>
  <c r="Z23" i="704"/>
  <c r="Z24" i="704"/>
  <c r="Z25" i="704"/>
  <c r="Z26" i="704"/>
  <c r="Z34" i="704"/>
  <c r="I70" i="702"/>
  <c r="I36" i="702" s="1"/>
  <c r="T47" i="702"/>
  <c r="I71" i="702"/>
  <c r="I37" i="702" s="1"/>
  <c r="M47" i="702"/>
  <c r="I69" i="702"/>
  <c r="I35" i="702" s="1"/>
  <c r="I68" i="702"/>
  <c r="I34" i="702" s="1"/>
  <c r="I40" i="702"/>
  <c r="U35" i="4"/>
  <c r="W55" i="701"/>
  <c r="AA55" i="701" s="1"/>
  <c r="N22" i="706"/>
  <c r="W53" i="706" s="1"/>
  <c r="I59" i="708"/>
  <c r="I23" i="708" s="1"/>
  <c r="S15" i="708"/>
  <c r="E7" i="414"/>
  <c r="V29" i="702"/>
  <c r="V37" i="702" s="1"/>
  <c r="V36" i="702"/>
  <c r="V30" i="702"/>
  <c r="V34" i="702"/>
  <c r="V32" i="702"/>
  <c r="V31" i="702"/>
  <c r="V35" i="702"/>
  <c r="V40" i="702"/>
  <c r="Z40" i="702"/>
  <c r="I65" i="715"/>
  <c r="T35" i="4"/>
  <c r="L30" i="4"/>
  <c r="L31" i="4"/>
  <c r="L29" i="4"/>
  <c r="L32" i="4"/>
  <c r="U21" i="708"/>
  <c r="Y15" i="708"/>
  <c r="T59" i="706"/>
  <c r="T25" i="706" s="1"/>
  <c r="V17" i="707"/>
  <c r="V25" i="707" s="1"/>
  <c r="P47" i="346"/>
  <c r="W43" i="705"/>
  <c r="AA43" i="705" s="1"/>
  <c r="E15" i="52"/>
  <c r="W25" i="703"/>
  <c r="W27" i="703"/>
  <c r="W24" i="703"/>
  <c r="W26" i="703"/>
  <c r="AC21" i="705"/>
  <c r="R31" i="706"/>
  <c r="H29" i="52"/>
  <c r="F23" i="52"/>
  <c r="X25" i="703"/>
  <c r="X30" i="703" s="1"/>
  <c r="X27" i="703"/>
  <c r="X32" i="703" s="1"/>
  <c r="X24" i="703"/>
  <c r="X29" i="703" s="1"/>
  <c r="X26" i="703"/>
  <c r="X31" i="703" s="1"/>
  <c r="X35" i="703"/>
  <c r="K25" i="703"/>
  <c r="K27" i="703"/>
  <c r="K24" i="703"/>
  <c r="K26" i="703"/>
  <c r="Y34" i="4"/>
  <c r="P35" i="4"/>
  <c r="T66" i="346"/>
  <c r="M66" i="346"/>
  <c r="P66" i="346" s="1"/>
  <c r="P22" i="706"/>
  <c r="D8" i="414" s="1"/>
  <c r="D13" i="414" s="1"/>
  <c r="M20" i="706"/>
  <c r="T47" i="705"/>
  <c r="M47" i="705"/>
  <c r="P47" i="705" s="1"/>
  <c r="K16" i="708"/>
  <c r="N22" i="708"/>
  <c r="W15" i="708"/>
  <c r="AO22" i="346"/>
  <c r="AD14" i="705"/>
  <c r="Q23" i="706"/>
  <c r="X25" i="705"/>
  <c r="X30" i="705" s="1"/>
  <c r="F74" i="706"/>
  <c r="F77" i="706"/>
  <c r="M17" i="708"/>
  <c r="AC12" i="932"/>
  <c r="Y28" i="932"/>
  <c r="Y33" i="932" s="1"/>
  <c r="O32" i="701"/>
  <c r="L40" i="701"/>
  <c r="AA25" i="703"/>
  <c r="Y17" i="707"/>
  <c r="H17" i="52"/>
  <c r="W59" i="704"/>
  <c r="AA59" i="704" s="1"/>
  <c r="X20" i="707"/>
  <c r="T23" i="704"/>
  <c r="U26" i="706"/>
  <c r="O25" i="703"/>
  <c r="O27" i="703"/>
  <c r="O24" i="703"/>
  <c r="O26" i="703"/>
  <c r="I31" i="702"/>
  <c r="I32" i="702"/>
  <c r="I29" i="702"/>
  <c r="I30" i="702"/>
  <c r="L29" i="708"/>
  <c r="L26" i="708"/>
  <c r="W47" i="706"/>
  <c r="R23" i="706"/>
  <c r="AN26" i="932"/>
  <c r="Y8" i="4"/>
  <c r="P31" i="4"/>
  <c r="P29" i="4"/>
  <c r="P32" i="4"/>
  <c r="P30" i="4"/>
  <c r="Y16" i="4"/>
  <c r="P20" i="706"/>
  <c r="D6" i="414" s="1"/>
  <c r="M23" i="706"/>
  <c r="K15" i="708"/>
  <c r="S17" i="707"/>
  <c r="N18" i="708"/>
  <c r="X26" i="708"/>
  <c r="X29" i="708"/>
  <c r="I29" i="708"/>
  <c r="Q21" i="706"/>
  <c r="AC9" i="708"/>
  <c r="AC17" i="708" s="1"/>
  <c r="F66" i="706"/>
  <c r="F69" i="706"/>
  <c r="AD25" i="708"/>
  <c r="G20" i="52"/>
  <c r="Y31" i="932"/>
  <c r="Y36" i="932" s="1"/>
  <c r="O29" i="701"/>
  <c r="L31" i="701"/>
  <c r="Y18" i="707"/>
  <c r="G15" i="52"/>
  <c r="H35" i="4"/>
  <c r="C10" i="51"/>
  <c r="X16" i="4"/>
  <c r="U29" i="702"/>
  <c r="U36" i="702"/>
  <c r="U30" i="702"/>
  <c r="U37" i="702" s="1"/>
  <c r="U31" i="702"/>
  <c r="U32" i="702"/>
  <c r="U35" i="702"/>
  <c r="U34" i="702"/>
  <c r="U40" i="702"/>
  <c r="K30" i="4"/>
  <c r="K31" i="4"/>
  <c r="K29" i="4"/>
  <c r="K32" i="4"/>
  <c r="X17" i="707"/>
  <c r="U27" i="706"/>
  <c r="Q23" i="704"/>
  <c r="Q25" i="704"/>
  <c r="Q26" i="704"/>
  <c r="Q24" i="704"/>
  <c r="R15" i="708"/>
  <c r="U32" i="4"/>
  <c r="U30" i="4"/>
  <c r="U31" i="4"/>
  <c r="U29" i="4"/>
  <c r="R18" i="708"/>
  <c r="AC8" i="704"/>
  <c r="P23" i="704"/>
  <c r="D6" i="985" s="1"/>
  <c r="P25" i="704"/>
  <c r="D8" i="985" s="1"/>
  <c r="D13" i="985" s="1"/>
  <c r="P26" i="704"/>
  <c r="D9" i="985" s="1"/>
  <c r="D16" i="985" s="1"/>
  <c r="P24" i="704"/>
  <c r="D7" i="985" s="1"/>
  <c r="R35" i="4"/>
  <c r="AP14" i="346"/>
  <c r="AQ14" i="346"/>
  <c r="V18" i="708"/>
  <c r="P18" i="708"/>
  <c r="T53" i="346"/>
  <c r="M53" i="346"/>
  <c r="P53" i="346" s="1"/>
  <c r="M53" i="701"/>
  <c r="P53" i="701" s="1"/>
  <c r="T53" i="701"/>
  <c r="O32" i="702"/>
  <c r="O36" i="702"/>
  <c r="O29" i="702"/>
  <c r="O30" i="702"/>
  <c r="O37" i="702" s="1"/>
  <c r="O31" i="702"/>
  <c r="O35" i="702"/>
  <c r="O34" i="702"/>
  <c r="O40" i="702"/>
  <c r="AP8" i="705"/>
  <c r="AO8" i="705"/>
  <c r="T63" i="702"/>
  <c r="W63" i="702" s="1"/>
  <c r="AA63" i="702" s="1"/>
  <c r="M63" i="702"/>
  <c r="P63" i="702" s="1"/>
  <c r="V35" i="4"/>
  <c r="E10" i="51"/>
  <c r="S17" i="708"/>
  <c r="AD25" i="932"/>
  <c r="AO18" i="701"/>
  <c r="AP18" i="701"/>
  <c r="D19" i="52"/>
  <c r="Z28" i="932"/>
  <c r="Z29" i="932"/>
  <c r="Z30" i="932"/>
  <c r="Z31" i="932"/>
  <c r="Z39" i="932"/>
  <c r="X25" i="704"/>
  <c r="X30" i="704" s="1"/>
  <c r="X26" i="704"/>
  <c r="X31" i="704" s="1"/>
  <c r="X23" i="704"/>
  <c r="X28" i="704" s="1"/>
  <c r="X24" i="704"/>
  <c r="X29" i="704" s="1"/>
  <c r="X34" i="704"/>
  <c r="I18" i="708"/>
  <c r="T51" i="932"/>
  <c r="M51" i="932"/>
  <c r="P51" i="932" s="1"/>
  <c r="M17" i="707"/>
  <c r="V17" i="708"/>
  <c r="H18" i="52"/>
  <c r="J21" i="52"/>
  <c r="J25" i="704"/>
  <c r="J26" i="704"/>
  <c r="J23" i="704"/>
  <c r="J24" i="704"/>
  <c r="U34" i="701"/>
  <c r="U35" i="701"/>
  <c r="U29" i="701"/>
  <c r="U37" i="701" s="1"/>
  <c r="U32" i="701"/>
  <c r="U36" i="701"/>
  <c r="U30" i="701"/>
  <c r="U31" i="701"/>
  <c r="U40" i="701"/>
  <c r="AN13" i="708"/>
  <c r="T64" i="932"/>
  <c r="M64" i="932"/>
  <c r="P64" i="932" s="1"/>
  <c r="Q26" i="708"/>
  <c r="Q29" i="708"/>
  <c r="AP17" i="705"/>
  <c r="AO17" i="705"/>
  <c r="N29" i="702"/>
  <c r="N30" i="702"/>
  <c r="N34" i="702"/>
  <c r="N32" i="702"/>
  <c r="N31" i="702"/>
  <c r="N36" i="702"/>
  <c r="N35" i="702"/>
  <c r="N40" i="702"/>
  <c r="AC24" i="932"/>
  <c r="Y17" i="4"/>
  <c r="AC12" i="346"/>
  <c r="AC30" i="346" s="1"/>
  <c r="P38" i="706"/>
  <c r="P23" i="706"/>
  <c r="D9" i="414" s="1"/>
  <c r="D16" i="414" s="1"/>
  <c r="AA23" i="706"/>
  <c r="AP21" i="705"/>
  <c r="AO21" i="705"/>
  <c r="AC15" i="707"/>
  <c r="K18" i="708"/>
  <c r="N17" i="708"/>
  <c r="AD14" i="704"/>
  <c r="X13" i="4"/>
  <c r="W48" i="705"/>
  <c r="AA48" i="705" s="1"/>
  <c r="F80" i="706"/>
  <c r="F76" i="706"/>
  <c r="W46" i="707"/>
  <c r="AA46" i="707" s="1"/>
  <c r="Y30" i="932"/>
  <c r="Y35" i="932" s="1"/>
  <c r="O31" i="701"/>
  <c r="L30" i="701"/>
  <c r="M61" i="703"/>
  <c r="P61" i="703" s="1"/>
  <c r="T61" i="703"/>
  <c r="AO25" i="346"/>
  <c r="V31" i="701"/>
  <c r="V29" i="701"/>
  <c r="V32" i="701"/>
  <c r="V30" i="701"/>
  <c r="J31" i="702"/>
  <c r="J32" i="702"/>
  <c r="J29" i="702"/>
  <c r="J30" i="702"/>
  <c r="J40" i="702"/>
  <c r="R17" i="707"/>
  <c r="X19" i="707"/>
  <c r="Y29" i="708"/>
  <c r="U25" i="706"/>
  <c r="W56" i="706" s="1"/>
  <c r="M56" i="703"/>
  <c r="P56" i="703" s="1"/>
  <c r="T56" i="703"/>
  <c r="M32" i="4"/>
  <c r="M30" i="4"/>
  <c r="M31" i="4"/>
  <c r="M29" i="4"/>
  <c r="J20" i="706"/>
  <c r="Z31" i="706"/>
  <c r="N23" i="704"/>
  <c r="N35" i="4"/>
  <c r="X34" i="4"/>
  <c r="D6" i="52"/>
  <c r="Z30" i="701"/>
  <c r="Z31" i="701"/>
  <c r="Z29" i="701"/>
  <c r="Z32" i="701"/>
  <c r="Z40" i="701"/>
  <c r="I30" i="701"/>
  <c r="C7" i="411" s="1"/>
  <c r="I31" i="701"/>
  <c r="C8" i="411" s="1"/>
  <c r="C13" i="411" s="1"/>
  <c r="I29" i="701"/>
  <c r="C6" i="411" s="1"/>
  <c r="C15" i="411" s="1"/>
  <c r="I32" i="701"/>
  <c r="C9" i="411" s="1"/>
  <c r="C16" i="411" s="1"/>
  <c r="AO8" i="701"/>
  <c r="AP8" i="701"/>
  <c r="Q35" i="4"/>
  <c r="AN25" i="702"/>
  <c r="N25" i="706"/>
  <c r="W40" i="706"/>
  <c r="T59" i="708"/>
  <c r="T23" i="708" s="1"/>
  <c r="T15" i="708"/>
  <c r="E9" i="414"/>
  <c r="E16" i="414" s="1"/>
  <c r="N29" i="4"/>
  <c r="N32" i="4"/>
  <c r="N30" i="4"/>
  <c r="N31" i="4"/>
  <c r="X8" i="4"/>
  <c r="AC14" i="703"/>
  <c r="Z32" i="702"/>
  <c r="F11" i="52"/>
  <c r="E23" i="52"/>
  <c r="J23" i="52" s="1"/>
  <c r="T57" i="701"/>
  <c r="W57" i="701" s="1"/>
  <c r="AA57" i="701" s="1"/>
  <c r="M57" i="701"/>
  <c r="P57" i="701" s="1"/>
  <c r="W50" i="702"/>
  <c r="AA50" i="702" s="1"/>
  <c r="K17" i="707"/>
  <c r="S31" i="706"/>
  <c r="K30" i="702"/>
  <c r="K31" i="702"/>
  <c r="K32" i="702"/>
  <c r="K29" i="702"/>
  <c r="K40" i="702"/>
  <c r="AD12" i="704"/>
  <c r="G18" i="52"/>
  <c r="AD24" i="932"/>
  <c r="AA23" i="704"/>
  <c r="AA24" i="704"/>
  <c r="AA25" i="704"/>
  <c r="AA26" i="704"/>
  <c r="V29" i="4"/>
  <c r="E6" i="51" s="1"/>
  <c r="V32" i="4"/>
  <c r="E9" i="51" s="1"/>
  <c r="E16" i="51" s="1"/>
  <c r="V30" i="4"/>
  <c r="E7" i="51" s="1"/>
  <c r="V31" i="4"/>
  <c r="E8" i="51" s="1"/>
  <c r="E13" i="51" s="1"/>
  <c r="P30" i="701"/>
  <c r="D7" i="411" s="1"/>
  <c r="P31" i="701"/>
  <c r="D8" i="411" s="1"/>
  <c r="D13" i="411" s="1"/>
  <c r="AC8" i="701"/>
  <c r="P32" i="701"/>
  <c r="D9" i="411" s="1"/>
  <c r="D16" i="411" s="1"/>
  <c r="P29" i="701"/>
  <c r="D6" i="411" s="1"/>
  <c r="Y11" i="4"/>
  <c r="Q17" i="707"/>
  <c r="I20" i="706"/>
  <c r="C6" i="414" s="1"/>
  <c r="R21" i="706"/>
  <c r="F18" i="52"/>
  <c r="F27" i="52" s="1"/>
  <c r="R31" i="702"/>
  <c r="R32" i="702"/>
  <c r="R29" i="702"/>
  <c r="R30" i="702"/>
  <c r="R40" i="702"/>
  <c r="I60" i="706"/>
  <c r="I26" i="706" s="1"/>
  <c r="P21" i="706"/>
  <c r="D7" i="414" s="1"/>
  <c r="AA20" i="706"/>
  <c r="T38" i="707"/>
  <c r="M38" i="707"/>
  <c r="P38" i="707" s="1"/>
  <c r="N21" i="708"/>
  <c r="Y34" i="705"/>
  <c r="F72" i="706"/>
  <c r="L32" i="701"/>
  <c r="X31" i="706"/>
  <c r="Q17" i="708"/>
  <c r="X18" i="708"/>
  <c r="X18" i="707"/>
  <c r="Y26" i="708"/>
  <c r="U23" i="706"/>
  <c r="AC37" i="704"/>
  <c r="W44" i="703"/>
  <c r="AA44" i="703" s="1"/>
  <c r="W54" i="703"/>
  <c r="AA54" i="703" s="1"/>
  <c r="L21" i="706"/>
  <c r="U29" i="708"/>
  <c r="U26" i="708"/>
  <c r="V22" i="708"/>
  <c r="R26" i="704"/>
  <c r="I25" i="704"/>
  <c r="C8" i="985" s="1"/>
  <c r="C13" i="985" s="1"/>
  <c r="I26" i="704"/>
  <c r="C9" i="985" s="1"/>
  <c r="C16" i="985" s="1"/>
  <c r="I23" i="704"/>
  <c r="C6" i="985" s="1"/>
  <c r="I24" i="704"/>
  <c r="C7" i="985" s="1"/>
  <c r="W49" i="701"/>
  <c r="AA49" i="701" s="1"/>
  <c r="L25" i="704"/>
  <c r="L26" i="704"/>
  <c r="L24" i="704"/>
  <c r="L23" i="704"/>
  <c r="M64" i="346"/>
  <c r="P64" i="346" s="1"/>
  <c r="T64" i="346"/>
  <c r="I16" i="708"/>
  <c r="O20" i="706"/>
  <c r="V16" i="708"/>
  <c r="R25" i="704"/>
  <c r="F8" i="411"/>
  <c r="F13" i="411" s="1"/>
  <c r="F9" i="411"/>
  <c r="F16" i="411" s="1"/>
  <c r="F6" i="411"/>
  <c r="F7" i="411"/>
  <c r="W48" i="702"/>
  <c r="AA48" i="702" s="1"/>
  <c r="V22" i="706"/>
  <c r="J23" i="706"/>
  <c r="Z22" i="706"/>
  <c r="N24" i="704"/>
  <c r="G8" i="52"/>
  <c r="G27" i="52" s="1"/>
  <c r="H19" i="52"/>
  <c r="W58" i="346"/>
  <c r="AA58" i="346" s="1"/>
  <c r="AB58" i="346" s="1"/>
  <c r="I64" i="703"/>
  <c r="I65" i="703"/>
  <c r="I66" i="703"/>
  <c r="M42" i="703"/>
  <c r="T42" i="703"/>
  <c r="I63" i="703"/>
  <c r="N23" i="706"/>
  <c r="N26" i="708"/>
  <c r="N29" i="708"/>
  <c r="AD18" i="708"/>
  <c r="AD15" i="708"/>
  <c r="J12" i="52"/>
  <c r="Z31" i="702"/>
  <c r="T51" i="704"/>
  <c r="M51" i="704"/>
  <c r="P51" i="704" s="1"/>
  <c r="AP8" i="346"/>
  <c r="AQ8" i="346"/>
  <c r="Y30" i="701"/>
  <c r="Y35" i="701" s="1"/>
  <c r="Y31" i="701"/>
  <c r="Y36" i="701" s="1"/>
  <c r="Y29" i="701"/>
  <c r="Y34" i="701" s="1"/>
  <c r="Y32" i="701"/>
  <c r="Y37" i="701" s="1"/>
  <c r="Y40" i="701"/>
  <c r="M64" i="704"/>
  <c r="P64" i="704" s="1"/>
  <c r="T64" i="704"/>
  <c r="Y24" i="704"/>
  <c r="Y29" i="704" s="1"/>
  <c r="Y25" i="704"/>
  <c r="Y30" i="704" s="1"/>
  <c r="Y26" i="704"/>
  <c r="Y31" i="704" s="1"/>
  <c r="Y23" i="704"/>
  <c r="Y28" i="704" s="1"/>
  <c r="Y34" i="704"/>
  <c r="M59" i="703"/>
  <c r="P59" i="703" s="1"/>
  <c r="T59" i="703"/>
  <c r="T51" i="702"/>
  <c r="M51" i="702"/>
  <c r="P51" i="702" s="1"/>
  <c r="K25" i="704"/>
  <c r="K26" i="704"/>
  <c r="K23" i="704"/>
  <c r="K24" i="704"/>
  <c r="U16" i="708"/>
  <c r="AC8" i="707"/>
  <c r="P17" i="707"/>
  <c r="K21" i="706"/>
  <c r="Z17" i="708"/>
  <c r="AO12" i="705"/>
  <c r="AP12" i="705"/>
  <c r="S20" i="706"/>
  <c r="M64" i="701"/>
  <c r="P64" i="701" s="1"/>
  <c r="T64" i="701"/>
  <c r="W60" i="704"/>
  <c r="AA60" i="704" s="1"/>
  <c r="I71" i="346"/>
  <c r="I37" i="346" s="1"/>
  <c r="D15" i="52"/>
  <c r="N37" i="702"/>
  <c r="M35" i="4"/>
  <c r="M66" i="704"/>
  <c r="P66" i="704" s="1"/>
  <c r="T66" i="704"/>
  <c r="J30" i="701"/>
  <c r="J31" i="701"/>
  <c r="J32" i="701"/>
  <c r="J29" i="701"/>
  <c r="J40" i="701"/>
  <c r="AD8" i="705"/>
  <c r="T66" i="702"/>
  <c r="W66" i="702" s="1"/>
  <c r="AA66" i="702" s="1"/>
  <c r="M66" i="702"/>
  <c r="P66" i="702" s="1"/>
  <c r="I21" i="706"/>
  <c r="C7" i="414" s="1"/>
  <c r="J17" i="708"/>
  <c r="R22" i="706"/>
  <c r="D20" i="52"/>
  <c r="J20" i="52" s="1"/>
  <c r="W59" i="702"/>
  <c r="AA59" i="702" s="1"/>
  <c r="U23" i="704"/>
  <c r="U25" i="704"/>
  <c r="U26" i="704"/>
  <c r="U24" i="704"/>
  <c r="O29" i="4"/>
  <c r="D6" i="51" s="1"/>
  <c r="D15" i="51" s="1"/>
  <c r="O32" i="4"/>
  <c r="D9" i="51" s="1"/>
  <c r="D16" i="51" s="1"/>
  <c r="O30" i="4"/>
  <c r="D7" i="51" s="1"/>
  <c r="D14" i="51" s="1"/>
  <c r="O31" i="4"/>
  <c r="D8" i="51" s="1"/>
  <c r="D13" i="51" s="1"/>
  <c r="W49" i="346"/>
  <c r="AA49" i="346" s="1"/>
  <c r="AB49" i="346" s="1"/>
  <c r="I71" i="715"/>
  <c r="AO18" i="346"/>
  <c r="I59" i="706"/>
  <c r="I25" i="706" s="1"/>
  <c r="AC22" i="706"/>
  <c r="AC21" i="706"/>
  <c r="F14" i="739" s="1"/>
  <c r="AC23" i="706"/>
  <c r="AC20" i="706"/>
  <c r="AC31" i="706"/>
  <c r="AA21" i="706"/>
  <c r="Y24" i="705"/>
  <c r="Y29" i="705" s="1"/>
  <c r="I17" i="707"/>
  <c r="X34" i="705"/>
  <c r="L16" i="708"/>
  <c r="W49" i="932"/>
  <c r="AA49" i="932" s="1"/>
  <c r="F79" i="706"/>
  <c r="J9" i="52"/>
  <c r="D9" i="351"/>
  <c r="D16" i="351" s="1"/>
  <c r="X31" i="346"/>
  <c r="X36" i="346" s="1"/>
  <c r="X29" i="346"/>
  <c r="X34" i="346" s="1"/>
  <c r="X32" i="346"/>
  <c r="X37" i="346" s="1"/>
  <c r="X30" i="346"/>
  <c r="X35" i="346" s="1"/>
  <c r="X40" i="346"/>
  <c r="T50" i="932"/>
  <c r="W50" i="932" s="1"/>
  <c r="AA50" i="932" s="1"/>
  <c r="X22" i="706"/>
  <c r="X27" i="706" s="1"/>
  <c r="Q16" i="708"/>
  <c r="X17" i="708"/>
  <c r="U21" i="706"/>
  <c r="M63" i="346"/>
  <c r="P63" i="346" s="1"/>
  <c r="T63" i="346"/>
  <c r="W63" i="346" s="1"/>
  <c r="AA63" i="346" s="1"/>
  <c r="Z31" i="346"/>
  <c r="Z29" i="346"/>
  <c r="Z32" i="346"/>
  <c r="Z30" i="346"/>
  <c r="Z40" i="346"/>
  <c r="J11" i="52"/>
  <c r="C15" i="351"/>
  <c r="J22" i="52"/>
  <c r="M29" i="701"/>
  <c r="M32" i="701"/>
  <c r="M31" i="701"/>
  <c r="M30" i="701"/>
  <c r="M47" i="708"/>
  <c r="P47" i="708" s="1"/>
  <c r="T47" i="708"/>
  <c r="V20" i="708"/>
  <c r="W44" i="706"/>
  <c r="T53" i="702"/>
  <c r="W53" i="702" s="1"/>
  <c r="AA53" i="702" s="1"/>
  <c r="M53" i="702"/>
  <c r="P53" i="702" s="1"/>
  <c r="AP22" i="346"/>
  <c r="AQ22" i="346"/>
  <c r="I25" i="703"/>
  <c r="I27" i="703"/>
  <c r="I24" i="703"/>
  <c r="I26" i="703"/>
  <c r="W55" i="346"/>
  <c r="AA55" i="346" s="1"/>
  <c r="AB55" i="346" s="1"/>
  <c r="P25" i="703"/>
  <c r="T65" i="702"/>
  <c r="M65" i="702"/>
  <c r="P65" i="702" s="1"/>
  <c r="I31" i="4"/>
  <c r="I29" i="4"/>
  <c r="I32" i="4"/>
  <c r="I30" i="4"/>
  <c r="W58" i="702"/>
  <c r="AA58" i="702" s="1"/>
  <c r="K29" i="701"/>
  <c r="K32" i="701"/>
  <c r="K30" i="701"/>
  <c r="K31" i="701"/>
  <c r="K40" i="701"/>
  <c r="N21" i="706"/>
  <c r="T53" i="932"/>
  <c r="M53" i="932"/>
  <c r="P53" i="932" s="1"/>
  <c r="E8" i="414"/>
  <c r="E13" i="414" s="1"/>
  <c r="M62" i="704"/>
  <c r="P62" i="704" s="1"/>
  <c r="T62" i="704"/>
  <c r="W62" i="704" s="1"/>
  <c r="AA62" i="704" s="1"/>
  <c r="T52" i="703"/>
  <c r="M52" i="703"/>
  <c r="P52" i="703" s="1"/>
  <c r="C8" i="984"/>
  <c r="C13" i="984" s="1"/>
  <c r="C6" i="984"/>
  <c r="C9" i="984"/>
  <c r="C16" i="984" s="1"/>
  <c r="C7" i="984"/>
  <c r="L31" i="706"/>
  <c r="P17" i="708"/>
  <c r="AA26" i="705"/>
  <c r="E7" i="985"/>
  <c r="AD37" i="704"/>
  <c r="L30" i="702"/>
  <c r="L31" i="702"/>
  <c r="L32" i="702"/>
  <c r="L29" i="702"/>
  <c r="L40" i="702"/>
  <c r="N26" i="706"/>
  <c r="M52" i="932"/>
  <c r="P52" i="932" s="1"/>
  <c r="T52" i="932"/>
  <c r="Z17" i="707"/>
  <c r="Z20" i="707"/>
  <c r="Z18" i="707"/>
  <c r="Z19" i="707"/>
  <c r="Z28" i="707"/>
  <c r="T56" i="932"/>
  <c r="M56" i="932"/>
  <c r="P56" i="932" s="1"/>
  <c r="P36" i="708"/>
  <c r="M59" i="708"/>
  <c r="M23" i="708" s="1"/>
  <c r="M57" i="708"/>
  <c r="M21" i="708" s="1"/>
  <c r="T16" i="708"/>
  <c r="E6" i="414"/>
  <c r="T52" i="702"/>
  <c r="W52" i="702" s="1"/>
  <c r="AA52" i="702" s="1"/>
  <c r="M52" i="702"/>
  <c r="P52" i="702" s="1"/>
  <c r="T46" i="703"/>
  <c r="M46" i="703"/>
  <c r="P46" i="703" s="1"/>
  <c r="T65" i="346"/>
  <c r="M65" i="346"/>
  <c r="P65" i="346" s="1"/>
  <c r="U22" i="708"/>
  <c r="Z25" i="703"/>
  <c r="Z27" i="703"/>
  <c r="Z24" i="703"/>
  <c r="Z26" i="703"/>
  <c r="Z35" i="703"/>
  <c r="J10" i="52"/>
  <c r="S30" i="4"/>
  <c r="S31" i="4"/>
  <c r="S29" i="4"/>
  <c r="S32" i="4"/>
  <c r="S35" i="4"/>
  <c r="N31" i="701"/>
  <c r="N34" i="701"/>
  <c r="N35" i="701"/>
  <c r="N29" i="701"/>
  <c r="N37" i="701" s="1"/>
  <c r="N32" i="701"/>
  <c r="N36" i="701"/>
  <c r="N30" i="701"/>
  <c r="N40" i="701"/>
  <c r="W31" i="701"/>
  <c r="W29" i="701"/>
  <c r="W32" i="701"/>
  <c r="W30" i="701"/>
  <c r="AQ18" i="701" s="1"/>
  <c r="M54" i="705"/>
  <c r="P54" i="705" s="1"/>
  <c r="T54" i="705"/>
  <c r="T61" i="346"/>
  <c r="M61" i="346"/>
  <c r="P61" i="346" s="1"/>
  <c r="M53" i="704"/>
  <c r="P53" i="704" s="1"/>
  <c r="T53" i="704"/>
  <c r="D18" i="778"/>
  <c r="AH43" i="704"/>
  <c r="W59" i="346"/>
  <c r="AA59" i="346" s="1"/>
  <c r="AB59" i="346" s="1"/>
  <c r="I17" i="708"/>
  <c r="O22" i="706"/>
  <c r="T22" i="706"/>
  <c r="O17" i="708"/>
  <c r="O23" i="708" s="1"/>
  <c r="AD8" i="707"/>
  <c r="T17" i="707"/>
  <c r="AA23" i="705"/>
  <c r="AA29" i="701"/>
  <c r="AA32" i="701"/>
  <c r="AA30" i="701"/>
  <c r="AA31" i="701"/>
  <c r="I56" i="707"/>
  <c r="I57" i="707"/>
  <c r="T35" i="707"/>
  <c r="I58" i="707"/>
  <c r="I59" i="707"/>
  <c r="M35" i="707"/>
  <c r="O35" i="4"/>
  <c r="D10" i="51"/>
  <c r="T20" i="706"/>
  <c r="L22" i="706"/>
  <c r="Z26" i="708"/>
  <c r="Z29" i="708"/>
  <c r="Y40" i="702"/>
  <c r="P16" i="708"/>
  <c r="AA25" i="705"/>
  <c r="M61" i="701"/>
  <c r="P61" i="701" s="1"/>
  <c r="T61" i="701"/>
  <c r="Q31" i="4"/>
  <c r="Q29" i="4"/>
  <c r="Q32" i="4"/>
  <c r="Q30" i="4"/>
  <c r="AC8" i="702"/>
  <c r="P32" i="702"/>
  <c r="P29" i="702"/>
  <c r="P31" i="702"/>
  <c r="P30" i="702"/>
  <c r="I61" i="715"/>
  <c r="Q31" i="702"/>
  <c r="Q32" i="702"/>
  <c r="Q29" i="702"/>
  <c r="Q30" i="702"/>
  <c r="Q40" i="702"/>
  <c r="X23" i="4"/>
  <c r="O23" i="706"/>
  <c r="AD20" i="706"/>
  <c r="AD22" i="706"/>
  <c r="AD21" i="706"/>
  <c r="G14" i="739" s="1"/>
  <c r="AD23" i="706"/>
  <c r="AD31" i="706"/>
  <c r="L20" i="706"/>
  <c r="I63" i="705"/>
  <c r="I64" i="705"/>
  <c r="I65" i="705"/>
  <c r="M41" i="705"/>
  <c r="M34" i="705" s="1"/>
  <c r="T41" i="705"/>
  <c r="T34" i="705" s="1"/>
  <c r="I62" i="705"/>
  <c r="R17" i="708"/>
  <c r="M50" i="705"/>
  <c r="P50" i="705" s="1"/>
  <c r="T50" i="705"/>
  <c r="AC23" i="932"/>
  <c r="P15" i="708"/>
  <c r="Y18" i="4"/>
  <c r="T51" i="701"/>
  <c r="W51" i="701" s="1"/>
  <c r="AA51" i="701" s="1"/>
  <c r="M51" i="701"/>
  <c r="P51" i="701" s="1"/>
  <c r="S23" i="704"/>
  <c r="S25" i="704"/>
  <c r="S26" i="704"/>
  <c r="S24" i="704"/>
  <c r="M63" i="701"/>
  <c r="P63" i="701" s="1"/>
  <c r="T63" i="701"/>
  <c r="M46" i="708"/>
  <c r="P46" i="708" s="1"/>
  <c r="T46" i="708"/>
  <c r="W46" i="708" s="1"/>
  <c r="V20" i="706"/>
  <c r="J21" i="706"/>
  <c r="T61" i="932"/>
  <c r="M61" i="932"/>
  <c r="P61" i="932" s="1"/>
  <c r="Z20" i="706"/>
  <c r="W61" i="702"/>
  <c r="AA61" i="702" s="1"/>
  <c r="H15" i="52"/>
  <c r="W48" i="706"/>
  <c r="N31" i="706"/>
  <c r="T18" i="708"/>
  <c r="AD12" i="708"/>
  <c r="AD16" i="708" s="1"/>
  <c r="X28" i="932"/>
  <c r="X33" i="932" s="1"/>
  <c r="X29" i="932"/>
  <c r="X34" i="932" s="1"/>
  <c r="X30" i="932"/>
  <c r="X35" i="932" s="1"/>
  <c r="X31" i="932"/>
  <c r="X36" i="932" s="1"/>
  <c r="X39" i="932"/>
  <c r="W50" i="346"/>
  <c r="AA50" i="346" s="1"/>
  <c r="AB50" i="346" s="1"/>
  <c r="AO14" i="701"/>
  <c r="AP14" i="701"/>
  <c r="U15" i="708"/>
  <c r="U23" i="708" s="1"/>
  <c r="Y18" i="708"/>
  <c r="K22" i="706"/>
  <c r="Z16" i="708"/>
  <c r="T65" i="932"/>
  <c r="M65" i="932"/>
  <c r="P65" i="932" s="1"/>
  <c r="S23" i="706"/>
  <c r="X32" i="702"/>
  <c r="X37" i="702" s="1"/>
  <c r="X29" i="702"/>
  <c r="X34" i="702" s="1"/>
  <c r="X31" i="702"/>
  <c r="X36" i="702" s="1"/>
  <c r="X30" i="702"/>
  <c r="X35" i="702" s="1"/>
  <c r="X40" i="702"/>
  <c r="AD12" i="703"/>
  <c r="F24" i="52"/>
  <c r="J24" i="52" s="1"/>
  <c r="AD22" i="932"/>
  <c r="M62" i="701"/>
  <c r="P62" i="701" s="1"/>
  <c r="T62" i="701"/>
  <c r="W62" i="701" s="1"/>
  <c r="AA62" i="701" s="1"/>
  <c r="N24" i="703"/>
  <c r="N26" i="703"/>
  <c r="N27" i="703"/>
  <c r="N25" i="703"/>
  <c r="Y25" i="4"/>
  <c r="M50" i="704"/>
  <c r="P50" i="704" s="1"/>
  <c r="T50" i="704"/>
  <c r="T48" i="932"/>
  <c r="M48" i="932"/>
  <c r="P48" i="932" s="1"/>
  <c r="M58" i="932"/>
  <c r="P58" i="932" s="1"/>
  <c r="T58" i="932"/>
  <c r="O17" i="707"/>
  <c r="R29" i="708"/>
  <c r="R26" i="708"/>
  <c r="AC13" i="708"/>
  <c r="J16" i="708"/>
  <c r="G24" i="52"/>
  <c r="AD23" i="932"/>
  <c r="S25" i="703"/>
  <c r="S27" i="703"/>
  <c r="S24" i="703"/>
  <c r="S26" i="703"/>
  <c r="S29" i="701"/>
  <c r="S32" i="701"/>
  <c r="S30" i="701"/>
  <c r="S31" i="701"/>
  <c r="S40" i="701"/>
  <c r="AN27" i="701"/>
  <c r="AD14" i="701"/>
  <c r="I69" i="701"/>
  <c r="I35" i="701" s="1"/>
  <c r="M47" i="701"/>
  <c r="T47" i="701"/>
  <c r="I70" i="701"/>
  <c r="I36" i="701" s="1"/>
  <c r="I71" i="701"/>
  <c r="I37" i="701" s="1"/>
  <c r="I68" i="701"/>
  <c r="I34" i="701" s="1"/>
  <c r="I40" i="701"/>
  <c r="AD18" i="701"/>
  <c r="I62" i="706"/>
  <c r="I28" i="706" s="1"/>
  <c r="AC12" i="708"/>
  <c r="N16" i="708"/>
  <c r="T44" i="708"/>
  <c r="W44" i="708" s="1"/>
  <c r="M44" i="708"/>
  <c r="P44" i="708" s="1"/>
  <c r="W18" i="708"/>
  <c r="W17" i="707"/>
  <c r="Y26" i="705"/>
  <c r="Y31" i="705" s="1"/>
  <c r="Q31" i="706"/>
  <c r="X24" i="705"/>
  <c r="X29" i="705" s="1"/>
  <c r="L15" i="708"/>
  <c r="F75" i="706"/>
  <c r="F71" i="706"/>
  <c r="M18" i="708"/>
  <c r="D8" i="52"/>
  <c r="J8" i="52" s="1"/>
  <c r="AA24" i="703"/>
  <c r="Y28" i="707"/>
  <c r="W45" i="707"/>
  <c r="AA45" i="707" s="1"/>
  <c r="X20" i="706"/>
  <c r="X25" i="706" s="1"/>
  <c r="Q18" i="708"/>
  <c r="X16" i="708"/>
  <c r="T24" i="704"/>
  <c r="U20" i="706"/>
  <c r="U28" i="706" s="1"/>
  <c r="J25" i="52"/>
  <c r="H8" i="411"/>
  <c r="H13" i="411" s="1"/>
  <c r="H9" i="411"/>
  <c r="H16" i="411" s="1"/>
  <c r="H6" i="411"/>
  <c r="M66" i="701"/>
  <c r="P66" i="701" s="1"/>
  <c r="T66" i="701"/>
  <c r="M63" i="704"/>
  <c r="P63" i="704" s="1"/>
  <c r="T63" i="704"/>
  <c r="M60" i="932"/>
  <c r="P60" i="932" s="1"/>
  <c r="T60" i="932"/>
  <c r="P27" i="703"/>
  <c r="W49" i="706"/>
  <c r="M57" i="704"/>
  <c r="P57" i="704" s="1"/>
  <c r="T57" i="704"/>
  <c r="G6" i="411"/>
  <c r="G7" i="411"/>
  <c r="G9" i="411"/>
  <c r="G16" i="411" s="1"/>
  <c r="G8" i="411"/>
  <c r="G13" i="411" s="1"/>
  <c r="AP13" i="705"/>
  <c r="AO13" i="705"/>
  <c r="J17" i="707"/>
  <c r="T54" i="932"/>
  <c r="M54" i="932"/>
  <c r="P54" i="932" s="1"/>
  <c r="AP13" i="346"/>
  <c r="AQ13" i="346"/>
  <c r="M48" i="703"/>
  <c r="P48" i="703" s="1"/>
  <c r="T48" i="703"/>
  <c r="T47" i="707"/>
  <c r="M47" i="707"/>
  <c r="P47" i="707" s="1"/>
  <c r="I70" i="346"/>
  <c r="I36" i="346" s="1"/>
  <c r="S30" i="702"/>
  <c r="S31" i="702"/>
  <c r="S32" i="702"/>
  <c r="S29" i="702"/>
  <c r="S40" i="702"/>
  <c r="AO22" i="701"/>
  <c r="AP22" i="701"/>
  <c r="M47" i="703"/>
  <c r="P47" i="703" s="1"/>
  <c r="T47" i="703"/>
  <c r="R25" i="703"/>
  <c r="R27" i="703"/>
  <c r="R24" i="703"/>
  <c r="R26" i="703"/>
  <c r="M25" i="703"/>
  <c r="M27" i="703"/>
  <c r="M24" i="703"/>
  <c r="M26" i="703"/>
  <c r="T51" i="346"/>
  <c r="M51" i="346"/>
  <c r="P51" i="346" s="1"/>
  <c r="AD8" i="346"/>
  <c r="W51" i="705"/>
  <c r="AA51" i="705" s="1"/>
  <c r="T30" i="4"/>
  <c r="T31" i="4"/>
  <c r="T29" i="4"/>
  <c r="T32" i="4"/>
  <c r="P26" i="703"/>
  <c r="E31" i="786"/>
  <c r="E31" i="840"/>
  <c r="AA37" i="708"/>
  <c r="J14" i="52"/>
  <c r="D18" i="52"/>
  <c r="W32" i="702"/>
  <c r="W29" i="702"/>
  <c r="W30" i="702"/>
  <c r="W31" i="702"/>
  <c r="J31" i="4"/>
  <c r="J29" i="4"/>
  <c r="J32" i="4"/>
  <c r="J30" i="4"/>
  <c r="J26" i="708"/>
  <c r="J29" i="708"/>
  <c r="AQ12" i="705"/>
  <c r="Z23" i="706"/>
  <c r="N26" i="704"/>
  <c r="AD8" i="703"/>
  <c r="T24" i="703"/>
  <c r="T26" i="703"/>
  <c r="T25" i="703"/>
  <c r="T27" i="703"/>
  <c r="O24" i="704"/>
  <c r="O25" i="704"/>
  <c r="O26" i="704"/>
  <c r="O23" i="704"/>
  <c r="X18" i="4"/>
  <c r="M57" i="703"/>
  <c r="P57" i="703" s="1"/>
  <c r="T57" i="703"/>
  <c r="V24" i="703"/>
  <c r="V26" i="703"/>
  <c r="V25" i="703"/>
  <c r="V27" i="703"/>
  <c r="AP18" i="346"/>
  <c r="AQ18" i="346"/>
  <c r="T65" i="701"/>
  <c r="M65" i="701"/>
  <c r="P65" i="701" s="1"/>
  <c r="N20" i="706"/>
  <c r="I57" i="708"/>
  <c r="I21" i="708" s="1"/>
  <c r="N23" i="708"/>
  <c r="T17" i="708"/>
  <c r="AC14" i="701"/>
  <c r="J7" i="52"/>
  <c r="AD12" i="701"/>
  <c r="T60" i="703"/>
  <c r="M60" i="703"/>
  <c r="P60" i="703" s="1"/>
  <c r="M23" i="704"/>
  <c r="M24" i="704"/>
  <c r="M25" i="704"/>
  <c r="M26" i="704"/>
  <c r="T39" i="708"/>
  <c r="T56" i="708" s="1"/>
  <c r="T20" i="708" s="1"/>
  <c r="M39" i="708"/>
  <c r="M56" i="708" s="1"/>
  <c r="M20" i="708" s="1"/>
  <c r="Y17" i="708"/>
  <c r="W55" i="703"/>
  <c r="AA55" i="703" s="1"/>
  <c r="T47" i="346"/>
  <c r="Q25" i="703"/>
  <c r="Q27" i="703"/>
  <c r="Q24" i="703"/>
  <c r="Q26" i="703"/>
  <c r="Y31" i="346"/>
  <c r="Y36" i="346" s="1"/>
  <c r="Y30" i="346"/>
  <c r="Y35" i="346" s="1"/>
  <c r="Y29" i="346"/>
  <c r="Y34" i="346" s="1"/>
  <c r="Y32" i="346"/>
  <c r="Y37" i="346" s="1"/>
  <c r="Y40" i="346"/>
  <c r="U25" i="703"/>
  <c r="U27" i="703"/>
  <c r="U24" i="703"/>
  <c r="U26" i="703"/>
  <c r="AD18" i="704"/>
  <c r="AD12" i="346"/>
  <c r="T46" i="932"/>
  <c r="I69" i="932"/>
  <c r="M46" i="932"/>
  <c r="I68" i="932"/>
  <c r="I70" i="932"/>
  <c r="I67" i="932"/>
  <c r="AD18" i="932"/>
  <c r="M29" i="702"/>
  <c r="M30" i="702"/>
  <c r="M31" i="702"/>
  <c r="M32" i="702"/>
  <c r="AN27" i="702"/>
  <c r="L35" i="4"/>
  <c r="H8" i="52"/>
  <c r="AA28" i="932"/>
  <c r="AA29" i="932"/>
  <c r="AA30" i="932"/>
  <c r="AA31" i="932"/>
  <c r="I69" i="704"/>
  <c r="I70" i="704"/>
  <c r="I71" i="704"/>
  <c r="M47" i="704"/>
  <c r="T47" i="704"/>
  <c r="I68" i="704"/>
  <c r="R31" i="4"/>
  <c r="R29" i="4"/>
  <c r="R32" i="4"/>
  <c r="R30" i="4"/>
  <c r="M52" i="701"/>
  <c r="P52" i="701" s="1"/>
  <c r="T52" i="701"/>
  <c r="I61" i="706"/>
  <c r="I27" i="706" s="1"/>
  <c r="M21" i="706"/>
  <c r="W17" i="708"/>
  <c r="X31" i="701"/>
  <c r="X36" i="701" s="1"/>
  <c r="X29" i="701"/>
  <c r="X34" i="701" s="1"/>
  <c r="X32" i="701"/>
  <c r="X37" i="701" s="1"/>
  <c r="X30" i="701"/>
  <c r="X35" i="701" s="1"/>
  <c r="X40" i="701"/>
  <c r="R30" i="701"/>
  <c r="R31" i="701"/>
  <c r="R32" i="701"/>
  <c r="R29" i="701"/>
  <c r="R40" i="701"/>
  <c r="Y23" i="705"/>
  <c r="Y28" i="705" s="1"/>
  <c r="Q22" i="706"/>
  <c r="X26" i="705"/>
  <c r="X31" i="705" s="1"/>
  <c r="L18" i="708"/>
  <c r="F73" i="706"/>
  <c r="F78" i="706"/>
  <c r="Y19" i="707"/>
  <c r="T46" i="705"/>
  <c r="W46" i="705" s="1"/>
  <c r="AA46" i="705" s="1"/>
  <c r="H24" i="52"/>
  <c r="H27" i="52" s="1"/>
  <c r="J35" i="4"/>
  <c r="X23" i="706"/>
  <c r="X28" i="706" s="1"/>
  <c r="T26" i="704"/>
  <c r="U17" i="707"/>
  <c r="U25" i="707" s="1"/>
  <c r="U31" i="706"/>
  <c r="AN25" i="932"/>
  <c r="AN26" i="701"/>
  <c r="AO12" i="701"/>
  <c r="AP12" i="701"/>
  <c r="N17" i="707"/>
  <c r="N25" i="707" s="1"/>
  <c r="J17" i="52"/>
  <c r="M58" i="703"/>
  <c r="P58" i="703" s="1"/>
  <c r="T58" i="703"/>
  <c r="M65" i="704"/>
  <c r="P65" i="704" s="1"/>
  <c r="T65" i="704"/>
  <c r="M52" i="346"/>
  <c r="P52" i="346" s="1"/>
  <c r="T52" i="346"/>
  <c r="AA30" i="346"/>
  <c r="AA31" i="346"/>
  <c r="AA29" i="346"/>
  <c r="AA32" i="346"/>
  <c r="I58" i="708"/>
  <c r="I22" i="708" s="1"/>
  <c r="AC18" i="932"/>
  <c r="E19" i="52"/>
  <c r="E27" i="52" s="1"/>
  <c r="W56" i="701"/>
  <c r="AA56" i="701" s="1"/>
  <c r="T30" i="702"/>
  <c r="AD8" i="702"/>
  <c r="T31" i="702"/>
  <c r="T32" i="702"/>
  <c r="T29" i="702"/>
  <c r="W45" i="703"/>
  <c r="AA45" i="703" s="1"/>
  <c r="X10" i="4"/>
  <c r="V24" i="704"/>
  <c r="V23" i="704"/>
  <c r="V26" i="704"/>
  <c r="V25" i="704"/>
  <c r="AO13" i="701"/>
  <c r="AP13" i="701"/>
  <c r="T29" i="701"/>
  <c r="T32" i="701"/>
  <c r="T30" i="701"/>
  <c r="T31" i="701"/>
  <c r="AD8" i="701"/>
  <c r="T63" i="932"/>
  <c r="M63" i="932"/>
  <c r="P63" i="932" s="1"/>
  <c r="I69" i="346"/>
  <c r="I35" i="346" s="1"/>
  <c r="AN30" i="932"/>
  <c r="AN31" i="932"/>
  <c r="AD14" i="703"/>
  <c r="T62" i="702"/>
  <c r="W62" i="702" s="1"/>
  <c r="AA62" i="702" s="1"/>
  <c r="M62" i="702"/>
  <c r="P62" i="702" s="1"/>
  <c r="B10" i="51"/>
  <c r="B17" i="51"/>
  <c r="M52" i="704"/>
  <c r="P52" i="704" s="1"/>
  <c r="T52" i="704"/>
  <c r="Z25" i="705"/>
  <c r="Z23" i="705"/>
  <c r="Z26" i="705"/>
  <c r="Z24" i="705"/>
  <c r="Z34" i="705"/>
  <c r="L24" i="703"/>
  <c r="L26" i="703"/>
  <c r="L27" i="703"/>
  <c r="L25" i="703"/>
  <c r="J25" i="703"/>
  <c r="J27" i="703"/>
  <c r="J24" i="703"/>
  <c r="J26" i="703"/>
  <c r="M61" i="704"/>
  <c r="P61" i="704" s="1"/>
  <c r="T61" i="704"/>
  <c r="W38" i="706"/>
  <c r="T31" i="706"/>
  <c r="AC8" i="705"/>
  <c r="K29" i="708"/>
  <c r="K26" i="708"/>
  <c r="S26" i="708"/>
  <c r="S29" i="708"/>
  <c r="T36" i="707"/>
  <c r="M36" i="707"/>
  <c r="P36" i="707" s="1"/>
  <c r="D7" i="984"/>
  <c r="D8" i="984"/>
  <c r="D13" i="984" s="1"/>
  <c r="D9" i="984"/>
  <c r="D16" i="984" s="1"/>
  <c r="D6" i="984"/>
  <c r="D15" i="984" s="1"/>
  <c r="H31" i="4"/>
  <c r="C8" i="51" s="1"/>
  <c r="C13" i="51" s="1"/>
  <c r="H29" i="4"/>
  <c r="C6" i="51" s="1"/>
  <c r="C15" i="51" s="1"/>
  <c r="H32" i="4"/>
  <c r="C9" i="51" s="1"/>
  <c r="C16" i="51" s="1"/>
  <c r="H30" i="4"/>
  <c r="C7" i="51" s="1"/>
  <c r="C14" i="51" s="1"/>
  <c r="Q30" i="701"/>
  <c r="Q31" i="701"/>
  <c r="Q29" i="701"/>
  <c r="Q32" i="701"/>
  <c r="Q40" i="701"/>
  <c r="G8" i="517"/>
  <c r="G15" i="517" s="1"/>
  <c r="F70" i="706"/>
  <c r="AC31" i="346"/>
  <c r="AC32" i="346"/>
  <c r="AC29" i="346"/>
  <c r="AC40" i="346"/>
  <c r="AN24" i="932"/>
  <c r="AN28" i="932" s="1"/>
  <c r="D17" i="840" a="1"/>
  <c r="D14" i="729" a="1"/>
  <c r="C28" i="881" a="1"/>
  <c r="H31" i="881" a="1"/>
  <c r="D30" i="881" a="1"/>
  <c r="C30" i="881" a="1"/>
  <c r="D16" i="715" a="1"/>
  <c r="D31" i="881" a="1"/>
  <c r="D17" i="715" a="1"/>
  <c r="G29" i="881" a="1"/>
  <c r="J29" i="881" a="1"/>
  <c r="G17" i="731" a="1"/>
  <c r="F30" i="881" a="1"/>
  <c r="D14" i="715" a="1"/>
  <c r="H30" i="881" a="1"/>
  <c r="G31" i="881" a="1"/>
  <c r="D17" i="730" a="1"/>
  <c r="E31" i="881" a="1"/>
  <c r="F28" i="881" a="1"/>
  <c r="G30" i="881" a="1"/>
  <c r="D17" i="778" a="1"/>
  <c r="D17" i="729" a="1"/>
  <c r="F31" i="881" a="1"/>
  <c r="H28" i="881" a="1"/>
  <c r="C31" i="881" a="1"/>
  <c r="D15" i="730" a="1"/>
  <c r="D16" i="730" a="1"/>
  <c r="E29" i="881" a="1"/>
  <c r="D15" i="729" a="1"/>
  <c r="C29" i="881" a="1"/>
  <c r="M28" i="881" a="1"/>
  <c r="G28" i="881" a="1"/>
  <c r="D17" i="786" a="1"/>
  <c r="E30" i="881" a="1"/>
  <c r="J31" i="881" a="1"/>
  <c r="D16" i="729" a="1"/>
  <c r="F29" i="881" a="1"/>
  <c r="M29" i="881" a="1"/>
  <c r="J28" i="881" a="1"/>
  <c r="D15" i="715" a="1"/>
  <c r="D28" i="881" a="1"/>
  <c r="M30" i="881" a="1"/>
  <c r="F6" i="739" a="1"/>
  <c r="D14" i="730" a="1"/>
  <c r="D29" i="881" a="1"/>
  <c r="E28" i="881" a="1"/>
  <c r="C14" i="351" l="1"/>
  <c r="D15" i="351"/>
  <c r="N40" i="346"/>
  <c r="N29" i="346"/>
  <c r="N32" i="346"/>
  <c r="N31" i="346"/>
  <c r="N36" i="346"/>
  <c r="N34" i="346"/>
  <c r="N30" i="346"/>
  <c r="N35" i="346"/>
  <c r="U36" i="346"/>
  <c r="U31" i="346"/>
  <c r="U29" i="346"/>
  <c r="U35" i="346"/>
  <c r="U34" i="346"/>
  <c r="U32" i="346"/>
  <c r="U30" i="346"/>
  <c r="U40" i="346"/>
  <c r="C19" i="351"/>
  <c r="T62" i="346"/>
  <c r="T70" i="346" s="1"/>
  <c r="T36" i="346" s="1"/>
  <c r="M62" i="346"/>
  <c r="P62" i="346" s="1"/>
  <c r="P40" i="346" s="1"/>
  <c r="W51" i="346"/>
  <c r="AA51" i="346" s="1"/>
  <c r="AB51" i="346" s="1"/>
  <c r="N31" i="704"/>
  <c r="U31" i="704"/>
  <c r="E9" i="985"/>
  <c r="E16" i="985" s="1"/>
  <c r="T34" i="704"/>
  <c r="T36" i="704"/>
  <c r="T38" i="704"/>
  <c r="M38" i="704"/>
  <c r="M34" i="704"/>
  <c r="M36" i="704"/>
  <c r="E8" i="985"/>
  <c r="E13" i="985" s="1"/>
  <c r="AD30" i="932"/>
  <c r="M39" i="932"/>
  <c r="W53" i="932"/>
  <c r="AA53" i="932" s="1"/>
  <c r="T39" i="932"/>
  <c r="V23" i="708"/>
  <c r="F15" i="411"/>
  <c r="W51" i="932"/>
  <c r="AA51" i="932" s="1"/>
  <c r="W63" i="932"/>
  <c r="AA63" i="932" s="1"/>
  <c r="W52" i="932"/>
  <c r="AA52" i="932" s="1"/>
  <c r="W64" i="932"/>
  <c r="AA64" i="932" s="1"/>
  <c r="W54" i="932"/>
  <c r="AA54" i="932" s="1"/>
  <c r="M28" i="707"/>
  <c r="T28" i="707"/>
  <c r="AA43" i="707"/>
  <c r="W50" i="705"/>
  <c r="AA50" i="705" s="1"/>
  <c r="W54" i="705"/>
  <c r="AA54" i="705" s="1"/>
  <c r="C15" i="984"/>
  <c r="W47" i="703"/>
  <c r="AA47" i="703" s="1"/>
  <c r="AC25" i="703"/>
  <c r="W59" i="703"/>
  <c r="AA59" i="703" s="1"/>
  <c r="W57" i="703"/>
  <c r="AA57" i="703" s="1"/>
  <c r="W61" i="703"/>
  <c r="AA61" i="703" s="1"/>
  <c r="W36" i="707"/>
  <c r="AA36" i="707" s="1"/>
  <c r="M30" i="881"/>
  <c r="M37" i="881" s="1"/>
  <c r="AN24" i="704"/>
  <c r="AK24" i="704"/>
  <c r="D8" i="517"/>
  <c r="D15" i="517" s="1"/>
  <c r="W61" i="704"/>
  <c r="AA61" i="704" s="1"/>
  <c r="W53" i="704"/>
  <c r="AA53" i="704" s="1"/>
  <c r="D6" i="517"/>
  <c r="D17" i="517" s="1"/>
  <c r="G17" i="731"/>
  <c r="G24" i="731" s="1"/>
  <c r="D17" i="840"/>
  <c r="D24" i="840" s="1"/>
  <c r="D17" i="778"/>
  <c r="D24" i="778" s="1"/>
  <c r="D17" i="786"/>
  <c r="D24" i="786" s="1"/>
  <c r="W52" i="704"/>
  <c r="AA52" i="704" s="1"/>
  <c r="W66" i="704"/>
  <c r="AA66" i="704" s="1"/>
  <c r="AD34" i="704"/>
  <c r="D15" i="985"/>
  <c r="W50" i="704"/>
  <c r="AA50" i="704" s="1"/>
  <c r="C15" i="985"/>
  <c r="T60" i="706"/>
  <c r="T26" i="706" s="1"/>
  <c r="W45" i="706"/>
  <c r="D23" i="731"/>
  <c r="I39" i="881"/>
  <c r="D30" i="881"/>
  <c r="D14" i="715"/>
  <c r="C28" i="881"/>
  <c r="J29" i="881"/>
  <c r="D29" i="881"/>
  <c r="F6" i="739"/>
  <c r="M28" i="881"/>
  <c r="D15" i="715"/>
  <c r="C29" i="881"/>
  <c r="D15" i="729"/>
  <c r="E29" i="881"/>
  <c r="J31" i="881"/>
  <c r="D16" i="730"/>
  <c r="D21" i="730" s="1"/>
  <c r="G30" i="881"/>
  <c r="G37" i="881" s="1"/>
  <c r="F28" i="881"/>
  <c r="D17" i="729"/>
  <c r="D24" i="729" s="1"/>
  <c r="E31" i="881"/>
  <c r="E40" i="881" s="1"/>
  <c r="D17" i="730"/>
  <c r="D24" i="730" s="1"/>
  <c r="G31" i="881"/>
  <c r="G40" i="881" s="1"/>
  <c r="H28" i="881"/>
  <c r="H30" i="881"/>
  <c r="F30" i="881"/>
  <c r="D14" i="729"/>
  <c r="E28" i="881"/>
  <c r="D14" i="730"/>
  <c r="G28" i="881"/>
  <c r="D28" i="881"/>
  <c r="J28" i="881"/>
  <c r="M29" i="881"/>
  <c r="F29" i="881"/>
  <c r="D16" i="729"/>
  <c r="D21" i="729" s="1"/>
  <c r="E30" i="881"/>
  <c r="E37" i="881" s="1"/>
  <c r="D15" i="730"/>
  <c r="G29" i="881"/>
  <c r="H56" i="881" s="1"/>
  <c r="H60" i="881" s="1"/>
  <c r="D17" i="715"/>
  <c r="D24" i="715" s="1"/>
  <c r="C31" i="881"/>
  <c r="C40" i="881" s="1"/>
  <c r="D31" i="881"/>
  <c r="D16" i="715"/>
  <c r="D21" i="715" s="1"/>
  <c r="C30" i="881"/>
  <c r="C37" i="881" s="1"/>
  <c r="F31" i="881"/>
  <c r="H31" i="881"/>
  <c r="AC26" i="703"/>
  <c r="W61" i="932"/>
  <c r="AA61" i="932" s="1"/>
  <c r="E6" i="351"/>
  <c r="AC26" i="708"/>
  <c r="T62" i="706"/>
  <c r="T28" i="706" s="1"/>
  <c r="AN29" i="932"/>
  <c r="W52" i="701"/>
  <c r="AA52" i="701" s="1"/>
  <c r="M67" i="932"/>
  <c r="M33" i="932" s="1"/>
  <c r="P46" i="932"/>
  <c r="M70" i="932"/>
  <c r="M36" i="932" s="1"/>
  <c r="M68" i="932"/>
  <c r="M34" i="932" s="1"/>
  <c r="M69" i="932"/>
  <c r="M35" i="932" s="1"/>
  <c r="AD29" i="346"/>
  <c r="AD32" i="346"/>
  <c r="AD30" i="346"/>
  <c r="AD31" i="346"/>
  <c r="AD40" i="346"/>
  <c r="W47" i="707"/>
  <c r="AA47" i="707" s="1"/>
  <c r="H7" i="411"/>
  <c r="H15" i="411" s="1"/>
  <c r="AN33" i="932"/>
  <c r="AP29" i="932"/>
  <c r="X43" i="932"/>
  <c r="W58" i="932"/>
  <c r="AA58" i="932" s="1"/>
  <c r="T56" i="707"/>
  <c r="T22" i="707" s="1"/>
  <c r="T59" i="707"/>
  <c r="T25" i="707" s="1"/>
  <c r="T57" i="707"/>
  <c r="T23" i="707" s="1"/>
  <c r="T58" i="707"/>
  <c r="T24" i="707" s="1"/>
  <c r="M29" i="708"/>
  <c r="C14" i="984"/>
  <c r="C19" i="984"/>
  <c r="W65" i="702"/>
  <c r="AA65" i="702" s="1"/>
  <c r="W47" i="708"/>
  <c r="W52" i="706"/>
  <c r="AD39" i="932"/>
  <c r="W64" i="701"/>
  <c r="AA64" i="701" s="1"/>
  <c r="AC19" i="707"/>
  <c r="AC20" i="707"/>
  <c r="AC18" i="707"/>
  <c r="AC17" i="707"/>
  <c r="AC28" i="707"/>
  <c r="W51" i="702"/>
  <c r="AA51" i="702" s="1"/>
  <c r="AQ31" i="346"/>
  <c r="D43" i="715" s="1"/>
  <c r="D48" i="715" s="1"/>
  <c r="AQ30" i="346"/>
  <c r="D42" i="715" s="1"/>
  <c r="AQ29" i="346"/>
  <c r="D41" i="715" s="1"/>
  <c r="AQ32" i="346"/>
  <c r="D44" i="715" s="1"/>
  <c r="D51" i="715" s="1"/>
  <c r="AD17" i="708"/>
  <c r="W54" i="706"/>
  <c r="C15" i="414"/>
  <c r="T58" i="708"/>
  <c r="T22" i="708" s="1"/>
  <c r="AP30" i="701"/>
  <c r="D42" i="729" s="1"/>
  <c r="AP31" i="701"/>
  <c r="D43" i="729" s="1"/>
  <c r="D48" i="729" s="1"/>
  <c r="AP29" i="701"/>
  <c r="D41" i="729" s="1"/>
  <c r="D50" i="729" s="1"/>
  <c r="AP32" i="701"/>
  <c r="D44" i="729" s="1"/>
  <c r="D51" i="729" s="1"/>
  <c r="P61" i="706"/>
  <c r="P27" i="706" s="1"/>
  <c r="P62" i="706"/>
  <c r="P28" i="706" s="1"/>
  <c r="P59" i="706"/>
  <c r="P25" i="706" s="1"/>
  <c r="P60" i="706"/>
  <c r="P26" i="706" s="1"/>
  <c r="P31" i="706"/>
  <c r="E19" i="51"/>
  <c r="E17" i="51"/>
  <c r="AO25" i="705"/>
  <c r="AO23" i="705"/>
  <c r="AO26" i="705"/>
  <c r="AO24" i="705"/>
  <c r="AD26" i="704"/>
  <c r="M68" i="702"/>
  <c r="M34" i="702" s="1"/>
  <c r="P47" i="702"/>
  <c r="M69" i="702"/>
  <c r="M35" i="702" s="1"/>
  <c r="M71" i="702"/>
  <c r="M37" i="702" s="1"/>
  <c r="M70" i="702"/>
  <c r="M36" i="702" s="1"/>
  <c r="M40" i="702"/>
  <c r="AD29" i="701"/>
  <c r="AD32" i="701"/>
  <c r="AD30" i="701"/>
  <c r="AD31" i="701"/>
  <c r="AD40" i="701"/>
  <c r="E14" i="414"/>
  <c r="E19" i="414"/>
  <c r="AC29" i="702"/>
  <c r="AC30" i="702"/>
  <c r="AC31" i="702"/>
  <c r="AC32" i="702"/>
  <c r="AC40" i="702"/>
  <c r="E19" i="985"/>
  <c r="T57" i="708"/>
  <c r="T21" i="708" s="1"/>
  <c r="AC24" i="703"/>
  <c r="AC31" i="932"/>
  <c r="AC28" i="932"/>
  <c r="AC29" i="932"/>
  <c r="AC30" i="932"/>
  <c r="AC39" i="932"/>
  <c r="Y35" i="4"/>
  <c r="T61" i="706"/>
  <c r="T27" i="706" s="1"/>
  <c r="W52" i="346"/>
  <c r="AA52" i="346" s="1"/>
  <c r="AB52" i="346" s="1"/>
  <c r="W58" i="703"/>
  <c r="AA58" i="703" s="1"/>
  <c r="T68" i="704"/>
  <c r="T28" i="704" s="1"/>
  <c r="T70" i="704"/>
  <c r="T30" i="704" s="1"/>
  <c r="T71" i="704"/>
  <c r="T31" i="704" s="1"/>
  <c r="T69" i="704"/>
  <c r="T29" i="704" s="1"/>
  <c r="W47" i="346"/>
  <c r="J18" i="52"/>
  <c r="W48" i="703"/>
  <c r="AA48" i="703" s="1"/>
  <c r="E15" i="985"/>
  <c r="W60" i="932"/>
  <c r="AA60" i="932" s="1"/>
  <c r="G6" i="517"/>
  <c r="W63" i="701"/>
  <c r="AA63" i="701" s="1"/>
  <c r="E7" i="351"/>
  <c r="W61" i="701"/>
  <c r="AA61" i="701" s="1"/>
  <c r="AC18" i="708"/>
  <c r="AD18" i="707"/>
  <c r="AD19" i="707"/>
  <c r="AD20" i="707"/>
  <c r="AD17" i="707"/>
  <c r="AD28" i="707"/>
  <c r="D25" i="778"/>
  <c r="E18" i="778"/>
  <c r="F18" i="778"/>
  <c r="E7" i="411"/>
  <c r="P58" i="708"/>
  <c r="P22" i="708" s="1"/>
  <c r="AD29" i="932"/>
  <c r="W64" i="704"/>
  <c r="AA64" i="704" s="1"/>
  <c r="AP31" i="346"/>
  <c r="AP29" i="346"/>
  <c r="AP32" i="346"/>
  <c r="AP30" i="346"/>
  <c r="F14" i="411"/>
  <c r="F19" i="411"/>
  <c r="W64" i="346"/>
  <c r="AA64" i="346" s="1"/>
  <c r="C14" i="985"/>
  <c r="C19" i="985"/>
  <c r="D15" i="411"/>
  <c r="E15" i="51"/>
  <c r="AO31" i="701"/>
  <c r="AO30" i="701"/>
  <c r="AO29" i="701"/>
  <c r="AO32" i="701"/>
  <c r="AP25" i="705"/>
  <c r="D43" i="730" s="1"/>
  <c r="D48" i="730" s="1"/>
  <c r="AP23" i="705"/>
  <c r="D41" i="730" s="1"/>
  <c r="AP26" i="705"/>
  <c r="D44" i="730" s="1"/>
  <c r="D51" i="730" s="1"/>
  <c r="AP24" i="705"/>
  <c r="D42" i="730" s="1"/>
  <c r="AD25" i="704"/>
  <c r="E8" i="984"/>
  <c r="E13" i="984" s="1"/>
  <c r="W47" i="705"/>
  <c r="AA47" i="705" s="1"/>
  <c r="D8" i="516"/>
  <c r="D13" i="516" s="1"/>
  <c r="M70" i="701"/>
  <c r="M36" i="701" s="1"/>
  <c r="M71" i="701"/>
  <c r="M37" i="701" s="1"/>
  <c r="P47" i="701"/>
  <c r="M69" i="701"/>
  <c r="M35" i="701" s="1"/>
  <c r="M68" i="701"/>
  <c r="M34" i="701" s="1"/>
  <c r="M40" i="701"/>
  <c r="T67" i="932"/>
  <c r="T33" i="932" s="1"/>
  <c r="T69" i="932"/>
  <c r="T35" i="932" s="1"/>
  <c r="T68" i="932"/>
  <c r="T34" i="932" s="1"/>
  <c r="T70" i="932"/>
  <c r="T36" i="932" s="1"/>
  <c r="G14" i="411"/>
  <c r="G19" i="411"/>
  <c r="D19" i="51"/>
  <c r="D17" i="51"/>
  <c r="AC16" i="708"/>
  <c r="E9" i="411"/>
  <c r="E16" i="411" s="1"/>
  <c r="C14" i="414"/>
  <c r="C19" i="414"/>
  <c r="AD28" i="932"/>
  <c r="D14" i="351"/>
  <c r="D19" i="351"/>
  <c r="W36" i="708"/>
  <c r="AQ12" i="701"/>
  <c r="W53" i="701"/>
  <c r="AA53" i="701" s="1"/>
  <c r="D14" i="985"/>
  <c r="D19" i="985"/>
  <c r="AD24" i="704"/>
  <c r="Y31" i="4"/>
  <c r="Y29" i="4"/>
  <c r="Y32" i="4"/>
  <c r="Y30" i="4"/>
  <c r="W57" i="706"/>
  <c r="E9" i="984"/>
  <c r="E16" i="984" s="1"/>
  <c r="D6" i="516"/>
  <c r="M71" i="346"/>
  <c r="M37" i="346" s="1"/>
  <c r="T68" i="702"/>
  <c r="T34" i="702" s="1"/>
  <c r="W47" i="702"/>
  <c r="T69" i="702"/>
  <c r="T35" i="702" s="1"/>
  <c r="T70" i="702"/>
  <c r="T36" i="702" s="1"/>
  <c r="T71" i="702"/>
  <c r="T37" i="702" s="1"/>
  <c r="T40" i="702"/>
  <c r="H46" i="881"/>
  <c r="AD29" i="702"/>
  <c r="AD30" i="702"/>
  <c r="AD32" i="702"/>
  <c r="AD31" i="702"/>
  <c r="AD40" i="702"/>
  <c r="T70" i="701"/>
  <c r="T36" i="701" s="1"/>
  <c r="T71" i="701"/>
  <c r="T37" i="701" s="1"/>
  <c r="W47" i="701"/>
  <c r="T68" i="701"/>
  <c r="T34" i="701" s="1"/>
  <c r="T69" i="701"/>
  <c r="T35" i="701" s="1"/>
  <c r="T40" i="701"/>
  <c r="W46" i="703"/>
  <c r="AA46" i="703" s="1"/>
  <c r="D14" i="414"/>
  <c r="D19" i="414"/>
  <c r="M59" i="706"/>
  <c r="M25" i="706" s="1"/>
  <c r="T29" i="708"/>
  <c r="D14" i="984"/>
  <c r="D19" i="984"/>
  <c r="P47" i="704"/>
  <c r="M69" i="704"/>
  <c r="M29" i="704" s="1"/>
  <c r="M71" i="704"/>
  <c r="M31" i="704" s="1"/>
  <c r="M68" i="704"/>
  <c r="M28" i="704" s="1"/>
  <c r="M70" i="704"/>
  <c r="M30" i="704" s="1"/>
  <c r="W65" i="704"/>
  <c r="AA65" i="704" s="1"/>
  <c r="W41" i="706"/>
  <c r="AD25" i="703"/>
  <c r="AD27" i="703"/>
  <c r="AD26" i="703"/>
  <c r="AD24" i="703"/>
  <c r="AD35" i="703"/>
  <c r="G15" i="411"/>
  <c r="W63" i="704"/>
  <c r="AA63" i="704" s="1"/>
  <c r="W48" i="932"/>
  <c r="AA48" i="932" s="1"/>
  <c r="W65" i="932"/>
  <c r="AA65" i="932" s="1"/>
  <c r="T64" i="705"/>
  <c r="T30" i="705" s="1"/>
  <c r="T62" i="705"/>
  <c r="T28" i="705" s="1"/>
  <c r="T65" i="705"/>
  <c r="T31" i="705" s="1"/>
  <c r="T63" i="705"/>
  <c r="T29" i="705" s="1"/>
  <c r="AC15" i="708"/>
  <c r="AC29" i="708" s="1"/>
  <c r="E6" i="411"/>
  <c r="E15" i="411" s="1"/>
  <c r="E15" i="414"/>
  <c r="W56" i="932"/>
  <c r="AA56" i="932" s="1"/>
  <c r="J14" i="739"/>
  <c r="AD31" i="932"/>
  <c r="W51" i="704"/>
  <c r="AA51" i="704" s="1"/>
  <c r="T64" i="703"/>
  <c r="T65" i="703"/>
  <c r="T63" i="703"/>
  <c r="T66" i="703"/>
  <c r="AC29" i="701"/>
  <c r="AC32" i="701"/>
  <c r="AC30" i="701"/>
  <c r="AC31" i="701"/>
  <c r="AC40" i="701"/>
  <c r="J6" i="52"/>
  <c r="D27" i="52"/>
  <c r="M31" i="706"/>
  <c r="AC35" i="703"/>
  <c r="J19" i="52"/>
  <c r="AD23" i="704"/>
  <c r="C17" i="51"/>
  <c r="C19" i="51"/>
  <c r="E6" i="984"/>
  <c r="D9" i="516"/>
  <c r="D16" i="516" s="1"/>
  <c r="AR12" i="346"/>
  <c r="E31" i="778"/>
  <c r="AA37" i="707"/>
  <c r="I38" i="881"/>
  <c r="I46" i="881"/>
  <c r="J37" i="881"/>
  <c r="J57" i="881"/>
  <c r="J61" i="881" s="1"/>
  <c r="D23" i="517"/>
  <c r="C28" i="517"/>
  <c r="M60" i="706"/>
  <c r="M26" i="706" s="1"/>
  <c r="AC23" i="704"/>
  <c r="AC38" i="704" s="1"/>
  <c r="AC24" i="704"/>
  <c r="AC25" i="704"/>
  <c r="AC26" i="704"/>
  <c r="AC34" i="704"/>
  <c r="G7" i="517"/>
  <c r="F28" i="517" s="1"/>
  <c r="W65" i="701"/>
  <c r="AA65" i="701" s="1"/>
  <c r="E34" i="786"/>
  <c r="E34" i="840"/>
  <c r="AA46" i="708"/>
  <c r="E14" i="51"/>
  <c r="P39" i="708"/>
  <c r="P26" i="708" s="1"/>
  <c r="M26" i="708"/>
  <c r="E33" i="786"/>
  <c r="E33" i="840"/>
  <c r="AA44" i="708"/>
  <c r="P41" i="705"/>
  <c r="P34" i="705" s="1"/>
  <c r="M63" i="705"/>
  <c r="M29" i="705" s="1"/>
  <c r="M65" i="705"/>
  <c r="M31" i="705" s="1"/>
  <c r="M62" i="705"/>
  <c r="M28" i="705" s="1"/>
  <c r="M64" i="705"/>
  <c r="M30" i="705" s="1"/>
  <c r="E8" i="411"/>
  <c r="E13" i="411" s="1"/>
  <c r="AD23" i="705"/>
  <c r="AD26" i="705"/>
  <c r="AD24" i="705"/>
  <c r="G13" i="739" s="1"/>
  <c r="AD25" i="705"/>
  <c r="AD34" i="705"/>
  <c r="P42" i="703"/>
  <c r="M63" i="703"/>
  <c r="M65" i="703"/>
  <c r="M66" i="703"/>
  <c r="M64" i="703"/>
  <c r="X35" i="4"/>
  <c r="M62" i="706"/>
  <c r="M28" i="706" s="1"/>
  <c r="AC27" i="703"/>
  <c r="AD26" i="708"/>
  <c r="AD29" i="708"/>
  <c r="D15" i="414"/>
  <c r="E7" i="984"/>
  <c r="D7" i="516"/>
  <c r="AN25" i="703"/>
  <c r="AK25" i="703"/>
  <c r="I18" i="731"/>
  <c r="D22" i="731"/>
  <c r="D27" i="731"/>
  <c r="E9" i="351"/>
  <c r="E16" i="351" s="1"/>
  <c r="W51" i="706"/>
  <c r="AA59" i="706" s="1"/>
  <c r="AA25" i="706" s="1"/>
  <c r="W60" i="703"/>
  <c r="AA60" i="703" s="1"/>
  <c r="W50" i="706"/>
  <c r="X29" i="4"/>
  <c r="X32" i="4"/>
  <c r="X30" i="4"/>
  <c r="X31" i="4"/>
  <c r="AC24" i="705"/>
  <c r="F13" i="739" s="1"/>
  <c r="AC25" i="705"/>
  <c r="AC23" i="705"/>
  <c r="AC26" i="705"/>
  <c r="AC34" i="705"/>
  <c r="W57" i="704"/>
  <c r="AA57" i="704" s="1"/>
  <c r="W66" i="701"/>
  <c r="AA66" i="701" s="1"/>
  <c r="E8" i="351"/>
  <c r="E13" i="351" s="1"/>
  <c r="M59" i="707"/>
  <c r="M25" i="707" s="1"/>
  <c r="M56" i="707"/>
  <c r="M22" i="707" s="1"/>
  <c r="M57" i="707"/>
  <c r="M23" i="707" s="1"/>
  <c r="P35" i="707"/>
  <c r="P28" i="707" s="1"/>
  <c r="M58" i="707"/>
  <c r="M24" i="707" s="1"/>
  <c r="AQ8" i="701"/>
  <c r="W65" i="346"/>
  <c r="AA65" i="346" s="1"/>
  <c r="M58" i="708"/>
  <c r="M22" i="708" s="1"/>
  <c r="W52" i="703"/>
  <c r="AA52" i="703" s="1"/>
  <c r="J15" i="52"/>
  <c r="W38" i="707"/>
  <c r="AA38" i="707" s="1"/>
  <c r="D14" i="411"/>
  <c r="D19" i="411"/>
  <c r="C14" i="411"/>
  <c r="C19" i="411"/>
  <c r="W56" i="703"/>
  <c r="AA56" i="703" s="1"/>
  <c r="M61" i="706"/>
  <c r="M27" i="706" s="1"/>
  <c r="W53" i="346"/>
  <c r="AA53" i="346" s="1"/>
  <c r="AB53" i="346" s="1"/>
  <c r="AQ8" i="705"/>
  <c r="W66" i="346"/>
  <c r="AA66" i="346" s="1"/>
  <c r="N28" i="706"/>
  <c r="F9" i="739" a="1"/>
  <c r="F8" i="739" a="1"/>
  <c r="F11" i="739" a="1"/>
  <c r="F10" i="739" a="1"/>
  <c r="F7" i="739" a="1"/>
  <c r="G9" i="739" a="1"/>
  <c r="G6" i="739" a="1"/>
  <c r="F15" i="739" a="1"/>
  <c r="F12" i="739" a="1"/>
  <c r="G7" i="739" a="1"/>
  <c r="G11" i="739" a="1"/>
  <c r="G10" i="739" a="1"/>
  <c r="G15" i="739" a="1"/>
  <c r="G8" i="739" a="1"/>
  <c r="G12" i="739" a="1"/>
  <c r="D50" i="715" l="1"/>
  <c r="T68" i="346"/>
  <c r="T34" i="346" s="1"/>
  <c r="T71" i="346"/>
  <c r="T37" i="346" s="1"/>
  <c r="P68" i="346"/>
  <c r="P34" i="346" s="1"/>
  <c r="P69" i="346"/>
  <c r="P35" i="346" s="1"/>
  <c r="U37" i="346"/>
  <c r="M69" i="346"/>
  <c r="M35" i="346" s="1"/>
  <c r="P71" i="346"/>
  <c r="P37" i="346" s="1"/>
  <c r="P70" i="346"/>
  <c r="P36" i="346" s="1"/>
  <c r="M68" i="346"/>
  <c r="M34" i="346" s="1"/>
  <c r="W62" i="346"/>
  <c r="AA62" i="346" s="1"/>
  <c r="M70" i="346"/>
  <c r="M36" i="346" s="1"/>
  <c r="M40" i="346"/>
  <c r="N37" i="346"/>
  <c r="T69" i="346"/>
  <c r="T35" i="346" s="1"/>
  <c r="T40" i="346"/>
  <c r="W40" i="346"/>
  <c r="D16" i="517"/>
  <c r="P34" i="704"/>
  <c r="P38" i="704"/>
  <c r="P36" i="704"/>
  <c r="E14" i="985"/>
  <c r="W46" i="932"/>
  <c r="W39" i="932" s="1"/>
  <c r="P39" i="932"/>
  <c r="J13" i="739"/>
  <c r="D50" i="730"/>
  <c r="W41" i="705"/>
  <c r="W34" i="705" s="1"/>
  <c r="F9" i="739"/>
  <c r="AC36" i="704"/>
  <c r="AA61" i="706"/>
  <c r="AA27" i="706" s="1"/>
  <c r="AA31" i="706"/>
  <c r="AA62" i="706"/>
  <c r="AA28" i="706" s="1"/>
  <c r="AA60" i="706"/>
  <c r="AA26" i="706" s="1"/>
  <c r="W31" i="706"/>
  <c r="W60" i="706"/>
  <c r="W26" i="706" s="1"/>
  <c r="AO18" i="706" s="1"/>
  <c r="D23" i="730"/>
  <c r="M39" i="881"/>
  <c r="G39" i="881"/>
  <c r="C39" i="881"/>
  <c r="E39" i="881"/>
  <c r="G6" i="739"/>
  <c r="J6" i="739" s="1"/>
  <c r="G9" i="739"/>
  <c r="G8" i="739"/>
  <c r="G10" i="739"/>
  <c r="G11" i="739"/>
  <c r="G12" i="739"/>
  <c r="G15" i="739"/>
  <c r="F7" i="739"/>
  <c r="G7" i="739"/>
  <c r="F10" i="739"/>
  <c r="F11" i="739"/>
  <c r="F12" i="739"/>
  <c r="F8" i="739"/>
  <c r="F15" i="739"/>
  <c r="AA41" i="705"/>
  <c r="W64" i="705"/>
  <c r="W30" i="705" s="1"/>
  <c r="W65" i="705"/>
  <c r="W31" i="705" s="1"/>
  <c r="E15" i="984"/>
  <c r="W62" i="706"/>
  <c r="W28" i="706" s="1"/>
  <c r="AA46" i="932"/>
  <c r="W70" i="932"/>
  <c r="W36" i="932" s="1"/>
  <c r="W67" i="932"/>
  <c r="W33" i="932" s="1"/>
  <c r="W69" i="932"/>
  <c r="W35" i="932" s="1"/>
  <c r="W68" i="932"/>
  <c r="W34" i="932" s="1"/>
  <c r="E42" i="730"/>
  <c r="D49" i="730"/>
  <c r="D54" i="730"/>
  <c r="P56" i="708"/>
  <c r="P20" i="708" s="1"/>
  <c r="P70" i="702"/>
  <c r="P36" i="702" s="1"/>
  <c r="P71" i="702"/>
  <c r="P37" i="702" s="1"/>
  <c r="P68" i="702"/>
  <c r="P34" i="702" s="1"/>
  <c r="P69" i="702"/>
  <c r="P35" i="702" s="1"/>
  <c r="P40" i="702"/>
  <c r="P69" i="932"/>
  <c r="P35" i="932" s="1"/>
  <c r="P68" i="932"/>
  <c r="P34" i="932" s="1"/>
  <c r="P70" i="932"/>
  <c r="P36" i="932" s="1"/>
  <c r="P67" i="932"/>
  <c r="P33" i="932" s="1"/>
  <c r="F40" i="881"/>
  <c r="F58" i="881"/>
  <c r="G38" i="881"/>
  <c r="G46" i="881"/>
  <c r="H39" i="881"/>
  <c r="H55" i="881"/>
  <c r="W35" i="706"/>
  <c r="H40" i="881"/>
  <c r="H58" i="881"/>
  <c r="D39" i="881"/>
  <c r="D55" i="881"/>
  <c r="H37" i="881"/>
  <c r="H57" i="881"/>
  <c r="H61" i="881" s="1"/>
  <c r="W39" i="708"/>
  <c r="W57" i="708" s="1"/>
  <c r="W21" i="708" s="1"/>
  <c r="P64" i="703"/>
  <c r="P65" i="703"/>
  <c r="P66" i="703"/>
  <c r="P63" i="703"/>
  <c r="G16" i="517"/>
  <c r="G23" i="517"/>
  <c r="W61" i="706"/>
  <c r="W27" i="706" s="1"/>
  <c r="P69" i="704"/>
  <c r="P29" i="704" s="1"/>
  <c r="P70" i="704"/>
  <c r="P30" i="704" s="1"/>
  <c r="P71" i="704"/>
  <c r="P31" i="704" s="1"/>
  <c r="P68" i="704"/>
  <c r="P28" i="704" s="1"/>
  <c r="P59" i="708"/>
  <c r="P23" i="708" s="1"/>
  <c r="E14" i="351"/>
  <c r="E19" i="351"/>
  <c r="F15" i="730"/>
  <c r="D22" i="730"/>
  <c r="D27" i="730"/>
  <c r="D38" i="881"/>
  <c r="D56" i="881"/>
  <c r="D46" i="881"/>
  <c r="W59" i="706"/>
  <c r="W25" i="706" s="1"/>
  <c r="P57" i="708"/>
  <c r="P21" i="708" s="1"/>
  <c r="E42" i="715"/>
  <c r="D49" i="715"/>
  <c r="D54" i="715"/>
  <c r="J40" i="881"/>
  <c r="J58" i="881"/>
  <c r="J38" i="881"/>
  <c r="J56" i="881"/>
  <c r="J60" i="881" s="1"/>
  <c r="J46" i="881"/>
  <c r="W69" i="702"/>
  <c r="W35" i="702" s="1"/>
  <c r="W70" i="702"/>
  <c r="W36" i="702" s="1"/>
  <c r="W71" i="702"/>
  <c r="W37" i="702" s="1"/>
  <c r="AA47" i="702"/>
  <c r="W68" i="702"/>
  <c r="W34" i="702" s="1"/>
  <c r="AC35" i="702" s="1"/>
  <c r="W40" i="702"/>
  <c r="E18" i="516"/>
  <c r="E30" i="786"/>
  <c r="E30" i="840"/>
  <c r="AA36" i="708"/>
  <c r="W58" i="708"/>
  <c r="W22" i="708" s="1"/>
  <c r="W26" i="708"/>
  <c r="P56" i="707"/>
  <c r="P22" i="707" s="1"/>
  <c r="P58" i="707"/>
  <c r="P24" i="707" s="1"/>
  <c r="P59" i="707"/>
  <c r="P25" i="707" s="1"/>
  <c r="P57" i="707"/>
  <c r="P23" i="707" s="1"/>
  <c r="AD38" i="704"/>
  <c r="AD36" i="704"/>
  <c r="W42" i="703"/>
  <c r="D15" i="516"/>
  <c r="E14" i="411"/>
  <c r="E19" i="411"/>
  <c r="G17" i="517"/>
  <c r="AA47" i="346"/>
  <c r="E42" i="729"/>
  <c r="D49" i="729"/>
  <c r="D54" i="729"/>
  <c r="W35" i="707"/>
  <c r="E38" i="881"/>
  <c r="E46" i="881"/>
  <c r="D14" i="516"/>
  <c r="F7" i="516"/>
  <c r="D19" i="516"/>
  <c r="AA47" i="701"/>
  <c r="W69" i="701"/>
  <c r="W35" i="701" s="1"/>
  <c r="W70" i="701"/>
  <c r="W36" i="701" s="1"/>
  <c r="W71" i="701"/>
  <c r="W37" i="701" s="1"/>
  <c r="W68" i="701"/>
  <c r="W34" i="701" s="1"/>
  <c r="W40" i="701"/>
  <c r="W42" i="701"/>
  <c r="P69" i="701"/>
  <c r="P35" i="701" s="1"/>
  <c r="P70" i="701"/>
  <c r="P36" i="701" s="1"/>
  <c r="P71" i="701"/>
  <c r="P37" i="701" s="1"/>
  <c r="P68" i="701"/>
  <c r="P34" i="701" s="1"/>
  <c r="P40" i="701"/>
  <c r="W47" i="704"/>
  <c r="H14" i="411"/>
  <c r="H19" i="411"/>
  <c r="E15" i="351"/>
  <c r="D40" i="881"/>
  <c r="D58" i="881"/>
  <c r="F38" i="881"/>
  <c r="F56" i="881"/>
  <c r="F60" i="881" s="1"/>
  <c r="F46" i="881"/>
  <c r="F15" i="729"/>
  <c r="D22" i="729"/>
  <c r="D27" i="729"/>
  <c r="D23" i="715"/>
  <c r="E19" i="984"/>
  <c r="E14" i="984"/>
  <c r="P63" i="705"/>
  <c r="P29" i="705" s="1"/>
  <c r="P64" i="705"/>
  <c r="P30" i="705" s="1"/>
  <c r="P65" i="705"/>
  <c r="P31" i="705" s="1"/>
  <c r="P62" i="705"/>
  <c r="P28" i="705" s="1"/>
  <c r="W33" i="706"/>
  <c r="P29" i="708"/>
  <c r="E25" i="778"/>
  <c r="E35" i="786"/>
  <c r="E35" i="840"/>
  <c r="AA47" i="708"/>
  <c r="M38" i="881"/>
  <c r="D23" i="729"/>
  <c r="C38" i="881"/>
  <c r="C46" i="881"/>
  <c r="D37" i="881"/>
  <c r="D57" i="881"/>
  <c r="H38" i="881"/>
  <c r="J39" i="881"/>
  <c r="J55" i="881"/>
  <c r="F37" i="881"/>
  <c r="F57" i="881"/>
  <c r="F61" i="881" s="1"/>
  <c r="F39" i="881"/>
  <c r="F55" i="881"/>
  <c r="F15" i="715"/>
  <c r="D22" i="715"/>
  <c r="D27" i="715"/>
  <c r="E16" i="731" a="1"/>
  <c r="E15" i="729" a="1"/>
  <c r="J42" i="881" a="1"/>
  <c r="E42" i="881" a="1"/>
  <c r="E17" i="731" a="1"/>
  <c r="E16" i="730" a="1"/>
  <c r="E17" i="730" a="1"/>
  <c r="I42" i="881" a="1"/>
  <c r="E15" i="731" a="1"/>
  <c r="E14" i="729" a="1"/>
  <c r="C42" i="881" a="1"/>
  <c r="E14" i="731" a="1"/>
  <c r="E16" i="729" a="1"/>
  <c r="E17" i="729" a="1"/>
  <c r="G42" i="881" a="1"/>
  <c r="W70" i="346" l="1"/>
  <c r="W36" i="346" s="1"/>
  <c r="W71" i="346"/>
  <c r="W37" i="346" s="1"/>
  <c r="W42" i="346"/>
  <c r="W69" i="346"/>
  <c r="W35" i="346" s="1"/>
  <c r="W43" i="346" s="1"/>
  <c r="W68" i="346"/>
  <c r="W34" i="346" s="1"/>
  <c r="W36" i="705"/>
  <c r="W62" i="705"/>
  <c r="W28" i="705" s="1"/>
  <c r="W40" i="704"/>
  <c r="W38" i="704"/>
  <c r="W34" i="704"/>
  <c r="W36" i="704"/>
  <c r="W28" i="707"/>
  <c r="W30" i="707"/>
  <c r="W63" i="705"/>
  <c r="J9" i="739"/>
  <c r="AO13" i="706"/>
  <c r="AO11" i="706"/>
  <c r="AO17" i="706"/>
  <c r="AO15" i="706"/>
  <c r="AO14" i="706"/>
  <c r="AO12" i="706"/>
  <c r="AO16" i="706"/>
  <c r="J15" i="739"/>
  <c r="AO9" i="706"/>
  <c r="AO10" i="706"/>
  <c r="E15" i="731"/>
  <c r="E27" i="731" s="1"/>
  <c r="I42" i="881"/>
  <c r="J42" i="881"/>
  <c r="AO8" i="706"/>
  <c r="J7" i="739"/>
  <c r="J11" i="739"/>
  <c r="J8" i="739"/>
  <c r="E17" i="729"/>
  <c r="E24" i="729" s="1"/>
  <c r="G42" i="881"/>
  <c r="E16" i="729"/>
  <c r="E21" i="729" s="1"/>
  <c r="E14" i="731"/>
  <c r="E15" i="729"/>
  <c r="E17" i="730"/>
  <c r="E24" i="730" s="1"/>
  <c r="C42" i="881"/>
  <c r="E16" i="731"/>
  <c r="E21" i="731" s="1"/>
  <c r="E16" i="730"/>
  <c r="E21" i="730" s="1"/>
  <c r="E17" i="731"/>
  <c r="E24" i="731" s="1"/>
  <c r="E14" i="729"/>
  <c r="E42" i="881"/>
  <c r="W29" i="708"/>
  <c r="W42" i="932"/>
  <c r="W41" i="932"/>
  <c r="J12" i="739"/>
  <c r="W59" i="708"/>
  <c r="W23" i="708" s="1"/>
  <c r="W43" i="701"/>
  <c r="W44" i="701"/>
  <c r="W56" i="708"/>
  <c r="W20" i="708" s="1"/>
  <c r="J10" i="739"/>
  <c r="AA47" i="704"/>
  <c r="W69" i="704"/>
  <c r="W29" i="704" s="1"/>
  <c r="W70" i="704"/>
  <c r="W30" i="704" s="1"/>
  <c r="W71" i="704"/>
  <c r="W31" i="704" s="1"/>
  <c r="W68" i="704"/>
  <c r="W28" i="704" s="1"/>
  <c r="Y40" i="704"/>
  <c r="AA70" i="701"/>
  <c r="AA36" i="701" s="1"/>
  <c r="AA71" i="701"/>
  <c r="AA37" i="701" s="1"/>
  <c r="AA68" i="701"/>
  <c r="AA34" i="701" s="1"/>
  <c r="AA69" i="701"/>
  <c r="AA35" i="701" s="1"/>
  <c r="AB35" i="701" s="1"/>
  <c r="AA40" i="701"/>
  <c r="AA69" i="702"/>
  <c r="AA70" i="702"/>
  <c r="AA71" i="702"/>
  <c r="AA68" i="702"/>
  <c r="AA40" i="702"/>
  <c r="D60" i="881"/>
  <c r="E32" i="786"/>
  <c r="E32" i="840"/>
  <c r="AA39" i="708"/>
  <c r="AA69" i="932"/>
  <c r="AA35" i="932" s="1"/>
  <c r="AA68" i="932"/>
  <c r="AA34" i="932" s="1"/>
  <c r="AB34" i="932" s="1"/>
  <c r="AA70" i="932"/>
  <c r="AA36" i="932" s="1"/>
  <c r="AA67" i="932"/>
  <c r="AA33" i="932" s="1"/>
  <c r="AA39" i="932"/>
  <c r="D61" i="881"/>
  <c r="AA70" i="346"/>
  <c r="AA36" i="346" s="1"/>
  <c r="AA69" i="346"/>
  <c r="AA35" i="346" s="1"/>
  <c r="AB47" i="346"/>
  <c r="AA71" i="346"/>
  <c r="AA37" i="346" s="1"/>
  <c r="AA68" i="346"/>
  <c r="AA34" i="346" s="1"/>
  <c r="AA40" i="346"/>
  <c r="AA42" i="703"/>
  <c r="W64" i="703"/>
  <c r="E7" i="516" s="1"/>
  <c r="W65" i="703"/>
  <c r="E8" i="516" s="1"/>
  <c r="E13" i="516" s="1"/>
  <c r="W66" i="703"/>
  <c r="E9" i="516" s="1"/>
  <c r="E16" i="516" s="1"/>
  <c r="W63" i="703"/>
  <c r="E6" i="516" s="1"/>
  <c r="AA56" i="708"/>
  <c r="AA15" i="708" s="1"/>
  <c r="AA58" i="708"/>
  <c r="AA17" i="708" s="1"/>
  <c r="AA57" i="708"/>
  <c r="AA16" i="708" s="1"/>
  <c r="AA59" i="708"/>
  <c r="AA18" i="708" s="1"/>
  <c r="AA29" i="708"/>
  <c r="AA26" i="708"/>
  <c r="AA62" i="705"/>
  <c r="AA28" i="705" s="1"/>
  <c r="AA63" i="705"/>
  <c r="AA29" i="705" s="1"/>
  <c r="AA64" i="705"/>
  <c r="AA30" i="705" s="1"/>
  <c r="AA65" i="705"/>
  <c r="AA31" i="705" s="1"/>
  <c r="AA34" i="705"/>
  <c r="AC35" i="701"/>
  <c r="E30" i="778"/>
  <c r="AA35" i="707"/>
  <c r="W57" i="707"/>
  <c r="W23" i="707" s="1"/>
  <c r="W58" i="707"/>
  <c r="W59" i="707"/>
  <c r="W56" i="707"/>
  <c r="W22" i="707" s="1"/>
  <c r="W43" i="702"/>
  <c r="W42" i="702"/>
  <c r="E16" i="715" a="1"/>
  <c r="E14" i="715" a="1"/>
  <c r="E17" i="715" a="1"/>
  <c r="E15" i="715" a="1"/>
  <c r="E14" i="730" a="1"/>
  <c r="D15" i="840" a="1"/>
  <c r="E15" i="840" a="1"/>
  <c r="D15" i="778" a="1"/>
  <c r="E15" i="786" a="1"/>
  <c r="G16" i="731" a="1"/>
  <c r="H16" i="731" a="1"/>
  <c r="D16" i="778" a="1"/>
  <c r="H17" i="731" a="1"/>
  <c r="M31" i="881" a="1"/>
  <c r="E17" i="786" a="1"/>
  <c r="K30" i="881" a="1"/>
  <c r="E15" i="778" a="1"/>
  <c r="D42" i="881" a="1"/>
  <c r="E16" i="840" a="1"/>
  <c r="E16" i="778" a="1"/>
  <c r="E14" i="840" a="1"/>
  <c r="E14" i="778" a="1"/>
  <c r="G15" i="731" a="1"/>
  <c r="D15" i="786" a="1"/>
  <c r="D16" i="840" a="1"/>
  <c r="E17" i="840" a="1"/>
  <c r="K28" i="881" a="1"/>
  <c r="H14" i="731" a="1"/>
  <c r="M32" i="881" a="1"/>
  <c r="G14" i="731" a="1"/>
  <c r="M42" i="881" a="1"/>
  <c r="D14" i="778" a="1"/>
  <c r="D16" i="786" a="1"/>
  <c r="E16" i="786" a="1"/>
  <c r="E17" i="778" a="1"/>
  <c r="H42" i="881" a="1"/>
  <c r="E14" i="786" a="1"/>
  <c r="F42" i="881" a="1"/>
  <c r="H15" i="731" a="1"/>
  <c r="K31" i="881" a="1"/>
  <c r="D14" i="786" a="1"/>
  <c r="K42" i="881" a="1"/>
  <c r="K29" i="881" a="1"/>
  <c r="D14" i="840" a="1"/>
  <c r="W44" i="346" l="1"/>
  <c r="E15" i="715"/>
  <c r="E17" i="715"/>
  <c r="E24" i="715" s="1"/>
  <c r="E14" i="715"/>
  <c r="E16" i="715"/>
  <c r="E21" i="715" s="1"/>
  <c r="W29" i="705"/>
  <c r="E14" i="730"/>
  <c r="W38" i="705"/>
  <c r="W41" i="704"/>
  <c r="W42" i="704"/>
  <c r="W25" i="707"/>
  <c r="H9" i="517" s="1"/>
  <c r="H18" i="517" s="1"/>
  <c r="W24" i="707"/>
  <c r="H8" i="517" s="1"/>
  <c r="H15" i="517" s="1"/>
  <c r="E14" i="516"/>
  <c r="E19" i="516"/>
  <c r="E15" i="516"/>
  <c r="M31" i="881"/>
  <c r="M40" i="881" s="1"/>
  <c r="H6" i="517"/>
  <c r="K31" i="881"/>
  <c r="K40" i="881" s="1"/>
  <c r="K30" i="881"/>
  <c r="K37" i="881" s="1"/>
  <c r="K29" i="881"/>
  <c r="K28" i="881"/>
  <c r="M32" i="881"/>
  <c r="D16" i="786"/>
  <c r="D16" i="778"/>
  <c r="D16" i="840"/>
  <c r="D21" i="840" s="1"/>
  <c r="G16" i="731"/>
  <c r="G21" i="731" s="1"/>
  <c r="D15" i="786"/>
  <c r="D15" i="778"/>
  <c r="D15" i="840"/>
  <c r="G15" i="731"/>
  <c r="D14" i="786"/>
  <c r="D14" i="778"/>
  <c r="D14" i="840"/>
  <c r="G14" i="731"/>
  <c r="E22" i="731"/>
  <c r="E23" i="731"/>
  <c r="E16" i="786"/>
  <c r="E21" i="786" s="1"/>
  <c r="E16" i="778"/>
  <c r="E16" i="840"/>
  <c r="E21" i="840" s="1"/>
  <c r="H16" i="731"/>
  <c r="H21" i="731" s="1"/>
  <c r="D42" i="881"/>
  <c r="E15" i="786"/>
  <c r="E15" i="778"/>
  <c r="E15" i="840"/>
  <c r="H15" i="731"/>
  <c r="K42" i="881"/>
  <c r="F42" i="881"/>
  <c r="M42" i="881"/>
  <c r="E14" i="786"/>
  <c r="E14" i="778"/>
  <c r="E14" i="840"/>
  <c r="H14" i="731"/>
  <c r="H42" i="881"/>
  <c r="E17" i="786"/>
  <c r="E24" i="786" s="1"/>
  <c r="E17" i="778"/>
  <c r="E24" i="778" s="1"/>
  <c r="E17" i="840"/>
  <c r="E24" i="840" s="1"/>
  <c r="H17" i="731"/>
  <c r="H24" i="731" s="1"/>
  <c r="AA63" i="703"/>
  <c r="AA29" i="703" s="1"/>
  <c r="AA64" i="703"/>
  <c r="AA30" i="703" s="1"/>
  <c r="AA65" i="703"/>
  <c r="AA31" i="703" s="1"/>
  <c r="AA66" i="703"/>
  <c r="AA32" i="703" s="1"/>
  <c r="AA35" i="703"/>
  <c r="AA34" i="702"/>
  <c r="AA29" i="702"/>
  <c r="E8" i="517"/>
  <c r="E15" i="517" s="1"/>
  <c r="E23" i="729"/>
  <c r="H7" i="517"/>
  <c r="W32" i="707"/>
  <c r="W31" i="707"/>
  <c r="AA32" i="702"/>
  <c r="AA37" i="702"/>
  <c r="E7" i="517"/>
  <c r="Y42" i="704"/>
  <c r="Y41" i="704"/>
  <c r="E27" i="729"/>
  <c r="E22" i="729"/>
  <c r="AA59" i="707"/>
  <c r="AA20" i="707" s="1"/>
  <c r="AA56" i="707"/>
  <c r="AA17" i="707" s="1"/>
  <c r="AA57" i="707"/>
  <c r="AA18" i="707" s="1"/>
  <c r="AA58" i="707"/>
  <c r="AA19" i="707" s="1"/>
  <c r="AA28" i="707"/>
  <c r="AA31" i="702"/>
  <c r="AA36" i="702"/>
  <c r="AA68" i="704"/>
  <c r="AA28" i="704" s="1"/>
  <c r="AA69" i="704"/>
  <c r="AA29" i="704" s="1"/>
  <c r="AA70" i="704"/>
  <c r="AA30" i="704" s="1"/>
  <c r="AA71" i="704"/>
  <c r="AA31" i="704" s="1"/>
  <c r="AA34" i="704"/>
  <c r="AB34" i="704"/>
  <c r="N45" i="881" s="1"/>
  <c r="AA30" i="702"/>
  <c r="AA35" i="702"/>
  <c r="E6" i="517"/>
  <c r="E9" i="517"/>
  <c r="E18" i="517" s="1"/>
  <c r="E15" i="730" a="1"/>
  <c r="N30" i="881" a="1"/>
  <c r="L29" i="881" a="1"/>
  <c r="L30" i="881" a="1"/>
  <c r="M43" i="881" a="1"/>
  <c r="N32" i="881" a="1"/>
  <c r="L42" i="881" a="1"/>
  <c r="N31" i="881" a="1"/>
  <c r="N28" i="881" a="1"/>
  <c r="L28" i="881" a="1"/>
  <c r="M44" i="881" a="1"/>
  <c r="N42" i="881" a="1"/>
  <c r="L31" i="881" a="1"/>
  <c r="N29" i="881" a="1"/>
  <c r="K32" i="881" a="1"/>
  <c r="E22" i="715" l="1"/>
  <c r="E23" i="715"/>
  <c r="E27" i="715"/>
  <c r="E15" i="730"/>
  <c r="E23" i="730" s="1"/>
  <c r="W37" i="705"/>
  <c r="G16" i="730"/>
  <c r="G15" i="730"/>
  <c r="E27" i="730"/>
  <c r="L31" i="881"/>
  <c r="K32" i="881"/>
  <c r="K46" i="881" s="1"/>
  <c r="L30" i="881"/>
  <c r="L29" i="881"/>
  <c r="L28" i="881"/>
  <c r="K39" i="881"/>
  <c r="K38" i="881"/>
  <c r="N32" i="881"/>
  <c r="M43" i="881"/>
  <c r="M41" i="881"/>
  <c r="M46" i="881"/>
  <c r="D23" i="786"/>
  <c r="G16" i="778"/>
  <c r="D28" i="778"/>
  <c r="D21" i="778"/>
  <c r="D21" i="786"/>
  <c r="G16" i="786"/>
  <c r="G27" i="731"/>
  <c r="G22" i="731"/>
  <c r="I15" i="731"/>
  <c r="D23" i="778"/>
  <c r="F15" i="840"/>
  <c r="F17" i="840"/>
  <c r="D22" i="840"/>
  <c r="D27" i="840"/>
  <c r="D27" i="786"/>
  <c r="F17" i="786"/>
  <c r="D22" i="786"/>
  <c r="F15" i="786"/>
  <c r="G23" i="731"/>
  <c r="F15" i="778"/>
  <c r="D27" i="778"/>
  <c r="F17" i="778"/>
  <c r="D22" i="778"/>
  <c r="D23" i="840"/>
  <c r="E17" i="517"/>
  <c r="H23" i="731"/>
  <c r="E23" i="786"/>
  <c r="E23" i="778"/>
  <c r="N30" i="881"/>
  <c r="N29" i="881"/>
  <c r="N28" i="881"/>
  <c r="N31" i="881"/>
  <c r="L42" i="881"/>
  <c r="N42" i="881"/>
  <c r="M44" i="881"/>
  <c r="E22" i="778"/>
  <c r="E27" i="778"/>
  <c r="H16" i="517"/>
  <c r="H23" i="517"/>
  <c r="E22" i="786"/>
  <c r="E27" i="786"/>
  <c r="E23" i="517"/>
  <c r="E16" i="517"/>
  <c r="E23" i="840"/>
  <c r="H17" i="517"/>
  <c r="E21" i="778"/>
  <c r="E28" i="778"/>
  <c r="F28" i="778" s="1"/>
  <c r="E22" i="840"/>
  <c r="E27" i="840"/>
  <c r="H22" i="731"/>
  <c r="H27" i="731"/>
  <c r="E22" i="730" l="1"/>
  <c r="L40" i="881"/>
  <c r="L58" i="881"/>
  <c r="K41" i="881"/>
  <c r="L59" i="881"/>
  <c r="L39" i="881"/>
  <c r="L55" i="881"/>
  <c r="L46" i="881"/>
  <c r="L38" i="881"/>
  <c r="L56" i="881"/>
  <c r="L37" i="881"/>
  <c r="L57" i="881"/>
  <c r="N41" i="881"/>
  <c r="N59" i="881"/>
  <c r="N40" i="881"/>
  <c r="N58" i="881"/>
  <c r="N39" i="881"/>
  <c r="N55" i="881"/>
  <c r="N38" i="881"/>
  <c r="N56" i="881"/>
  <c r="N46" i="881"/>
  <c r="N37" i="881"/>
  <c r="N57" i="881"/>
  <c r="O58" i="881" l="1"/>
  <c r="L61" i="881"/>
  <c r="L60" i="881"/>
  <c r="O59" i="881"/>
  <c r="O55" i="881"/>
  <c r="N60" i="881"/>
  <c r="O56" i="881"/>
  <c r="N61" i="881"/>
  <c r="O57" i="88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tc={CD12C96F-B32B-4F96-B60D-AB18D9D0746B}</author>
    <author>tc={7A7C35C5-C4BE-4029-841E-D0A8FBF1AB31}</author>
    <author>tc={28D47056-29B4-4956-89B3-A92653903ED2}</author>
    <author>tc={D330A965-1C18-4A02-ABBF-0F5A0D29B4EC}</author>
    <author>tc={B11B7C16-2BC5-4204-9A7A-A9B2F7C3ED01}</author>
    <author>tc={C5BE7F0F-22F8-424B-B04D-4494264AC41F}</author>
    <author>tc={47F00FC6-B141-429B-AA82-AEBFE6F52C4E}</author>
    <author>tc={ECCA6454-5D83-4210-8930-D9F1130BF5DC}</author>
    <author>tc={9C719681-9FF1-4C42-B9DC-68C559D26862}</author>
    <author>tc={E323EB5F-1411-45CD-9EAD-0999A48EE2B2}</author>
    <author>tc={C55DB679-36EA-4B15-B1FC-D0FAAFDB40B5}</author>
    <author>tc={273029BE-F80E-4E9D-B41F-3437A3384997}</author>
    <author>tc={0C59BBB7-B606-4BD5-B998-7C85A5BBE45A}</author>
    <author>tc={8CA78AD8-7616-46E3-A83F-F9B9C4178510}</author>
    <author>tc={7EF341B8-A01D-4D63-A5AD-14C6C3013B0F}</author>
    <author>tc={CB5F9C28-FDE7-4B90-9852-ABD61894D894}</author>
    <author>tc={58931DD9-D8FA-4B8E-A175-CBE93F54DFA5}</author>
    <author>tc={6EDBCA46-969A-4DC1-88FD-E84C4898AD42}</author>
    <author>tc={16D16F5C-E5BD-4A8B-B959-EC06C8BBC5F8}</author>
    <author>tc={41BA0FFC-A435-41D3-987C-5E289BC16D66}</author>
    <author>tc={663A8A89-60AA-42D3-A812-4B088E372636}</author>
    <author>tc={CCD7386E-CA6D-42C6-A9C7-7F1BE708F165}</author>
    <author>tc={6385A34D-B9E2-4985-9D60-A40D01DFB40A}</author>
    <author>tc={41D82D70-E1C8-4731-A6CC-DD4302682D84}</author>
    <author>tc={75C85BA6-FAB6-4D50-8BD5-4586F7E0CFD0}</author>
    <author>tc={7BFF0230-68A7-40F4-817D-719533E4C95B}</author>
    <author>tc={A62F407C-0258-4052-A875-CFB989038976}</author>
    <author>tc={3A9905BD-92DE-4D35-91B9-35AD3EDF14E6}</author>
    <author>tc={7E5652E7-24CF-42B4-9DEE-90643908F081}</author>
    <author>tc={38BD6CE1-378C-4D40-8F81-ABCDA4F87B48}</author>
    <author>tc={D49B9479-3A14-44DF-A316-15EC84C7972D}</author>
    <author>tc={DA921B4D-113B-4B4F-8BDA-9B87CE0A275D}</author>
    <author>tc={CD1F835E-E9FE-44DD-A966-51190510C0E0}</author>
    <author>tc={EE1A9267-0B03-4687-A74E-990DCEF93781}</author>
    <author>tc={8BEDA58B-AC7B-45A6-892E-DC4EEAFB3406}</author>
    <author>tc={B396041F-4F0B-4848-96B9-3F1858EB72DE}</author>
    <author>tc={77ADEA8A-E63B-4471-82A4-B6911C845CA7}</author>
    <author>tc={532F0CB4-2BF2-4864-93D1-0324CB130683}</author>
    <author>tc={4BC428A8-D84D-4FC6-A654-40B3129BF81C}</author>
    <author>tc={A07C83E1-8D6F-4158-9C39-3E9A5F132FDA}</author>
    <author>tc={61BA1D66-863B-40A1-8149-DD55013B1EF9}</author>
    <author>tc={CBD7ECB8-11F1-4768-A8E3-32DB853B6C1D}</author>
    <author>tc={D5EA8494-353A-4A2D-A82F-215C3579873F}</author>
    <author>tc={B0A80224-2753-4240-8173-FA9FCC12DDE5}</author>
    <author>tc={9B12159F-BED1-4191-BB89-DEBC0F6D3102}</author>
    <author>tc={200B96BB-1A4F-40C3-861A-80B47009B7E6}</author>
    <author>tc={2051F991-817D-4FEB-A739-312A8382ECE6}</author>
    <author>tc={73A7C8C1-2563-421A-B985-B0B9691278B0}</author>
    <author>tc={CA47A28F-0EE1-4D52-B398-E7E6F3E9EEA9}</author>
    <author>tc={A16630EA-20EA-4FFC-8E40-75AE6D073D15}</author>
    <author>tc={5D3A82C3-1A17-42DE-A150-DA14F6BD059E}</author>
    <author>tc={5489BF45-5F5E-4D3E-9635-F16CDD8BE947}</author>
    <author>tc={01AF2B55-418D-4A15-80FF-9F54CCB4AE5B}</author>
    <author>tc={67EA8151-1F15-49C1-A66F-C2402350641C}</author>
    <author>tc={023CB7C2-4DB9-4707-AED7-0378DB7CA6DA}</author>
    <author>tc={5BF53823-BE47-4C26-98E9-C16309698238}</author>
    <author>tc={35EBC3B4-5084-42C7-9091-9C25954E6474}</author>
    <author>tc={B6ACA3A3-14BA-4E40-AAA1-6CD8DB48300A}</author>
    <author>tc={4E01EBFA-439E-466B-8CB1-E6F0F1F855AF}</author>
    <author>tc={3E91B629-1E23-4B52-86E8-5D007B1ED1A1}</author>
    <author>tc={BCC0DE1E-8A18-4F32-AAA5-5AFC8E8B8442}</author>
    <author>tc={F0C52D0F-54CB-4AF2-8061-F9A437337D36}</author>
    <author>tc={FC5C206B-7AB5-4B1D-960C-A94F4F07C195}</author>
    <author>tc={54A994EE-9C42-46C3-B0D9-EEDC4DC7E4AC}</author>
    <author>tc={07B59FDF-4B2A-419C-B611-3DC331B8FDE9}</author>
    <author>tc={8CACA7B3-29BE-480E-9E50-70E50248BFD0}</author>
    <author>tc={A19F7ACA-7665-4388-B2E0-92E88CA5D320}</author>
    <author>tc={49D7AB9D-7C90-43B1-B141-1F85EA34175F}</author>
    <author>tc={6785A77F-DD78-451B-8263-D32371B44F42}</author>
    <author>tc={1637E0C1-D678-4C82-8C3A-76A625F7C7EE}</author>
    <author>tc={605E45C2-46F3-4C41-9537-78DDC2920DDE}</author>
    <author>tc={F5C6DF0C-27C1-4C56-A2E7-BCDB5DE39198}</author>
    <author>tc={E038FA05-56A6-4B63-86E8-A52BB266F2BA}</author>
    <author>tc={F2466277-0221-4A6C-BAC5-1707EDAF1F3C}</author>
    <author>tc={9AF34F2A-6960-41C4-8EFC-D2547A887ED7}</author>
    <author>tc={B749946B-CBE6-400A-ABB5-3B54C509E1DA}</author>
    <author>tc={D5FFE342-2891-4452-8A03-42794DC2EBC3}</author>
    <author>tc={6CC2C292-E503-41C3-9658-71ACA9C566B7}</author>
    <author>tc={18472A29-A660-4F70-BFB6-A8208039BCB6}</author>
    <author>tc={857FE9CC-C863-48C6-B281-CDE2C10EF903}</author>
    <author>tc={BD110419-1188-4E11-8298-34635045A20E}</author>
    <author>tc={B00492AD-B984-4B80-8A25-A4998B198378}</author>
    <author>tc={4BAEEB5A-064A-489A-BA5B-8BD858C0FEA9}</author>
    <author>tc={9EB414E7-6BF6-4F76-85E6-4E2D692C6188}</author>
    <author>tc={5286B5FE-8BAA-41EF-AD0B-FE65A9EA92DD}</author>
    <author>tc={961E1F11-9563-465C-895A-9DC41C912918}</author>
    <author>tc={596D6B07-AB08-4341-83E2-C7920E7643C6}</author>
    <author>tc={54270C4F-ED1D-4C8B-A02A-8735D30A68E5}</author>
    <author>tc={5632B5FE-61BE-4336-8ACA-0460A552ACF6}</author>
    <author>tc={36C99B37-F4BA-429D-9E50-AA51830F1013}</author>
    <author>tc={416EC0AA-B64C-4C50-B403-042E3B24BAAB}</author>
    <author>tc={A80FABCD-F23D-48FE-B0D5-734A106B179E}</author>
    <author>tc={A31556FF-86FF-454C-BFF9-2EEBAF2857D8}</author>
    <author>tc={1C5C5CB6-FF7B-439E-9541-8F1BA382EA46}</author>
    <author>tc={40B97CFF-B9DE-4A74-91B1-25F26AC22D1A}</author>
    <author>tc={47300F78-E659-48FE-B2DB-63B63F8ABA02}</author>
    <author>tc={9EEAABFB-7267-4DD7-B8DE-D0211605EBEA}</author>
    <author>tc={6AAEE50E-0E2C-4290-9BC2-D80A08650169}</author>
    <author>tc={ED710FD0-AA02-4CF5-BA7B-DEBF2AE31F0D}</author>
    <author>tc={6E7AFE37-8529-4F14-9254-4C0F00CFFE6D}</author>
    <author>tc={31DDD530-EF91-40F1-9B05-39E61D0FE2D9}</author>
    <author>tc={426C3531-3735-421F-98ED-5BDF869F4C3C}</author>
    <author>tc={2EE1F827-E5B5-4586-A243-631251589343}</author>
    <author>tc={A3AC510F-B5B1-44E2-9845-8F789892F0B7}</author>
    <author>tc={54906A25-125B-4D92-BF03-1C2E1223E31A}</author>
    <author>tc={35B4A19A-1872-48C6-9401-8CDA4E887889}</author>
    <author>tc={19FAFAB9-4AE9-40B3-A616-B451EFBB64E3}</author>
    <author>tc={2D0D4BCB-AF6B-4DE9-841B-0BEF3D6AE1FB}</author>
    <author>tc={3EA59557-856A-4B1C-8E49-6E1C0E8F0191}</author>
    <author>tc={13E2D005-1D2D-42E7-9EB0-CB954904CD3F}</author>
    <author>tc={0FD4D9F7-D7DB-4EA0-9C67-F451FBBDBEF7}</author>
    <author>tc={ABFF58CC-514C-4A9A-ACA6-AE042C05C674}</author>
  </authors>
  <commentList>
    <comment ref="R32" authorId="0" shapeId="0" xr:uid="{CD12C96F-B32B-4F96-B60D-AB18D9D0746B}">
      <text>
        <t>[Threaded comment]
Your version of Excel allows you to read this threaded comment; however, any edits to it will get removed if the file is opened in a newer version of Excel. Learn more: https://go.microsoft.com/fwlink/?linkid=870924
Comment:
    2026 pay</t>
      </text>
    </comment>
    <comment ref="AQ44" authorId="1" shapeId="0" xr:uid="{7A7C35C5-C4BE-4029-841E-D0A8FBF1AB31}">
      <text>
        <t>[Threaded comment]
Your version of Excel allows you to read this threaded comment; however, any edits to it will get removed if the file is opened in a newer version of Excel. Learn more: https://go.microsoft.com/fwlink/?linkid=870924
Comment:
    Mr. Del Rio ceased accruing pensionable service at June 13, 2017 due to the foreign service limits prescribed by the provisions
of the Company’s defined benefit plan Separately, Mr. Del Rio has elected to join our 401(k) retirement savings program in the United States.</t>
      </text>
    </comment>
    <comment ref="AQ47" authorId="2" shapeId="0" xr:uid="{28D47056-29B4-4956-89B3-A92653903ED2}">
      <text>
        <t>[Threaded comment]
Your version of Excel allows you to read this threaded comment; however, any edits to it will get removed if the file is opened in a newer version of Excel. Learn more: https://go.microsoft.com/fwlink/?linkid=870924
Comment:
    Mr. Del Rio ceased accruing pensionable service at June 13, 2017 due to the foreign service limits prescribed by the provisions
of the Company’s defined benefit plan Separately, Mr. Del Rio has elected to join our 401(k) retirement savings program in the United States.</t>
      </text>
    </comment>
    <comment ref="AQ50" authorId="3" shapeId="0" xr:uid="{D330A965-1C18-4A02-ABBF-0F5A0D29B4EC}">
      <text>
        <t>[Threaded comment]
Your version of Excel allows you to read this threaded comment; however, any edits to it will get removed if the file is opened in a newer version of Excel. Learn more: https://go.microsoft.com/fwlink/?linkid=870924
Comment:
    Mr. Del Rio ceased accruing pensionable service at June 13, 2017 due to the foreign service limits prescribed by the provisions
of the Company’s defined benefit plan Separately, Mr. Del Rio has elected to join our 401(k) retirement savings program in the United States.</t>
      </text>
    </comment>
    <comment ref="AC53" authorId="4" shapeId="0" xr:uid="{B11B7C16-2BC5-4204-9A7A-A9B2F7C3ED01}">
      <text>
        <t>[Threaded comment]
Your version of Excel allows you to read this threaded comment; however, any edits to it will get removed if the file is opened in a newer version of Excel. Learn more: https://go.microsoft.com/fwlink/?linkid=870924
Comment:
    55% RPSUs and 45%RSUs</t>
      </text>
    </comment>
    <comment ref="AT53" authorId="5" shapeId="0" xr:uid="{C5BE7F0F-22F8-424B-B04D-4494264AC41F}">
      <text>
        <t>[Threaded comment]
Your version of Excel allows you to read this threaded comment; however, any edits to it will get removed if the file is opened in a newer version of Excel. Learn more: https://go.microsoft.com/fwlink/?linkid=870924
Comment:
    This column includes incremental costs to the Company for perquisites provided to the SLT members</t>
      </text>
    </comment>
    <comment ref="G66" authorId="6" shapeId="0" xr:uid="{47F00FC6-B141-429B-AA82-AEBFE6F52C4E}">
      <text>
        <t>[Threaded comment]
Your version of Excel allows you to read this threaded comment; however, any edits to it will get removed if the file is opened in a newer version of Excel. Learn more: https://go.microsoft.com/fwlink/?linkid=870924
Comment:
    Joined in Dec 2024, so 2024 pay is excluded</t>
      </text>
    </comment>
    <comment ref="R68" authorId="7" shapeId="0" xr:uid="{ECCA6454-5D83-4210-8930-D9F1130BF5DC}">
      <text>
        <t>[Threaded comment]
Your version of Excel allows you to read this threaded comment; however, any edits to it will get removed if the file is opened in a newer version of Excel. Learn more: https://go.microsoft.com/fwlink/?linkid=870924
Comment:
    Annual salaries in CAD were disclosed</t>
      </text>
    </comment>
    <comment ref="S68" authorId="8" shapeId="0" xr:uid="{9C719681-9FF1-4C42-B9DC-68C559D26862}">
      <text>
        <t>[Threaded comment]
Your version of Excel allows you to read this threaded comment; however, any edits to it will get removed if the file is opened in a newer version of Excel. Learn more: https://go.microsoft.com/fwlink/?linkid=870924
Comment:
    2026 base salaries in USD</t>
      </text>
    </comment>
    <comment ref="T68" authorId="9" shapeId="0" xr:uid="{E323EB5F-1411-45CD-9EAD-0999A48EE2B2}">
      <text>
        <t>[Threaded comment]
Your version of Excel allows you to read this threaded comment; however, any edits to it will get removed if the file is opened in a newer version of Excel. Learn more: https://go.microsoft.com/fwlink/?linkid=870924
Comment:
    2026 base salaries in CAD</t>
      </text>
    </comment>
    <comment ref="AC68" authorId="10" shapeId="0" xr:uid="{C55DB679-36EA-4B15-B1FC-D0FAAFDB40B5}">
      <text>
        <t xml:space="preserve">[Threaded comment]
Your version of Excel allows you to read this threaded comment; however, any edits to it will get removed if the file is opened in a newer version of Excel. Learn more: https://go.microsoft.com/fwlink/?linkid=870924
Comment:
    for the senior executives, 50% stock options and 50% performance share units. The VP, Sustainability received a mix of 40% stock options, 20% restricted share units and 40% performance share units. 
</t>
      </text>
    </comment>
    <comment ref="AK68" authorId="11" shapeId="0" xr:uid="{273029BE-F80E-4E9D-B41F-3437A3384997}">
      <text>
        <t>[Threaded comment]
Your version of Excel allows you to read this threaded comment; however, any edits to it will get removed if the file is opened in a newer version of Excel. Learn more: https://go.microsoft.com/fwlink/?linkid=870924
Comment:
    2026 target is 400%
2025 target is 300%</t>
      </text>
    </comment>
    <comment ref="AP68" authorId="12" shapeId="0" xr:uid="{0C59BBB7-B606-4BD5-B998-7C85A5BBE45A}">
      <text>
        <t>[Threaded comment]
Your version of Excel allows you to read this threaded comment; however, any edits to it will get removed if the file is opened in a newer version of Excel. Learn more: https://go.microsoft.com/fwlink/?linkid=870924
Comment:
    No pension plan</t>
      </text>
    </comment>
    <comment ref="AT68" authorId="13" shapeId="0" xr:uid="{8CA78AD8-7616-46E3-A83F-F9B9C4178510}">
      <text>
        <t>[Threaded comment]
Your version of Excel allows you to read this threaded comment; however, any edits to it will get removed if the file is opened in a newer version of Excel. Learn more: https://go.microsoft.com/fwlink/?linkid=870924
Comment:
    Benefits such as health benefits and retirement savings benefits</t>
      </text>
    </comment>
    <comment ref="AD69" authorId="14" shapeId="0" xr:uid="{7EF341B8-A01D-4D63-A5AD-14C6C3013B0F}">
      <text>
        <t>[Threaded comment]
Your version of Excel allows you to read this threaded comment; however, any edits to it will get removed if the file is opened in a newer version of Excel. Learn more: https://go.microsoft.com/fwlink/?linkid=870924
Comment:
    New mix: 50/50 Options/PSUs</t>
      </text>
    </comment>
    <comment ref="U77" authorId="15" shapeId="0" xr:uid="{CB5F9C28-FDE7-4B90-9852-ABD61894D894}">
      <text>
        <t>[Threaded comment]
Your version of Excel allows you to read this threaded comment; however, any edits to it will get removed if the file is opened in a newer version of Excel. Learn more: https://go.microsoft.com/fwlink/?linkid=870924
Comment:
    Retention bonus of C$100k ; removed</t>
      </text>
    </comment>
    <comment ref="U78" authorId="16" shapeId="0" xr:uid="{58931DD9-D8FA-4B8E-A175-CBE93F54DFA5}">
      <text>
        <t>[Threaded comment]
Your version of Excel allows you to read this threaded comment; however, any edits to it will get removed if the file is opened in a newer version of Excel. Learn more: https://go.microsoft.com/fwlink/?linkid=870924
Comment:
    Retention bonus of C$100k ; removed</t>
      </text>
    </comment>
    <comment ref="U79" authorId="17" shapeId="0" xr:uid="{6EDBCA46-969A-4DC1-88FD-E84C4898AD42}">
      <text>
        <t>[Threaded comment]
Your version of Excel allows you to read this threaded comment; however, any edits to it will get removed if the file is opened in a newer version of Excel. Learn more: https://go.microsoft.com/fwlink/?linkid=870924
Comment:
    Sign on bonus of C$100k ; removed</t>
      </text>
    </comment>
    <comment ref="U80" authorId="18" shapeId="0" xr:uid="{16D16F5C-E5BD-4A8B-B959-EC06C8BBC5F8}">
      <text>
        <t>[Threaded comment]
Your version of Excel allows you to read this threaded comment; however, any edits to it will get removed if the file is opened in a newer version of Excel. Learn more: https://go.microsoft.com/fwlink/?linkid=870924
Comment:
    Retention bonus of C$150k ; removed</t>
      </text>
    </comment>
    <comment ref="AC80" authorId="19" shapeId="0" xr:uid="{41BA0FFC-A435-41D3-987C-5E289BC16D66}">
      <text>
        <t xml:space="preserve">[Threaded comment]
Your version of Excel allows you to read this threaded comment; however, any edits to it will get removed if the file is opened in a newer version of Excel. Learn more: https://go.microsoft.com/fwlink/?linkid=870924
Comment:
    1/3rd -RSUs, 2/3rd - PSUs:
The VP, Sustainability received a mix of 40% stock options, 20% restricted share units and 40% performance share units. 
</t>
      </text>
    </comment>
    <comment ref="U81" authorId="20" shapeId="0" xr:uid="{663A8A89-60AA-42D3-A812-4B088E372636}">
      <text>
        <t>[Threaded comment]
Your version of Excel allows you to read this threaded comment; however, any edits to it will get removed if the file is opened in a newer version of Excel. Learn more: https://go.microsoft.com/fwlink/?linkid=870924
Comment:
    Retention bonus of C$100k ; removed</t>
      </text>
    </comment>
    <comment ref="AC81" authorId="21" shapeId="0" xr:uid="{CCD7386E-CA6D-42C6-A9C7-7F1BE708F165}">
      <text>
        <t>[Threaded comment]
Your version of Excel allows you to read this threaded comment; however, any edits to it will get removed if the file is opened in a newer version of Excel. Learn more: https://go.microsoft.com/fwlink/?linkid=870924
Comment:
    Assumed the same LTIP mix split for 2024 since Mr. Monash was not an NEO in 2024</t>
      </text>
    </comment>
    <comment ref="G82" authorId="22" shapeId="0" xr:uid="{6385A34D-B9E2-4985-9D60-A40D01DFB40A}">
      <text>
        <t>[Threaded comment]
Your version of Excel allows you to read this threaded comment; however, any edits to it will get removed if the file is opened in a newer version of Excel. Learn more: https://go.microsoft.com/fwlink/?linkid=870924
Comment:
    Nathan Monash joined Lundin Mining 1-Sep-2023</t>
      </text>
    </comment>
    <comment ref="AC83" authorId="23" shapeId="0" xr:uid="{41D82D70-E1C8-4731-A6CC-DD4302682D84}">
      <text>
        <t>[Threaded comment]
Your version of Excel allows you to read this threaded comment; however, any edits to it will get removed if the file is opened in a newer version of Excel. Learn more: https://go.microsoft.com/fwlink/?linkid=870924
Comment:
    Special Retention Award of C$5M in RSUs for CEO was not included</t>
      </text>
    </comment>
    <comment ref="AC85" authorId="24" shapeId="0" xr:uid="{75C85BA6-FAB6-4D50-8BD5-4586F7E0CFD0}">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D85" authorId="25" shapeId="0" xr:uid="{7BFF0230-68A7-40F4-817D-719533E4C95B}">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F85" authorId="26" shapeId="0" xr:uid="{A62F407C-0258-4052-A875-CFB989038976}">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C88" authorId="27" shapeId="0" xr:uid="{3A9905BD-92DE-4D35-91B9-35AD3EDF14E6}">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D88" authorId="28" shapeId="0" xr:uid="{7E5652E7-24CF-42B4-9DEE-90643908F081}">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E88" authorId="29" shapeId="0" xr:uid="{38BD6CE1-378C-4D40-8F81-ABCDA4F87B48}">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O89" authorId="30" shapeId="0" xr:uid="{D49B9479-3A14-44DF-A316-15EC84C7972D}">
      <text>
        <t xml:space="preserve">[Threaded comment]
Your version of Excel allows you to read this threaded comment; however, any edits to it will get removed if the file is opened in a newer version of Excel. Learn more: https://go.microsoft.com/fwlink/?linkid=870924
Comment:
    Mr. Busby was the Company's Chief Operating Officer until October 20, 2025. He then transitioned to the role of Special Advisor to the CEO.
</t>
      </text>
    </comment>
    <comment ref="AC91" authorId="31" shapeId="0" xr:uid="{DA921B4D-113B-4B4F-8BDA-9B87CE0A275D}">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D91" authorId="32" shapeId="0" xr:uid="{CD1F835E-E9FE-44DD-A966-51190510C0E0}">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F91" authorId="33" shapeId="0" xr:uid="{EE1A9267-0B03-4687-A74E-990DCEF93781}">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C94" authorId="34" shapeId="0" xr:uid="{8BEDA58B-AC7B-45A6-892E-DC4EEAFB3406}">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AD94" authorId="35" shapeId="0" xr:uid="{B396041F-4F0B-4848-96B9-3F1858EB72DE}">
      <text>
        <t>[Threaded comment]
Your version of Excel allows you to read this threaded comment; however, any edits to it will get removed if the file is opened in a newer version of Excel. Learn more: https://go.microsoft.com/fwlink/?linkid=870924
Comment:
    2023 and 2022 adjusted for one-time awards and different LTIP mix – per last year’s data collection</t>
      </text>
    </comment>
    <comment ref="Q95" authorId="36" shapeId="0" xr:uid="{77ADEA8A-E63B-4471-82A4-B6911C845CA7}">
      <text>
        <t>[Threaded comment]
Your version of Excel allows you to read this threaded comment; however, any edits to it will get removed if the file is opened in a newer version of Excel. Learn more: https://go.microsoft.com/fwlink/?linkid=870924
Comment:
    Mr. Campbell joined the Company on April 2, 2024 as SVP, Projects and Operations and was promoted to Chief Operating Officer on October 20, 2025. - His previous years of compensation were not included since there was an significant increase from 400k - 630k (for Oct - Dec 2025)</t>
      </text>
    </comment>
    <comment ref="R95" authorId="37" shapeId="0" xr:uid="{532F0CB4-2BF2-4864-93D1-0324CB130683}">
      <text>
        <t>[Threaded comment]
Your version of Excel allows you to read this threaded comment; however, any edits to it will get removed if the file is opened in a newer version of Excel. Learn more: https://go.microsoft.com/fwlink/?linkid=870924
Comment:
    Reflects 2025 COO salary</t>
      </text>
    </comment>
    <comment ref="AC98" authorId="38" shapeId="0" xr:uid="{4BC428A8-D84D-4FC6-A654-40B3129BF81C}">
      <text>
        <t>[Threaded comment]
Your version of Excel allows you to read this threaded comment; however, any edits to it will get removed if the file is opened in a newer version of Excel. Learn more: https://go.microsoft.com/fwlink/?linkid=870924
Comment:
    For the CEO only for 2025, LTI awards consisted entirely of RSUs to reflect Mr. Johnson’s retirement</t>
      </text>
    </comment>
    <comment ref="AK98" authorId="39" shapeId="0" xr:uid="{A07C83E1-8D6F-4158-9C39-3E9A5F132FDA}">
      <text>
        <t>[Threaded comment]
Your version of Excel allows you to read this threaded comment; however, any edits to it will get removed if the file is opened in a newer version of Excel. Learn more: https://go.microsoft.com/fwlink/?linkid=870924
Comment:
    From CEO pay mix chart:
base = 949000
base percentage of total = 0.23
LTIP percentage of total = 0.54
LTIP target = 0.54/0.23</t>
      </text>
    </comment>
    <comment ref="AP98" authorId="40" shapeId="0" xr:uid="{61BA1D66-863B-40A1-8149-DD55013B1EF9}">
      <text>
        <t>[Threaded comment]
Your version of Excel allows you to read this threaded comment; however, any edits to it will get removed if the file is opened in a newer version of Excel. Learn more: https://go.microsoft.com/fwlink/?linkid=870924
Comment:
    No pension plan</t>
      </text>
    </comment>
    <comment ref="AT98" authorId="41" shapeId="0" xr:uid="{CBD7ECB8-11F1-4768-A8E3-32DB853B6C1D}">
      <text>
        <t>[Threaded comment]
Your version of Excel allows you to read this threaded comment; however, any edits to it will get removed if the file is opened in a newer version of Excel. Learn more: https://go.microsoft.com/fwlink/?linkid=870924
Comment:
    Other compensation includes dividends on RSUs, which have been excluded</t>
      </text>
    </comment>
    <comment ref="AC99" authorId="42" shapeId="0" xr:uid="{D5EA8494-353A-4A2D-A82F-215C3579873F}">
      <text>
        <t xml:space="preserve">[Threaded comment]
Your version of Excel allows you to read this threaded comment; however, any edits to it will get removed if the file is opened in a newer version of Excel. Learn more: https://go.microsoft.com/fwlink/?linkid=870924
Comment:
    50/50 PSUs/RSUs for all executives in 2024 aside from the CEO, which was granted 60/40 PSUs/RSUs
</t>
      </text>
    </comment>
    <comment ref="AT111" authorId="43" shapeId="0" xr:uid="{B0A80224-2753-4240-8173-FA9FCC12DDE5}">
      <text>
        <t>[Threaded comment]
Your version of Excel allows you to read this threaded comment; however, any edits to it will get removed if the file is opened in a newer version of Excel. Learn more: https://go.microsoft.com/fwlink/?linkid=870924
Comment:
    Other compensation minus dividends accumulated = negative number, have dashed out for simplicity</t>
      </text>
    </comment>
    <comment ref="S113" authorId="44" shapeId="0" xr:uid="{9B12159F-BED1-4191-BB89-DEBC0F6D3102}">
      <text>
        <t>[Threaded comment]
Your version of Excel allows you to read this threaded comment; however, any edits to it will get removed if the file is opened in a newer version of Excel. Learn more: https://go.microsoft.com/fwlink/?linkid=870924
Comment:
    Slight discrepancy between reported base salaries and what was actually paid</t>
      </text>
    </comment>
    <comment ref="AC113" authorId="45" shapeId="0" xr:uid="{200B96BB-1A4F-40C3-861A-80B47009B7E6}">
      <text>
        <t>[Threaded comment]
Your version of Excel allows you to read this threaded comment; however, any edits to it will get removed if the file is opened in a newer version of Excel. Learn more: https://go.microsoft.com/fwlink/?linkid=870924
Comment:
    60/40 split PSU/RSU - no longer has options
Reply:
    Misalignment between EIP awards table and summary comp table - used summary comp values to back out the splits of PSUs and RSUs</t>
      </text>
    </comment>
    <comment ref="AC122" authorId="46" shapeId="0" xr:uid="{2051F991-817D-4FEB-A739-312A8382ECE6}">
      <text>
        <t>[Threaded comment]
Your version of Excel allows you to read this threaded comment; however, any edits to it will get removed if the file is opened in a newer version of Excel. Learn more: https://go.microsoft.com/fwlink/?linkid=870924
Comment:
    Ms. Torkia Lagacé’s employment agreement, the Board approved a one-time grant of PSUs valued at
$500,000 - award has been removed</t>
      </text>
    </comment>
    <comment ref="V123" authorId="47" shapeId="0" xr:uid="{73A7C8C1-2563-421A-B985-B0B9691278B0}">
      <text>
        <t>[Threaded comment]
Your version of Excel allows you to read this threaded comment; however, any edits to it will get removed if the file is opened in a newer version of Excel. Learn more: https://go.microsoft.com/fwlink/?linkid=870924
Comment:
    Mr. Whittaker was eligible to full  year bonus payout.</t>
      </text>
    </comment>
    <comment ref="G128" authorId="48" shapeId="0" xr:uid="{CA47A28F-0EE1-4D52-B398-E7E6F3E9EEA9}">
      <text>
        <t>[Threaded comment]
Your version of Excel allows you to read this threaded comment; however, any edits to it will get removed if the file is opened in a newer version of Excel. Learn more: https://go.microsoft.com/fwlink/?linkid=870924
Comment:
    Mr. Meagher was appointed President &amp; CEO on May 2, 2025</t>
      </text>
    </comment>
    <comment ref="AC128" authorId="49" shapeId="0" xr:uid="{A16630EA-20EA-4FFC-8E40-75AE6D073D15}">
      <text>
        <t>[Threaded comment]
Your version of Excel allows you to read this threaded comment; however, any edits to it will get removed if the file is opened in a newer version of Excel. Learn more: https://go.microsoft.com/fwlink/?linkid=870924
Comment:
    LTIP split: 50/25/25 - PSU/RSU/Options
split of share based awards is ⅔ - PSU, ⅓ - RSU</t>
      </text>
    </comment>
    <comment ref="AP128" authorId="50" shapeId="0" xr:uid="{5D3A82C3-1A17-42DE-A150-DA14F6BD059E}">
      <text>
        <t>[Threaded comment]
Your version of Excel allows you to read this threaded comment; however, any edits to it will get removed if the file is opened in a newer version of Excel. Learn more: https://go.microsoft.com/fwlink/?linkid=870924
Comment:
    No pension plan</t>
      </text>
    </comment>
    <comment ref="G134" authorId="51" shapeId="0" xr:uid="{5489BF45-5F5E-4D3E-9635-F16CDD8BE947}">
      <text>
        <t>[Threaded comment]
Your version of Excel allows you to read this threaded comment; however, any edits to it will get removed if the file is opened in a newer version of Excel. Learn more: https://go.microsoft.com/fwlink/?linkid=870924
Comment:
    Mr. Whittaker was appointed to Senior VP &amp; COO on May 2, 2025</t>
      </text>
    </comment>
    <comment ref="AC143" authorId="52" shapeId="0" xr:uid="{01AF2B55-418D-4A15-80FF-9F54CCB4AE5B}">
      <text>
        <t>[Threaded comment]
Your version of Excel allows you to read this threaded comment; however, any edits to it will get removed if the file is opened in a newer version of Excel. Learn more: https://go.microsoft.com/fwlink/?linkid=870924
Comment:
    50/50 - PSU/RSU split</t>
      </text>
    </comment>
    <comment ref="AP143" authorId="53" shapeId="0" xr:uid="{67EA8151-1F15-49C1-A66F-C2402350641C}">
      <text>
        <t>[Threaded comment]
Your version of Excel allows you to read this threaded comment; however, any edits to it will get removed if the file is opened in a newer version of Excel. Learn more: https://go.microsoft.com/fwlink/?linkid=870924
Comment:
    401k contributions: 17,500
plan non-elective contributions: 10,500</t>
      </text>
    </comment>
    <comment ref="AC145" authorId="54" shapeId="0" xr:uid="{023CB7C2-4DB9-4707-AED7-0378DB7CA6DA}">
      <text>
        <t>[Threaded comment]
Your version of Excel allows you to read this threaded comment; however, any edits to it will get removed if the file is opened in a newer version of Excel. Learn more: https://go.microsoft.com/fwlink/?linkid=870924
Comment:
    Represents previous 60/40 PSU/RSU split</t>
      </text>
    </comment>
    <comment ref="AP146" authorId="55" shapeId="0" xr:uid="{5BF53823-BE47-4C26-98E9-C16309698238}">
      <text>
        <t>[Threaded comment]
Your version of Excel allows you to read this threaded comment; however, any edits to it will get removed if the file is opened in a newer version of Excel. Learn more: https://go.microsoft.com/fwlink/?linkid=870924
Comment:
    401k contributions: 17,500
plan non-elective contributions: 10,500</t>
      </text>
    </comment>
    <comment ref="I147" authorId="56" shapeId="0" xr:uid="{35EBC3B4-5084-42C7-9091-9C25954E6474}">
      <text>
        <t>[Threaded comment]
Your version of Excel allows you to read this threaded comment; however, any edits to it will get removed if the file is opened in a newer version of Excel. Learn more: https://go.microsoft.com/fwlink/?linkid=870924
Comment:
    Removed annualization as per 2025 benchmarking since reported pay was not pro-rated</t>
      </text>
    </comment>
    <comment ref="AP149" authorId="57" shapeId="0" xr:uid="{B6ACA3A3-14BA-4E40-AAA1-6CD8DB48300A}">
      <text>
        <t>[Threaded comment]
Your version of Excel allows you to read this threaded comment; however, any edits to it will get removed if the file is opened in a newer version of Excel. Learn more: https://go.microsoft.com/fwlink/?linkid=870924
Comment:
    401k contributions: 17,500
plan non-elective contributions: 10,500</t>
      </text>
    </comment>
    <comment ref="AC151" authorId="58" shapeId="0" xr:uid="{4E01EBFA-439E-466B-8CB1-E6F0F1F855AF}">
      <text>
        <t>[Threaded comment]
Your version of Excel allows you to read this threaded comment; however, any edits to it will get removed if the file is opened in a newer version of Excel. Learn more: https://go.microsoft.com/fwlink/?linkid=870924
Comment:
    Includes sign on bonus
Reply:
    Removed</t>
      </text>
    </comment>
    <comment ref="AP152" authorId="59" shapeId="0" xr:uid="{3E91B629-1E23-4B52-86E8-5D007B1ED1A1}">
      <text>
        <t>[Threaded comment]
Your version of Excel allows you to read this threaded comment; however, any edits to it will get removed if the file is opened in a newer version of Excel. Learn more: https://go.microsoft.com/fwlink/?linkid=870924
Comment:
    Group RRSP contribution: 21,475
SERP contribution: 6,525</t>
      </text>
    </comment>
    <comment ref="AP155" authorId="60" shapeId="0" xr:uid="{BCC0DE1E-8A18-4F32-AAA5-5AFC8E8B8442}">
      <text>
        <t>[Threaded comment]
Your version of Excel allows you to read this threaded comment; however, any edits to it will get removed if the file is opened in a newer version of Excel. Learn more: https://go.microsoft.com/fwlink/?linkid=870924
Comment:
    401k contributions: 17,500
plan non-elective contributions: 10,500</t>
      </text>
    </comment>
    <comment ref="U158" authorId="61" shapeId="0" xr:uid="{F0C52D0F-54CB-4AF2-8061-F9A437337D36}">
      <text>
        <t>[Threaded comment]
Your version of Excel allows you to read this threaded comment; however, any edits to it will get removed if the file is opened in a newer version of Excel. Learn more: https://go.microsoft.com/fwlink/?linkid=870924
Comment:
    (5) The 2025 STI for Mr. Bond was reduced to reflect a correction to inadvertent pension allowance overpayments relating to the 2024 and 2025 financial years. The adjustment of $83,298 was applied to the 2025 STI, such that STI amount shown above is net of this reduction</t>
      </text>
    </comment>
    <comment ref="V158" authorId="62" shapeId="0" xr:uid="{FC5C206B-7AB5-4B1D-960C-A94F4F07C195}">
      <text>
        <t xml:space="preserve">[Threaded comment]
Your version of Excel allows you to read this threaded comment; however, any edits to it will get removed if the file is opened in a newer version of Excel. Learn more: https://go.microsoft.com/fwlink/?linkid=870924
Comment:
    Reason for inconsistency between the 2025 benchmarked values is due to the adjustments in disclosures to ensure consistency of classification and presentation with the current year disclosure.
Adjustments are non-material to reflect compensation earned instead of paid during the year. There has been no change to the underlying compensation earned by the relevant NEOs.
</t>
      </text>
    </comment>
    <comment ref="AC158" authorId="63" shapeId="0" xr:uid="{54A994EE-9C42-46C3-B0D9-EEDC4DC7E4AC}">
      <text>
        <t xml:space="preserve">[Threaded comment]
Your version of Excel allows you to read this threaded comment; however, any edits to it will get removed if the file is opened in a newer version of Excel. Learn more: https://go.microsoft.com/fwlink/?linkid=870924
Comment:
    66/34 PSU/RS for CEO; 70/30 PSU/RSU for other NEOs
</t>
      </text>
    </comment>
    <comment ref="AK158" authorId="64" shapeId="0" xr:uid="{07B59FDF-4B2A-419C-B611-3DC331B8FDE9}">
      <text>
        <t>[Threaded comment]
Your version of Excel allows you to read this threaded comment; however, any edits to it will get removed if the file is opened in a newer version of Excel. Learn more: https://go.microsoft.com/fwlink/?linkid=870924
Comment:
    Target pay mix chart has historically been very much below LTIP grants, hence letting the 3-yr average ride</t>
      </text>
    </comment>
    <comment ref="U159" authorId="65" shapeId="0" xr:uid="{8CACA7B3-29BE-480E-9E50-70E50248BFD0}">
      <text>
        <t xml:space="preserve">[Threaded comment]
Your version of Excel allows you to read this threaded comment; however, any edits to it will get removed if the file is opened in a newer version of Excel. Learn more: https://go.microsoft.com/fwlink/?linkid=870924
Comment:
    The Annual Incentive amounts shown have been adjusted from 2024 disclosures to ensure consistency of classification and presentation with the current year disclosure.
</t>
      </text>
    </comment>
    <comment ref="AT159" authorId="66" shapeId="0" xr:uid="{A19F7ACA-7665-4388-B2E0-92E88CA5D320}">
      <text>
        <t>[Threaded comment]
Your version of Excel allows you to read this threaded comment; however, any edits to it will get removed if the file is opened in a newer version of Excel. Learn more: https://go.microsoft.com/fwlink/?linkid=870924
Comment:
    Revert error in pension allowance overpayment:
- added back the substraction in 2025 STIP
- removed the 83,298 from ‘other comp’ in 2024</t>
      </text>
    </comment>
    <comment ref="I164" authorId="67" shapeId="0" xr:uid="{49D7AB9D-7C90-43B1-B141-1F85EA34175F}">
      <text>
        <t>[Threaded comment]
Your version of Excel allows you to read this threaded comment; however, any edits to it will get removed if the file is opened in a newer version of Excel. Learn more: https://go.microsoft.com/fwlink/?linkid=870924
Comment:
    Annualization removed to prevent pay inflation, since 2025 pay includes previous and new role comp.</t>
      </text>
    </comment>
    <comment ref="P164" authorId="68" shapeId="0" xr:uid="{6785A77F-DD78-451B-8263-D32371B44F42}">
      <text>
        <t>[Threaded comment]
Your version of Excel allows you to read this threaded comment; however, any edits to it will get removed if the file is opened in a newer version of Excel. Learn more: https://go.microsoft.com/fwlink/?linkid=870924
Comment:
    Significant pay changes in terms of LTIP and STIP from previous position to current position as COO, so 2024 comp data has not been inputted</t>
      </text>
    </comment>
    <comment ref="Q173" authorId="69" shapeId="0" xr:uid="{1637E0C1-D678-4C82-8C3A-76A625F7C7EE}">
      <text>
        <t>[Threaded comment]
Your version of Excel allows you to read this threaded comment; however, any edits to it will get removed if the file is opened in a newer version of Excel. Learn more: https://go.microsoft.com/fwlink/?linkid=870924
Comment:
    Sourced from Executive equity ownership table for consistency with 2024 benchmarking</t>
      </text>
    </comment>
    <comment ref="S173" authorId="70" shapeId="0" xr:uid="{605E45C2-46F3-4C41-9537-78DDC2920DDE}">
      <text>
        <t>[Threaded comment]
Your version of Excel allows you to read this threaded comment; however, any edits to it will get removed if the file is opened in a newer version of Excel. Learn more: https://go.microsoft.com/fwlink/?linkid=870924
Comment:
    For 2026, the Committee approved a 2.5% salary increase for the CEO</t>
      </text>
    </comment>
    <comment ref="AC173" authorId="71" shapeId="0" xr:uid="{F5C6DF0C-27C1-4C56-A2E7-BCDB5DE39198}">
      <text>
        <t>[Threaded comment]
Your version of Excel allows you to read this threaded comment; however, any edits to it will get removed if the file is opened in a newer version of Excel. Learn more: https://go.microsoft.com/fwlink/?linkid=870924
Comment:
    LTIP split: 50/25/25 - PSU/RSU/Options. Share based awards are 1/3rd RSUs, 2/3rd PSU</t>
      </text>
    </comment>
    <comment ref="AC180" authorId="72" shapeId="0" xr:uid="{E038FA05-56A6-4B63-86E8-A52BB266F2BA}">
      <text>
        <t>[Threaded comment]
Your version of Excel allows you to read this threaded comment; however, any edits to it will get removed if the file is opened in a newer version of Excel. Learn more: https://go.microsoft.com/fwlink/?linkid=870924
Comment:
    Excludes 2024 make whole award</t>
      </text>
    </comment>
    <comment ref="U188" authorId="73" shapeId="0" xr:uid="{F2466277-0221-4A6C-BAC5-1707EDAF1F3C}">
      <text>
        <t>[Threaded comment]
Your version of Excel allows you to read this threaded comment; however, any edits to it will get removed if the file is opened in a newer version of Excel. Learn more: https://go.microsoft.com/fwlink/?linkid=870924
Comment:
     includes a one-time cash award earned by John A. McCluskey ($575,000
CAD). Award values are disclosed in U.S. dollars, converted from average exchange rate for 2025, of US$0.7154 per C$1.00, to be paid in 2026.</t>
      </text>
    </comment>
    <comment ref="AC188" authorId="74" shapeId="0" xr:uid="{9AF34F2A-6960-41C4-8EFC-D2547A887ED7}">
      <text>
        <t>[Threaded comment]
Your version of Excel allows you to read this threaded comment; however, any edits to it will get removed if the file is opened in a newer version of Excel. Learn more: https://go.microsoft.com/fwlink/?linkid=870924
Comment:
    50/25/25 - PSU/RSU/Options split, 
Share based awards - ⅔ - PSU, ⅓ - RSU</t>
      </text>
    </comment>
    <comment ref="AK188" authorId="75" shapeId="0" xr:uid="{B749946B-CBE6-400A-ABB5-3B54C509E1DA}">
      <text>
        <t>[Threaded comment]
Your version of Excel allows you to read this threaded comment; however, any edits to it will get removed if the file is opened in a newer version of Excel. Learn more: https://go.microsoft.com/fwlink/?linkid=870924
Comment:
    Taken from last year’s benchmarking - no mention of change in this report
Reply:
    No mention of change in the 2026 proxy either</t>
      </text>
    </comment>
    <comment ref="U191" authorId="76" shapeId="0" xr:uid="{D5FFE342-2891-4452-8A03-42794DC2EBC3}">
      <text>
        <t>[Threaded comment]
Your version of Excel allows you to read this threaded comment; however, any edits to it will get removed if the file is opened in a newer version of Excel. Learn more: https://go.microsoft.com/fwlink/?linkid=870924
Comment:
     includes a one-time cash award earned by Gregory Fisher ($280,000 CAD)   converted from average exchange rate for 2025, of US$0.7154 per C$1.00, to be paid in 2026.</t>
      </text>
    </comment>
    <comment ref="U197" authorId="77" shapeId="0" xr:uid="{6CC2C292-E503-41C3-9658-71ACA9C566B7}">
      <text>
        <t xml:space="preserve">[Threaded comment]
Your version of Excel allows you to read this threaded comment; however, any edits to it will get removed if the file is opened in a newer version of Excel. Learn more: https://go.microsoft.com/fwlink/?linkid=870924
Comment:
      includes a one-time cash award earned by Christopher Bostwick ($139,500 CAD).  converted from average exchange rate for 2025, of US$0.7154 per C$1.00, to be paid in 2026. 
</t>
      </text>
    </comment>
    <comment ref="U203" authorId="78" shapeId="0" xr:uid="{18472A29-A660-4F70-BFB6-A8208039BCB6}">
      <text>
        <t>[Threaded comment]
Your version of Excel allows you to read this threaded comment; however, any edits to it will get removed if the file is opened in a newer version of Excel. Learn more: https://go.microsoft.com/fwlink/?linkid=870924
Comment:
    From the table from footnote 2 - different from 2024 approach</t>
      </text>
    </comment>
    <comment ref="AC203" authorId="79" shapeId="0" xr:uid="{857FE9CC-C863-48C6-B281-CDE2C10EF903}">
      <text>
        <t xml:space="preserve">[Threaded comment]
Your version of Excel allows you to read this threaded comment; however, any edits to it will get removed if the file is opened in a newer version of Excel. Learn more: https://go.microsoft.com/fwlink/?linkid=870924
Comment:
    From LTIP 2025 equity targets:
RSUs -1,030,000
PSUs - 1,265,000
</t>
      </text>
    </comment>
    <comment ref="R206" authorId="80" shapeId="0" xr:uid="{BD110419-1188-4E11-8298-34635045A20E}">
      <text>
        <t>[Threaded comment]
Your version of Excel allows you to read this threaded comment; however, any edits to it will get removed if the file is opened in a newer version of Excel. Learn more: https://go.microsoft.com/fwlink/?linkid=870924
Comment:
    Reflective of annualized new salary (as of July 1, 20250</t>
      </text>
    </comment>
    <comment ref="S206" authorId="81" shapeId="0" xr:uid="{B00492AD-B984-4B80-8A25-A4998B198378}">
      <text>
        <t>[Threaded comment]
Your version of Excel allows you to read this threaded comment; however, any edits to it will get removed if the file is opened in a newer version of Excel. Learn more: https://go.microsoft.com/fwlink/?linkid=870924
Comment:
    Carlos Aguiar's annualized base salary was $379,500 for the period July 1, 2024 through June 30, 2025, and increased to $435,000 effective July 1, 2025 through December 31, 2025. Summary comp table  shows a mixture of the two.</t>
      </text>
    </comment>
    <comment ref="S209" authorId="82" shapeId="0" xr:uid="{4BAEEB5A-064A-489A-BA5B-8BD858C0FEA9}">
      <text>
        <t>[Threaded comment]
Your version of Excel allows you to read this threaded comment; however, any edits to it will get removed if the file is opened in a newer version of Excel. Learn more: https://go.microsoft.com/fwlink/?linkid=870924
Comment:
    Mr. Lawlar’s annualized base salary was $379,500 for the period July 1, 2024 through June 30, 2025, and increased to $435,000 effective July 1, 2025 through December 31, 2025. Summary comp table  shows a mixture of the two.</t>
      </text>
    </comment>
    <comment ref="S212" authorId="83" shapeId="0" xr:uid="{9EB414E7-6BF6-4F76-85E6-4E2D692C6188}">
      <text>
        <t>[Threaded comment]
Your version of Excel allows you to read this threaded comment; however, any edits to it will get removed if the file is opened in a newer version of Excel. Learn more: https://go.microsoft.com/fwlink/?linkid=870924
Comment:
    Mr. Sienko’s annualized base salary was $330,000 for the period July 1, 2024 through June 30, 2025, and increased to $400,000 effective July 1, 2025 through December 31, 2025. Summary comp table  shows a mixture of the two.</t>
      </text>
    </comment>
    <comment ref="S215" authorId="84" shapeId="0" xr:uid="{5286B5FE-8BAA-41EF-AD0B-FE65A9EA92DD}">
      <text>
        <t>[Threaded comment]
Your version of Excel allows you to read this threaded comment; however, any edits to it will get removed if the file is opened in a newer version of Excel. Learn more: https://go.microsoft.com/fwlink/?linkid=870924
Comment:
    Mr. Clary’s annualized base salary was $345,000 for the period July 1, 2024 through June 30, 2025, and increased to $400,000 effective July 1, 2025 through December 31, 2025. Summary comp table shows a mixture of the two.</t>
      </text>
    </comment>
    <comment ref="U215" authorId="85" shapeId="0" xr:uid="{961E1F11-9563-465C-895A-9DC41C912918}">
      <text>
        <t>[Threaded comment]
Your version of Excel allows you to read this threaded comment; however, any edits to it will get removed if the file is opened in a newer version of Excel. Learn more: https://go.microsoft.com/fwlink/?linkid=870924
Comment:
    Mr. Clary did not receive an STIP/LTIP award for 2025, instead received a severance package</t>
      </text>
    </comment>
    <comment ref="AT215" authorId="86" shapeId="0" xr:uid="{596D6B07-AB08-4341-83E2-C7920E7643C6}">
      <text>
        <t xml:space="preserve">[Threaded comment]
Your version of Excel allows you to read this threaded comment; however, any edits to it will get removed if the file is opened in a newer version of Excel. Learn more: https://go.microsoft.com/fwlink/?linkid=870924
Comment:
    Total other was 2,136,076 out of which 2,100,000 is a severance package, and has been excluded </t>
      </text>
    </comment>
    <comment ref="AC218" authorId="87" shapeId="0" xr:uid="{54270C4F-ED1D-4C8B-A02A-8735D30A68E5}">
      <text>
        <t>[Threaded comment]
Your version of Excel allows you to read this threaded comment; however, any edits to it will get removed if the file is opened in a newer version of Excel. Learn more: https://go.microsoft.com/fwlink/?linkid=870924
Comment:
    50/25/25 - PSU/RSU/Options split
⅔ - PSU, ⅓ - RSU respectively</t>
      </text>
    </comment>
    <comment ref="R224" authorId="88" shapeId="0" xr:uid="{5632B5FE-61BE-4336-8ACA-0460A552ACF6}">
      <text>
        <t xml:space="preserve">[Threaded comment]
Your version of Excel allows you to read this threaded comment; however, any edits to it will get removed if the file is opened in a newer version of Excel. Learn more: https://go.microsoft.com/fwlink/?linkid=870924
Comment:
    Mr. Hendriks received a pro-rated amount of his base salary in 2025 of $414,098 based on his start date of April 15, 2025. Base was reported and different from the annualized value. </t>
      </text>
    </comment>
    <comment ref="R233" authorId="89" shapeId="0" xr:uid="{36C99B37-F4BA-429D-9E50-AA51830F1013}">
      <text>
        <t>[Threaded comment]
Your version of Excel allows you to read this threaded comment; however, any edits to it will get removed if the file is opened in a newer version of Excel. Learn more: https://go.microsoft.com/fwlink/?linkid=870924
Comment:
    Annualized salary, based on salary levels as of March 2025</t>
      </text>
    </comment>
    <comment ref="AC233" authorId="90" shapeId="0" xr:uid="{416EC0AA-B64C-4C50-B403-042E3B24BAAB}">
      <text>
        <t xml:space="preserve">[Threaded comment]
Your version of Excel allows you to read this threaded comment; however, any edits to it will get removed if the file is opened in a newer version of Excel. Learn more: https://go.microsoft.com/fwlink/?linkid=870924
Comment:
    ⅔ - PSU, ⅓ - RSU split
</t>
      </text>
    </comment>
    <comment ref="AK233" authorId="91" shapeId="0" xr:uid="{A80FABCD-F23D-48FE-B0D5-734A106B179E}">
      <text>
        <t>[Threaded comment]
Your version of Excel allows you to read this threaded comment; however, any edits to it will get removed if the file is opened in a newer version of Excel. Learn more: https://go.microsoft.com/fwlink/?linkid=870924
Comment:
    2026 LTIP targets used for all execs except for Mr. Wozniak (due to retirement), but only the CEO &amp; CFO targets changed from 2025.</t>
      </text>
    </comment>
    <comment ref="AT233" authorId="92" shapeId="0" xr:uid="{A31556FF-86FF-454C-BFF9-2EEBAF2857D8}">
      <text>
        <t>[Threaded comment]
Your version of Excel allows you to read this threaded comment; however, any edits to it will get removed if the file is opened in a newer version of Excel. Learn more: https://go.microsoft.com/fwlink/?linkid=870924
Comment:
    Includes pension allowance</t>
      </text>
    </comment>
    <comment ref="S242" authorId="93" shapeId="0" xr:uid="{1C5C5CB6-FF7B-439E-9541-8F1BA382EA46}">
      <text>
        <t>[Threaded comment]
Your version of Excel allows you to read this threaded comment; however, any edits to it will get removed if the file is opened in a newer version of Excel. Learn more: https://go.microsoft.com/fwlink/?linkid=870924
Comment:
    No change in base salary in 2026 due to retirement</t>
      </text>
    </comment>
    <comment ref="AC242" authorId="94" shapeId="0" xr:uid="{40B97CFF-B9DE-4A74-91B1-25F26AC22D1A}">
      <text>
        <t>[Threaded comment]
Your version of Excel allows you to read this threaded comment; however, any edits to it will get removed if the file is opened in a newer version of Excel. Learn more: https://go.microsoft.com/fwlink/?linkid=870924
Comment:
    No LTIP awards due to retirement</t>
      </text>
    </comment>
    <comment ref="AC248" authorId="95" shapeId="0" xr:uid="{47300F78-E659-48FE-B2DB-63B63F8ABA02}">
      <text>
        <t>[Threaded comment]
Your version of Excel allows you to read this threaded comment; however, any edits to it will get removed if the file is opened in a newer version of Excel. Learn more: https://go.microsoft.com/fwlink/?linkid=870924
Comment:
    60/40 - PSU/RSU split, but there was a discrepancy flagged in the proxy.  
It is mentioned that for 2025 (like previous years) there is a 40/60 split between RSUs and PSUs, but grant table shows a 1/3rd/2/3rd split between RSUs/PSUs</t>
      </text>
    </comment>
    <comment ref="AP248" authorId="96" shapeId="0" xr:uid="{9EEAABFB-7267-4DD7-B8DE-D0211605EBEA}">
      <text>
        <t>[Threaded comment]
Your version of Excel allows you to read this threaded comment; however, any edits to it will get removed if the file is opened in a newer version of Excel. Learn more: https://go.microsoft.com/fwlink/?linkid=870924
Comment:
    For 2025, each NEO received a company matching contribution to the Coeur Mining, Inc. Defined Contribution and 401(k) Plan of $21,000. For 2025, each of Mr. Krebs, Mr. Whelan, Mr. Routledge, Mr. Nault and Ms. McGrath received an additional contribution from the Company into the Deferred Compensation Plan in the amount of $93,113, $40,115, $43,323, $30,561 and $16,968, respectively, which represents 6% of their 2025
compensation in excess of their 2025 401(k) Retirement Plan limit.</t>
      </text>
    </comment>
    <comment ref="AT248" authorId="97" shapeId="0" xr:uid="{6AAEE50E-0E2C-4290-9BC2-D80A08650169}">
      <text>
        <t xml:space="preserve">[Threaded comment]
Your version of Excel allows you to read this threaded comment; however, any edits to it will get removed if the file is opened in a newer version of Excel. Learn more: https://go.microsoft.com/fwlink/?linkid=870924
Comment:
    Includes additions to Deferred compensation plan and perquisites,. </t>
      </text>
    </comment>
    <comment ref="P260" authorId="98" shapeId="0" xr:uid="{ED710FD0-AA02-4CF5-BA7B-DEBF2AE31F0D}">
      <text>
        <t>[Threaded comment]
Your version of Excel allows you to read this threaded comment; however, any edits to it will get removed if the file is opened in a newer version of Excel. Learn more: https://go.microsoft.com/fwlink/?linkid=870924
Comment:
    Aoife McGrath was appointed Senior Vice President, Exploration in 2022 and elevated to Executive Vice President in February 2026.</t>
      </text>
    </comment>
    <comment ref="I263" authorId="99" shapeId="0" xr:uid="{6E7AFE37-8529-4F14-9254-4C0F00CFFE6D}">
      <text>
        <t>[Threaded comment]
Your version of Excel allows you to read this threaded comment; however, any edits to it will get removed if the file is opened in a newer version of Excel. Learn more: https://go.microsoft.com/fwlink/?linkid=870924
Comment:
    Proxy has annualised pay, even for execs who were employed for a portion of the year</t>
      </text>
    </comment>
    <comment ref="Q263" authorId="100" shapeId="0" xr:uid="{31DDD530-EF91-40F1-9B05-39E61D0FE2D9}">
      <text>
        <t xml:space="preserve">[Threaded comment]
Your version of Excel allows you to read this threaded comment; however, any edits to it will get removed if the file is opened in a newer version of Excel. Learn more: https://go.microsoft.com/fwlink/?linkid=870924
Comment:
    277,343 from Calibre and 310,205 after the transition
</t>
      </text>
    </comment>
    <comment ref="R263" authorId="101" shapeId="0" xr:uid="{426C3531-3735-421F-98ED-5BDF869F4C3C}">
      <text>
        <t>[Threaded comment]
Your version of Excel allows you to read this threaded comment; however, any edits to it will get removed if the file is opened in a newer version of Excel. Learn more: https://go.microsoft.com/fwlink/?linkid=870924
Comment:
    Reflects of annualized CEO salary</t>
      </text>
    </comment>
    <comment ref="S263" authorId="102" shapeId="0" xr:uid="{2EE1F827-E5B5-4586-A243-631251589343}">
      <text>
        <t>[Threaded comment]
Your version of Excel allows you to read this threaded comment; however, any edits to it will get removed if the file is opened in a newer version of Excel. Learn more: https://go.microsoft.com/fwlink/?linkid=870924
Comment:
    Annualised base salaries captured</t>
      </text>
    </comment>
    <comment ref="AC263" authorId="103" shapeId="0" xr:uid="{A3AC510F-B5B1-44E2-9845-8F789892F0B7}">
      <text>
        <t>[Threaded comment]
Your version of Excel allows you to read this threaded comment; however, any edits to it will get removed if the file is opened in a newer version of Excel. Learn more: https://go.microsoft.com/fwlink/?linkid=870924
Comment:
    Mr. Hall, Mr. Schummer, Ms. Dimitrov were granted LTI awards by Calibre for 2025. - There is no mention of the Calibre Incentive plan, so 50/50 - PSUs/RSUs split from Equinox was applied.
Reply:
    2026 LTIP mix - 75% PSUs, 25% RSUs</t>
      </text>
    </comment>
    <comment ref="AO263" authorId="104" shapeId="0" xr:uid="{54906A25-125B-4D92-BF03-1C2E1223E31A}">
      <text>
        <t>[Threaded comment]
Your version of Excel allows you to read this threaded comment; however, any edits to it will get removed if the file is opened in a newer version of Excel. Learn more: https://go.microsoft.com/fwlink/?linkid=870924
Comment:
    Dashed out TDC</t>
      </text>
    </comment>
    <comment ref="AT263" authorId="105" shapeId="0" xr:uid="{35B4A19A-1872-48C6-9401-8CDA4E887889}">
      <text>
        <t>[Threaded comment]
Your version of Excel allows you to read this threaded comment; however, any edits to it will get removed if the file is opened in a newer version of Excel. Learn more: https://go.microsoft.com/fwlink/?linkid=870924
Comment:
    Previous Calibre execs received “change of control” termination payments, which have been excluded.
 The board approved the following payments for retained Equinox execs: the following payments: (i) for Mr. Hardie, $1,738,291; and (ii) for Ms. Toews, $987,143. - Also have been excluded</t>
      </text>
    </comment>
    <comment ref="AX263" authorId="106" shapeId="0" xr:uid="{19FAFAB9-4AE9-40B3-A616-B451EFBB64E3}">
      <text>
        <t>[Threaded comment]
Your version of Excel allows you to read this threaded comment; however, any edits to it will get removed if the file is opened in a newer version of Excel. Learn more: https://go.microsoft.com/fwlink/?linkid=870924
Comment:
    Dashed out TDC</t>
      </text>
    </comment>
    <comment ref="R269" authorId="107" shapeId="0" xr:uid="{2D0D4BCB-AF6B-4DE9-841B-0BEF3D6AE1FB}">
      <text>
        <t xml:space="preserve">[Threaded comment]
Your version of Excel allows you to read this threaded comment; however, any edits to it will get removed if the file is opened in a newer version of Excel. Learn more: https://go.microsoft.com/fwlink/?linkid=870924
Comment:
    Reflects annualized salary as COO, appointed, July 21, 2025, prior to which he was EVP Operations and prior to which he was COO at Calibre
</t>
      </text>
    </comment>
    <comment ref="AO269" authorId="108" shapeId="0" xr:uid="{3EA59557-856A-4B1C-8E49-6E1C0E8F0191}">
      <text>
        <t>[Threaded comment]
Your version of Excel allows you to read this threaded comment; however, any edits to it will get removed if the file is opened in a newer version of Excel. Learn more: https://go.microsoft.com/fwlink/?linkid=870924
Comment:
    Dashed out TDC</t>
      </text>
    </comment>
    <comment ref="AX269" authorId="109" shapeId="0" xr:uid="{13E2D005-1D2D-42E7-9EB0-CB954904CD3F}">
      <text>
        <t>[Threaded comment]
Your version of Excel allows you to read this threaded comment; however, any edits to it will get removed if the file is opened in a newer version of Excel. Learn more: https://go.microsoft.com/fwlink/?linkid=870924
Comment:
    Dashed out TDC</t>
      </text>
    </comment>
    <comment ref="AO272" authorId="110" shapeId="0" xr:uid="{0FD4D9F7-D7DB-4EA0-9C67-F451FBBDBEF7}">
      <text>
        <t>[Threaded comment]
Your version of Excel allows you to read this threaded comment; however, any edits to it will get removed if the file is opened in a newer version of Excel. Learn more: https://go.microsoft.com/fwlink/?linkid=870924
Comment:
    Dashed out TDC</t>
      </text>
    </comment>
    <comment ref="AX272" authorId="111" shapeId="0" xr:uid="{ABFF58CC-514C-4A9A-ACA6-AE042C05C674}">
      <text>
        <t>[Threaded comment]
Your version of Excel allows you to read this threaded comment; however, any edits to it will get removed if the file is opened in a newer version of Excel. Learn more: https://go.microsoft.com/fwlink/?linkid=870924
Comment:
    Dashed out TDC</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tc={BFB19A27-0EBD-4931-9853-092CB127BEBD}</author>
    <author>tc={1D00F0A5-EE82-4768-AC36-153CFB3A32CE}</author>
    <author>tc={9BD7D91F-CFA6-4E01-ACCE-878405834D6C}</author>
    <author>tc={FF60C9AD-0171-45A2-8322-6E08A19F8DF7}</author>
    <author>tc={832390B7-4FFC-4A04-878C-24F8FD3D8212}</author>
  </authors>
  <commentList>
    <comment ref="AU8" authorId="0" shapeId="0" xr:uid="{BFB19A27-0EBD-4931-9853-092CB127BEBD}">
      <text>
        <t>[Threaded comment]
Your version of Excel allows you to read this threaded comment; however, any edits to it will get removed if the file is opened in a newer version of Excel. Learn more: https://go.microsoft.com/fwlink/?linkid=870924
Comment:
    BLANK OUT GIVEN TRANSITION?</t>
      </text>
    </comment>
    <comment ref="AS9" authorId="1" shapeId="0" xr:uid="{1D00F0A5-EE82-4768-AC36-153CFB3A32CE}">
      <text>
        <t>[Threaded comment]
Your version of Excel allows you to read this threaded comment; however, any edits to it will get removed if the file is opened in a newer version of Excel. Learn more: https://go.microsoft.com/fwlink/?linkid=870924
Comment:
    His compensation was converted from CAD to USD for disclosure</t>
      </text>
    </comment>
    <comment ref="AU10" authorId="2" shapeId="0" xr:uid="{9BD7D91F-CFA6-4E01-ACCE-878405834D6C}">
      <text>
        <t>[Threaded comment]
Your version of Excel allows you to read this threaded comment; however, any edits to it will get removed if the file is opened in a newer version of Excel. Learn more: https://go.microsoft.com/fwlink/?linkid=870924
Comment:
    Info no longer available on Capstone website given new role. 
Pulled from a chilean mining website:
https://www.reporteminero.cl/noticia/noticias/2023/09/james-whittaker-capstone-copper-chile</t>
      </text>
    </comment>
    <comment ref="AU12" authorId="3" shapeId="0" xr:uid="{FF60C9AD-0171-45A2-8322-6E08A19F8DF7}">
      <text>
        <t>[Threaded comment]
Your version of Excel allows you to read this threaded comment; however, any edits to it will get removed if the file is opened in a newer version of Excel. Learn more: https://go.microsoft.com/fwlink/?linkid=870924
Comment:
    Written by himself, per linkedin</t>
      </text>
    </comment>
    <comment ref="AU25" authorId="4" shapeId="0" xr:uid="{832390B7-4FFC-4A04-878C-24F8FD3D8212}">
      <text>
        <t xml:space="preserve">[Threaded comment]
Your version of Excel allows you to read this threaded comment; however, any edits to it will get removed if the file is opened in a newer version of Excel. Learn more: https://go.microsoft.com/fwlink/?linkid=870924
Comment:
    Written by himself, per his linkedin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tc={63388C60-B7C2-496C-854E-19CB021F6186}</author>
    <author>tc={9732FD2D-C96F-4C74-AA3B-F0E05D5C6B1C}</author>
    <author>tc={A5BD11F0-6B42-400C-830E-97DF3A353F76}</author>
  </authors>
  <commentList>
    <comment ref="C14" authorId="0" shapeId="0" xr:uid="{63388C60-B7C2-496C-854E-19CB021F6186}">
      <text>
        <t>[Threaded comment]
Your version of Excel allows you to read this threaded comment; however, any edits to it will get removed if the file is opened in a newer version of Excel. Learn more: https://go.microsoft.com/fwlink/?linkid=870924
Comment:
    2024 comp - from 2025 EC benchmarking</t>
      </text>
    </comment>
    <comment ref="C18" authorId="1" shapeId="0" xr:uid="{9732FD2D-C96F-4C74-AA3B-F0E05D5C6B1C}">
      <text>
        <t>[Threaded comment]
Your version of Excel allows you to read this threaded comment; however, any edits to it will get removed if the file is opened in a newer version of Excel. Learn more: https://go.microsoft.com/fwlink/?linkid=870924
Comment:
    2025 pay - pulled in from 2026 Benchmarking v6</t>
      </text>
    </comment>
    <comment ref="D18" authorId="2" shapeId="0" xr:uid="{A5BD11F0-6B42-400C-830E-97DF3A353F76}">
      <text>
        <t>[Threaded comment]
Your version of Excel allows you to read this threaded comment; however, any edits to it will get removed if the file is opened in a newer version of Excel. Learn more: https://go.microsoft.com/fwlink/?linkid=870924
Comment:
    New 2026 target TDC</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tc={3870A3E5-96B6-495F-99E5-F0BBB8684CBA}</author>
  </authors>
  <commentList>
    <comment ref="B18" authorId="0" shapeId="0" xr:uid="{3870A3E5-96B6-495F-99E5-F0BBB8684CBA}">
      <text>
        <t>[Threaded comment]
Your version of Excel allows you to read this threaded comment; however, any edits to it will get removed if the file is opened in a newer version of Excel. Learn more: https://go.microsoft.com/fwlink/?linkid=870924
Comment:
    Take out hudbay</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<sst xmlns="http://schemas.openxmlformats.org/spreadsheetml/2006/main" count="8599" uniqueCount="890">
  <si>
    <t>Date</t>
  </si>
  <si>
    <t>Currency</t>
  </si>
  <si>
    <t>CAD</t>
  </si>
  <si>
    <t>Client Ticker</t>
  </si>
  <si>
    <t>Peer Ticker(s)</t>
  </si>
  <si>
    <t>Percent Rank</t>
  </si>
  <si>
    <t>Average</t>
  </si>
  <si>
    <t>25th Percentile</t>
  </si>
  <si>
    <t>Median</t>
  </si>
  <si>
    <t>75th Percentile</t>
  </si>
  <si>
    <t>Equity</t>
  </si>
  <si>
    <t>Cash</t>
  </si>
  <si>
    <t>Pay Mix</t>
  </si>
  <si>
    <t>Total Direct Compensation</t>
  </si>
  <si>
    <t>LTIP</t>
  </si>
  <si>
    <t>Total Cash Compensation</t>
  </si>
  <si>
    <t>STIP</t>
  </si>
  <si>
    <t>Base Salary</t>
  </si>
  <si>
    <t>Title</t>
  </si>
  <si>
    <t>Incumbent</t>
  </si>
  <si>
    <t>TEV</t>
  </si>
  <si>
    <t>Market Cap</t>
  </si>
  <si>
    <t>Company</t>
  </si>
  <si>
    <t>Year</t>
  </si>
  <si>
    <t>Position</t>
  </si>
  <si>
    <t>Ticker</t>
  </si>
  <si>
    <t>Months</t>
  </si>
  <si>
    <t>Currency of Disclosure</t>
  </si>
  <si>
    <t>FX Rate</t>
  </si>
  <si>
    <t>Position Title</t>
  </si>
  <si>
    <t>Long-Term Incentives</t>
  </si>
  <si>
    <t>Pension</t>
  </si>
  <si>
    <t>Incumbent Specific Notes:</t>
  </si>
  <si>
    <t>RSUs</t>
  </si>
  <si>
    <t>PSUs</t>
  </si>
  <si>
    <t>DSUs</t>
  </si>
  <si>
    <t>Data Recorder</t>
  </si>
  <si>
    <t>Peer Reviewer</t>
  </si>
  <si>
    <t>Actual Paid</t>
  </si>
  <si>
    <t>Annualized / Converted</t>
  </si>
  <si>
    <t>Actual $</t>
  </si>
  <si>
    <t>Target %</t>
  </si>
  <si>
    <t>Target $</t>
  </si>
  <si>
    <t>Stock Options</t>
  </si>
  <si>
    <t>LT Cash</t>
  </si>
  <si>
    <t>Total LTI %</t>
  </si>
  <si>
    <t>Target LTI %</t>
  </si>
  <si>
    <t>Total LTI
(Converted)</t>
  </si>
  <si>
    <t>Actual 
(base + actual bonus + actual LTIP)</t>
  </si>
  <si>
    <t>Other</t>
  </si>
  <si>
    <t>Target LTI $</t>
  </si>
  <si>
    <t>Actual %</t>
  </si>
  <si>
    <t>Actual%</t>
  </si>
  <si>
    <t>Actual  $</t>
  </si>
  <si>
    <t>Look-up</t>
  </si>
  <si>
    <t>Annualized/ Converted</t>
  </si>
  <si>
    <t>Actual STI %</t>
  </si>
  <si>
    <t>Target STI $</t>
  </si>
  <si>
    <t>Actual TCC</t>
  </si>
  <si>
    <t>Target TCC</t>
  </si>
  <si>
    <t>Target STI %</t>
  </si>
  <si>
    <t>Total LTI $</t>
  </si>
  <si>
    <t>Distance From Median</t>
  </si>
  <si>
    <t>75th</t>
  </si>
  <si>
    <t>50th</t>
  </si>
  <si>
    <t>25th</t>
  </si>
  <si>
    <t>LINK TO CHARTS</t>
  </si>
  <si>
    <t>LINK DATA HERE</t>
  </si>
  <si>
    <t>Target TDC</t>
  </si>
  <si>
    <t># of Companies using each Vehicle</t>
  </si>
  <si>
    <t>(% of Total LTI)</t>
  </si>
  <si>
    <t>Look-Up</t>
  </si>
  <si>
    <t>Input</t>
  </si>
  <si>
    <t>Raw Data</t>
  </si>
  <si>
    <t>Key Financials</t>
  </si>
  <si>
    <t>Master - Summary</t>
  </si>
  <si>
    <t>CAD/USD</t>
  </si>
  <si>
    <t>Summary Statistics</t>
  </si>
  <si>
    <t>-</t>
  </si>
  <si>
    <t>CEO</t>
  </si>
  <si>
    <t>Target 
(base + target bonus + Target LTIP)</t>
  </si>
  <si>
    <t>Position Match</t>
  </si>
  <si>
    <t>Latest (if disclosed)</t>
  </si>
  <si>
    <t>TSX:A</t>
  </si>
  <si>
    <t>TSX:B</t>
  </si>
  <si>
    <t>TSX:C</t>
  </si>
  <si>
    <t>TSX:D</t>
  </si>
  <si>
    <t>TSX:E</t>
  </si>
  <si>
    <t>TSX:F</t>
  </si>
  <si>
    <t>TSX:G</t>
  </si>
  <si>
    <t>TSX:H</t>
  </si>
  <si>
    <t>TSX:I</t>
  </si>
  <si>
    <t>TSX:J</t>
  </si>
  <si>
    <t>TSX:K</t>
  </si>
  <si>
    <t>TSX:L</t>
  </si>
  <si>
    <t>TSX:M</t>
  </si>
  <si>
    <t>TSX:N</t>
  </si>
  <si>
    <t>TSX:O</t>
  </si>
  <si>
    <t>TSX:P</t>
  </si>
  <si>
    <t>TSX:Q</t>
  </si>
  <si>
    <t>TSX:R</t>
  </si>
  <si>
    <t>TSX:S</t>
  </si>
  <si>
    <t>TSX:T</t>
  </si>
  <si>
    <t>TSX:RY</t>
  </si>
  <si>
    <t>3 Year Average STIP %</t>
  </si>
  <si>
    <t>3 Year Average LTIP %</t>
  </si>
  <si>
    <t>CFO</t>
  </si>
  <si>
    <t>NEO1</t>
  </si>
  <si>
    <t>NEO2</t>
  </si>
  <si>
    <t>NEO3</t>
  </si>
  <si>
    <t>DATA AGING</t>
  </si>
  <si>
    <t>Company Name</t>
  </si>
  <si>
    <t>Data Aging:</t>
  </si>
  <si>
    <t>Latest (if disclosed) - Annualized / Converted</t>
  </si>
  <si>
    <t>Next Year Base Salary (If Disclosed)</t>
  </si>
  <si>
    <t>Next Yr Salary</t>
  </si>
  <si>
    <t>Salary</t>
  </si>
  <si>
    <t>TCC</t>
  </si>
  <si>
    <t>TDC</t>
  </si>
  <si>
    <t>Age / Use Next Yr Salary?</t>
  </si>
  <si>
    <t>End Month
(Typically FYE)</t>
  </si>
  <si>
    <t>Remember:</t>
  </si>
  <si>
    <t>• Incumbents serving for partial years</t>
  </si>
  <si>
    <t>• NEO order</t>
  </si>
  <si>
    <t>• Currency</t>
  </si>
  <si>
    <t>• Date of fiscal year end</t>
  </si>
  <si>
    <t>DB or DC Pension?</t>
  </si>
  <si>
    <t>Effective Date</t>
  </si>
  <si>
    <t>Last Revised</t>
  </si>
  <si>
    <t>Executive Compensation Benchmarking Methodology</t>
  </si>
  <si>
    <t>Purpose</t>
  </si>
  <si>
    <t>Establish guidelines for executive compensation benchmarking in order to maintain consistency across client projects and teams, improve ease of training, and increase the efficiency of the benchmarking exercise</t>
  </si>
  <si>
    <t>Policy</t>
  </si>
  <si>
    <t>Roles</t>
  </si>
  <si>
    <r>
      <t>·</t>
    </r>
    <r>
      <rPr>
        <sz val="7"/>
        <color theme="1"/>
        <rFont val="Times New Roman"/>
        <family val="1"/>
      </rPr>
      <t xml:space="preserve">         </t>
    </r>
    <r>
      <rPr>
        <sz val="11"/>
        <color theme="1"/>
        <rFont val="Calibri"/>
        <family val="2"/>
        <scheme val="minor"/>
      </rPr>
      <t>Record each person’s entire name and role as disclosed in the proxy</t>
    </r>
  </si>
  <si>
    <r>
      <t>o</t>
    </r>
    <r>
      <rPr>
        <sz val="7"/>
        <color theme="1"/>
        <rFont val="Times New Roman"/>
        <family val="1"/>
      </rPr>
      <t xml:space="preserve">   </t>
    </r>
    <r>
      <rPr>
        <sz val="11"/>
        <color theme="1"/>
        <rFont val="Calibri"/>
        <family val="2"/>
        <scheme val="minor"/>
      </rPr>
      <t>Ignore “director” roles (i.e. assume that the CEO is on the Board of directors)</t>
    </r>
  </si>
  <si>
    <r>
      <t>·</t>
    </r>
    <r>
      <rPr>
        <sz val="7"/>
        <color theme="1"/>
        <rFont val="Times New Roman"/>
        <family val="1"/>
      </rPr>
      <t xml:space="preserve">         </t>
    </r>
    <r>
      <rPr>
        <sz val="11"/>
        <color theme="1"/>
        <rFont val="Calibri"/>
        <family val="2"/>
        <scheme val="minor"/>
      </rPr>
      <t>Capture Executive Chairman role if it is one of the top 5 NEOs, but do not use as a comparison to any of the NEOs, unless indicated by client team</t>
    </r>
  </si>
  <si>
    <r>
      <t>o</t>
    </r>
    <r>
      <rPr>
        <sz val="7"/>
        <color theme="1"/>
        <rFont val="Times New Roman"/>
        <family val="1"/>
      </rPr>
      <t xml:space="preserve">   </t>
    </r>
    <r>
      <rPr>
        <sz val="11"/>
        <color theme="1"/>
        <rFont val="Calibri"/>
        <family val="2"/>
        <scheme val="minor"/>
      </rPr>
      <t>Footnote and confirm with client team</t>
    </r>
  </si>
  <si>
    <r>
      <t>·</t>
    </r>
    <r>
      <rPr>
        <sz val="7"/>
        <color theme="1"/>
        <rFont val="Times New Roman"/>
        <family val="1"/>
      </rPr>
      <t xml:space="preserve">         </t>
    </r>
    <r>
      <rPr>
        <sz val="11"/>
        <color theme="1"/>
        <rFont val="Calibri"/>
        <family val="2"/>
        <scheme val="minor"/>
      </rPr>
      <t>Record the base salary in the Summary Compensation Table</t>
    </r>
  </si>
  <si>
    <r>
      <t>·</t>
    </r>
    <r>
      <rPr>
        <sz val="7"/>
        <color theme="1"/>
        <rFont val="Times New Roman"/>
        <family val="1"/>
      </rPr>
      <t xml:space="preserve">         </t>
    </r>
    <r>
      <rPr>
        <sz val="11"/>
        <color theme="1"/>
        <rFont val="Calibri"/>
        <family val="2"/>
        <scheme val="minor"/>
      </rPr>
      <t>If the incumbent has partial years of service, annualize the base salary</t>
    </r>
  </si>
  <si>
    <r>
      <t>·</t>
    </r>
    <r>
      <rPr>
        <sz val="7"/>
        <color theme="1"/>
        <rFont val="Times New Roman"/>
        <family val="1"/>
      </rPr>
      <t xml:space="preserve">         </t>
    </r>
    <r>
      <rPr>
        <sz val="11"/>
        <color theme="1"/>
        <rFont val="Calibri"/>
        <family val="2"/>
        <scheme val="minor"/>
      </rPr>
      <t>If the upcoming year’s salary is disclosed, record it in column O; it will be used in lieu of data aging</t>
    </r>
  </si>
  <si>
    <r>
      <t>o</t>
    </r>
    <r>
      <rPr>
        <sz val="7"/>
        <color theme="1"/>
        <rFont val="Times New Roman"/>
        <family val="1"/>
      </rPr>
      <t xml:space="preserve">   </t>
    </r>
    <r>
      <rPr>
        <sz val="11"/>
        <color theme="1"/>
        <rFont val="Calibri"/>
        <family val="2"/>
        <scheme val="minor"/>
      </rPr>
      <t>If the company discloses that they will not make any changes to salary in the upcoming year, that is considered next year’s salary disclosure</t>
    </r>
  </si>
  <si>
    <r>
      <t>·</t>
    </r>
    <r>
      <rPr>
        <sz val="7"/>
        <color theme="1"/>
        <rFont val="Times New Roman"/>
        <family val="1"/>
      </rPr>
      <t xml:space="preserve">         </t>
    </r>
    <r>
      <rPr>
        <sz val="11"/>
        <color theme="1"/>
        <rFont val="Calibri"/>
        <family val="2"/>
        <scheme val="minor"/>
      </rPr>
      <t>If the salary changes partway through the year, use the most recent salary annualized</t>
    </r>
  </si>
  <si>
    <r>
      <t>·</t>
    </r>
    <r>
      <rPr>
        <sz val="7"/>
        <color theme="1"/>
        <rFont val="Times New Roman"/>
        <family val="1"/>
      </rPr>
      <t xml:space="preserve">         </t>
    </r>
    <r>
      <rPr>
        <sz val="11"/>
        <color theme="1"/>
        <rFont val="Calibri"/>
        <family val="2"/>
        <scheme val="minor"/>
      </rPr>
      <t>If there is no STIP program in place, put “-”</t>
    </r>
  </si>
  <si>
    <r>
      <t>·</t>
    </r>
    <r>
      <rPr>
        <sz val="7"/>
        <color theme="1"/>
        <rFont val="Times New Roman"/>
        <family val="1"/>
      </rPr>
      <t xml:space="preserve">         </t>
    </r>
    <r>
      <rPr>
        <sz val="11"/>
        <color theme="1"/>
        <rFont val="Calibri"/>
        <family val="2"/>
        <scheme val="minor"/>
      </rPr>
      <t>If there is an STIP program in place, but there was no payout for the incumbent in that year, put “0”</t>
    </r>
  </si>
  <si>
    <r>
      <t>·</t>
    </r>
    <r>
      <rPr>
        <sz val="7"/>
        <color theme="1"/>
        <rFont val="Times New Roman"/>
        <family val="1"/>
      </rPr>
      <t xml:space="preserve">         </t>
    </r>
    <r>
      <rPr>
        <sz val="11"/>
        <color theme="1"/>
        <rFont val="Calibri"/>
        <family val="2"/>
        <scheme val="minor"/>
      </rPr>
      <t>If there is an STIP program in place, but the executive is not eligible to participate in the plan, put “-”</t>
    </r>
  </si>
  <si>
    <r>
      <t>·</t>
    </r>
    <r>
      <rPr>
        <sz val="7"/>
        <color theme="1"/>
        <rFont val="Times New Roman"/>
        <family val="1"/>
      </rPr>
      <t xml:space="preserve">         </t>
    </r>
    <r>
      <rPr>
        <sz val="11"/>
        <color theme="1"/>
        <rFont val="Calibri"/>
        <family val="2"/>
        <scheme val="minor"/>
      </rPr>
      <t>If STIP is automatically deferred into equity:</t>
    </r>
  </si>
  <si>
    <r>
      <t>o</t>
    </r>
    <r>
      <rPr>
        <sz val="7"/>
        <color theme="1"/>
        <rFont val="Times New Roman"/>
        <family val="1"/>
      </rPr>
      <t xml:space="preserve">   </t>
    </r>
    <r>
      <rPr>
        <sz val="11"/>
        <color theme="1"/>
        <rFont val="Calibri"/>
        <family val="2"/>
        <scheme val="minor"/>
      </rPr>
      <t>Capture cash bonus as STIP</t>
    </r>
  </si>
  <si>
    <r>
      <t>o</t>
    </r>
    <r>
      <rPr>
        <sz val="7"/>
        <color theme="1"/>
        <rFont val="Times New Roman"/>
        <family val="1"/>
      </rPr>
      <t xml:space="preserve">   </t>
    </r>
    <r>
      <rPr>
        <sz val="11"/>
        <color theme="1"/>
        <rFont val="Calibri"/>
        <family val="2"/>
        <scheme val="minor"/>
      </rPr>
      <t>Capture automatic deferral as STIP as an RSU in LTIP</t>
    </r>
  </si>
  <si>
    <r>
      <t>·</t>
    </r>
    <r>
      <rPr>
        <sz val="7"/>
        <color theme="1"/>
        <rFont val="Times New Roman"/>
        <family val="1"/>
      </rPr>
      <t xml:space="preserve">         </t>
    </r>
    <r>
      <rPr>
        <sz val="11"/>
        <color theme="1"/>
        <rFont val="Calibri"/>
        <family val="2"/>
        <scheme val="minor"/>
      </rPr>
      <t>If STIP has the option of being deferred into equity:</t>
    </r>
  </si>
  <si>
    <r>
      <t>o</t>
    </r>
    <r>
      <rPr>
        <sz val="7"/>
        <color theme="1"/>
        <rFont val="Times New Roman"/>
        <family val="1"/>
      </rPr>
      <t xml:space="preserve">   </t>
    </r>
    <r>
      <rPr>
        <sz val="11"/>
        <color theme="1"/>
        <rFont val="Calibri"/>
        <family val="2"/>
        <scheme val="minor"/>
      </rPr>
      <t>Capture the entire STIP award as STIP (cash)</t>
    </r>
  </si>
  <si>
    <r>
      <t>·</t>
    </r>
    <r>
      <rPr>
        <sz val="7"/>
        <color theme="1"/>
        <rFont val="Times New Roman"/>
        <family val="1"/>
      </rPr>
      <t xml:space="preserve">         </t>
    </r>
    <r>
      <rPr>
        <sz val="11"/>
        <color theme="1"/>
        <rFont val="Calibri"/>
        <family val="2"/>
        <scheme val="minor"/>
      </rPr>
      <t>If there is no LTIP program in place, put “-”</t>
    </r>
  </si>
  <si>
    <r>
      <t>·</t>
    </r>
    <r>
      <rPr>
        <sz val="7"/>
        <color theme="1"/>
        <rFont val="Times New Roman"/>
        <family val="1"/>
      </rPr>
      <t xml:space="preserve">         </t>
    </r>
    <r>
      <rPr>
        <sz val="11"/>
        <color theme="1"/>
        <rFont val="Calibri"/>
        <family val="2"/>
        <scheme val="minor"/>
      </rPr>
      <t>If there is an LTIP program in place, but there was no grant for the incumbent in that year, put “0”</t>
    </r>
  </si>
  <si>
    <r>
      <t>·</t>
    </r>
    <r>
      <rPr>
        <sz val="7"/>
        <color theme="1"/>
        <rFont val="Times New Roman"/>
        <family val="1"/>
      </rPr>
      <t xml:space="preserve">         </t>
    </r>
    <r>
      <rPr>
        <sz val="11"/>
        <color theme="1"/>
        <rFont val="Calibri"/>
        <family val="2"/>
        <scheme val="minor"/>
      </rPr>
      <t>If there is an LTIP program in place, but the executive is not eligible to participate in the plan, put “-”</t>
    </r>
  </si>
  <si>
    <r>
      <t>·</t>
    </r>
    <r>
      <rPr>
        <sz val="7"/>
        <color theme="1"/>
        <rFont val="Times New Roman"/>
        <family val="1"/>
      </rPr>
      <t xml:space="preserve">         </t>
    </r>
    <r>
      <rPr>
        <sz val="11"/>
        <color theme="1"/>
        <rFont val="Calibri"/>
        <family val="2"/>
        <scheme val="minor"/>
      </rPr>
      <t>Split up the LTIP by type of award</t>
    </r>
  </si>
  <si>
    <r>
      <t>o</t>
    </r>
    <r>
      <rPr>
        <sz val="7"/>
        <color theme="1"/>
        <rFont val="Times New Roman"/>
        <family val="1"/>
      </rPr>
      <t xml:space="preserve">   </t>
    </r>
    <r>
      <rPr>
        <sz val="11"/>
        <color theme="1"/>
        <rFont val="Calibri"/>
        <family val="2"/>
        <scheme val="minor"/>
      </rPr>
      <t>If it is challenging to split up the RSUs and PSUs, for example, can just record in one column and footnote (unless specifically requested for the client – check with your team)</t>
    </r>
  </si>
  <si>
    <r>
      <t>·</t>
    </r>
    <r>
      <rPr>
        <sz val="7"/>
        <color theme="1"/>
        <rFont val="Times New Roman"/>
        <family val="1"/>
      </rPr>
      <t xml:space="preserve">         </t>
    </r>
    <r>
      <rPr>
        <sz val="11"/>
        <color theme="1"/>
        <rFont val="Calibri"/>
        <family val="2"/>
        <scheme val="minor"/>
      </rPr>
      <t>Note that for Long Term Cash programs, the value in the summary compensation table is not accurate; the target value is disclosed elsewhere in the proxy and should be used instead</t>
    </r>
  </si>
  <si>
    <r>
      <t>o</t>
    </r>
    <r>
      <rPr>
        <sz val="7"/>
        <color theme="1"/>
        <rFont val="Times New Roman"/>
        <family val="1"/>
      </rPr>
      <t xml:space="preserve">   </t>
    </r>
    <r>
      <rPr>
        <sz val="11"/>
        <color theme="1"/>
        <rFont val="Calibri"/>
        <family val="2"/>
        <scheme val="minor"/>
      </rPr>
      <t>Judgement may be needed if the target value is not disclosed</t>
    </r>
  </si>
  <si>
    <t>Pensions</t>
  </si>
  <si>
    <r>
      <t>·</t>
    </r>
    <r>
      <rPr>
        <sz val="7"/>
        <color theme="1"/>
        <rFont val="Times New Roman"/>
        <family val="1"/>
      </rPr>
      <t xml:space="preserve">         </t>
    </r>
    <r>
      <rPr>
        <sz val="11"/>
        <color theme="1"/>
        <rFont val="Calibri"/>
        <family val="2"/>
        <scheme val="minor"/>
      </rPr>
      <t>No need to record pension unless requested</t>
    </r>
  </si>
  <si>
    <r>
      <t>·</t>
    </r>
    <r>
      <rPr>
        <sz val="7"/>
        <color theme="1"/>
        <rFont val="Times New Roman"/>
        <family val="1"/>
      </rPr>
      <t xml:space="preserve">         </t>
    </r>
    <r>
      <rPr>
        <sz val="11"/>
        <color theme="1"/>
        <rFont val="Calibri"/>
        <family val="2"/>
        <scheme val="minor"/>
      </rPr>
      <t>If pension is recorded, must record whether it’s DB or DC in column AM</t>
    </r>
  </si>
  <si>
    <r>
      <t>·</t>
    </r>
    <r>
      <rPr>
        <sz val="7"/>
        <color theme="1"/>
        <rFont val="Times New Roman"/>
        <family val="1"/>
      </rPr>
      <t xml:space="preserve">         </t>
    </r>
    <r>
      <rPr>
        <sz val="11"/>
        <color theme="1"/>
        <rFont val="Calibri"/>
        <family val="2"/>
        <scheme val="minor"/>
      </rPr>
      <t>If there is no pension program in place, put “-”</t>
    </r>
  </si>
  <si>
    <r>
      <t>·</t>
    </r>
    <r>
      <rPr>
        <sz val="7"/>
        <color theme="1"/>
        <rFont val="Times New Roman"/>
        <family val="1"/>
      </rPr>
      <t xml:space="preserve">         </t>
    </r>
    <r>
      <rPr>
        <sz val="11"/>
        <color theme="1"/>
        <rFont val="Calibri"/>
        <family val="2"/>
        <scheme val="minor"/>
      </rPr>
      <t>If there is a pension program in place, but there was no value for the incumbent in that year, put “0”</t>
    </r>
  </si>
  <si>
    <r>
      <t>·</t>
    </r>
    <r>
      <rPr>
        <sz val="7"/>
        <color theme="1"/>
        <rFont val="Times New Roman"/>
        <family val="1"/>
      </rPr>
      <t xml:space="preserve">         </t>
    </r>
    <r>
      <rPr>
        <sz val="11"/>
        <color theme="1"/>
        <rFont val="Calibri"/>
        <family val="2"/>
        <scheme val="minor"/>
      </rPr>
      <t>Calculate pension summary statistics using both the method above, as well as recording all “-“ as “0” to get summary statistics including zeros</t>
    </r>
  </si>
  <si>
    <t>Other Compensation</t>
  </si>
  <si>
    <r>
      <t>·</t>
    </r>
    <r>
      <rPr>
        <sz val="7"/>
        <color theme="1"/>
        <rFont val="Times New Roman"/>
        <family val="1"/>
      </rPr>
      <t xml:space="preserve">         </t>
    </r>
    <r>
      <rPr>
        <sz val="11"/>
        <color theme="1"/>
        <rFont val="Calibri"/>
        <family val="2"/>
        <scheme val="minor"/>
      </rPr>
      <t>No need to record other compensation unless requested</t>
    </r>
  </si>
  <si>
    <t>Target Pay</t>
  </si>
  <si>
    <r>
      <t>·</t>
    </r>
    <r>
      <rPr>
        <sz val="7"/>
        <color theme="1"/>
        <rFont val="Times New Roman"/>
        <family val="1"/>
      </rPr>
      <t xml:space="preserve">         </t>
    </r>
    <r>
      <rPr>
        <sz val="11"/>
        <color theme="1"/>
        <rFont val="Calibri"/>
        <family val="2"/>
        <scheme val="minor"/>
      </rPr>
      <t>Targets as a percentage of base salary should be used, if disclosed</t>
    </r>
  </si>
  <si>
    <r>
      <t>·</t>
    </r>
    <r>
      <rPr>
        <sz val="7"/>
        <color theme="1"/>
        <rFont val="Times New Roman"/>
        <family val="1"/>
      </rPr>
      <t xml:space="preserve">         </t>
    </r>
    <r>
      <rPr>
        <sz val="11"/>
        <color theme="1"/>
        <rFont val="Calibri"/>
        <family val="2"/>
        <scheme val="minor"/>
      </rPr>
      <t>If there are no targets disclosed other than a “Target Pay Mix” chart, the values can be used to “back into” an STIP and/or LTIP target as a percentage of base salary</t>
    </r>
  </si>
  <si>
    <r>
      <t>o</t>
    </r>
    <r>
      <rPr>
        <sz val="7"/>
        <color theme="1"/>
        <rFont val="Times New Roman"/>
        <family val="1"/>
      </rPr>
      <t xml:space="preserve">   </t>
    </r>
    <r>
      <rPr>
        <sz val="11"/>
        <color theme="1"/>
        <rFont val="Calibri"/>
        <family val="2"/>
        <scheme val="minor"/>
      </rPr>
      <t>Ensure that the values represented are targets, not actuals</t>
    </r>
  </si>
  <si>
    <r>
      <t>o</t>
    </r>
    <r>
      <rPr>
        <sz val="7"/>
        <color theme="1"/>
        <rFont val="Times New Roman"/>
        <family val="1"/>
      </rPr>
      <t xml:space="preserve">   </t>
    </r>
    <r>
      <rPr>
        <sz val="11"/>
        <color theme="1"/>
        <rFont val="Calibri"/>
        <family val="2"/>
        <scheme val="minor"/>
      </rPr>
      <t>The values must be specific to each NEO, rather than averages for the group</t>
    </r>
  </si>
  <si>
    <r>
      <t>o</t>
    </r>
    <r>
      <rPr>
        <sz val="7"/>
        <color theme="1"/>
        <rFont val="Times New Roman"/>
        <family val="1"/>
      </rPr>
      <t xml:space="preserve">   </t>
    </r>
    <r>
      <rPr>
        <sz val="11"/>
        <color theme="1"/>
        <rFont val="Calibri"/>
        <family val="2"/>
        <scheme val="minor"/>
      </rPr>
      <t>Compare the values to 3-year averages to as a “sanity check”</t>
    </r>
  </si>
  <si>
    <r>
      <t>o</t>
    </r>
    <r>
      <rPr>
        <sz val="7"/>
        <color theme="1"/>
        <rFont val="Times New Roman"/>
        <family val="1"/>
      </rPr>
      <t xml:space="preserve">   </t>
    </r>
    <r>
      <rPr>
        <sz val="11"/>
        <color theme="1"/>
        <rFont val="Calibri"/>
        <family val="2"/>
        <scheme val="minor"/>
      </rPr>
      <t>Do not use a “target pay mix” chart if the incumbent has been in the role for a partial year unless explicitly indicated that it represents an entire year</t>
    </r>
  </si>
  <si>
    <r>
      <t>·</t>
    </r>
    <r>
      <rPr>
        <sz val="7"/>
        <color theme="1"/>
        <rFont val="Times New Roman"/>
        <family val="1"/>
      </rPr>
      <t xml:space="preserve">         </t>
    </r>
    <r>
      <rPr>
        <sz val="11"/>
        <color theme="1"/>
        <rFont val="Calibri"/>
        <family val="2"/>
        <scheme val="minor"/>
      </rPr>
      <t>If targets are not disclosed, 3-year average is used instead</t>
    </r>
  </si>
  <si>
    <t>Role Matching</t>
  </si>
  <si>
    <r>
      <t>·</t>
    </r>
    <r>
      <rPr>
        <sz val="7"/>
        <color theme="1"/>
        <rFont val="Times New Roman"/>
        <family val="1"/>
      </rPr>
      <t xml:space="preserve">         </t>
    </r>
    <r>
      <rPr>
        <sz val="11"/>
        <color theme="1"/>
        <rFont val="Calibri"/>
        <family val="2"/>
        <scheme val="minor"/>
      </rPr>
      <t>Ensure that NEOs 1, 2, and 3 are properly ranked based on Target TDC after inputting the raw data (look at column AK)</t>
    </r>
  </si>
  <si>
    <t>New Incumbents</t>
  </si>
  <si>
    <t>In the following description, Year 1 means the most recent year of disclosure (e.g., 2017 data), Years 2 and 3 are the previous years (e.g., 2016 and 2015)</t>
  </si>
  <si>
    <r>
      <t>·</t>
    </r>
    <r>
      <rPr>
        <sz val="7"/>
        <color theme="1"/>
        <rFont val="Times New Roman"/>
        <family val="1"/>
      </rPr>
      <t xml:space="preserve">         </t>
    </r>
    <r>
      <rPr>
        <sz val="11"/>
        <color theme="1"/>
        <rFont val="Calibri"/>
        <family val="2"/>
        <scheme val="minor"/>
      </rPr>
      <t>Change of role partway through Year 2 or Year 3</t>
    </r>
  </si>
  <si>
    <r>
      <t>o</t>
    </r>
    <r>
      <rPr>
        <sz val="7"/>
        <color theme="1"/>
        <rFont val="Times New Roman"/>
        <family val="1"/>
      </rPr>
      <t xml:space="preserve">   </t>
    </r>
    <r>
      <rPr>
        <sz val="11"/>
        <color theme="1"/>
        <rFont val="Calibri"/>
        <family val="2"/>
        <scheme val="minor"/>
      </rPr>
      <t>Exclude year of role change and only include years in which the incumbent is in their current role for the full year</t>
    </r>
  </si>
  <si>
    <r>
      <t>·</t>
    </r>
    <r>
      <rPr>
        <sz val="7"/>
        <color theme="1"/>
        <rFont val="Times New Roman"/>
        <family val="1"/>
      </rPr>
      <t xml:space="preserve">         </t>
    </r>
    <r>
      <rPr>
        <sz val="11"/>
        <color theme="1"/>
        <rFont val="Calibri"/>
        <family val="2"/>
        <scheme val="minor"/>
      </rPr>
      <t>Change of role partway through Year 1</t>
    </r>
  </si>
  <si>
    <r>
      <t>o</t>
    </r>
    <r>
      <rPr>
        <sz val="7"/>
        <color theme="1"/>
        <rFont val="Times New Roman"/>
        <family val="1"/>
      </rPr>
      <t xml:space="preserve">   </t>
    </r>
    <r>
      <rPr>
        <sz val="11"/>
        <color theme="1"/>
        <rFont val="Calibri"/>
        <family val="2"/>
        <scheme val="minor"/>
      </rPr>
      <t>If target pay for the new role is disclosed (or it is otherwise possible to figure out), then use that</t>
    </r>
  </si>
  <si>
    <r>
      <t>o</t>
    </r>
    <r>
      <rPr>
        <sz val="7"/>
        <color theme="1"/>
        <rFont val="Times New Roman"/>
        <family val="1"/>
      </rPr>
      <t xml:space="preserve">   </t>
    </r>
    <r>
      <rPr>
        <sz val="11"/>
        <color theme="1"/>
        <rFont val="Calibri"/>
        <family val="2"/>
        <scheme val="minor"/>
      </rPr>
      <t>If it is not possible to determine the mix of pay between old role and new role, then pull the actual pay in Year 1 and footnote that pay for the year reflects time spent in role X and role Y</t>
    </r>
  </si>
  <si>
    <r>
      <t>o</t>
    </r>
    <r>
      <rPr>
        <sz val="7"/>
        <color theme="1"/>
        <rFont val="Times New Roman"/>
        <family val="1"/>
      </rPr>
      <t xml:space="preserve">   </t>
    </r>
    <r>
      <rPr>
        <sz val="11"/>
        <color theme="1"/>
        <rFont val="Calibri"/>
        <family val="2"/>
        <scheme val="minor"/>
      </rPr>
      <t>Do not capture data from Years 2 or 3</t>
    </r>
  </si>
  <si>
    <r>
      <t>·</t>
    </r>
    <r>
      <rPr>
        <sz val="7"/>
        <color theme="1"/>
        <rFont val="Times New Roman"/>
        <family val="1"/>
      </rPr>
      <t xml:space="preserve">         </t>
    </r>
    <r>
      <rPr>
        <sz val="11"/>
        <color theme="1"/>
        <rFont val="Calibri"/>
        <family val="2"/>
        <scheme val="minor"/>
      </rPr>
      <t>Longer-tenured incumbent leaves the company, new incumbent joins, and both are included in Year 1 disclosure</t>
    </r>
  </si>
  <si>
    <r>
      <t>o</t>
    </r>
    <r>
      <rPr>
        <sz val="7"/>
        <color theme="1"/>
        <rFont val="Times New Roman"/>
        <family val="1"/>
      </rPr>
      <t xml:space="preserve">   </t>
    </r>
    <r>
      <rPr>
        <sz val="11"/>
        <color theme="1"/>
        <rFont val="Calibri"/>
        <family val="2"/>
        <scheme val="minor"/>
      </rPr>
      <t>Default is to pull disclosure for the new incumbent and annualize, as needed; footnote that only a partial year of data is available</t>
    </r>
  </si>
  <si>
    <r>
      <t>o</t>
    </r>
    <r>
      <rPr>
        <sz val="7"/>
        <color theme="1"/>
        <rFont val="Times New Roman"/>
        <family val="1"/>
      </rPr>
      <t xml:space="preserve">   </t>
    </r>
    <r>
      <rPr>
        <sz val="11"/>
        <color theme="1"/>
        <rFont val="Calibri"/>
        <family val="2"/>
        <scheme val="minor"/>
      </rPr>
      <t>Only use the pay for the previous incumbent if data for the new incumbent is insufficient (e.g., was only in the role for 1 month of year 1 and annualizing is giving you weird numbers); footnote this &amp; ensure you discuss with your project team before capturing this data</t>
    </r>
  </si>
  <si>
    <r>
      <t>o</t>
    </r>
    <r>
      <rPr>
        <sz val="7"/>
        <color theme="1"/>
        <rFont val="Times New Roman"/>
        <family val="1"/>
      </rPr>
      <t xml:space="preserve">   </t>
    </r>
    <r>
      <rPr>
        <sz val="11"/>
        <color theme="1"/>
        <rFont val="Calibri"/>
        <family val="2"/>
        <scheme val="minor"/>
      </rPr>
      <t>Do not blend benchmarking for the roles (e.g., do not use base salary for new incumbent and target STIP % for old incumbent)</t>
    </r>
  </si>
  <si>
    <r>
      <t>o</t>
    </r>
    <r>
      <rPr>
        <sz val="7"/>
        <color theme="1"/>
        <rFont val="Times New Roman"/>
        <family val="1"/>
      </rPr>
      <t xml:space="preserve">   </t>
    </r>
    <r>
      <rPr>
        <sz val="11"/>
        <color theme="1"/>
        <rFont val="Calibri"/>
        <family val="2"/>
        <scheme val="minor"/>
      </rPr>
      <t>This only applies if target pay is not disclosed for the new incumbent (otherwise, target pay would be used)</t>
    </r>
  </si>
  <si>
    <r>
      <t>·</t>
    </r>
    <r>
      <rPr>
        <sz val="7"/>
        <color theme="1"/>
        <rFont val="Times New Roman"/>
        <family val="1"/>
      </rPr>
      <t xml:space="preserve">         </t>
    </r>
    <r>
      <rPr>
        <sz val="11"/>
        <color theme="1"/>
        <rFont val="Calibri"/>
        <family val="2"/>
        <scheme val="minor"/>
      </rPr>
      <t>For discussion on a new incumbent, who has not previously worked at the company, include all of their data that is available (see “Annualization” below)</t>
    </r>
  </si>
  <si>
    <t>Annualization</t>
  </si>
  <si>
    <r>
      <t>·</t>
    </r>
    <r>
      <rPr>
        <sz val="7"/>
        <color theme="1"/>
        <rFont val="Times New Roman"/>
        <family val="1"/>
      </rPr>
      <t xml:space="preserve">         </t>
    </r>
    <r>
      <rPr>
        <sz val="11"/>
        <color theme="1"/>
        <rFont val="Calibri"/>
        <family val="2"/>
        <scheme val="minor"/>
      </rPr>
      <t>To annualize the base salary, insert the month beginning / end into the relevant columns (E &amp; F)</t>
    </r>
  </si>
  <si>
    <r>
      <t>·</t>
    </r>
    <r>
      <rPr>
        <sz val="7"/>
        <color theme="1"/>
        <rFont val="Times New Roman"/>
        <family val="1"/>
      </rPr>
      <t xml:space="preserve">         </t>
    </r>
    <r>
      <rPr>
        <sz val="11"/>
        <color theme="1"/>
        <rFont val="Calibri"/>
        <family val="2"/>
        <scheme val="minor"/>
      </rPr>
      <t>Check for the year end to accurately track the number of months from the fiscal year</t>
    </r>
  </si>
  <si>
    <r>
      <t>·</t>
    </r>
    <r>
      <rPr>
        <sz val="7"/>
        <color theme="1"/>
        <rFont val="Times New Roman"/>
        <family val="1"/>
      </rPr>
      <t xml:space="preserve">         </t>
    </r>
    <r>
      <rPr>
        <sz val="11"/>
        <color theme="1"/>
        <rFont val="Calibri"/>
        <family val="2"/>
        <scheme val="minor"/>
      </rPr>
      <t>Ensure that annualization calculations result in a number that makes sense (i.e. NEO3 TDC is not higher than CEO)</t>
    </r>
  </si>
  <si>
    <r>
      <t>·</t>
    </r>
    <r>
      <rPr>
        <sz val="7"/>
        <color theme="1"/>
        <rFont val="Times New Roman"/>
        <family val="1"/>
      </rPr>
      <t xml:space="preserve">         </t>
    </r>
    <r>
      <rPr>
        <sz val="11"/>
        <color theme="1"/>
        <rFont val="Calibri"/>
        <family val="2"/>
        <scheme val="minor"/>
      </rPr>
      <t>Note that our template automatically annualizes actual STIP awards, but does not annualize LTIP awards</t>
    </r>
  </si>
  <si>
    <r>
      <t>o</t>
    </r>
    <r>
      <rPr>
        <sz val="7"/>
        <color theme="1"/>
        <rFont val="Times New Roman"/>
        <family val="1"/>
      </rPr>
      <t xml:space="preserve">   </t>
    </r>
    <r>
      <rPr>
        <sz val="11"/>
        <color theme="1"/>
        <rFont val="Calibri"/>
        <family val="2"/>
        <scheme val="minor"/>
      </rPr>
      <t>Confirm that the automatic annualization makes sense; always flag for the peer reviewer</t>
    </r>
  </si>
  <si>
    <t>One Time Awards</t>
  </si>
  <si>
    <r>
      <t>·</t>
    </r>
    <r>
      <rPr>
        <sz val="7"/>
        <color theme="1"/>
        <rFont val="Times New Roman"/>
        <family val="1"/>
      </rPr>
      <t xml:space="preserve">         </t>
    </r>
    <r>
      <rPr>
        <sz val="11"/>
        <color theme="1"/>
        <rFont val="Calibri"/>
        <family val="2"/>
        <scheme val="minor"/>
      </rPr>
      <t>In all cases, should review disclosure related to one-time awards and apply judgement based on the specific circumstances. Flag the award and assumptions for the peer reviewer</t>
    </r>
  </si>
  <si>
    <r>
      <t>·</t>
    </r>
    <r>
      <rPr>
        <sz val="7"/>
        <color theme="1"/>
        <rFont val="Times New Roman"/>
        <family val="1"/>
      </rPr>
      <t xml:space="preserve">         </t>
    </r>
    <r>
      <rPr>
        <sz val="11"/>
        <color theme="1"/>
        <rFont val="Calibri"/>
        <family val="2"/>
        <scheme val="minor"/>
      </rPr>
      <t xml:space="preserve"> “Make-whole” award (An award to compensate for unvested LTIP that executive is forfeiting from their previous employer to join this Company):</t>
    </r>
  </si>
  <si>
    <r>
      <t>o</t>
    </r>
    <r>
      <rPr>
        <sz val="7"/>
        <color theme="1"/>
        <rFont val="Times New Roman"/>
        <family val="1"/>
      </rPr>
      <t xml:space="preserve">   </t>
    </r>
    <r>
      <rPr>
        <sz val="11"/>
        <color theme="1"/>
        <rFont val="Calibri"/>
        <family val="2"/>
        <scheme val="minor"/>
      </rPr>
      <t>Exclude and footnote</t>
    </r>
  </si>
  <si>
    <r>
      <t>·</t>
    </r>
    <r>
      <rPr>
        <sz val="7"/>
        <color theme="1"/>
        <rFont val="Times New Roman"/>
        <family val="1"/>
      </rPr>
      <t xml:space="preserve">         </t>
    </r>
    <r>
      <rPr>
        <sz val="11"/>
        <color theme="1"/>
        <rFont val="Calibri"/>
        <family val="2"/>
        <scheme val="minor"/>
      </rPr>
      <t>One-time awards tied to a transaction/performance-based, or for retention purposes, etc.:</t>
    </r>
  </si>
  <si>
    <r>
      <t>o</t>
    </r>
    <r>
      <rPr>
        <sz val="7"/>
        <color theme="1"/>
        <rFont val="Times New Roman"/>
        <family val="1"/>
      </rPr>
      <t xml:space="preserve">   </t>
    </r>
    <r>
      <rPr>
        <sz val="11"/>
        <color theme="1"/>
        <rFont val="Calibri"/>
        <family val="2"/>
        <scheme val="minor"/>
      </rPr>
      <t xml:space="preserve"> Include and footnote</t>
    </r>
  </si>
  <si>
    <r>
      <t>o</t>
    </r>
    <r>
      <rPr>
        <sz val="7"/>
        <color theme="1"/>
        <rFont val="Times New Roman"/>
        <family val="1"/>
      </rPr>
      <t xml:space="preserve">   </t>
    </r>
    <r>
      <rPr>
        <sz val="11"/>
        <color theme="1"/>
        <rFont val="Calibri"/>
        <family val="2"/>
        <scheme val="minor"/>
      </rPr>
      <t>If cash, include in “actual STIP” in the year</t>
    </r>
  </si>
  <si>
    <r>
      <t>o</t>
    </r>
    <r>
      <rPr>
        <sz val="7"/>
        <color theme="1"/>
        <rFont val="Times New Roman"/>
        <family val="1"/>
      </rPr>
      <t xml:space="preserve">   </t>
    </r>
    <r>
      <rPr>
        <sz val="11"/>
        <color theme="1"/>
        <rFont val="Calibri"/>
        <family val="2"/>
        <scheme val="minor"/>
      </rPr>
      <t>If equity, amortize over the vesting period (e.g., if 3-year RSUs, include 1/3 in the year of grant and 1/3 each in the two years thereafter)</t>
    </r>
  </si>
  <si>
    <r>
      <t>§</t>
    </r>
    <r>
      <rPr>
        <sz val="7"/>
        <color theme="1"/>
        <rFont val="Times New Roman"/>
        <family val="1"/>
      </rPr>
      <t xml:space="preserve">  </t>
    </r>
    <r>
      <rPr>
        <sz val="11"/>
        <color theme="1"/>
        <rFont val="Calibri"/>
        <family val="2"/>
        <scheme val="minor"/>
      </rPr>
      <t>If equity award vesting is not disclosed, look for text about the typical equity plan; if there is nothing disclosed, amortize over 3 years for RSUs and 4 years for stock options</t>
    </r>
  </si>
  <si>
    <r>
      <t>·</t>
    </r>
    <r>
      <rPr>
        <sz val="7"/>
        <color theme="1"/>
        <rFont val="Times New Roman"/>
        <family val="1"/>
      </rPr>
      <t xml:space="preserve">         </t>
    </r>
    <r>
      <rPr>
        <sz val="11"/>
        <color theme="1"/>
        <rFont val="Calibri"/>
        <family val="2"/>
        <scheme val="minor"/>
      </rPr>
      <t>One-time awards tied to a sign-on, promotion, or change in role:</t>
    </r>
  </si>
  <si>
    <r>
      <t>o</t>
    </r>
    <r>
      <rPr>
        <sz val="7"/>
        <color theme="1"/>
        <rFont val="Times New Roman"/>
        <family val="1"/>
      </rPr>
      <t xml:space="preserve">   </t>
    </r>
    <r>
      <rPr>
        <sz val="11"/>
        <color theme="1"/>
        <rFont val="Calibri"/>
        <family val="2"/>
        <scheme val="minor"/>
      </rPr>
      <t>Include and footnote</t>
    </r>
  </si>
  <si>
    <r>
      <t>o</t>
    </r>
    <r>
      <rPr>
        <sz val="7"/>
        <color theme="1"/>
        <rFont val="Times New Roman"/>
        <family val="1"/>
      </rPr>
      <t xml:space="preserve">   </t>
    </r>
    <r>
      <rPr>
        <sz val="11"/>
        <color theme="1"/>
        <rFont val="Calibri"/>
        <family val="2"/>
        <scheme val="minor"/>
      </rPr>
      <t>In the absence of evidence that a sign-on award is a “make-whole” award, then include it</t>
    </r>
  </si>
  <si>
    <t>Data Aging</t>
  </si>
  <si>
    <r>
      <t>·</t>
    </r>
    <r>
      <rPr>
        <sz val="7"/>
        <color theme="1"/>
        <rFont val="Times New Roman"/>
        <family val="1"/>
      </rPr>
      <t xml:space="preserve">         </t>
    </r>
    <r>
      <rPr>
        <sz val="11"/>
        <color theme="1"/>
        <rFont val="Calibri"/>
        <family val="2"/>
        <scheme val="minor"/>
      </rPr>
      <t>Below the output tables for each role, there is a “Data Aging” section where you can select “Y” or “N” for whether the data should be aged</t>
    </r>
  </si>
  <si>
    <r>
      <t>o</t>
    </r>
    <r>
      <rPr>
        <sz val="7"/>
        <color theme="1"/>
        <rFont val="Times New Roman"/>
        <family val="1"/>
      </rPr>
      <t xml:space="preserve">   </t>
    </r>
    <r>
      <rPr>
        <sz val="11"/>
        <color theme="1"/>
        <rFont val="Calibri"/>
        <family val="2"/>
        <scheme val="minor"/>
      </rPr>
      <t>Footnote whether a go-forward salary has been used</t>
    </r>
  </si>
  <si>
    <t>Footnotes</t>
  </si>
  <si>
    <r>
      <t>·</t>
    </r>
    <r>
      <rPr>
        <sz val="7"/>
        <color theme="1"/>
        <rFont val="Times New Roman"/>
        <family val="1"/>
      </rPr>
      <t xml:space="preserve">         </t>
    </r>
    <r>
      <rPr>
        <sz val="11"/>
        <color theme="1"/>
        <rFont val="Calibri"/>
        <family val="2"/>
        <scheme val="minor"/>
      </rPr>
      <t>Footnotes may go in either column AO or a word document/email, depending on the peer reviewer’s preference</t>
    </r>
  </si>
  <si>
    <r>
      <t>·</t>
    </r>
    <r>
      <rPr>
        <sz val="7"/>
        <color theme="1"/>
        <rFont val="Times New Roman"/>
        <family val="1"/>
      </rPr>
      <t xml:space="preserve">         </t>
    </r>
    <r>
      <rPr>
        <sz val="11"/>
        <color theme="1"/>
        <rFont val="Calibri"/>
        <family val="2"/>
        <scheme val="minor"/>
      </rPr>
      <t>Ensure each footnote is concise, complete, grammatically correct, and follows a consistent format</t>
    </r>
  </si>
  <si>
    <r>
      <t>·</t>
    </r>
    <r>
      <rPr>
        <sz val="7"/>
        <color theme="1"/>
        <rFont val="Times New Roman"/>
        <family val="1"/>
      </rPr>
      <t xml:space="preserve">         </t>
    </r>
    <r>
      <rPr>
        <sz val="11"/>
        <color theme="1"/>
        <rFont val="Calibri"/>
        <family val="2"/>
        <scheme val="minor"/>
      </rPr>
      <t>Do not footnote anything that isn’t standard to the benchmarking methodology covered above (i.e. only value-add, unique circumstances footnoted)</t>
    </r>
  </si>
  <si>
    <r>
      <t>·</t>
    </r>
    <r>
      <rPr>
        <sz val="7"/>
        <color theme="1"/>
        <rFont val="Times New Roman"/>
        <family val="1"/>
      </rPr>
      <t xml:space="preserve">         </t>
    </r>
    <r>
      <rPr>
        <sz val="11"/>
        <color theme="1"/>
        <rFont val="Calibri"/>
        <family val="2"/>
        <scheme val="minor"/>
      </rPr>
      <t>Be consistent with how the incumbent’s name is footnoted (i.e. only last name, first name &amp; last name, or name &amp; role)</t>
    </r>
  </si>
  <si>
    <t>Process</t>
  </si>
  <si>
    <r>
      <t>·</t>
    </r>
    <r>
      <rPr>
        <sz val="7"/>
        <color theme="1"/>
        <rFont val="Times New Roman"/>
        <family val="1"/>
      </rPr>
      <t xml:space="preserve">         </t>
    </r>
    <r>
      <rPr>
        <sz val="11"/>
        <color theme="1"/>
        <rFont val="Calibri"/>
        <family val="2"/>
        <scheme val="minor"/>
      </rPr>
      <t>Ensure all proxies are saved in the drive and are highlighted</t>
    </r>
  </si>
  <si>
    <r>
      <t>o</t>
    </r>
    <r>
      <rPr>
        <sz val="7"/>
        <color theme="1"/>
        <rFont val="Times New Roman"/>
        <family val="1"/>
      </rPr>
      <t xml:space="preserve">   </t>
    </r>
    <r>
      <rPr>
        <sz val="11"/>
        <color theme="1"/>
        <rFont val="Calibri"/>
        <family val="2"/>
        <scheme val="minor"/>
      </rPr>
      <t>Questions should be clearly noted either in the proxy or in a tracking word document or email</t>
    </r>
  </si>
  <si>
    <r>
      <t>o</t>
    </r>
    <r>
      <rPr>
        <sz val="7"/>
        <color theme="1"/>
        <rFont val="Times New Roman"/>
        <family val="1"/>
      </rPr>
      <t xml:space="preserve">   </t>
    </r>
    <r>
      <rPr>
        <sz val="11"/>
        <color theme="1"/>
        <rFont val="Calibri"/>
        <family val="2"/>
        <scheme val="minor"/>
      </rPr>
      <t>Ensure that a new benchmarking review is from a new proxy / uses a new highlight colour</t>
    </r>
  </si>
  <si>
    <r>
      <t>·</t>
    </r>
    <r>
      <rPr>
        <sz val="7"/>
        <color theme="1"/>
        <rFont val="Times New Roman"/>
        <family val="1"/>
      </rPr>
      <t xml:space="preserve">         </t>
    </r>
    <r>
      <rPr>
        <sz val="11"/>
        <color theme="1"/>
        <rFont val="Calibri"/>
        <family val="2"/>
        <scheme val="minor"/>
      </rPr>
      <t>Ensure that all changes to formulas in cells is tracked with a comment on the cell</t>
    </r>
  </si>
  <si>
    <r>
      <t>o</t>
    </r>
    <r>
      <rPr>
        <sz val="7"/>
        <color theme="1"/>
        <rFont val="Times New Roman"/>
        <family val="1"/>
      </rPr>
      <t xml:space="preserve">   </t>
    </r>
    <r>
      <rPr>
        <sz val="11"/>
        <color theme="1"/>
        <rFont val="Calibri"/>
        <family val="2"/>
        <scheme val="minor"/>
      </rPr>
      <t>Also change the cell colour to be consistent with the colour text convention</t>
    </r>
  </si>
  <si>
    <r>
      <t>·</t>
    </r>
    <r>
      <rPr>
        <sz val="7"/>
        <color theme="1"/>
        <rFont val="Times New Roman"/>
        <family val="1"/>
      </rPr>
      <t xml:space="preserve">         </t>
    </r>
    <r>
      <rPr>
        <sz val="11"/>
        <color theme="1"/>
        <rFont val="Calibri"/>
        <family val="2"/>
        <scheme val="minor"/>
      </rPr>
      <t>Confirm the currency of disclosure</t>
    </r>
  </si>
  <si>
    <r>
      <t>o</t>
    </r>
    <r>
      <rPr>
        <sz val="7"/>
        <color theme="1"/>
        <rFont val="Times New Roman"/>
        <family val="1"/>
      </rPr>
      <t xml:space="preserve">   </t>
    </r>
    <r>
      <rPr>
        <sz val="11"/>
        <color theme="1"/>
        <rFont val="Calibri"/>
        <family val="2"/>
        <scheme val="minor"/>
      </rPr>
      <t>If the disclosure is in one currency (i.e. USD), but the footnotes disclose that it was originally set or paid in another currency (i.e. CAD), use the disclosed FX rate inputted into column I</t>
    </r>
  </si>
  <si>
    <r>
      <t>·</t>
    </r>
    <r>
      <rPr>
        <sz val="7"/>
        <color theme="1"/>
        <rFont val="Times New Roman"/>
        <family val="1"/>
      </rPr>
      <t xml:space="preserve">         </t>
    </r>
    <r>
      <rPr>
        <sz val="11"/>
        <color theme="1"/>
        <rFont val="Calibri"/>
        <family val="2"/>
        <scheme val="minor"/>
      </rPr>
      <t>Particularly if work is being split up, ensure that “data recorder” is recorded in column AP</t>
    </r>
  </si>
  <si>
    <r>
      <t>·</t>
    </r>
    <r>
      <rPr>
        <sz val="7"/>
        <color theme="1"/>
        <rFont val="Times New Roman"/>
        <family val="1"/>
      </rPr>
      <t xml:space="preserve">         </t>
    </r>
    <r>
      <rPr>
        <sz val="11"/>
        <color theme="1"/>
        <rFont val="Calibri"/>
        <family val="2"/>
        <scheme val="minor"/>
      </rPr>
      <t xml:space="preserve">Ensure that all formulas are in </t>
    </r>
    <r>
      <rPr>
        <b/>
        <sz val="11"/>
        <color theme="1"/>
        <rFont val="Calibri"/>
        <family val="2"/>
        <scheme val="minor"/>
      </rPr>
      <t>black</t>
    </r>
    <r>
      <rPr>
        <sz val="11"/>
        <color theme="1"/>
        <rFont val="Calibri"/>
        <family val="2"/>
        <scheme val="minor"/>
      </rPr>
      <t xml:space="preserve"> text, and all hard-coded numbers are in </t>
    </r>
    <r>
      <rPr>
        <b/>
        <sz val="11"/>
        <color rgb="FF0070C0"/>
        <rFont val="Calibri"/>
        <family val="2"/>
        <scheme val="minor"/>
      </rPr>
      <t>blue</t>
    </r>
    <r>
      <rPr>
        <sz val="11"/>
        <color theme="1"/>
        <rFont val="Calibri"/>
        <family val="2"/>
        <scheme val="minor"/>
      </rPr>
      <t xml:space="preserve"> text in the Raw Data tab</t>
    </r>
  </si>
  <si>
    <t>Peer Reviewing</t>
  </si>
  <si>
    <r>
      <t>·</t>
    </r>
    <r>
      <rPr>
        <sz val="7"/>
        <color theme="1"/>
        <rFont val="Times New Roman"/>
        <family val="1"/>
      </rPr>
      <t xml:space="preserve">         </t>
    </r>
    <r>
      <rPr>
        <sz val="11"/>
        <color theme="1"/>
        <rFont val="Calibri"/>
        <family val="2"/>
        <scheme val="minor"/>
      </rPr>
      <t>Track changes that are made by company and send back to the data recorder for their knowledge</t>
    </r>
  </si>
  <si>
    <r>
      <t>o</t>
    </r>
    <r>
      <rPr>
        <sz val="7"/>
        <color theme="1"/>
        <rFont val="Times New Roman"/>
        <family val="1"/>
      </rPr>
      <t xml:space="preserve">   </t>
    </r>
    <r>
      <rPr>
        <sz val="11"/>
        <color theme="1"/>
        <rFont val="Calibri"/>
        <family val="2"/>
        <scheme val="minor"/>
      </rPr>
      <t>If there’s a typo, that’s not important to include; if there’s a misinterpretation, then that’s important to share</t>
    </r>
  </si>
  <si>
    <r>
      <t>·</t>
    </r>
    <r>
      <rPr>
        <sz val="7"/>
        <color theme="1"/>
        <rFont val="Times New Roman"/>
        <family val="1"/>
      </rPr>
      <t xml:space="preserve">         </t>
    </r>
    <r>
      <rPr>
        <sz val="11"/>
        <color theme="1"/>
        <rFont val="Calibri"/>
        <family val="2"/>
        <scheme val="minor"/>
      </rPr>
      <t>Assume that the peer reviewer has made all of the necessary changes to the raw data sheet</t>
    </r>
  </si>
  <si>
    <t xml:space="preserve">Incumbent Start Month </t>
  </si>
  <si>
    <t>Headquarters</t>
  </si>
  <si>
    <t>Total Enterprise Value ($MM)</t>
  </si>
  <si>
    <t>Market Cap ($MM)</t>
  </si>
  <si>
    <t>Total Assets ($MM)</t>
  </si>
  <si>
    <t>Revenue ($MM)</t>
  </si>
  <si>
    <t>P75</t>
  </si>
  <si>
    <t>P50</t>
  </si>
  <si>
    <t>P25</t>
  </si>
  <si>
    <r>
      <t>·</t>
    </r>
    <r>
      <rPr>
        <sz val="7"/>
        <color theme="1"/>
        <rFont val="Times New Roman"/>
        <family val="1"/>
      </rPr>
      <t xml:space="preserve">         </t>
    </r>
    <r>
      <rPr>
        <sz val="11"/>
        <color theme="1"/>
        <rFont val="Calibri"/>
        <family val="2"/>
        <scheme val="minor"/>
      </rPr>
      <t>Ensure that all output tables are sorted in a consistent manner (i.e. sorted by TEV, market cap, or alphabetically)</t>
    </r>
  </si>
  <si>
    <r>
      <t>·</t>
    </r>
    <r>
      <rPr>
        <sz val="7"/>
        <color theme="1"/>
        <rFont val="Times New Roman"/>
        <family val="1"/>
      </rPr>
      <t xml:space="preserve">         </t>
    </r>
    <r>
      <rPr>
        <sz val="11"/>
        <color theme="1"/>
        <rFont val="Calibri"/>
        <family val="2"/>
        <scheme val="minor"/>
      </rPr>
      <t>Column J can be rearranged to match the order in the summary compensation table</t>
    </r>
  </si>
  <si>
    <r>
      <t>o</t>
    </r>
    <r>
      <rPr>
        <sz val="7"/>
        <color theme="1"/>
        <rFont val="Times New Roman"/>
        <family val="1"/>
      </rPr>
      <t xml:space="preserve">   </t>
    </r>
    <r>
      <rPr>
        <sz val="11"/>
        <color theme="1"/>
        <rFont val="Calibri"/>
        <family val="2"/>
        <scheme val="minor"/>
      </rPr>
      <t>Label proxies in the order that they are entered into the Raw Data tab (01., 02., etc.)</t>
    </r>
  </si>
  <si>
    <r>
      <t>o</t>
    </r>
    <r>
      <rPr>
        <sz val="7"/>
        <color theme="1"/>
        <rFont val="Times New Roman"/>
        <family val="1"/>
      </rPr>
      <t xml:space="preserve">   </t>
    </r>
    <r>
      <rPr>
        <sz val="11"/>
        <color theme="1"/>
        <rFont val="Calibri"/>
        <family val="2"/>
        <scheme val="minor"/>
      </rPr>
      <t xml:space="preserve">Record any override formulas in </t>
    </r>
    <r>
      <rPr>
        <b/>
        <sz val="11"/>
        <color rgb="FF0070C0"/>
        <rFont val="Calibri"/>
        <family val="2"/>
        <scheme val="minor"/>
      </rPr>
      <t>blue</t>
    </r>
  </si>
  <si>
    <t>Source: Company Proxy Data</t>
  </si>
  <si>
    <t>Total Compensation</t>
  </si>
  <si>
    <t xml:space="preserve">Other </t>
  </si>
  <si>
    <t>TC</t>
  </si>
  <si>
    <t>Actual 
(Actual TDC + Pension + Other)</t>
  </si>
  <si>
    <t>Target 
(Target TDC + Pension + Other)</t>
  </si>
  <si>
    <t>Check with client team 1) whether this benchmarking is necessary and 2) how to treat pension &amp; other in the output tables (i.e., actual, 3-year average)</t>
  </si>
  <si>
    <t>Pension Converted</t>
  </si>
  <si>
    <t>Other Converted</t>
  </si>
  <si>
    <t>Pension 3 Year Average</t>
  </si>
  <si>
    <t>Other 3 Year Average</t>
  </si>
  <si>
    <t>Pension &amp; Other</t>
  </si>
  <si>
    <t>INPUTS</t>
  </si>
  <si>
    <r>
      <t>·</t>
    </r>
    <r>
      <rPr>
        <sz val="7"/>
        <color theme="1"/>
        <rFont val="Times New Roman"/>
        <family val="1"/>
      </rPr>
      <t xml:space="preserve">         </t>
    </r>
    <r>
      <rPr>
        <sz val="11"/>
        <color theme="1"/>
        <rFont val="Calibri"/>
        <family val="2"/>
        <scheme val="minor"/>
      </rPr>
      <t>The template will age all data 3% (or any other value entered into the “Input” section of the "Raw Data" tab), unless the upcoming year’s salary is disclosed, in which case that will be used instead</t>
    </r>
  </si>
  <si>
    <r>
      <t>·</t>
    </r>
    <r>
      <rPr>
        <sz val="7"/>
        <color theme="1"/>
        <rFont val="Times New Roman"/>
        <family val="1"/>
      </rPr>
      <t xml:space="preserve">         </t>
    </r>
    <r>
      <rPr>
        <sz val="11"/>
        <color theme="1"/>
        <rFont val="Calibri"/>
        <family val="2"/>
        <scheme val="minor"/>
      </rPr>
      <t>The years in the raw data (column D) should always be the same for every peer in order to facilitate the correct INDEX-MATCH formulas</t>
    </r>
  </si>
  <si>
    <t>TSX:PAAS</t>
  </si>
  <si>
    <t>TSX:LUN</t>
  </si>
  <si>
    <t>TSX:AGI</t>
  </si>
  <si>
    <t>TSX:BTO</t>
  </si>
  <si>
    <t>TSX:CS</t>
  </si>
  <si>
    <t>NYSE:HL</t>
  </si>
  <si>
    <t>TSX:SSRM</t>
  </si>
  <si>
    <t>TSX:ELD</t>
  </si>
  <si>
    <t>TSX:IMG</t>
  </si>
  <si>
    <t>TSX:CG</t>
  </si>
  <si>
    <t>TSX:HBM</t>
  </si>
  <si>
    <t>President &amp; CEO</t>
  </si>
  <si>
    <t>Peter Kukielski</t>
  </si>
  <si>
    <t>DC</t>
  </si>
  <si>
    <t>COO</t>
  </si>
  <si>
    <t>Andre Lauzon</t>
  </si>
  <si>
    <t>Eugene Lei</t>
  </si>
  <si>
    <t>SVP, Legal and Organizational Effectiveness</t>
  </si>
  <si>
    <t>Patrick Donnelly</t>
  </si>
  <si>
    <t>DB</t>
  </si>
  <si>
    <t>SVP, US Business Unit</t>
  </si>
  <si>
    <t>Javier Del Rio</t>
  </si>
  <si>
    <t>Renaud Adams</t>
  </si>
  <si>
    <t>Maarten Theunissen</t>
  </si>
  <si>
    <t>Bruno Lemelin</t>
  </si>
  <si>
    <t>Dorena Quinn</t>
  </si>
  <si>
    <t>Tim Bradburn</t>
  </si>
  <si>
    <t>USD</t>
  </si>
  <si>
    <t>Rob Krcmarov</t>
  </si>
  <si>
    <t>SVP &amp; CFO</t>
  </si>
  <si>
    <t>Russell D. Lawlar</t>
  </si>
  <si>
    <t>Michael L. Clary</t>
  </si>
  <si>
    <t>David C. Sienko</t>
  </si>
  <si>
    <t>George Burns</t>
  </si>
  <si>
    <t>EVP &amp; CFO</t>
  </si>
  <si>
    <t>Paul Fernehough</t>
  </si>
  <si>
    <t>EVP, Development, Greece</t>
  </si>
  <si>
    <t>Louw Smith</t>
  </si>
  <si>
    <t>Mr. Smith was appointed EVP, Development, Greece effective January 1, 2024. Other compensation reflects his expartriate assignment related perquisite costs which include a relocation allowance, monthly housing allowance, and home flight reimbursement. Mr. Smith also received a make whole equity award in 2024, worth CDN $405,425 which was comprised of PSUs (50%), RSUs (25%) and Options (25%) - this value has been excluded for the purposes of benchmarking.</t>
  </si>
  <si>
    <t>EVP, General Counsel &amp; Chief Compliance Officer</t>
  </si>
  <si>
    <t>Frank Herbert</t>
  </si>
  <si>
    <t>Simon Hille</t>
  </si>
  <si>
    <t>Executive Chairman</t>
  </si>
  <si>
    <t>Rodney Antal</t>
  </si>
  <si>
    <t>Mr. Antal was appointed Executive Chairman of the Company in 2023.</t>
  </si>
  <si>
    <t>Michael Sparks</t>
  </si>
  <si>
    <t>Bill MacNevin</t>
  </si>
  <si>
    <t>F. Edward Farid</t>
  </si>
  <si>
    <t>John Ebbett</t>
  </si>
  <si>
    <t>Paul Tomory</t>
  </si>
  <si>
    <t>Ryan Snyder</t>
  </si>
  <si>
    <t>EVP, Legal &amp; Public Affairs</t>
  </si>
  <si>
    <t>Yousef Rehman</t>
  </si>
  <si>
    <t>EVP, People, Technology &amp; Supply Chain</t>
  </si>
  <si>
    <t>Mr. MacNevin was appointed EVP, Operations and Sustainability January 1, 2023. Compensation for the previous year has not been recorded. Upon appointment, he received a one-time RSU award of $1,050,000; this award has been excluded from the benchmarking.</t>
  </si>
  <si>
    <t>J. Paul Rollinson</t>
  </si>
  <si>
    <t>Andrea S. Freeborough</t>
  </si>
  <si>
    <t>Geoffrey P. Gold</t>
  </si>
  <si>
    <t>Claude J.S. Schimper</t>
  </si>
  <si>
    <t>President</t>
  </si>
  <si>
    <t>EVP &amp; COO</t>
  </si>
  <si>
    <t>SVP, Technical Services</t>
  </si>
  <si>
    <t>Mr. Gold’s 2024 STI calculated on formula would have been US$1,116,517. However, the human resources and compensation committee decided to reduce his STI payment by C$200,000 and increase his long-term incentive by the same amount to better align to the company’s target pay mix.</t>
  </si>
  <si>
    <t>Ms. Freeborough’s 2024 STI calculated on formula would have been US$518,383. However, the human resources and compensation committee decided to reduce her STI payment by C$41,000 and increase her long-term incentive by the same amount to better align to the company’s target pay mix.</t>
  </si>
  <si>
    <t>Jack Lundin</t>
  </si>
  <si>
    <t>Teitur Poulsen</t>
  </si>
  <si>
    <t>Juan Andres Morel</t>
  </si>
  <si>
    <t>Peter Brady</t>
  </si>
  <si>
    <t>General Counsel</t>
  </si>
  <si>
    <t>John A. McCluskey</t>
  </si>
  <si>
    <t>Gregory Fisher</t>
  </si>
  <si>
    <t>Luc Guimond</t>
  </si>
  <si>
    <t>Christopher Bostwick</t>
  </si>
  <si>
    <t>Michael Steinmann</t>
  </si>
  <si>
    <t>Steven Busby</t>
  </si>
  <si>
    <t>Ignacio Couturier</t>
  </si>
  <si>
    <t>Christopher Lemon</t>
  </si>
  <si>
    <t>John MacKenzie</t>
  </si>
  <si>
    <t>Cashel Meagher</t>
  </si>
  <si>
    <t>Raman Randhawa</t>
  </si>
  <si>
    <t>James Whittaker</t>
  </si>
  <si>
    <t>Wendy King</t>
  </si>
  <si>
    <t>President &amp; COO</t>
  </si>
  <si>
    <t>Clive Johnson</t>
  </si>
  <si>
    <t>Michael Cinnamond</t>
  </si>
  <si>
    <t>William Lytle</t>
  </si>
  <si>
    <t>Randall Chatwin</t>
  </si>
  <si>
    <t>Victor King</t>
  </si>
  <si>
    <t>Yohann Bouchard</t>
  </si>
  <si>
    <t>Gerard Bond</t>
  </si>
  <si>
    <t>Marius van Niekerk</t>
  </si>
  <si>
    <t>Makko DeFilippo</t>
  </si>
  <si>
    <t>Wayne Drier</t>
  </si>
  <si>
    <t>NEO4</t>
  </si>
  <si>
    <t>NEO5</t>
  </si>
  <si>
    <t>sc</t>
  </si>
  <si>
    <t>SC</t>
  </si>
  <si>
    <t xml:space="preserve">Mr. Sienko was promoted from VP &amp; General Counsel to SVP General Counsel &amp; Corporate Secretary in August 2024. Actual compensation for 2024 reflects both role; Targets reflect his new role. </t>
  </si>
  <si>
    <t>Mr. Krcmarov was appointed President and CEO November 7, 2024. His compensation for the year has been annualized, except for an on-hire grant of $3.195M in RSUs and PSUs which we have excluded. Target TDC reflects annual target STIP and LTIP</t>
  </si>
  <si>
    <t>Mr. Farid was appointed EVP, Chief Strategy Officer in March 2024, before which he served as EVP, Chief Corporate Officer since 2020. His 2024 actual compensation reflects both roles. Target TDC reflect his new target STIP and LTIP</t>
  </si>
  <si>
    <t>Role Match</t>
  </si>
  <si>
    <t>Look-Up2</t>
  </si>
  <si>
    <t>Legal</t>
  </si>
  <si>
    <t>Tech</t>
  </si>
  <si>
    <t>Olivier Tavchandjian</t>
  </si>
  <si>
    <t>SVP, Exploration and Technical Services</t>
  </si>
  <si>
    <t>Rob Carter</t>
  </si>
  <si>
    <t>SVP, Canada</t>
  </si>
  <si>
    <t>Region</t>
  </si>
  <si>
    <t>x</t>
  </si>
  <si>
    <t>Lookup</t>
  </si>
  <si>
    <t>Role match</t>
  </si>
  <si>
    <t>Actual TDC</t>
  </si>
  <si>
    <t>Kinross Gold Corporation</t>
  </si>
  <si>
    <t>Pan American Silver Corp.</t>
  </si>
  <si>
    <t>Alamos Gold Inc.</t>
  </si>
  <si>
    <t>B2Gold Corp.</t>
  </si>
  <si>
    <t>Capstone Copper Corp.</t>
  </si>
  <si>
    <t>Hecla Mining Company</t>
  </si>
  <si>
    <t>SSR Mining Inc.</t>
  </si>
  <si>
    <t>Eldorado Gold Corporation</t>
  </si>
  <si>
    <t>IAMGOLD Corporation</t>
  </si>
  <si>
    <t>OceanaGold Corporation</t>
  </si>
  <si>
    <t>New Gold Inc.</t>
  </si>
  <si>
    <t>Centerra Gold Inc.</t>
  </si>
  <si>
    <t>Ero Copper Corp.</t>
  </si>
  <si>
    <t>Lundin Mining Corporation</t>
  </si>
  <si>
    <t>Nils F. Engelstad</t>
  </si>
  <si>
    <t xml:space="preserve">Randall Chatwin </t>
  </si>
  <si>
    <t xml:space="preserve">David C. Sienko </t>
  </si>
  <si>
    <t>Michael J. Sparks</t>
  </si>
  <si>
    <t xml:space="preserve">Frank Herbert </t>
  </si>
  <si>
    <t xml:space="preserve">Sean Keating </t>
  </si>
  <si>
    <t xml:space="preserve">Yousef Rehman </t>
  </si>
  <si>
    <t xml:space="preserve">Deepk Hundal </t>
  </si>
  <si>
    <t>2024 Total Direct Compensation</t>
  </si>
  <si>
    <t>2023 Total Direct Compensation</t>
  </si>
  <si>
    <t>New Incumbent?</t>
  </si>
  <si>
    <t>Target YoY Increase</t>
  </si>
  <si>
    <t>New Peer?</t>
  </si>
  <si>
    <t>Y</t>
  </si>
  <si>
    <t>Address</t>
  </si>
  <si>
    <t>AM29</t>
  </si>
  <si>
    <t>AM30</t>
  </si>
  <si>
    <t>AM31</t>
  </si>
  <si>
    <t>AM32</t>
  </si>
  <si>
    <t>W29</t>
  </si>
  <si>
    <t>W34</t>
  </si>
  <si>
    <t>W30</t>
  </si>
  <si>
    <t>W35</t>
  </si>
  <si>
    <t>W31</t>
  </si>
  <si>
    <t>W36</t>
  </si>
  <si>
    <t>W32</t>
  </si>
  <si>
    <t>W37</t>
  </si>
  <si>
    <t>W39</t>
  </si>
  <si>
    <t>Hudbay Minerals Inc.</t>
  </si>
  <si>
    <t xml:space="preserve">Patrick Donnelly </t>
  </si>
  <si>
    <t>SVP, Exploration &amp; Technical Services</t>
  </si>
  <si>
    <t>AM39</t>
  </si>
  <si>
    <t>Company 1</t>
  </si>
  <si>
    <t>Company 2</t>
  </si>
  <si>
    <t>Company 3</t>
  </si>
  <si>
    <t>Company 4</t>
  </si>
  <si>
    <t>Specific Reference Peers</t>
  </si>
  <si>
    <t>Target TDC (Legal)</t>
  </si>
  <si>
    <t>% Cash</t>
  </si>
  <si>
    <t>% Equity</t>
  </si>
  <si>
    <t>Hudbay</t>
  </si>
  <si>
    <t>AC30</t>
  </si>
  <si>
    <t>AD30</t>
  </si>
  <si>
    <t>AC39</t>
  </si>
  <si>
    <t>Check</t>
  </si>
  <si>
    <t>AD39</t>
  </si>
  <si>
    <t>AD41</t>
  </si>
  <si>
    <t>AC41</t>
  </si>
  <si>
    <t>F39</t>
  </si>
  <si>
    <t>F41</t>
  </si>
  <si>
    <t>G39</t>
  </si>
  <si>
    <t>G41</t>
  </si>
  <si>
    <t>Pct Change</t>
  </si>
  <si>
    <t>2023 Target TDC</t>
  </si>
  <si>
    <t>2024 Target TDC</t>
  </si>
  <si>
    <t>2025E Target TDC</t>
  </si>
  <si>
    <t>Gap P75-P50</t>
  </si>
  <si>
    <t>N</t>
  </si>
  <si>
    <t>Target TDC 2024</t>
  </si>
  <si>
    <t>Distance P50 %</t>
  </si>
  <si>
    <t>Distance P50 $</t>
  </si>
  <si>
    <t>Kinross</t>
  </si>
  <si>
    <t>Alamos</t>
  </si>
  <si>
    <t>B2Gold</t>
  </si>
  <si>
    <t>New Gold</t>
  </si>
  <si>
    <t>Eldorado</t>
  </si>
  <si>
    <t>Lundin</t>
  </si>
  <si>
    <t>Capstone</t>
  </si>
  <si>
    <t>Precious</t>
  </si>
  <si>
    <t>Base</t>
  </si>
  <si>
    <t>from Feb. materials</t>
  </si>
  <si>
    <t>from proxy</t>
  </si>
  <si>
    <t>min</t>
  </si>
  <si>
    <t>BASE metals</t>
  </si>
  <si>
    <t>max</t>
  </si>
  <si>
    <t>average</t>
  </si>
  <si>
    <t>lower</t>
  </si>
  <si>
    <t>increase in STIP target 70% to 75%, increase in LTIP target 134% to 143%</t>
  </si>
  <si>
    <t>Note: did not receive LTIP in 2024 given transition to Vicuna corp</t>
  </si>
  <si>
    <t>increased STIP target from 90% to 95%</t>
  </si>
  <si>
    <t>LTPI target used in last year exercise referred to 2023 proxy and was meaningfully above typical grants… have adjusted this year to using 3-Yr average; resulting in 200% to 167% shift</t>
  </si>
  <si>
    <t xml:space="preserve"> </t>
  </si>
  <si>
    <t>salary increased from 274 to 486, LTIP target increased from 804$ to 1030$ (decreased on %)</t>
  </si>
  <si>
    <t>decrease in LTIP target %, legit and double-checked in proxies</t>
  </si>
  <si>
    <t>increase in STIP target 60% to 65%, increase in LTIP target 130% to 150%</t>
  </si>
  <si>
    <t>lower salary due to change in FX CLP/USD change</t>
  </si>
  <si>
    <t>Salary increased from 512 to 650, increased STIP target 80% to 85% and increased LTIP target from 162% to 170%</t>
  </si>
  <si>
    <t>Salary increased from 709 to 822, increased and increased LTIP target from 150% to 175%</t>
  </si>
  <si>
    <t>increased LTIP target from 158% to 231%, based on 3-yr avg</t>
  </si>
  <si>
    <t>W28</t>
  </si>
  <si>
    <t>W33</t>
  </si>
  <si>
    <t>Salary increased from 560 to 600, increased STIP target 75% to 80% and increased LTIP target from 150% to 160%</t>
  </si>
  <si>
    <t>Distance From P25</t>
  </si>
  <si>
    <t>OceanaGold (1)</t>
  </si>
  <si>
    <t>OceanaGold (2)</t>
  </si>
  <si>
    <r>
      <rPr>
        <b/>
        <sz val="12"/>
        <color rgb="FF000000"/>
        <rFont val="Calibri"/>
        <family val="2"/>
        <scheme val="minor"/>
      </rPr>
      <t>Note</t>
    </r>
    <r>
      <rPr>
        <sz val="12"/>
        <color rgb="FF000000"/>
        <rFont val="Calibri"/>
        <family val="2"/>
        <scheme val="minor"/>
      </rPr>
      <t>: 2023 summary statistics are shown in the 2024 report and include previous incumbents</t>
    </r>
  </si>
  <si>
    <t>no longer disclosed top 5</t>
  </si>
  <si>
    <t xml:space="preserve">Now the EVP &amp; CFO, previously the EVP and Chief Legal Administrative Officer </t>
  </si>
  <si>
    <t>W20</t>
  </si>
  <si>
    <t>W22</t>
  </si>
  <si>
    <t>W27</t>
  </si>
  <si>
    <t>W23</t>
  </si>
  <si>
    <t>W24</t>
  </si>
  <si>
    <t>W25</t>
  </si>
  <si>
    <t>N/A</t>
  </si>
  <si>
    <t>n.d.</t>
  </si>
  <si>
    <t>W</t>
  </si>
  <si>
    <t>AA</t>
  </si>
  <si>
    <t>Row</t>
  </si>
  <si>
    <t>Change in Summary Statistics</t>
  </si>
  <si>
    <t>Percentiles</t>
  </si>
  <si>
    <t>Percentile</t>
  </si>
  <si>
    <t>Outpaced Median growth?</t>
  </si>
  <si>
    <t>Outpaced P25 growth?</t>
  </si>
  <si>
    <t>Hudbay2</t>
  </si>
  <si>
    <t>Hudbay3</t>
  </si>
  <si>
    <t>Avg</t>
  </si>
  <si>
    <t xml:space="preserve"> Other compensation includes tax top-ups for duplicate tax levied on income in US and Peru (-421713)</t>
  </si>
  <si>
    <t>n/a</t>
  </si>
  <si>
    <t>Javier, Excl. tax top-ups</t>
  </si>
  <si>
    <t>CEO (Kukielski)</t>
  </si>
  <si>
    <t>CFO (Lei)</t>
  </si>
  <si>
    <t>COO (Lauzon)</t>
  </si>
  <si>
    <t>Legal (Donnelly)</t>
  </si>
  <si>
    <t>Other Notes</t>
  </si>
  <si>
    <t>EVP Josemaria Project: Oversees the development and execution of the Josemaría Project, a major copper-gold project in Argentina.
- Lead project development and construction activities.
- Manage Owner and EPCM teams for large-scale mining projects.
- Ensure compliance with safety, sustainability, and operational standards.</t>
  </si>
  <si>
    <t>Argentina</t>
  </si>
  <si>
    <t>Time in Benchmarked Role (as of end of FY2024)</t>
  </si>
  <si>
    <t>No</t>
  </si>
  <si>
    <t>Oversight of Mexico operationas; responsible for government relations, regulatory affairs at the community, state and federal levels, land management and
permitting matters in Mexico</t>
  </si>
  <si>
    <t>Mexico</t>
  </si>
  <si>
    <t>Yes, Has transitioned to SVP &amp; COO, in May 2025</t>
  </si>
  <si>
    <t>Yes, Has transitioned from Lundin to be General Manager at Vicuna Corp. (a JV with BHP), in January 2025</t>
  </si>
  <si>
    <r>
      <t>CAD (</t>
    </r>
    <r>
      <rPr>
        <i/>
        <sz val="11"/>
        <rFont val="Tahoma"/>
        <family val="2"/>
      </rPr>
      <t>though not explicitly specified</t>
    </r>
    <r>
      <rPr>
        <sz val="11"/>
        <rFont val="Tahoma"/>
        <family val="2"/>
      </rPr>
      <t>)</t>
    </r>
  </si>
  <si>
    <r>
      <t xml:space="preserve">CAD </t>
    </r>
    <r>
      <rPr>
        <i/>
        <sz val="11"/>
        <rFont val="Tahoma"/>
        <family val="2"/>
      </rPr>
      <t>(though not explicitly specified)</t>
    </r>
  </si>
  <si>
    <t>Managed all Chilean operations, including Mantoverde and Mantos Blancos projects.
- Complete project ramp-up and achieve full operational capacity.
- Execute construction of Santo Domingo project and growth studies.
- Ensure safety, efficiency, and stakeholder engagement.</t>
  </si>
  <si>
    <t>Chile</t>
  </si>
  <si>
    <t>ND</t>
  </si>
  <si>
    <t>ND, his linkedin says Greater Perth Area (AUS) and in the job, it says "Greece - Remote"</t>
  </si>
  <si>
    <t>Australia</t>
  </si>
  <si>
    <t>Yes, Has transitioned from Oceana to be President &amp; CEO at Mineros S.A, in April 2025</t>
  </si>
  <si>
    <t>AUS</t>
  </si>
  <si>
    <t>United States</t>
  </si>
  <si>
    <t>Haile Mine</t>
  </si>
  <si>
    <t>Wahi mine, Macraes Mine, Didipio Mine</t>
  </si>
  <si>
    <t>Mantoverde (Chile), Mantos Blancos (Chile)</t>
  </si>
  <si>
    <t>Mulatos District (Mexico): La Yaqui Grande mine + Puerta del Aire development</t>
  </si>
  <si>
    <t>Josemaria (Chile) + Exploration of Filo del Sol (Chile)</t>
  </si>
  <si>
    <t>ND, but Olimpias is only operating mine in Greece
+ Development (per his title) of Skouries and Perama Hill, both in Greece</t>
  </si>
  <si>
    <t>Location of Role Benchmarked</t>
  </si>
  <si>
    <t>Currency of Pay for Role Benchmarked</t>
  </si>
  <si>
    <t>Disclosed Responsibilities for Role Benchmarked</t>
  </si>
  <si>
    <t>Assets Overseen per Role Benchmarked</t>
  </si>
  <si>
    <t>Change in Role since end of FY2024?</t>
  </si>
  <si>
    <t>Leading the Haile operation's transformation and development of the Haile Underground once permitted</t>
  </si>
  <si>
    <r>
      <t>1 (</t>
    </r>
    <r>
      <rPr>
        <b/>
        <i/>
        <sz val="11"/>
        <rFont val="Tahoma"/>
        <family val="2"/>
      </rPr>
      <t>if don't count SVP South America &amp; US BU)</t>
    </r>
  </si>
  <si>
    <t>Arizona &amp; Nevada Developments</t>
  </si>
  <si>
    <t>Per his own linkedin:
"Leading OceanaGold’s New Zealand operations – in the world class gold deposit at Waihi and the country’s largest active gold producing mine at Macraes. I am also responsible for the Didipio Mine in the Philippines and leading the Company’s Asset Management and Continuous Improvement functions."</t>
  </si>
  <si>
    <t>Per his own linkedin:
"Leading the US Business Unit , developing the Arizona projects and the Nevada Projects. Responsable for the delivery strategy, financial results, external and government affairs at local, state and federal level, talent development, and strategic plan for the business.
This includes market interactions such as participation in road shows, presentation to potential investors, hosting analyst visits, etc."</t>
  </si>
  <si>
    <t>TSX:OGC</t>
  </si>
  <si>
    <t>TSX:FM</t>
  </si>
  <si>
    <t>TSX:CDE</t>
  </si>
  <si>
    <t>TSX:EQX</t>
  </si>
  <si>
    <t>KP</t>
  </si>
  <si>
    <t>DC &amp; DB</t>
  </si>
  <si>
    <t>Robert Carter</t>
  </si>
  <si>
    <t>Based on Feb. 11 Materials</t>
  </si>
  <si>
    <t>EVP, Corporate Development</t>
  </si>
  <si>
    <t>VP, Sustainability</t>
  </si>
  <si>
    <t>Former COO</t>
  </si>
  <si>
    <t>Director, President, &amp; CEO</t>
  </si>
  <si>
    <t>Senior VP Finance &amp; CFO</t>
  </si>
  <si>
    <t>Senior VP Operations &amp; COO</t>
  </si>
  <si>
    <t>Senior VP Legal &amp; Corporate Communications</t>
  </si>
  <si>
    <t>Senior VP Exploration</t>
  </si>
  <si>
    <t>CLSO</t>
  </si>
  <si>
    <t>CPO</t>
  </si>
  <si>
    <t>Senior VP &amp; CFO</t>
  </si>
  <si>
    <t>Senior VP &amp; COO</t>
  </si>
  <si>
    <t>Senior VP, Risk, ESG, General Counsel &amp; Corporate Secretary</t>
  </si>
  <si>
    <t>Senior VP, Corporate Development</t>
  </si>
  <si>
    <t>Executive VP &amp; CFO</t>
  </si>
  <si>
    <t>Executive VP, Operations &amp; Sustainability</t>
  </si>
  <si>
    <t>Executive VP &amp; Chief Strategy Officer</t>
  </si>
  <si>
    <t>Executive VP, Growth and Innovation</t>
  </si>
  <si>
    <t>EVP &amp; CPO &amp; CTO</t>
  </si>
  <si>
    <t>EVP, General Counsel &amp; Company Secretary</t>
  </si>
  <si>
    <t>Executive Vice President, Technical Services &amp; Operations</t>
  </si>
  <si>
    <t>VP Exploration</t>
  </si>
  <si>
    <t>SVP &amp; COO</t>
  </si>
  <si>
    <t>SVP &amp; General Counsel &amp; Secretary</t>
  </si>
  <si>
    <t xml:space="preserve">Former SVP &amp; Chief Administrative Officer </t>
  </si>
  <si>
    <t>Former Director, Projects</t>
  </si>
  <si>
    <t>Director, Technical Reporting</t>
  </si>
  <si>
    <t>Chairman, President &amp; CEO</t>
  </si>
  <si>
    <t>EVP, General Counsel &amp; Secretary</t>
  </si>
  <si>
    <t>EVP, Exploration</t>
  </si>
  <si>
    <t>EVP, Sustainability, People &amp; Strategy</t>
  </si>
  <si>
    <t>Former General Counsel &amp; Corporate Secretary</t>
  </si>
  <si>
    <t>Ryan J. Latinovich</t>
  </si>
  <si>
    <t>Nathan Monash</t>
  </si>
  <si>
    <t>Scott Campbell</t>
  </si>
  <si>
    <t>Chris Richter</t>
  </si>
  <si>
    <t>Bhuvanesh Malhotra</t>
  </si>
  <si>
    <t>Michelle Edelson</t>
  </si>
  <si>
    <t>Liang Tang</t>
  </si>
  <si>
    <t>Scott R.G. Parsons</t>
  </si>
  <si>
    <t>Carlos Aguiar</t>
  </si>
  <si>
    <t>David Hendriks</t>
  </si>
  <si>
    <t>Claudia D'Orazio</t>
  </si>
  <si>
    <t>Tristan Pascall</t>
  </si>
  <si>
    <t>Ryan MacWilliam</t>
  </si>
  <si>
    <t>Rudi Badenhorst</t>
  </si>
  <si>
    <t>Zenon Wozniak</t>
  </si>
  <si>
    <t>Gavin Ashley</t>
  </si>
  <si>
    <t>Mitchell J. Krebs</t>
  </si>
  <si>
    <t>Thomas S. Whelan</t>
  </si>
  <si>
    <t>Michael Routledge</t>
  </si>
  <si>
    <t>Casey M. Nault</t>
  </si>
  <si>
    <t>Aoife McGrath</t>
  </si>
  <si>
    <t>Darren Hall</t>
  </si>
  <si>
    <t>Peter Hardie</t>
  </si>
  <si>
    <t>David Schummer</t>
  </si>
  <si>
    <t>Daniella Dimitrov</t>
  </si>
  <si>
    <t>Susan Toews</t>
  </si>
  <si>
    <t>Mr. Gold was appointed President on January 1, 2024 ; excluding 2023 compensation</t>
  </si>
  <si>
    <r>
      <t xml:space="preserve">Joined in Dec 2024, and received an hire grant of C1.5M in RSUs, but this was not included since only the full year of pay for 2025 was recorded. </t>
    </r>
    <r>
      <rPr>
        <sz val="10"/>
        <color rgb="FFFF0000"/>
        <rFont val="Tahoma"/>
        <family val="2"/>
      </rPr>
      <t>He also received a signing bonus of C$500K, which was not included.</t>
    </r>
  </si>
  <si>
    <t>Jack Lundin was promoted from President to Chief Executive Officer in December 2023. 2026 LTIP target was used (400%), instead of his 300% 2025 target.</t>
  </si>
  <si>
    <t>Peter Brady received an on-hire signing bonus of C$100,000 in 2023 as well as an on-hire grant of 37,000 RSUs (~$250K). In 2024 he received the first installment of a retention bonus of C$100,000, and the second of C$150,000 in 2025. All have been excluded from our benchmarking</t>
  </si>
  <si>
    <t>Nathan Monash joined the Corporation on September 1, 2023 and his performance equity grants for 2023 include an initial on hire grant of 3,500 PSUs, 7000 RSUs,10,300 options - this year of compensation was excluded.In 2023 he received an on hire signing bonus of C$100,000. In 2024 he received the first installment of a retention bonus of the amount C$100,000 and the second installment in 2025 of $C150,000</t>
  </si>
  <si>
    <r>
      <t xml:space="preserve">CEO received an award of CAD$5 million in RSUs in December 2025, which, will vest in full, in cash, on the third anniversary of the grant date. </t>
    </r>
    <r>
      <rPr>
        <sz val="10"/>
        <color rgb="FFFF0000"/>
        <rFont val="Tahoma"/>
        <family val="2"/>
      </rPr>
      <t>This award has been excluded</t>
    </r>
  </si>
  <si>
    <t>Mr. Busby was the Company's Chief Operating Officer until October 20, 2025. He then transitioned to the role of Special Advisor to the CEO for the remainder of the year</t>
  </si>
  <si>
    <t>Mr. Campbell joined the Company on April 2, 2024 as SVP, Projects and Operations and was promoted to Chief Operating Officer on October 20, 2025, his 2025 actual 2025 compensation is a combination of pay from both roles, but targets have been captured.</t>
  </si>
  <si>
    <t>For the CEO only for 2025, LTI awards consisted entirely of RSUs to reflect Mr. Johnson’s retirement</t>
  </si>
  <si>
    <t>Appointed to CEO position on April 1 2023</t>
  </si>
  <si>
    <t>Appointed September 13 2023</t>
  </si>
  <si>
    <t>Appointed March 6 2023</t>
  </si>
  <si>
    <t>Per Ms. Torkia Lagacé’s employment agreement, the Board approved a one-time grant of PSUs valued at $500,000 upon her appoitment in February 2025. This has been excluded</t>
  </si>
  <si>
    <t>Appointed January 1 2025</t>
  </si>
  <si>
    <t>Mr. Meagher was appointed President &amp; CEO on May 2, 2025, John MacKenzie the former CEO is now the board chair, and part of his compensation includes board fees and was excluded. Mr. Meagher's go forward target and base salaries were recorded, and annualization removed</t>
  </si>
  <si>
    <t>Previously Mr. Whittaker was SVP Head of Chile in 2024, but was appointed to SVP &amp; COO on May 2nd 2025, go forward targets and base have been inputted</t>
  </si>
  <si>
    <t>In 2024, Mr. Antal received a one-time retention bonus of US$1.6125M, vested and paid out in 2025, which was excluded from the benchmarking</t>
  </si>
  <si>
    <t>Mr. Sparks was appointed EVP &amp; CFO on March 8, 2024; he previously served as Chief Legal &amp; Administrative Officer prior to this. 2024 compensation disclosed in the proxy reflects a mix of compensation granted for both roles</t>
  </si>
  <si>
    <t>In 2024, Mr. Sparks received a one-time retention bonus of US$900K, vested and paid out in 2025, which was excluded from the benchmarking</t>
  </si>
  <si>
    <t>In 2024, Mr. MacNevin received a one-time retention bonus of US$900K, vested and paid out in 2025, which was excluded from the benchmarking</t>
  </si>
  <si>
    <t>In 2024, Mr. Farid received a one-time retention bonus of US$870K, vested and paid out in 2025, which was excluded from the benchmarking</t>
  </si>
  <si>
    <t>Appointed in April 2022, 2025 STIP allocation was reduced to reflect a correction to pension overpayments in 2024 &amp; 2025, adjustment of 83,298 was netted in 2025 STIP allocation</t>
  </si>
  <si>
    <t>The Annual Incentive amounts shown have been adjusted from 2024 disclosures to ensure consistency of classification and presentation with the current year disclosure.</t>
  </si>
  <si>
    <t>Appointed as CFO in May 2023</t>
  </si>
  <si>
    <t>Appointed as COO in Sep 2025, also retained his previous technical and projects portfolio, 2025 pay is a combination of current and previous position (~4months as COO), annualization removed to prevent over inflation.</t>
  </si>
  <si>
    <t>Appointed CPO &amp; CTO in March 2023</t>
  </si>
  <si>
    <t>Ms. Tang will conclude her tenure on April 30, 2026</t>
  </si>
  <si>
    <t>Mr. Burns transitioned to the role of CEO (previously CEO &amp; President) on Sep 12 2025</t>
  </si>
  <si>
    <t>Mr. Ferneyhough was appointed EVP, CFO effective January 2, 2024 from his previous role as SVP, Chief Growth &amp; Integration Officer. Benchmarking includes solely his paystarting  in 2024.</t>
  </si>
  <si>
    <t>Appointed EVP &amp; COO effective on March 23 2026. 2025 Compensation reflects compensation as EVP, Technical Services &amp; Operations</t>
  </si>
  <si>
    <t>Received an one-time award of 575,000CAD, this has been removed from the 2025 STIP portion</t>
  </si>
  <si>
    <t>Gregory Fisher was promoted to CFO on May 1, 2023; prior role was SVP Finance. Actual compensation reflects both roles. Received an award an one-time award of 280,000CAD, which was removed from the STIP portion.</t>
  </si>
  <si>
    <t>Received an one-time award of 139,500CAD, this has been removed from the 2025 STIP portion.</t>
  </si>
  <si>
    <t>Promoted in November 2024 and received an one time retention award of 200,000 which was excluded</t>
  </si>
  <si>
    <t>Mr Clary is retiring effective Jan 1, 2026. Did not receive STIP/LTIP awards, but received a severance package of 2,100,000 which was reported under other compensation and excluded. He also did not receive a bonus, his actual compensation has been removed from our benchmarking.</t>
  </si>
  <si>
    <t>Mr. Tomorry was appointed to President &amp; CEO May 1 2023. We have removed this year of compensation from our benchmarking</t>
  </si>
  <si>
    <t xml:space="preserve">Mr. Snyder was appointed Executive Vice President, CFO on  April 8, 2024, before which he was VP  Finance. </t>
  </si>
  <si>
    <t>Mr. Hendriks received a pro-rated amount of pay in 2025 based on his start date of April 15, 2025.</t>
  </si>
  <si>
    <t xml:space="preserve">Higher salary and LTIP in 2023 may be due to GBP/USD FX fluctuation, not clear if OTA. In any account, current benchmarking does not affect actual or target pay </t>
  </si>
  <si>
    <t>Mr. Z Wozniak retired as a NEO on December 31, 2025 and there was no change to his salary.</t>
  </si>
  <si>
    <r>
      <t xml:space="preserve"> Mr. Hall was appointed President and COO effective June 17, 2025 and subsequently appointed CEO effective July 21, 2025. Reported compensation is a combination of from the two positions, and annualization has been removed. Mr. Hall received total compensation of $5,212,587 as CEO of Calibre consisting of: (a) $277,343 in salary; (b) $1,024,077 in share-based awards; (c) $518,160 in performance bonus; and (d) $3,393,007 in all other compensation, representing change of control payments from Calibre in connection with the Calibre Transaction and superannuation contributions </t>
    </r>
    <r>
      <rPr>
        <b/>
        <sz val="10"/>
        <color rgb="FF0070C0"/>
        <rFont val="Tahoma"/>
        <family val="2"/>
      </rPr>
      <t>(which has been excluded from other compensation).</t>
    </r>
    <r>
      <rPr>
        <sz val="10"/>
        <color rgb="FF0070C0"/>
        <rFont val="Tahoma"/>
        <family val="2"/>
      </rPr>
      <t xml:space="preserve"> Mr. Hall received total compensation of $1,504,397 as an NEO of Equinox consisting of: (a) $310,205 in salary; (b) $1,140,823 in performance bonus; and (c) $53,370 in all other compensation. </t>
    </r>
  </si>
  <si>
    <t xml:space="preserve">The board approved one time payment of 1,738,291 as a part of the calibre transition payments to match the "change in control" payments for Calibre Execs. This has been excluded from "other" section. </t>
  </si>
  <si>
    <r>
      <t>COO effective July 21, 2025. Mr. Schummer received total compensation of $1,958,399 as COO of Calibre consisting of: (a) $139,985 in salary; (b) $439,328 in share-based awards; (c) $213,337 in performance bonus; and (d) $1,165,749 in all other compensation, representing change of control payments from Calibre in connection (</t>
    </r>
    <r>
      <rPr>
        <b/>
        <sz val="10"/>
        <color rgb="FF0070C0"/>
        <rFont val="Tahoma"/>
        <family val="2"/>
      </rPr>
      <t xml:space="preserve">which has been excluded) </t>
    </r>
    <r>
      <rPr>
        <sz val="10"/>
        <color rgb="FF0070C0"/>
        <rFont val="Tahoma"/>
        <family val="2"/>
      </rPr>
      <t>with the Calibre Transaction and matching contributions to a 401(k) retirement savings plan. Mr. Schummer received total compensation of $691,289 as an NEO consisting of: (a) $268,919 in salary; (b) $409,622 in performance bonus; and (c) $12,748 in all other compensation.</t>
    </r>
  </si>
  <si>
    <t xml:space="preserve">Susan Toews left her role as General Counsel &amp; Corporate Secretary effective Feb 12 2026. The board approved one time payment of 987,143, to match "change in control" payments to Calibre execs, this has been exlcuded. </t>
  </si>
  <si>
    <t>Geoffrey P Gold - President level lower than CEO</t>
  </si>
  <si>
    <t>Scott Campbell was promoted to COO effective October 20, 2025</t>
  </si>
  <si>
    <t>James Whittaker, former SVP head of Chile, succeeded Mr. Meagher as SVP &amp; COO on May 2nd 2025</t>
  </si>
  <si>
    <t>Mr. Malholtra was appointed as COO in September 2025</t>
  </si>
  <si>
    <t>On September 12, 2025, Christian Milau joined the Eldorado executive team as President. With this appointment, George
Burns transitioned to the role of CEO (previously President &amp; CEO</t>
  </si>
  <si>
    <t>Simon Hille appointed EVP &amp; COO effective on March 23 2026</t>
  </si>
  <si>
    <t>FOR ALL ROLES: HECLA DISCLOSES THE VALUE OF CASH-LTIP PAYOUTS (GRANTED IN PRIOR YEARS) IN THE YEAR OF SETTLEMENT. FOR THE PURPOSES OF OUR BENCHMARKING, WE HAVE INCLUDED CORRESPONDING VALUES, AS DISCLOSURE DOES NOT PROVIDE GRANT DATE FAIR VALUE OF SUCH GRANTS</t>
  </si>
  <si>
    <t>MAYBE DASH OUT ACTUAL PAY</t>
  </si>
  <si>
    <t>David Hendriks started his role in April 15, 2025</t>
  </si>
  <si>
    <t xml:space="preserve">DASH OUT LTIP &amp; TDC ; ONLY LOOK AT TCC FOR THEM. </t>
  </si>
  <si>
    <t>Calibre underwent an acquisition by Equinox, and the COO of Calibre, David Schummer, was appointed as COO of Equinox on July 21, 2025</t>
  </si>
  <si>
    <t>Consider REMOVE MATCH; BECAUSE PART-YEAR TRANSITION TO EQUINOX, GOT LTIP FROM PRIOR COMPANY, GRANT MAY NOT REFLECT EQUINOX LTIP LEVELS.</t>
  </si>
  <si>
    <t>Flags</t>
  </si>
  <si>
    <t>Role Match 2</t>
  </si>
  <si>
    <t>Look-Up3</t>
  </si>
  <si>
    <t>2nd Highest</t>
  </si>
  <si>
    <t>2025 Total Direct Compensation</t>
  </si>
  <si>
    <t>Target TCC (n=15)</t>
  </si>
  <si>
    <t>Base Salary (n=15)</t>
  </si>
  <si>
    <t>Target TDC (n=15)</t>
  </si>
  <si>
    <t>Annie Torkia Lagacé</t>
  </si>
  <si>
    <t>2025 Target TDC</t>
  </si>
  <si>
    <t>TSX:K_2024_CEO</t>
  </si>
  <si>
    <t>TSX:LUN_2024_CEO</t>
  </si>
  <si>
    <t>TSX:AGI_2024_CEO</t>
  </si>
  <si>
    <t>TSX:PAAS_2024_CEO</t>
  </si>
  <si>
    <t>TSX:CS_2024_CEO</t>
  </si>
  <si>
    <t>TSX:IMG_2024_CEO</t>
  </si>
  <si>
    <t>TSX:BTO_2024_CEO</t>
  </si>
  <si>
    <t>NYSE:HL_2024_CEO</t>
  </si>
  <si>
    <t>TSX:NGD_2024_CEO</t>
  </si>
  <si>
    <t>TSX:ELD_2024_CEO</t>
  </si>
  <si>
    <t>TSX:SSRM_2024_CEO</t>
  </si>
  <si>
    <t>TSX:ERO_2024_CEO</t>
  </si>
  <si>
    <t>TSX:CG_2024_CEO</t>
  </si>
  <si>
    <t>(Invalid Identifier)</t>
  </si>
  <si>
    <t>TSX:K_2024_CFO</t>
  </si>
  <si>
    <t>TSX:LUN_2024_CFO</t>
  </si>
  <si>
    <t>TSX:AGI_2024_CFO</t>
  </si>
  <si>
    <t>TSX:PAAS_2024_CFO</t>
  </si>
  <si>
    <t>TSX:CS_2024_CFO</t>
  </si>
  <si>
    <t>TSX:IMG_2024_CFO</t>
  </si>
  <si>
    <t>TSX:BTO_2024_CFO</t>
  </si>
  <si>
    <t>NYSE:HL_2024_CFO</t>
  </si>
  <si>
    <t>TSX:NGD_2024_CFO</t>
  </si>
  <si>
    <t>TSX:ELD_2024_CFO</t>
  </si>
  <si>
    <t>TSX:SSRM_2024_CFO</t>
  </si>
  <si>
    <t>TSX:ERO_2024_CFO</t>
  </si>
  <si>
    <t>TSX:CG_2024_CFO</t>
  </si>
  <si>
    <t>SVP, Finance &amp; CFO</t>
  </si>
  <si>
    <t>EVP, CFO</t>
  </si>
  <si>
    <t>SVP, Operations &amp; COO</t>
  </si>
  <si>
    <t>Former EVP &amp; COO</t>
  </si>
  <si>
    <t>EVP, Operations and Sustainability</t>
  </si>
  <si>
    <t>EVP, COO</t>
  </si>
  <si>
    <t>SVP, General Counsel &amp; Corporate Secretary</t>
  </si>
  <si>
    <t>SVP, Legal and Corporate Communications</t>
  </si>
  <si>
    <t>SVP &amp; General Counsel and Corporate Secretary</t>
  </si>
  <si>
    <t>EVP, Technical Services &amp; Operations</t>
  </si>
  <si>
    <t>SVP, Risk, ESG, General Counsel &amp; Corporate Secretary</t>
  </si>
  <si>
    <t>TSX:LUN_2024_Legal</t>
  </si>
  <si>
    <t>TSX:PAAS_2024_Legal</t>
  </si>
  <si>
    <t>TSX:CS_2024_Legal</t>
  </si>
  <si>
    <t>TSX:IMG_2024_Legal</t>
  </si>
  <si>
    <t>TSX:BTO_2024_Legal</t>
  </si>
  <si>
    <t>NYSE:HL_2024_Legal</t>
  </si>
  <si>
    <t>TSX:ELD_2024_Legal</t>
  </si>
  <si>
    <t>TSX:CG_2024_Legal</t>
  </si>
  <si>
    <t>Paul Chawrun</t>
  </si>
  <si>
    <t>Keith Murphy</t>
  </si>
  <si>
    <t>Patrick Godin</t>
  </si>
  <si>
    <t>David Strang</t>
  </si>
  <si>
    <t>TSX:K_2024_COO</t>
  </si>
  <si>
    <t>TSX:LUN_2024_COO</t>
  </si>
  <si>
    <t>TSX:AGI_2024_COO</t>
  </si>
  <si>
    <t>TSX:PAAS_2024_COO</t>
  </si>
  <si>
    <t>TSX:CS_2024_COO</t>
  </si>
  <si>
    <t>TSX:IMG_2024_COO</t>
  </si>
  <si>
    <t>TSX:BTO_2024_COO</t>
  </si>
  <si>
    <t>TSX:NGD_2024_COO</t>
  </si>
  <si>
    <t>TSX:ELD_2024_COO</t>
  </si>
  <si>
    <t>TSX:SSRM_2024_COO</t>
  </si>
  <si>
    <t>TSX:ERO_2024_COO</t>
  </si>
  <si>
    <t>TSX:CG_2024_COO</t>
  </si>
  <si>
    <t>TSX:HBM_2024_CEO</t>
  </si>
  <si>
    <t>TSX:HBM_2024_COO</t>
  </si>
  <si>
    <t>TSX:HBM_2024_CFO</t>
  </si>
  <si>
    <t>TSX:HBM_2024_Legal</t>
  </si>
  <si>
    <t>TSX:HBM_2024_Region2</t>
  </si>
  <si>
    <t>Region2</t>
  </si>
  <si>
    <t>TSX:HBM_2024_Tech</t>
  </si>
  <si>
    <t>TSX:HBM_2024_Region</t>
  </si>
  <si>
    <t>TSX:OGC_2024_CEO</t>
  </si>
  <si>
    <t>TSX:OGC_2024_CFO</t>
  </si>
  <si>
    <t>NOTE: from 8 peers to 11 peers</t>
  </si>
  <si>
    <t>2026E Target TDC</t>
  </si>
  <si>
    <t>W26</t>
  </si>
  <si>
    <t>W21</t>
  </si>
  <si>
    <t>NEO4 (Del Rio)</t>
  </si>
  <si>
    <t>Tech (Tavchandjian)</t>
  </si>
  <si>
    <t>CIQANR_d243936024f949f6915db83b2901a6b5</t>
  </si>
  <si>
    <t>TSX:ERO</t>
  </si>
  <si>
    <t xml:space="preserve">Peers Removed </t>
  </si>
  <si>
    <t>IQ875342</t>
  </si>
  <si>
    <t>sorting of table based on size of peers</t>
  </si>
  <si>
    <t>won't have a hudbay datapoint for coo chart as the position is in flux (svp is being promoted to coo role) but smaller scope</t>
  </si>
  <si>
    <t>NEO4 plus regional</t>
  </si>
  <si>
    <t>Rob Carter will be here</t>
  </si>
  <si>
    <t>Nobody matched</t>
  </si>
  <si>
    <t>NEO5 Technical</t>
  </si>
  <si>
    <t>Pay data is in deck CJ shared June 26.</t>
  </si>
  <si>
    <t>Olivier, Mark, and Candace</t>
  </si>
  <si>
    <t>NEO5+LEGAl</t>
  </si>
  <si>
    <t xml:space="preserve">may end up adding NEO3 Data </t>
  </si>
  <si>
    <t>Patrick + NEO5</t>
  </si>
  <si>
    <t>NEO5+legal</t>
  </si>
  <si>
    <t>Patrick + Legal</t>
  </si>
  <si>
    <t>Olivier</t>
  </si>
  <si>
    <t>LEI+2nd highest</t>
  </si>
  <si>
    <t>2024 Summary Stats</t>
  </si>
  <si>
    <t>2025 Summary Stats</t>
  </si>
  <si>
    <t>Same peers chart</t>
  </si>
  <si>
    <t>Hudbay Minerals</t>
  </si>
  <si>
    <t>CIQANR_7c95319b74114f3d90fefc8e4c7db287</t>
  </si>
  <si>
    <t>CIQANR_45cbd66fa6ee4bf29f93b8467003bf93</t>
  </si>
  <si>
    <t>2026 pay</t>
  </si>
  <si>
    <t>Percent rank</t>
  </si>
  <si>
    <t>gap to median</t>
  </si>
  <si>
    <t>Distance P50</t>
  </si>
  <si>
    <t>base salary  increase</t>
  </si>
  <si>
    <t>YoY</t>
  </si>
  <si>
    <t>Higher LTIP target - from 300% - 400%</t>
  </si>
  <si>
    <t>Increase due to higher base salary, and higher LTIP target (from 275% - 308%)</t>
  </si>
  <si>
    <t>FM and Coeur have higher pay than median -upward pressure on median</t>
  </si>
  <si>
    <t>base salary increase</t>
  </si>
  <si>
    <t>TDC change</t>
  </si>
  <si>
    <t>Base salary increase - and LTIP target increase</t>
  </si>
  <si>
    <t>Base salary increase - and LTIP target increase from 180% to 220%</t>
  </si>
  <si>
    <t>LTIP increased from 151% to 195% and base salary from 770 to 826</t>
  </si>
  <si>
    <t>base increased from 619 to 683, and then LTIP target from 215% to 229%</t>
  </si>
  <si>
    <t>Legal Address</t>
  </si>
  <si>
    <t>Target TDC (NEO5)</t>
  </si>
  <si>
    <t>2024 pay</t>
  </si>
  <si>
    <t>percent rank</t>
  </si>
  <si>
    <t>Mark</t>
  </si>
  <si>
    <t>Candace</t>
  </si>
  <si>
    <t>CIQANR_7768d445105b46648408b1c741d0801e</t>
  </si>
  <si>
    <t>CIQANR_81ac6ed7eea6466eaf08cc70120c60c2</t>
  </si>
  <si>
    <t>CIQANR_50bfbf846e6c4121ad9928caa78cdf1e</t>
  </si>
  <si>
    <t>CIQANR_3c6df3b5b1424c17aa0aa8bce9bd8145</t>
  </si>
  <si>
    <t>CIQANR_35e782c967864f71a3f5bae4c80fa43e</t>
  </si>
  <si>
    <t>CIQANR_886f17b8800c41ba99e155fe78edd40f</t>
  </si>
  <si>
    <t>CIQANR_a7825ea25b164c989b56e01e19713c22</t>
  </si>
  <si>
    <t>CIQANR_bacaca6f7d754fbb8cd2f04d0213fc32</t>
  </si>
  <si>
    <t>CIQANR_fe48c8d0fcdc4cb2be3129160775cf5d</t>
  </si>
  <si>
    <t>CIQANR_563023160dea4d47a4e7276d225af8eb</t>
  </si>
  <si>
    <t>CIQANR_26600e768372443680d94e4528127142</t>
  </si>
  <si>
    <t>CIQANR_8be4db1b42954a01ae74f73002cca721</t>
  </si>
  <si>
    <t>CIQANR_7163765b26ea437f8a2ffcd60ab67df8</t>
  </si>
  <si>
    <t>CIQANR_2e526af303a54606a736f51bc2d64618</t>
  </si>
  <si>
    <t>CIQANR_8cd94e50ba3248358acc8619eb6bd4cf</t>
  </si>
  <si>
    <t>CIQANR_5df27b4e98544a7d9ae19b02e6935259</t>
  </si>
  <si>
    <t>CIQANR_bc0d86c552034050a7eb7af441fb313c</t>
  </si>
  <si>
    <t>CIQANR_2acdcd61614543c3a871da0fad46acef</t>
  </si>
  <si>
    <t>CIQANR_0e0771adc8574da5968d1ed535a73d56</t>
  </si>
  <si>
    <t>CIQANR_d4d0063c1c474477bfb7fe47b194abae</t>
  </si>
  <si>
    <t>CIQANR_0496f49c141d40ca922532388c34c87c</t>
  </si>
  <si>
    <t>CIQANR_67c2c82c46c34926817cb3c87fac5fe7</t>
  </si>
  <si>
    <t>CIQANR_826a25d1b0a54148a79848e6bfac150e</t>
  </si>
  <si>
    <t>CIQANR_fe4775b8796e4a84a6f97fa62b427df4</t>
  </si>
  <si>
    <t>CIQANR_52f1777a2f51466dad16b2218173e9b7</t>
  </si>
  <si>
    <t>CIQANR_c6004537e54f492e8dcf6eb3c5146553</t>
  </si>
  <si>
    <t>CIQANR_5955b1aa498d433396a10bf58cc92e19</t>
  </si>
  <si>
    <t>CIQANR_bb96a34d658148189c5c39ae67e5877e</t>
  </si>
  <si>
    <t>CIQANR_96e9ccc78e4441a19f85f5b8e8e83d82</t>
  </si>
  <si>
    <t>CIQANR_cec7c08ea9464581b54e606f269601c5</t>
  </si>
  <si>
    <t>CIQANR_baf1cbd8518c4df39fd9e290113ce102</t>
  </si>
  <si>
    <t>BAABTAVMT0NBTAFI/////wFQRgEAACNDSVEuVFNYOkNTLklRX1RFVi4yMDI2LTA2LTIzLi4uLkNBRAEAAACJBSYAAgAAAAwxMjg5MC4zNTEzMzIBBgAAAAUAAAABMQEAAAALLTE4OTMyNDY3NTkDAAAAAjI3AgAAAAYxMDAwNjAEAAAAATAHAAAACTYvMjMvMjAyNrm87Xz+1t4ID8Zaff7W3ggbQ0lRLlRTWDpPR0MuSVFfQ09VTlRSWV9OQU1FAQAAAIcUjwADAAAABkNhbmFkYQC3qrZ8/tbeCAGfWn3+1t4IKENJUS5UU1g6Sy5JUV9NQVJLRVRDQVAuMjAyNi0wNi0yMy4uLi5DQUQBAAAA24gEAAIAAAALNDI0MjYuNzA5MjIBBgAAAAUAAAABMQEAAAALLTE4OTMwNTYwODEDAAAAAjI3AgAAAAYxMDAwNTQEAAAAATAHAAAACTYvMjMvMjAyNrm87Xz+1t4I3u5Zff7W3ggtQ0lRLlRTWDpDUy5JUV9UT1RBTF9SRVYuMjAwMC4yMDI2LTA2LTIzLi4uQ0FEAQAAAIkFJgACAAAACzM0NjAuNDEwOTIxAQgAAAAFAAAAATEBAAAACy0xODkzMjQ2NDc0AwAAAAIyNwIAAAACMjgEAAAAATAHAAAACTYvMjMvMjAyNggAAAAJMy8zMS8yMDI2CQAAAAEw9m3tfP7W3ggPxlp9/tbeCDFDSVEuVFNYOkVMRC5JUV9UT1RBTF9BU1NFVFMuMjAwMC4yMDI2LTA2LTIzLi4uQ0FEAQAAAN9jDQACAAAACzkzNTIuMzAxMDg0AQgAAAAFAAAAATEBAAAACy0xODkyNDIxMDU3AwAAAAIyNwIAAAAEMTAwNwQAAAABMAcAAAAJNi8yMy8yMDI2CAAA</t>
  </si>
  <si>
    <t>AAkzLzMxLzIwMjYJAAAAATD2be18/tbeCN7uWX3+1t4IG0NJUS5UU1g6QUdJLklRX0NPTVBBTllfTkFNRQEAAAA7ew0AAwAAABBBbGFtb3MgR29sZCBJbmMuAOCU7Xz+1t4IPQZmggfX3ggaQ0lRLlRTWDpDRy5JUV9DT1VOVFJZX05BTUUBAAAAwZuWAAMAAAAGQ2FuYWRhALeqtnz+1t4I1KBZff7W3gguQ0lRLk5ZU0U6SEwuSVFfVE9UQUxfUkVWLjIwMDAuMjAyNi0wNi0yMy4uLkNBRAEAAABfPgQAAgAAAAsyMjc0LjAyMDY1MQEIAAAABQAAAAExAQAAAAstMTg5MTI3ODA3MAMAAAACMjcCAAAAAjI4BAAAAAEwBwAAAAk2LzIzLzIwMjYIAAAACTMvMzEvMjAyNgkAAAABMPZt7Xz+1t4I1KBZff7W3gguQ0lRLlRTWDpBR0kuSVFfVE9UQUxfUkVWLjIwMDAuMjAyNi0wNi0yMy4uLkNBRAEAAAA7ew0AAgAAAAoyODkyLjkxOTg1AQgAAAAFAAAAATEBAAAACy0xODkzMjQ1NzExAwAAAAIyNwIAAAACMjgEAAAAATAHAAAACTYvMjMvMjAyNggAAAAJMy8zMS8yMDI2CQAAAAEw9m3tfP7W3ggBn1p9/tbeCBpDSVEuVFNYOkNTLklRX0NPTVBBTllfTkFNRQEAAACJBSYAAwAAABVDYXBzdG9uZSBDb3BwZXIgQ29ycC4A4JTtfP7W3gjk2hP2BdfeCDFDSVEuVFNYOkxVTi5JUV9UT1RBTF9BU1NFVFMuMjAwMC4yMDI2LTA2LTIzLi4uQ0FEAQAAAKduDQACAAAACzE1MzIzLjA1MzE1AQgAAAAFAAAAATEBAAAACy0xODkxMjQx</t>
  </si>
  <si>
    <t>NzUxAwAAAAIyNwIAAAAEMTAwNwQAAAABMAcAAAAJNi8yMy8yMDI2CAAAAAkzLzMxLzIwMjYJAAAAATD2be18/tbeCNPHWX3+1t4IKUNJUS5UU1g6Q0cuSVFfTUFSS0VUQ0FQLjIwMjYtMDYtMjMuLi4uQ0FEAQAAAMGblgACAAAACzQ1MzEuOTM5MTU1AQYAAAAFAAAAATEBAAAACy0xODkzMjM0Njc0AwAAAAIyNwIAAAAGMTAwMDU0BAAAAAEwBwAAAAk2LzIzLzIwMja3qrZ8/tbeCNSgWX3+1t4IG0NJUS5UU1g6SEJNLklRX0NPVU5UUllfTkFNRQEAAADVTxsAAwAAAAZDYW5hZGEAt6q2fP7W3gjvd1p9/tbeCCRDSVEuTllTRTpITC5JUV9URVYuMjAyNi0wNi0yMy4uLi5DQUQBAAAAXz4EAAIAAAAQMTM2NjguNTE0NDExMTU5MQEGAAAABQAAAAExAQAAAAstMTg5MTMwNjcwMQMAAAACMjcCAAAABjEwMDA2MAQAAAABMAcAAAAJNi8yMy8yMDI2ubztfP7W3gjUoFl9/tbeCBtDSVEuTllTRTpITC5JUV9DT01QQU5ZX05BTUUBAAAAXz4EAAMAAAAUSGVjbGEgTWluaW5nIENvbXBhbnkA4JTtfP7W3gjk2hP2BdfeCCRDSVEuVFNYOkVRWC5JUV9URVYuMjAyNi0wNi0yMy4uLi5DQUQBAAAAMmHpDAIAAAAMMTEzNTQuNTM1NjA5AQYAAAAFAAAAATEBAAAACy0xODkxMjUzNTgxAwAAAAIyNwIAAAAGMTAwMDYwBAAAAAEwBwAAAAk2LzIzLzIwMja5vO18/tbeCNPHWX3+1t4IMUNJUS5UU1g6SU1HLklRX1RPVEFMX0FTU0VU</t>
  </si>
  <si>
    <t>Uy4yMDAwLjIwMjYtMDYtMjMuLi5DQUQBAAAAvm4NAAIAAAAKODM2NS4zODg5OAEIAAAABQAAAAExAQAAAAstMTg5MTUxOTA3NAMAAAACMjcCAAAABDEwMDcEAAAAATAHAAAACTYvMjMvMjAyNggAAAAJMy8zMS8yMDI2CQAAAAEw9m3tfP7W3ggPxlp9/tbeCBlDSVEuVFNYOksuSVFfQ09VTlRSWV9OQU1FAQAAANuIBAADAAAABkNhbmFkYQDglO18/tbeCN7uWX3+1t4ILkNJUS5UU1g6RVFYLklRX1RPVEFMX1JFVi4yMDAwLjIwMjYtMDYtMjMuLi5DQUQBAAAAMmHpDAIAAAALMzM2OC4zMjQ2NDEBCAAAAAUAAAABMQEAAAALLTE4OTEyNTMyMTIDAAAAAjI3AgAAAAIyOAQAAAABMAcAAAAJNi8yMy8yMDI2CAAAAAkzLzMxLzIwMjYJAAAAATC3qrZ8/tbeCNPHWX3+1t4IKkNJUS5UU1g6T0dDLklRX01BUktFVENBUC4yMDI2LTA2LTIzLi4uLkNBRAEAAACHFI8AAgAAAAs3OTQ1Ljg4ODg2NQEGAAAABQAAAAExAQAAAAstMTg5MTIzMTY3NwMAAAACMjcCAAAABjEwMDA1NAQAAAABMAcAAAAJNi8yMy8yMDI2t6q2fP7W3ggBn1p9/tbeCBtDSVEuVFNYOkVRWC5JUV9DT01QQU5ZX05BTUUBAAAAMmHpDAMAAAASRXF1aW5veCBHb2xkIENvcnAuAOCU7Xz+1t4I5NoT9gXX3ggxQ0lRLlRTWDpDREUuSVFfVE9UQUxfQVNTRVRTLjIwMDAuMjAyNi0wNi0yMy4uLkNBRAEAAACR/wMAAgAAAAwyMTMwMi42NzU5MDYBCAAAAAUA</t>
  </si>
  <si>
    <t>NggAAAAJMy8zMS8yMDI2CQAAAAEw9m3tfP7W3ggPxlp9/tbeCClDSVEuVFNYOkZNLklRX01BUktFVENBUC4yMDI2LTA2LTIzLi4uLkNBRAEAAAADcg0AAgAAAAwzMjMyNC4xMDQ4ODgBBgAAAAUAAAABMQEAAAALLTE4OTM1NzgxNTEDAAAAAjI3AgAAAAYxMDAwNTQEAAAAATAHAAAACTYvMjMvMjAyNrm87Xz+1t4ID8Zaff7W3ggaQ0lRLlRTWDpGTS5JUV9DT1VOVFJZX05BTUUBAAAAA3INAAMAAAAGQ2FuYWRhAOCU7Xz+1t4ID8Zaff7W3ggrQ0lRLlRTWDpTU1JNLklRX01BUktFVENBUC4yMDI2LTA2LTIzLi4uLkNBRAEAAADYSwYAAgAAAAs4NjI5LjU1MzY0MwEGAAAABQAAAAExAQAAAAstMTg5MTUzMzU3NAMAAAACMjcCAAAABjEwMDA1NAQAAAABMAcAAAAJNi8yMy8yMDI2t6q2fP7W3ggPxlp9/tbeCCRDSVEuVFNYOkJUTy5JUV9URVYuMjAyNi0wNi0yMy4uLi5DQUQBAAAA6d0dAgIAAAALNzczMy42MjY2NzkBBgAAAAUAAAABMQEAAAALLTE4OTEyNDM5NTgDAAAAAjI3AgAAAAYxMDAwNjAEAAAAATAHAAAACTYvMjMvMjAyNreqtnz+1t4ID8Zaff7W3gghQ0lRLlRTWDpIQk0uSVFfVEVWLjIwMjUtMDctMDEuQ0FEAQAAANVPGwACAAAACjY4MTcuMjcwMjgBBgAAAAUAAAABMQEAAAALLTE5NDQzMDY0OTYDAAAAAjI3AgAAAAYxMDAwNjAEAAAAATAHAAAACDcvMS8yMDI1ubztfP7W3ggmY2B9/tbeCBpDSVEu</t>
  </si>
  <si>
    <t>AwAAAAIyNwIAAAAEMTAwNwQAAAABMAcAAAAJNi8yMy8yMDI2CAAAAAkzLzMxLzIwMjYJAAAAATD2be18/tbeCA/GWn3+1t4ILkNJUS5UU1g6Q0RFLklRX1RPVEFMX1JFVi4yMDAwLjIwMjYtMDYtMjMuLi5DQUQBAAAAkf8DAAIAAAAJMzU4Mi4xMzQxAQgAAAAFAAAAATEBAAAACy0xODkxMjUxNzM0AwAAAAIyNwIAAAACMjgEAAAAATAHAAAACTYvMjMvMjAyNggAAAAJMy8zMS8yMDI2CQAAAAEw9m3tfP7W3ggBn1p9/tbeCDFDSVEuVFNYOkhCTS5JUV9UT1RBTF9BU1NFVFMuMjAwMC4yMDI2LTA2LTIzLi4uQ0FEAQAAANVPGwACAAAACzk2MjcuMTA2ODM0AQgAAAAFAAAAATEBAAAACy0xODkyNjUyNDk2AwAAAAIyNwIAAAAEMTAwNwQAAAABMAcAAAAJNi8yMy8yMDI2CAAAAAkzLzMxLzIwMjYJAAAAATC3qrZ8/tbeCO93Wn3+1t4IL0NJUS5UU1g6UEFBUy5JUV9UT1RBTF9SRVYuMjAwMC4yMDI2LTA2LTIzLi4uQ0FEAQAAAF3rBQACAAAABzU1ODMuNDQBCAAAAAUAAAABMQEAAAALLTE4OTE1MTA3NjIDAAAAAjI3AgAAAAIyOAQAAAABMAcAAAAJNi8yMy8yMDI2CAAAAAkzLzMxLzIwMjYJAAAAATD2be18/tbeCA/GWn3+1t4IG0NJUS5UU1g6RUxELklRX0NPTVBBTllfTkFNRQEAAADfYw0AAwAAABlFbGRvcmFkbyBHb2xkIENvcnBvcmF0aW9uAOCU7Xz+1t4IPQZmggfX3ggbQ0lRLlRTWDpBR0kuSVFfQ09VTlRS</t>
  </si>
  <si>
    <t>WV9OQU1FAQAAADt7DQADAAAABkNhbmFkYQDglO18/tbeCAGfWn3+1t4IMkNJUS5UU1g6U1NSTS5JUV9UT1RBTF9BU1NFVFMuMjAwMC4yMDI2LTA2LTIzLi4uQ0FEAQAAANhLBgACAAAACzgzMDAuODA4MTIxAQgAAAAFAAAAATEBAAAACy0xODkxNTMzMjQ4AwAAAAIyNwIAAAAEMTAwNwQAAAABMAcAAAAJNi8yMy8yMDI2CAAAAAkzLzMxLzIwMjYJAAAAATC3qrZ8/tbeCA/GWn3+1t4ILkNJUS5UU1g6RUxELklRX1RPVEFMX1JFVi4yMDAwLjIwMjYtMDYtMjMuLi5DQUQBAAAA32MNAAIAAAALMjc4Ni4xOTA5OTkBCAAAAAUAAAABMQEAAAALLTE4OTI0MjEwNTcDAAAAAjI3AgAAAAIyOAQAAAABMAcAAAAJNi8yMy8yMDI2CAAAAAkzLzMxLzIwMjYJAAAAATD2be18/tbeCN7uWX3+1t4IIENJUS5UU1g6Q0cuSVFfVEVWLjIwMjUtMDctMDEuQ0FEAQAAAMGblgACAAAACzExNzEuNzQyODQxAQYAAAAFAAAAATEBAAAACy0xOTQ2MDYxNDE5AwAAAAIyNwIAAAAGMTAwMDYwBAAAAAEwBwAAAAg3LzEvMjAyNeCU7Xz+1t4IYAtgff7W3ggqQ0lRLlRTWDpIQk0uSVFfTUFSS0VUQ0FQLjIwMjYtMDYtMjMuLi4uQ0FEAQAAANVPGwACAAAADDE0MzE3LjMyMDI4MgEGAAAABQAAAAExAQAAAAstMTg5MjY1MjgxOQMAAAACMjcCAAAABjEwMDA1NAQAAAABMAcAAAAJNi8yMy8yMDI2t6q2fP7W3gjvd1p9/tbeCBpDSVEuLklRX1RF</t>
  </si>
  <si>
    <t>DQADAAAAG0ZpcnN0IFF1YW50dW0gTWluZXJhbHMgTHRkLgDglO18/tbeCD0GZoIH194IJENJUS5UU1g6T0dDLklRX1RFVi4yMDI2LTA2LTIzLi4uLkNBRAEAAACHFI8AAgAAAAs3MzAxLjQyMDMwNAEGAAAABQAAAAExAQAAAAstMTg5MTIzMTY3NwMAAAACMjcCAAAABjEwMDA2MAQAAAABMAcAAAAJNi8yMy8yMDI2t6q2fP7W3ggBn1p9/tbeCCVDSVEuVFNYOlNTUk0uSVFfVEVWLjIwMjYtMDYtMjMuLi4uQ0FEAQAAANhLBgACAAAACzg4OTcuMzM4MjEyAQYAAAAFAAAAATEBAAAACy0xODkxNTMzNTc0AwAAAAIyNwIAAAAGMTAwMDYwBAAAAAEwBwAAAAk2LzIzLzIwMja3qrZ8/tbeCA/GWn3+1t4II0NJUS5UU1g6Q0cuSVFfVEVWLjIwMjYtMDYtMjMuLi4uQ0FEAQAAAMGblgACAAAACzM4MjIuMzkxNDE1AQYAAAAFAAAAATEBAAAACy0xODkzMjM0Njc0AwAAAAIyNwIAAAAGMTAwMDYwBAAAAAEwBwAAAAk2LzIzLzIwMja3qrZ8/tbeCNSgWX3+1t4IJENJUS5UU1g6SEJNLklRX1RFVi4yMDI2LTA2LTIzLi4uLkNBRAEAAADVTxsAAgAAAAwxNTIwNS4yMjY4MzEBBgAAAAUAAAABMQEAAAALLTE4OTI2NTI4MTkDAAAAAjI3AgAAAAYxMDAwNjAEAAAAATAHAAAACTYvMjMvMjAyNreqtnz+1t4I73daff7W3ggiQ0lRLlRTWDpLLklRX1RFVi4yMDI2LTA2LTIzLi4uLkNBRAEAAADbiAQAAgAAAAs0MDYwMy44NTU2NQEG</t>
  </si>
  <si>
    <t>AAAABQAAAAExAQAAAAstMTg5MzA1NjA4MQMAAAACMjcCAAAABjEwMDA2MAQAAAABMAcAAAAJNi8yMy8yMDI2ubztfP7W3gje7ll9/tbeCCNDSVEuVFNYOkZNLklRX1RFVi4yMDI2LTA2LTIzLi4uLkNBRAEAAAADcg0AAgAAAAw0MjE2MC43MzAzMDgBBgAAAAUAAAABMQEAAAALLTE4OTM1NzgxNTEDAAAAAjI3AgAAAAYxMDAwNjAEAAAAATAHAAAACTYvMjMvMjAyNrm87Xz+1t4ID8Zaff7W3ggxQ0lRLlRTWDpFUVguSVFfVE9UQUxfQVNTRVRTLjIwMDAuMjAyNi0wNi0yMy4uLkNBRAEAAAAyYekMAgAAAAwxMzQ3OC41MDA5MzIBCAAAAAUAAAABMQEAAAALLTE4OTEyNTMyMTIDAAAAAjI3AgAAAAQxMDA3BAAAAAEwBwAAAAk2LzIzLzIwMjYIAAAACTMvMzEvMjAyNgkAAAABMLeqtnz+1t4I08dZff7W3gghQ0lRLjAuSVFfTUFSS0VUQ0FQLjIwMjUtMDctMDEuQ0FEBQAAAAAAAAAIAAAAFChJbnZhbGlkIElkZW50aWZpZXIpubztfP7W3giji2B9/tbeCBtDSVEuVFNYOklNRy5JUV9DT1VOVFJZX05BTUUBAAAAvm4NAAMAAAAGQ2FuYWRhAOCU7Xz+1t4ID8Zaff7W3ggbQ0lRLlRTWDpMVU4uSVFfQ09VTlRSWV9OQU1FAQAAAKduDQADAAAABkNhbmFkYQDglO18/tbeCNPHWX3+1t4ILUNJUS5UU1g6Q0cuSVFfVE9UQUxfUkVWLjIwMDAuMjAyNi0wNi0yMy4uLkNBRAEAAADBm5YAAgAAAAsyMTkxLjE2MTAwNgEIAAAA</t>
  </si>
  <si>
    <t>ODkxNTExNjk1AwAAAAIyNwIAAAAGMTAwMDU0BAAAAAEwBwAAAAk2LzIzLzIwMja5vO18/tbeCA/GWn3+1t4IKkNJUS5UU1g6TFVOLklRX01BUktFVENBUC4yMDI2LTA2LTIzLi4uLkNBRAEAAACnbg0AAgAAAAwyOTcxMC45MDc2NTEBBgAAAAUAAAABMQEAAAALLTE4OTEyNDE5MDkDAAAAAjI3AgAAAAYxMDAwNTQEAAAAATAHAAAACTYvMjMvMjAyNrm87Xz+1t4I08dZff7W3ggqQ0lRLlRTWDpDREUuSVFfTUFSS0VUQ0FQLjIwMjYtMDYtMjMuLi4uQ0FEAQAAAJH/AwACAAAAEDIzOTcwLjQ1MTk4Nzk2NTgBBgAAAAUAAAABMQEAAAALLTE4OTEyNTE4MDcDAAAAAjI3AgAAAAYxMDAwNTQEAAAAATAHAAAACTYvMjMvMjAyNrm87Xz+1t4ID8Zaff7W3ggsQ0lRLlRTWDpLLklRX1RPVEFMX1JFVi4yMDAwLjIwMjYtMDYtMjMuLi5DQUQBAAAA24gEAAIAAAAMMTExMTIuODYwMjE4AQgAAAAFAAAAATEBAAAACy0xODkzMDU1MjczAwAAAAIyNwIAAAACMjgEAAAAATAHAAAACTYvMjMvMjAyNggAAAAJMy8zMS8yMDI2CQAAAAEw9m3tfP7W3gje7ll9/tbeCCdDSVEuVFNYOk9HQy5JUV9NQVJLRVRDQVAuMjAyNS0wNy0wMS5DQUQBAAAAhxSPAAIAAAALNDQ0Mi4yNTI1OTkBBgAAAAUAAAABMQEAAAALLTE5NDU1NTM4NjYDAAAAAjI3AgAAAAYxMDAwNTQEAAAAATAHAAAACDcvMS8yMDI14JTtfP7W3ggmY2B9/tbeCCFDSVEu</t>
  </si>
  <si>
    <t>VFNYOkJUTy5JUV9URVYuMjAyNS0wNy0wMS5DQUQBAAAA6d0dAgIAAAALNjY4My42ODA1NzIBBgAAAAUAAAABMQEAAAALLTE5NDU1NTQwMTIDAAAAAjI3AgAAAAYxMDAwNjAEAAAAATAHAAAACDcvMS8yMDI14JTtfP7W3gghNGB9/tbeCCdDSVEuVFNYOkJUTy5JUV9NQVJLRVRDQVAuMjAyNS0wNy0wMS5DQUQBAAAA6d0dAgIAAAALNjUwMS4xNTQzNzMBBgAAAAUAAAABMQEAAAALLTE5NDU1NTQwMTIDAAAAAjI3AgAAAAYxMDAwNTQEAAAAATAHAAAACDcvMS8yMDI14JTtfP7W3gghNGB9/tbeCCJDSVEuVFNYOlNTUk0uSVFfVEVWLjIwMjUtMDctMDEuQ0FEAQAAANhLBgACAAAACzQ3MzIuODAxMTY1AQYAAAAFAAAAATEBAAAACy0xOTQ1OTQxNjkwAwAAAAIyNwIAAAAGMTAwMDYwBAAAAAEwBwAAAAg3LzEvMjAyNeCU7Xz+1t4Iaehfff7W3ggoQ0lRLlRTWDpTU1JNLklRX01BUktFVENBUC4yMDI1LTA3LTAxLkNBRAEAAADYSwYAAgAAAAszNTIyLjI1MzQ5NQEGAAAABQAAAAExAQAAAAstMTk0NTk0MTY5MAMAAAACMjcCAAAABjEwMDA1NAQAAAABMAcAAAAINy8xLzIwMjXglO18/tbeCGnoX33+1t4IIUNJUS5UU1g6RVFYLklRX1RFVi4yMDI1LTA3LTAxLkNBRAEAAAAyYekMAgAAAAo3ODQzLjMzMDg5AQYAAAAFAAAAATEBAAAACy0xOTQ1NTY0MjkzAwAAAAIyNwIAAAAGMTAwMDYwBAAAAAEwBwAAAAg3LzEvMjAy</t>
  </si>
  <si>
    <t>NeCU7Xz+1t4IITRgff7W3ggnQ0lRLlRTWDpMVU4uSVFfTUFSS0VUQ0FQLjIwMjUtMDctMDEuQ0FEAQAAAKduDQACAAAADDEyMjU3Ljg4NjUzNAEGAAAABQAAAAExAQAAAAstMTk0NTU1NDA1NgMAAAACMjcCAAAABjEwMDA1NAQAAAABMAcAAAAINy8xLzIwMjXglO18/tbeCCE0YH3+1t4IH0NJUS5UU1g6Sy5JUV9URVYuMjAyNS0wNy0wMS5DQUQBAAAA24gEAAIAAAALMjcwODUuNzE0MjkBBgAAAAUAAAABMQEAAAALLTE5NDU4OTM3NjIDAAAAAjI3AgAAAAYxMDAwNjAEAAAAATAHAAAACDcvMS8yMDI14JTtfP7W3gghNGB9/tbeCCdDSVEuVFNYOklNRy5JUV9NQVJLRVRDQVAuMjAyNS0wNy0wMS5DQUQBAAAAvm4NAAIAAAALNTc2Ny43NTU1NjIBBgAAAAUAAAABMQEAAAALLTE5NDU4OTM3MjIDAAAAAjI3AgAAAAYxMDAwNTQEAAAAATAHAAAACDcvMS8yMDI14JTtfP7W3giji2B9/tbeCCFDSVEuTllTRTpITC5JUV9URVYuMjAyNS0wNy0wMS5DQUQBAAAAXz4EAAIAAAAPNTg0NS40NDkxMzAzOTk5AQYAAAAFAAAAATEBAAAACy0xOTQ2ODY2NDE3AwAAAAIyNwIAAAAGMTAwMDYwBAAAAAEwBwAAAAg3LzEvMjAyNeCU7Xz+1t4IYAtgff7W3ggnQ0lRLk5ZU0U6SEwuSVFfTUFSS0VUQ0FQLjIwMjUtMDctMDEuQ0FEAQAAAF8+BAACAAAADzUwODcuNDAyMjE0NjE5OQEGAAAABQAAAAExAQAAAAstMTk0Njg2NjQxNwMA</t>
  </si>
  <si>
    <t>AAACMjcCAAAABjEwMDA1NAQAAAABMAcAAAAINy8xLzIwMjXglO18/tbeCGALYH3+1t4IIUNJUS5UU1g6QUdJLklRX1RFVi4yMDI1LTA3LTAxLkNBRAEAAAA7ew0AAgAAAAwxNTE4MC45OTEwOTkBBgAAAAUAAAABMQEAAAALLTE5NDcyNDkzNjMDAAAAAjI3AgAAAAYxMDAwNjAEAAAAATAHAAAACDcvMS8yMDI14JTtfP7W3giji2B9/tbeCChDSVEuVFNYOlBBQVMuSVFfTUFSS0VUQ0FQLjIwMjUtMDctMDEuQ0FEAQAAAF3rBQACAAAACzEzOTk1LjAwMzEzAQYAAAAFAAAAATEBAAAACy0xOTQ1NTU0MDIwAwAAAAIyNwIAAAAGMTAwMDU0BAAAAAEwBwAAAAg3LzEvMjAyNeCU7Xz+1t4Iaehfff7W3gghQ0lRLlRTWDpMVU4uSVFfVEVWLjIwMjUtMDctMDEuQ0FEAQAAAKduDQACAAAADDE2NDA3LjU1OTEwNAEGAAAABQAAAAExAQAAAAstMTk0NTU1NDA1NgMAAAACMjcCAAAABjEwMDA2MAQAAAABMAcAAAAINy8xLzIwMjXglO18/tbeCCE0YH3+1t4IJUNJUS5UU1g6Sy5JUV9NQVJLRVRDQVAuMjAyNS0wNy0wMS5DQUQBAAAA24gEAAIAAAAJMjYxMDYuMzA0AQYAAAAFAAAAATEBAAAACy0xOTQ1ODkzNzYyAwAAAAIyNwIAAAAGMTAwMDU0BAAAAAEwBwAAAAg3LzEvMjAyNeCU7Xz+1t4IYAtgff7W3gggQ0lRLlRTWDpGTS5JUV9URVYuMjAyNS0wNy0wMS5DQUQBAAAAA3INAAIAAAAMMzA5NzEuNTIwMDM5AQYAAAAFAAAA</t>
  </si>
  <si>
    <t>ATEBAAAACy0xOTQ5MzMwMzkxAwAAAAIyNwIAAAAGMTAwMDYwBAAAAAEwBwAAAAg3LzEvMjAyNeCU7Xz+1t4IJ71fff7W3ggnQ0lRLlRTWDpBR0kuSVFfTUFSS0VUQ0FQLjIwMjUtMDctMDEuQ0FEAQAAADt7DQACAAAACzE1MjMyLjg3OTQ0AQYAAAAFAAAAATEBAAAACy0xOTQ3MjQ5MzYzAwAAAAIyNwIAAAAGMTAwMDU0BAAAAAEwBwAAAAg3LzEvMjAyNeCU7Xz+1t4Io4tgff7W3gghQ0lRLlRTWDpDREUuSVFfVEVWLjIwMjUtMDctMDEuQ0FEAQAAAJH/AwACAAAAEDg0MzAuNDE2NTEzNTE2MzQBBgAAAAUAAAABMQEAAAALLTE5NDU1NTM4NDEDAAAAAjI3AgAAAAYxMDAwNjAEAAAAATAHAAAACDcvMS8yMDI14JTtfP7W3gghNGB9/tbeCCdDSVEuVFNYOkVMRC5JUV9NQVJLRVRDQVAuMjAyNS0wNy0wMS5DQUQBAAAA32MNAAIAAAALNTY4Ni4wNjYxMDkBBgAAAAUAAAABMQEAAAALLTE5NDY4NjI1MDQDAAAAAjI3AgAAAAYxMDAwNTQEAAAAATAHAAAACDcvMS8yMDI14JTtfP7W3gghNGB9/tbeCCBDSVEuVFNYOkNTLklRX1RFVi4yMDI1LTA3LTAxLkNBRAEAAACJBSYAAgAAAAs4OTA1LjEwNjc5MQEGAAAABQAAAAExAQAAAAstMTk0Njk0NDU5MgMAAAACMjcCAAAABjEwMDA2MAQAAAABMAcAAAAINy8xLzIwMjXglO18/tbeCGnoX33+1t4IJkNJUS5UU1g6Q1MuSVFfTUFSS0VUQ0FQLjIwMjUtMDctMDEuQ0FEAQAA</t>
  </si>
  <si>
    <t>AIkFJgACAAAACzYzNzIuMjQwMjQyAQYAAAAFAAAAATEBAAAACy0xOTQ2OTQ0NTkyAwAAAAIyNwIAAAAGMTAwMDU0BAAAAAEwBwAAAAg3LzEvMjAyNeCU7Xz+1t4Iaehfff7W3gghQ0lRLlRTWDpJTUcuSVFfVEVWLjIwMjUtMDctMDEuQ0FEAQAAAL5uDQACAAAACzcwNDYuODUzMzMyAQYAAAAFAAAAATEBAAAACy0xOTQ1ODkzNzIyAwAAAAIyNwIAAAAGMTAwMDYwBAAAAAEwBwAAAAg3LzEvMjAyNeCU7Xz+1t4Io4tgff7W3ggmQ0lRLlRTWDpGTS5JUV9NQVJLRVRDQVAuMjAyNS0wNy0wMS5DQUQBAAAAA3INAAIAAAALMjAwMzAuNDExODQBBgAAAAUAAAABMQEAAAALLTE5NDkzMzAzOTEDAAAAAjI3AgAAAAYxMDAwNTQEAAAAATAHAAAACDcvMS8yMDI14JTtfP7W3ggnvV99/tbeCBRDSVEuLklRX0NPTVBBTllfTkFNRQUAAAAAAAAACAAAABQoSW52YWxpZCBJZGVudGlmaWVyKfZt7Xz+1t4IPQZmggfX3ggmQ0lRLlRTWDpDRy5JUV9NQVJLRVRDQVAuMjAyNS0wNy0wMS5DQUQBAAAAwZuWAAIAAAALMjAzNi4xNzIzMjEBBgAAAAUAAAABMQEAAAALLTE5NDYwNjE0MTkDAAAAAjI3AgAAAAYxMDAwNTQEAAAAATAHAAAACDcvMS8yMDI14JTtfP7W3ghgC2B9/tbeCCFDSVEuVFNYOk9HQy5JUV9URVYuMjAyNS0wNy0wMS5DQUQBAAAAhxSPAAIAAAALNDM1MS42OTk1NDgBBgAAAAUAAAABMQEAAAALLTE5NDU1NTM4NjYD</t>
  </si>
  <si>
    <t>AAAAAjI3AgAAAAYxMDAwNjAEAAAAATAHAAAACDcvMS8yMDI14JTtfP7W3ggmY2B9/tbeCCdDSVEuVFNYOkVRWC5JUV9NQVJLRVRDQVAuMjAyNS0wNy0wMS5DQUQBAAAAMmHpDAIAAAAINTk0My43MzIBBgAAAAUAAAABMQEAAAALLTE5NDU1NjQyOTMDAAAAAjI3AgAAAAYxMDAwNTQEAAAAATAHAAAACDcvMS8yMDI14JTtfP7W3ggmY2B9/tbeCCFDSVEuVFNYOkVMRC5JUV9URVYuMjAyNS0wNy0wMS5DQUQBAAAA32MNAAIAAAALNTU4My4xOTY0MDgBBgAAAAUAAAABMQEAAAALLTE5NDY4NjI1MDQDAAAAAjI3AgAAAAYxMDAwNjAEAAAAATAHAAAACDcvMS8yMDI14JTtfP7W3gghNGB9/tbeCCdDSVEuVFNYOkNERS5JUV9NQVJLRVRDQVAuMjAyNS0wNy0wMS5DQUQBAAAAkf8DAAIAAAAQNzgzOS4zMTUyODQ3MjI1MwEGAAAABQAAAAExAQAAAAstMTk0NTU1Mzg0MQMAAAACMjcCAAAABjEwMDA1NAQAAAABMAcAAAAINy8xLzIwMjXglO18/tbeCCE0YH3+1t4IIkNJUS5UU1g6UEFBUy5JUV9URVYuMjAyNS0wNy0wMS5DQUQBAAAAXesFAAIAAAALMTM4NzUuMjcxODcBBgAAAAUAAAABMQEAAAALLTE5NDU1NTQwMjADAAAAAjI3AgAAAAYxMDAwNjAEAAAAATAHAAAACDcvMS8yMDI14JTtfP7W3ghp6F99/tbeCBtDSVEuMC5JUV9URVYuMjAyNS0wNy0xNC5DQUQFAAAAAAAAAAgAAAAUKEludmFsaWQgSWRlbnRpZmllcim5</t>
  </si>
  <si>
    <t>MjMuLi4uQ0FEAQAAADt7DQACAAAADDE4NDIzLjg4MjU4MQEGAAAABQAAAAExAQAAAAstMTg5MzI0NTgwOQMAAAACMjcCAAAABjEwMDA1NAQAAAABMAcAAAAJNi8yMy8yMDI2ubztfP7W3ggBn1p9/tbeCCRDSVEuVFNYOklNRy5JUV9URVYuMjAyNi0wNi0yMy4uLi5DQUQBAAAAvm4NAAIAAAALMTM1MjkuOTI1OTgBBgAAAAUAAAABMQEAAAALLTE4OTE1MTkxODADAAAAAjI3AgAAAAYxMDAwNjAEAAAAATAHAAAACTYvMjMvMjAyNrm87Xz+1t4ID8Zaff7W3ggpQ0lRLlRTWDpDUy5JUV9NQVJLRVRDQVAuMjAyNi0wNi0yMy4uLi5DQUQBAAAAiQUmAAIAAAAMMTA1MDMuNTYxOTQzAQYAAAAFAAAAATEBAAAACy0xODkzMjQ2NzU5AwAAAAIyNwIAAAAGMTAwMDU0BAAAAAEwBwAAAAk2LzIzLzIwMja5vO18/tbeCA/GWn3+1t4IJUNJUS5UU1g6UEFBUy5JUV9URVYuMjAyNi0wNi0yMy4uLi5DQUQBAAAAXesFAAIAAAALMjY1OTguMDM0MDIBBgAAAAUAAAABMQEAAAALLTE4OTE1MTE2OTUDAAAAAjI3AgAAAAYxMDAwNjAEAAAAATAHAAAACTYvMjMvMjAyNrm87Xz+1t4ID8Zaff7W3ggqQ0lRLk5ZU0U6SEwuSVFfTUFSS0VUQ0FQLjIwMjYtMDYtMjMuLi4uQ0FEAQAAAF8+BAACAAAAEDE0MzUwLjYxOTMxNjU1OTEBBgAAAAUAAAABMQEAAAALLTE4OTEzMDY3MDEDAAAAAjI3AgAAAAYxMDAwNTQEAAAAATAHAAAACTYvMjMv</t>
  </si>
  <si>
    <t>MjAyNrm87Xz+1t4I1KBZff7W3ggkQ0lRLlRTWDpMVU4uSVFfVEVWLjIwMjYtMDYtMjMuLi4uQ0FEAQAAAKduDQACAAAADDMxNTUxLjYyODIzMQEGAAAABQAAAAExAQAAAAstMTg5MTI0MTkwOQMAAAACMjcCAAAABjEwMDA2MAQAAAABMAcAAAAJNi8yMy8yMDI2ubztfP7W3gjTx1l9/tbeCCpDSVEuVFNYOkJUTy5JUV9NQVJLRVRDQVAuMjAyNi0wNi0yMy4uLi5DQUQBAAAA6d0dAgIAAAALNzYyMS40Mjg4NDkBBgAAAAUAAAABMQEAAAALLTE4OTEyNDM5NTgDAAAAAjI3AgAAAAYxMDAwNTQEAAAAATAHAAAACTYvMjMvMjAyNreqtnz+1t4ID8Zaff7W3ggkQ0lRLlRTWDpDREUuSVFfVEVWLjIwMjYtMDYtMjMuLi4uQ0FEAQAAAJH/AwACAAAAEDIzODcxLjE0MjYzNjMwNTgBBgAAAAUAAAABMQEAAAALLTE4OTEyNTE4MDcDAAAAAjI3AgAAAAYxMDAwNjAEAAAAATAHAAAACTYvMjMvMjAyNrm87Xz+1t4ID8Zaff7W3ggqQ0lRLlRTWDpFUVguSVFfTUFSS0VUQ0FQLjIwMjYtMDYtMjMuLi4uQ0FEAQAAADJh6QwCAAAACzEwOTUyLjc5MzE0AQYAAAAFAAAAATEBAAAACy0xODkxMjUzNTgxAwAAAAIyNwIAAAAGMTAwMDU0BAAAAAEwBwAAAAk2LzIzLzIwMja3qrZ8/tbeCNPHWX3+1t4IL0NJUS5UU1g6Sy5JUV9UT1RBTF9BU1NFVFMuMjAwMC4yMDI2LTA2LTIzLi4uQ0FEAQAAANuIBAACAAAADDE3OTgzLjk4MTA2OAEI</t>
  </si>
  <si>
    <t>AAAABQAAAAExAQAAAAstMTg5MzA1NTI3MwMAAAACMjcCAAAABDEwMDcEAAAAATAHAAAACTYvMjMvMjAyNggAAAAJMy8zMS8yMDI2CQAAAAEw9m3tfP7W3gje7ll9/tbeCC5DSVEuVFNYOkxVTi5JUV9UT1RBTF9SRVYuMjAwMC4yMDI2LTA2LTIzLi4uQ0FEAQAAAKduDQACAAAACzU5OTEuNTg5NDY0AQgAAAAFAAAAATEBAAAACy0xODkxMjQxNzUxAwAAAAIyNwIAAAACMjgEAAAAATAHAAAACTYvMjMvMjAyNggAAAAJMy8zMS8yMDI2CQAAAAEw9m3tfP7W3gjTx1l9/tbeCCNDSVEuLklRX01BUktFVENBUC4yMDI2LTA2LTIzLi4uLkNBRAUAAAAAAAAACAAAABQoSW52YWxpZCBJZGVudGlmaWVyKYM/CPHI1t4IpD1Xff7W3ggUQ0lRLi5JUV9DT1VOVFJZX05BTUUFAAAAAAAAAAgAAAAUKEludmFsaWQgSWRlbnRpZmllcimDPwjxyNbeCB6PV33+1t4IHUNJUS4uSVFfVEVWLjIwMjYtMDYtMjMuLi4uQ0FEBQAAAAAAAAAIAAAAFChJbnZhbGlkIElkZW50aWZpZXIpgz8I8cjW3gikPVd9/tbeCCdDSVEuLklRX1RPVEFMX1JFVi4yMDAwLjIwMjYtMDYtMjMuLi5DQUQFAAAAAAAAAAgAAAAUKEludmFsaWQgSWRlbnRpZmllcimDPwjxyNbeCKQ9V33+1t4IIENJUS4uSVFfVE9UQUxfQVNTRVRTLjIwMDAuLi4uQ0FEBQAAAAAAAAAIAAAAFChJbnZhbGlkIElkZW50aWZpZXIpgz8I8cjW3gi+BFl9/tbeCCdDSVEuVFNYOkhC</t>
  </si>
  <si>
    <t>TS5JUV9UT1RBTF9BU1NFVFMuMjAwMC4uLi5DQUQBAAAA1U8bAAIAAAALOTYyNy4xMDY4MzQBCAAAAAUAAAABMQEAAAALLTE4OTI2NTI0OTYDAAAAAjI3AgAAAAQxMDA3BAAAAAEwBwAAAAg3LzEvMjAyNggAAAAJMy8zMS8yMDI2CQAAAAEw9m3tfP7W3ggmY2B9/tbeCDFDSVEuVFNYOk9HQy5JUV9UT1RBTF9BU1NFVFMuMjAwMC4yMDI2LTA2LTIzLi4uQ0FEAQAAAIcUjwACAAAACzQ4NDguNzk4ODgyAQgAAAAFAAAAATEBAAAACy0xODkxMjMxNTU2AwAAAAIyNwIAAAAEMTAwNwQAAAABMAcAAAAJNi8yMy8yMDI2CAAAAAkzLzMxLzIwMjYJAAAAATC3qrZ8/tbeCAGfWn3+1t4IMUNJUS5UU1g6QUdJLklRX1RPVEFMX0FTU0VUUy4yMDAwLjIwMjYtMDYtMjMuLi5DQUQBAAAAO3sNAAIAAAALOTEyMy42MjAxMzIBCAAAAAUAAAABMQEAAAALLTE4OTMyNDU3MTEDAAAAAjI3AgAAAAQxMDA3BAAAAAEwBwAAAAk2LzIzLzIwMjYIAAAACTMvMzEvMjAyNgkAAAABMPZt7Xz+1t4IAZ9aff7W3gguQ0lRLlRTWDpPR0MuSVFfVE9UQUxfUkVWLjIwMDAuMjAyNi0wNi0yMy4uLkNBRAEAAACHFI8AAgAAAAszMTM3LjYxNDEwOAEIAAAABQAAAAExAQAAAAstMTg5MTIzMTU1NgMAAAACMjcCAAAAAjI4BAAAAAEwBwAAAAk2LzIzLzIwMjYIAAAACTMvMzEvMjAyNgkAAAABMLeqtnz+1t4IAZ9aff7W3ggqQ0lRLi5JUV9UT1RBTF9B</t>
  </si>
  <si>
    <t>U1NFVFMuMjAwMC4yMDI2LTA2LTIzLi4uQ0FEBQAAAAAAAAAIAAAAFChJbnZhbGlkIElkZW50aWZpZXIpgz8I8cjW3gikPVd9/tbeCB9DSVEuVFNYOlMuSVFfVEVWLjIwMjYtMDYtMzAuQ0FEAQAAAAlvDQACAAAACTI4NC4zNzYwOQEGAAAABQAAAAExAQAAAAstMTkwNzMxODE2MgMAAAACMjcCAAAABjEwMDA2MAQAAAABMAcAAAAJNS8xOS8yMDI24JTtfP7W3gjRLSKqA9feCCVDSVEuVFNYOlMuSVFfTUFSS0VUQ0FQLjIwMjYtMDYtMzAuQ0FEAQAAAAlvDQACAAAACTg0LjQ3NjA5MQEGAAAABQAAAAExAQAAAAstMTkwNzMxODE2MgMAAAACMjcCAAAABjEwMDA1NAQAAAABMAcAAAAJNS8xOS8yMDI24JTtfP7W3gjRLSKqA9feCB9DSVEuVFNYOlQuSVFfVEVWLjIwMjYtMDYtMzAuQ0FEAQAAAKEiCQACAAAABTU0MjM1AQYAAAAFAAAAATEBAAAACy0xODkwNzgyODQwAwAAAAIyNwIAAAAGMTAwMDYwBAAAAAEwBwAAAAk2LzMwLzIwMjbglO18/tbeCNEtIqoD194IJUNJUS5UU1g6VC5JUV9NQVJLRVRDQVAuMjAyNi0wNi0zMC5DQUQBAAAAoSIJAAIAAAAFMjM2MTABBgAAAAUAAAABMQEAAAALLTE4OTA3ODI4NDADAAAAAjI3AgAAAAYxMDAwNTQEAAAAATAHAAAACTYvMzAvMjAyNuCU7Xz+1t4I0S0iqgPX3ggfQ0lRLlRTWDpRLklRX1RFVi4yMDI2LTA2LTMwLkNBRAUAAAAAAAAACAAAABQoSW52YWxpZCBJZGVudGlm</t>
  </si>
  <si>
    <t>aWVyKeCU7Xz+1t4I0S0iqgPX3gglQ0lRLlRTWDpRLklRX01BUktFVENBUC4yMDI2LTA2LTMwLkNBRAUAAAAAAAAACAAAABQoSW52YWxpZCBJZGVudGlmaWVyKeCU7Xz+1t4I0S0iqgPX3ggfQ0lRLlRTWDpSLklRX1RFVi4yMDI2LTA2LTMwLkNBRAUAAAAAAAAACAAAABQoSW52YWxpZCBJZGVudGlmaWVyKeCU7Xz+1t4I0S0iqgPX3gglQ0lRLlRTWDpSLklRX01BUktFVENBUC4yMDI2LTA2LTMwLkNBRAUAAAAAAAAACAAAABQoSW52YWxpZCBJZGVudGlmaWVyKeCU7Xz+1t4I0S0iqgPX3ggfQ0lRLlRTWDpPLklRX1RFVi4yMDI2LTA2LTMwLkNBRAUAAAAAAAAACAAAABQoSW52YWxpZCBJZGVudGlmaWVyKeCU7Xz+1t4I0S0iqgPX3gglQ0lRLlRTWDpPLklRX01BUktFVENBUC4yMDI2LTA2LTMwLkNBRAUAAAAAAAAACAAAABQoSW52YWxpZCBJZGVudGlmaWVyKeCU7Xz+1t4I0S0iqgPX3ggfQ0lRLlRTWDpQLklRX1RFVi4yMDI2LTA2LTMwLkNBRAUAAAAAAAAACAAAABQoSW52YWxpZCBJZGVudGlmaWVyKeCU7Xz+1t4I0S0iqgPX3gglQ0lRLlRTWDpQLklRX01BUktFVENBUC4yMDI2LTA2LTMwLkNBRAUAAAAAAAAACAAAABQoSW52YWxpZCBJZGVudGlmaWVyKeCU7Xz+1t4I0S0iqgPX3ggfQ0lRLlRTWDpNLklRX1RFVi4yMDI2LTA2LTMwLkNBRAUAAAAAAAAACAAAABQoSW52YWxpZCBJZGVudGlmaWVyKeCU7Xz+</t>
  </si>
  <si>
    <t>1t4I0S0iqgPX3gglQ0lRLlRTWDpNLklRX01BUktFVENBUC4yMDI2LTA2LTMwLkNBRAUAAAAAAAAACAAAABQoSW52YWxpZCBJZGVudGlmaWVyKeCU7Xz+1t4I0S0iqgPX3ggfQ0lRLlRTWDpOLklRX1RFVi4yMDI2LTA2LTMwLkNBRAUAAAAAAAAACAAAABQoSW52YWxpZCBJZGVudGlmaWVyKeCU7Xz+1t4I0S0iqgPX3gglQ0lRLlRTWDpOLklRX01BUktFVENBUC4yMDI2LTA2LTMwLkNBRAUAAAAAAAAACAAAABQoSW52YWxpZCBJZGVudGlmaWVyKeCU7Xz+1t4I0S0iqgPX3ggfQ0lRLlRTWDpLLklRX1RFVi4yMDI2LTA2LTMwLkNBRAEAAADbiAQAAgAAAAwzODI3NS4zNDIxOTcBBgAAAAUAAAABMQEAAAALLTE4OTMwNTYwODEDAAAAAjI3AgAAAAYxMDAwNjAEAAAAATAHAAAACTYvMzAvMjAyNuCU7Xz+1t4I0S0iqgPX3gglQ0lRLlRTWDpLLklRX01BUktFVENBUC4yMDI2LTA2LTMwLkNBRAEAAADbiAQAAgAAAAw0MDA5OC4xOTU3NjgBBgAAAAUAAAABMQEAAAALLTE4OTMwNTYwODEDAAAAAjI3AgAAAAYxMDAwNTQEAAAAATAHAAAACTYvMzAvMjAyNuCU7Xz+1t4I0S0iqgPX3ggfQ0lRLlRTWDpMLklRX1RFVi4yMDI2LTA2LTMwLkNBRAEAAABJVQ0AAgAAAAw5MDU0OS4xOTIxMDgBBgAAAAUAAAABMQEAAAALLTE4OTEzOTY4NTQDAAAAAjI3AgAAAAYxMDAwNjAEAAAAATAHAAAACTYvMzAvMjAyNuCU7Xz+1t4I0S0i</t>
  </si>
  <si>
    <t>qgPX3gglQ0lRLlRTWDpMLklRX01BUktFVENBUC4yMDI2LTA2LTMwLkNBRAEAAABJVQ0AAgAAAAw3NDYzMi4xOTIxMDkBBgAAAAUAAAABMQEAAAALLTE4OTEzOTY4NTQDAAAAAjI3AgAAAAYxMDAwNTQEAAAAATAHAAAACTYvMzAvMjAyNuCU7Xz+1t4I0S0iqgPX3ggfQ0lRLlRTWDpJLklRX1RFVi4yMDI2LTA2LTMwLkNBRAUAAAAAAAAACAAAABQoSW52YWxpZCBJZGVudGlmaWVyKeCU7Xz+1t4I0S0iqgPX3gglQ0lRLlRTWDpJLklRX01BUktFVENBUC4yMDI2LTA2LTMwLkNBRAUAAAAAAAAACAAAABQoSW52YWxpZCBJZGVudGlmaWVyKeCU7Xz+1t4I0S0iqgPX3ggfQ0lRLlRTWDpKLklRX1RFVi4yMDI2LTA2LTMwLkNBRAEAAAAWhRAQAwAAAAAA4JTtfP7W3gjRLSKqA9feCCVDSVEuVFNYOkouSVFfTUFSS0VUQ0FQLjIwMjYtMDYtMzAuQ0FEAQAAABaFEBADAAAAAADglO18/tbeCNEtIqoD194IH0NJUS5UU1g6Ry5JUV9URVYuMjAyNi0wNi0zMC5DQUQBAAAAIJy7BgMAAAAAAOCU7Xz+1t4I0S0iqgPX3gglQ0lRLlRTWDpHLklRX01BUktFVENBUC4yMDI2LTA2LTMwLkNBRAEAAAAgnLsGAwAAAAAA4JTtfP7W3gjRLSKqA9feCB9DSVEuVFNYOkguSVFfVEVWLjIwMjYtMDYtMzAuQ0FEAQAAAHG0JAACAAAACzU0MzUwLjYxNzE3AQYAAAAFAAAAATEBAAAACy0xODg5ODAwMjczAwAAAAIyNwIAAAAGMTAwMDYwBAAA</t>
  </si>
  <si>
    <t>AAEwBwAAAAk2LzMwLzIwMjbglO18/tbeCNEtIqoD194IJUNJUS5UU1g6SC5JUV9NQVJLRVRDQVAuMjAyNi0wNi0zMC5DQUQBAAAAcbQkAAIAAAALMzUxMDUuNjE3MTcBBgAAAAUAAAABMQEAAAALLTE4ODk4MDAyNzMDAAAAAjI3AgAAAAYxMDAwNTQEAAAAATAHAAAACTYvMzAvMjAyNuCU7Xz+1t4I0S0iqgPX3ggfQ0lRLlRTWDpFLklRX1RFVi4yMDI2LTA2LTMwLkNBRAEAAADS22YBAgAAAAoxMjkuNDU2NzMzAQYAAAAFAAAAATEBAAAACy0xODg5MzUyMDU3AwAAAAIyNwIAAAAGMTAwMDYwBAAAAAEwBwAAAAk2LzMwLzIwMjbglO18/tbeCNEtIqoD194IJUNJUS5UU1g6RS5JUV9NQVJLRVRDQVAuMjAyNi0wNi0zMC5DQUQBAAAA0ttmAQIAAAAKMTE1LjMyMDg2NAEGAAAABQAAAAExAQAAAAstMTg4OTM1MjA1NwMAAAACMjcCAAAABjEwMDA1NAQAAAABMAcAAAAJNi8zMC8yMDI24JTtfP7W3gjRLSKqA9feCB9DSVEuVFNYOkYuSVFfVEVWLjIwMjYtMDYtMzAuQ0FEAQAAAF+fAQACAAAAEDI3NDI5Mi42MzgxNTM2OTYBBgAAAAUAAAABMQEAAAALLTE4OTIyNDQ4ODMDAAAAAjI3AgAAAAYxMDAwNjAEAAAAATAHAAAACTYvMzAvMjAyNuCU7Xz+1t4I0S0iqgPX3gglQ0lRLlRTWDpGLklRX01BUktFVENBUC4yMDI2LTA2LTMwLkNBRAEAAABfnwEAAgAAABA3ODY1NS40MDE4NTM2OTU3AQYAAAAFAAAAATEBAAAACy0x</t>
  </si>
  <si>
    <t>ODkyMjQ0ODgzAwAAAAIyNwIAAAAGMTAwMDU0BAAAAAEwBwAAAAk2LzMwLzIwMjbglO18/tbeCNEtIqoD194IH0NJUS5UU1g6Qy5JUV9URVYuMjAyNi0wNi0zMC5DQUQFAAAAAAAAAAgAAAAUKEludmFsaWQgSWRlbnRpZmllcinglO18/tbeCNEtIqoD194IJUNJUS5UU1g6Qy5JUV9NQVJLRVRDQVAuMjAyNi0wNi0zMC5DQUQFAAAAAAAAAAgAAAAUKEludmFsaWQgSWRlbnRpZmllcinglO18/tbeCNEtIqoD194IH0NJUS5UU1g6RC5JUV9URVYuMjAyNi0wNi0zMC5DQUQFAAAAAAAAAAgAAAAUKEludmFsaWQgSWRlbnRpZmllcinglO18/tbeCNEtIqoD194IJUNJUS5UU1g6RC5JUV9NQVJLRVRDQVAuMjAyNi0wNi0zMC5DQUQFAAAAAAAAAAgAAAAUKEludmFsaWQgSWRlbnRpZmllcinglO18/tbeCNEtIqoD194IH0NJUS5UU1g6QS5JUV9URVYuMjAyNi0wNi0zMC5DQUQFAAAAAAAAAAgAAAAUKEludmFsaWQgSWRlbnRpZmllcinglO18/tbeCNEtIqoD194IJUNJUS5UU1g6QS5JUV9NQVJLRVRDQVAuMjAyNi0wNi0zMC5DQUQFAAAAAAAAAAgAAAAUKEludmFsaWQgSWRlbnRpZmllcinglO18/tbeCNEtIqoD194IH0NJUS5UU1g6Qi5JUV9URVYuMjAyNi0wNi0zMC5DQUQFAAAAAAAAAAgAAAAUKEludmFsaWQgSWRlbnRpZmllcinglO18/tbeCNEtIqoD194IJUNJUS5UU1g6Qi5JUV9NQVJLRVRDQVAuMjAyNi0wNi0z</t>
  </si>
  <si>
    <t>MC5DQUQFAAAAAAAAAAgAAAAUKEludmFsaWQgSWRlbnRpZmllcinglO18/tbeCNEtIqoD194IIENJUS5UU1g6UlkuSVFfVEVWLjIwMjYtMDYtMzAuQ0FEAQAAAPGsAQADAAAAAADglO18/tbeCNEtIqoD194IJkNJUS5UU1g6UlkuSVFfTUFSS0VUQ0FQLjIwMjYtMDYtMzAuQ0FEAQAAAPGsAQACAAAADTQwODEzOC41MTEzNDIBBgAAAAUAAAABMQEAAAALLTE4ODYyNTY0NjkDAAAAAjI3AgAAAAYxMDAwNTQEAAAAATAHAAAACTYvMzAvMjAyNuCU7Xz+1t4I0S0iqgPX3ggVQ0lRLi0uSVFfQ09NUEFOWV9OQU1FBQAAAAAAAAAIAAAAFChJbnZhbGlkIElkZW50aWZpZXIp4JTtfP7W3giszxhlB9feCCFDSVEuLS5JUV9NQVJLRVRDQVAuMjAyNS0wNy0xNC5DQUQFAAAAAAAAAAgAAAAUKEludmFsaWQgSWRlbnRpZmllcim5vO18/tbeCKzPGGUH194IG0NJUS4tLklRX1RFVi4yMDI1LTA3LTE0LkNBRAUAAAAAAAAACAAAABQoSW52YWxpZCBJZGVudGlmaWVyKbm87Xz+1t4IrM8YZQfX3gguQ0lRLlRTWDpFUk8uSVFfVE9UQUxfUkVWLjIwMDAuMjAyNi0wNi0yMy4uLkNBRAEAAABYV4YZAgAAAAsxMjg5LjY3MTM0NgEIAAAABQAAAAExAQAAAAstMTg5MTgxMTc2NwMAAAACMjcCAAAAAjI4BAAAAAEwBwAAAAk2LzIzLzIwMjYIAAAACTMvMzEvMjAyNgkAAAABMKC+tnz+1t4IMMFWff7W3ggvQ0lRLklRODc1MzQyLklRX1RP</t>
  </si>
  <si>
    <t>VEFMX1JFVi4yMDAwLjIwMjYtMDYtMjMuLi5DQUQBAAAATlsNAAMAAAAAAKC+tnz+1t4IMMFWff7W3ggxQ0lRLlRTWDpFUk8uSVFfVE9UQUxfQVNTRVRTLjIwMDAuMjAyNi0wNi0yMy4uLkNBRAEAAABYV4YZAgAAAAoyODY4LjU5MDAxAQgAAAAFAAAAATEBAAAACy0xODkxODExNzY3AwAAAAIyNwIAAAAEMTAwNwQAAAABMAcAAAAJNi8yMy8yMDI2CAAAAAkzLzMxLzIwMjYJAAAAATC3qrZ8/tbeCDDBVn3+1t4IMkNJUS5JUTg3NTM0Mi5JUV9UT1RBTF9BU1NFVFMuMjAwMC4yMDI2LTA2LTIzLi4uQ0FEAQAAAE5bDQACAAAABzQ3NS40NDcBCAAAAAUAAAABMQEAAAAJNjMyNjAzMjkwAwAAAAIyNwIAAAAEMTAwNwQAAAABMAcAAAAJNi8yMy8yMDI2CAAAAAkzLzMxLzIwMDgJAAAAATCgvrZ8/tbeCDDBVn3+1t4IG0NJUS5UU1g6RVJPLklRX0NPTVBBTllfTkFNRQEAAABYV4YZAwAAABBFcm8gQ29wcGVyIENvcnAuALeqtnz+1t4IMMFWff7W3ggbQ0lRLlRTWDpFUk8uSVFfQ09VTlRSWV9OQU1FAQAAAFhXhhkDAAAABkNhbmFkYQC3qrZ8/tbeCDDBVn3+1t4IHENJUS5JUTg3NTM0Mi5JUV9DT01QQU5ZX05BTUUBAAAATlsNAAMAAAAOTmV3IEdvbGQsIEluYy4At6q2fP7W3ggwwVZ9/tbeCBxDSVEuSVE4NzUzNDIuSVFfQ09VTlRSWV9OQU1FAQAAAE5bDQADAAAABkNhbmFkYQC3qrZ8/tbeCDDBVn3+1t4IJENJUS5U</t>
  </si>
  <si>
    <t>U1g6RVJPLklRX1RFVi4yMDI2LTA2LTIzLi4uLkNBRAEAAABYV4YZAgAAAAs0ODI4LjI1MzE2OQEGAAAABQAAAAExAQAAAAstMTg5MTgxMzA2OQMAAAACMjcCAAAABjEwMDA2MAQAAAABMAcAAAAJNi8yMy8yMDI2t6q2fP7W3ggwwVZ9/tbeCCpDSVEuVFNYOkVSTy5JUV9NQVJLRVRDQVAuMjAyNi0wNi0yMy4uLi5DQUQBAAAAWFeGGQIAAAALNDEwOC41NTE5MzkBBgAAAAUAAAABMQEAAAALLTE4OTE4MTMwNjkDAAAAAjI3AgAAAAYxMDAwNTQEAAAAATAHAAAACTYvMjMvMjAyNreqtnz+1t4IMMFWff7W3gglQ0lRLklRODc1MzQyLklRX1RFVi4yMDI2LTA2LTIzLi4uLkNBRAEAAABOWw0AAwAAAAAAt6q2fP7W3ggwwVZ9/tbeCCtDSVEuSVE4NzUzNDIuSVFfTUFSS0VUQ0FQLjIwMjYtMDYtMjMuLi4uQ0FEAQAAAE5bDQADAAAAAAC3qrZ8/tbeCDDBVn3+1t4IGENJUS4wLjc1LklRX0NPTVBBTllfTkFNRQUAAAAAAAAACAAAABQoSW52YWxpZCBJZGVudGlmaWVyKeCU7Xz+1t4IFnBeff7W3ggXQ0lRLjAuNS5JUV9DT01QQU5ZX05BTUUFAAAAAAAAAAgAAAAUKEludmFsaWQgSWRlbnRpZmllcinglO18/tbeCBZwXn3+1t4IHENJUS5UU1g6UlkuSVFfTUFSS0VUQ0FQLi5DQUQBAAAA8awBAAIAAAANNDA4MTM4LjUxMTM0MgEGAAAABQAAAAExAQAAAAstMTg4NjI1NjQ2OQMAAAACMjcCAAAABjEwMDA1NAQAAAABMAcA</t>
  </si>
  <si>
    <t>AAAJNi8zMC8yMDI2HmGeff7W3gi0hsfeA9feCBZDSVEuVFNYOlJZLklRX1RFVi4uQ0FEAQAAAPGsAQADAAAAAAAeYZ59/tbeCLSGx94D194IG0NJUS5UU1g6Qi5JUV9NQVJLRVRDQVAuLkNBRAUAAAAAAAAACAAAABQoSW52YWxpZCBJZGVudGlmaWVyKR5hnn3+1t4ItIbH3gPX3ggVQ0lRLlRTWDpCLklRX1RFVi4uQ0FEBQAAAAAAAAAIAAAAFChJbnZhbGlkIElkZW50aWZpZXIpHmGeff7W3gi0hsfeA9feCBtDSVEuVFNYOkEuSVFfTUFSS0VUQ0FQLi5DQUQFAAAAAAAAAAgAAAAUKEludmFsaWQgSWRlbnRpZmllcikeYZ59/tbeCLSGx94D194IFUNJUS5UU1g6QS5JUV9URVYuLkNBRAUAAAAAAAAACAAAABQoSW52YWxpZCBJZGVudGlmaWVyKR5hnn3+1t4ItIbH3gPX3ggbQ0lRLlRTWDpELklRX01BUktFVENBUC4uQ0FEBQAAAAAAAAAIAAAAFChJbnZhbGlkIElkZW50aWZpZXIpHmGeff7W3gi0hsfeA9feCBVDSVEuVFNYOkQuSVFfVEVWLi5DQUQFAAAAAAAAAAgAAAAUKEludmFsaWQgSWRlbnRpZmllcikeYZ59/tbeCLSGx94D194IG0NJUS5UU1g6Qy5JUV9NQVJLRVRDQVAuLkNBRAUAAAAAAAAACAAAABQoSW52YWxpZCBJZGVudGlmaWVyKR5hnn3+1t4ItIbH3gPX3ggVQ0lRLlRTWDpDLklRX1RFVi4uQ0FEBQAAAAAAAAAIAAAAFChJbnZhbGlkIElkZW50aWZpZXIpHmGeff7W3gi0hsfeA9feCBtDSVEuVFNY</t>
  </si>
  <si>
    <t>OkYuSVFfTUFSS0VUQ0FQLi5DQUQBAAAAX58BAAIAAAAQNzg2NTUuNDAxODUzNjk1NwEGAAAABQAAAAExAQAAAAstMTg5MjI0NDg4MwMAAAACMjcCAAAABjEwMDA1NAQAAAABMAcAAAAJNi8zMC8yMDI2HmGeff7W3gi0hsfeA9feCBVDSVEuVFNYOkYuSVFfVEVWLi5DQUQBAAAAX58BAAIAAAAQMjc0MjkyLjYzODE1MzY5NgEGAAAABQAAAAExAQAAAAstMTg5MjI0NDg4MwMAAAACMjcCAAAABjEwMDA2MAQAAAABMAcAAAAJNi8zMC8yMDI2HmGeff7W3gi0hsfeA9feCBtDSVEuVFNYOkUuSVFfTUFSS0VUQ0FQLi5DQUQBAAAA0ttmAQIAAAAKMTE1LjMyMDg2NAEGAAAABQAAAAExAQAAAAstMTg4OTM1MjA1NwMAAAACMjcCAAAABjEwMDA1NAQAAAABMAcAAAAJNi8zMC8yMDI2HmGeff7W3gi0hsfeA9feCBVDSVEuVFNYOkUuSVFfVEVWLi5DQUQBAAAA0ttmAQIAAAAKMTI5LjQ1NjczMwEGAAAABQAAAAExAQAAAAstMTg4OTM1MjA1NwMAAAACMjcCAAAABjEwMDA2MAQAAAABMAcAAAAJNi8zMC8yMDI2HmGeff7W3gi0hsfeA9feCBtDSVEuVFNYOkguSVFfTUFSS0VUQ0FQLi5DQUQBAAAAcbQkAAIAAAALMzUxMDUuNjE3MTcBBgAAAAUAAAABMQEAAAALLTE4ODk4MDAyNzMDAAAAAjI3AgAAAAYxMDAwNTQEAAAAATAHAAAACTYvMzAvMjAyNh5hnn3+1t4ItIbH3gPX3ggVQ0lRLlRTWDpILklRX1RFVi4uQ0FEAQAAAHG0</t>
  </si>
  <si>
    <t>JAACAAAACzU0MzUwLjYxNzE3AQYAAAAFAAAAATEBAAAACy0xODg5ODAwMjczAwAAAAIyNwIAAAAGMTAwMDYwBAAAAAEwBwAAAAk2LzMwLzIwMjYeYZ59/tbeCLSGx94D194IG0NJUS5UU1g6Ry5JUV9NQVJLRVRDQVAuLkNBRAEAAAAgnLsGAwAAAAAAHmGeff7W3gi0hsfeA9feCBVDSVEuVFNYOkcuSVFfVEVWLi5DQUQBAAAAIJy7BgMAAAAAAB5hnn3+1t4ItIbH3gPX3ggbQ0lRLlRTWDpKLklRX01BUktFVENBUC4uQ0FEAQAAABaFEBADAAAAAAAeYZ59/tbeCLSGx94D194IFUNJUS5UU1g6Si5JUV9URVYuLkNBRAEAAAAWhRAQAwAAAAAAHmGeff7W3gi0hsfeA9feCBtDSVEuVFNYOkkuSVFfTUFSS0VUQ0FQLi5DQUQFAAAAAAAAAAgAAAAUKEludmFsaWQgSWRlbnRpZmllcikeYZ59/tbeCLSGx94D194IFUNJUS5UU1g6SS5JUV9URVYuLkNBRAUAAAAAAAAACAAAABQoSW52YWxpZCBJZGVudGlmaWVyKR5hnn3+1t4ItIbH3gPX3ggbQ0lRLlRTWDpMLklRX01BUktFVENBUC4uQ0FEAQAAAElVDQACAAAADDc0NjMyLjE5MjEwOQEGAAAABQAAAAExAQAAAAstMTg5MTM5Njg1NAMAAAACMjcCAAAABjEwMDA1NAQAAAABMAcAAAAJNi8zMC8yMDI2HmGeff7W3gi0hsfeA9feCBVDSVEuVFNYOkwuSVFfVEVWLi5DQUQBAAAASVUNAAIAAAAMOTA1NDkuMTkyMTA4AQYAAAAFAAAAATEBAAAACy0xODkxMzk2ODU0AwAAAAIy</t>
  </si>
  <si>
    <t>NwIAAAAGMTAwMDYwBAAAAAEwBwAAAAk2LzMwLzIwMjYeYZ59/tbeCLSGx94D194IG0NJUS5UU1g6Sy5JUV9NQVJLRVRDQVAuLkNBRAEAAADbiAQAAgAAAAw0MDA5OC4xOTU3NjgBBgAAAAUAAAABMQEAAAALLTE4OTMwNTYwODEDAAAAAjI3AgAAAAYxMDAwNTQEAAAAATAHAAAACTYvMzAvMjAyNh5hnn3+1t4ItIbH3gPX3ggVQ0lRLlRTWDpLLklRX1RFVi4uQ0FEAQAAANuIBAACAAAADDM4Mjc1LjM0MjE5NwEGAAAABQAAAAExAQAAAAstMTg5MzA1NjA4MQMAAAACMjcCAAAABjEwMDA2MAQAAAABMAcAAAAJNi8zMC8yMDI2HmGeff7W3gi0hsfeA9feCBtDSVEuVFNYOk4uSVFfTUFSS0VUQ0FQLi5DQUQFAAAAAAAAAAgAAAAUKEludmFsaWQgSWRlbnRpZmllcikeYZ59/tbeCLSGx94D194IFUNJUS5UU1g6Ti5JUV9URVYuLkNBRAUAAAAAAAAACAAAABQoSW52YWxpZCBJZGVudGlmaWVyKR5hnn3+1t4ItIbH3gPX3ggbQ0lRLlRTWDpNLklRX01BUktFVENBUC4uQ0FEBQAAAAAAAAAIAAAAFChJbnZhbGlkIElkZW50aWZpZXIpHmGeff7W3gi0hsfeA9feCBVDSVEuVFNYOk0uSVFfVEVWLi5DQUQFAAAAAAAAAAgAAAAUKEludmFsaWQgSWRlbnRpZmllcikeYZ59/tbeCLSGx94D194IG0NJUS5UU1g6UC5JUV9NQVJLRVRDQVAuLkNBRAUAAAAAAAAACAAAABQoSW52YWxpZCBJZGVudGlmaWVyKR5hnn3+1t4ItIbH3gPX</t>
  </si>
  <si>
    <t>3ggVQ0lRLlRTWDpQLklRX1RFVi4uQ0FEBQAAAAAAAAAIAAAAFChJbnZhbGlkIElkZW50aWZpZXIpHmGeff7W3gi0hsfeA9feCBtDSVEuVFNYOk8uSVFfTUFSS0VUQ0FQLi5DQUQFAAAAAAAAAAgAAAAUKEludmFsaWQgSWRlbnRpZmllcikeYZ59/tbeCLSGx94D194IFUNJUS5UU1g6Ty5JUV9URVYuLkNBRAUAAAAAAAAACAAAABQoSW52YWxpZCBJZGVudGlmaWVyKR5hnn3+1t4ItIbH3gPX3ggbQ0lRLlRTWDpSLklRX01BUktFVENBUC4uQ0FEBQAAAAAAAAAIAAAAFChJbnZhbGlkIElkZW50aWZpZXIpHmGeff7W3gi0hsfeA9feCBVDSVEuVFNYOlIuSVFfVEVWLi5DQUQFAAAAAAAAAAgAAAAUKEludmFsaWQgSWRlbnRpZmllcikeYZ59/tbeCLSGx94D194IG0NJUS5UU1g6US5JUV9NQVJLRVRDQVAuLkNBRAUAAAAAAAAACAAAABQoSW52YWxpZCBJZGVudGlmaWVyKR5hnn3+1t4ItIbH3gPX3ggVQ0lRLlRTWDpRLklRX1RFVi4uQ0FEBQAAAAAAAAAIAAAAFChJbnZhbGlkIElkZW50aWZpZXIpHmGeff7W3gi0hsfeA9feCBtDSVEuVFNYOlQuSVFfTUFSS0VUQ0FQLi5DQUQBAAAAoSIJAAIAAAAFMjM2MTABBgAAAAUAAAABMQEAAAALLTE4OTA3ODI4NDADAAAAAjI3AgAAAAYxMDAwNTQEAAAAATAHAAAACTYvMzAvMjAyNh5hnn3+1t4ItIbH3gPX3ggVQ0lRLlRTWDpULklRX1RFVi4uQ0FEAQAAAKEiCQACAAAABTU0</t>
  </si>
  <si>
    <t>MjM1AQYAAAAFAAAAATEBAAAACy0xODkwNzgyODQwAwAAAAIyNwIAAAAGMTAwMDYwBAAAAAEwBwAAAAk2LzMwLzIwMjYeYZ59/tbeCLSGx94D194IG0NJUS5UU1g6Uy5JUV9NQVJLRVRDQVAuLkNBRAEAAAAJbw0AAgAAAAk4NC40NzYwOTEBBgAAAAUAAAABMQEAAAALLTE5MDczMTgxNjIDAAAAAjI3AgAAAAYxMDAwNTQEAAAAATAHAAAACTUvMTkvMjAyNh5hnn3+1t4ItIbH3gPX3ggVQ0lRLlRTWDpTLklRX1RFVi4uQ0FEAQAAAAlvDQACAAAACTI4NC4zNzYwOQEGAAAABQAAAAExAQAAAAstMTkwNzMxODE2MgMAAAACMjcCAAAABjEwMDA2MAQAAAABMAcAAAAJNS8xOS8yMDI2HmGeff7W3gi0hsfeA9feCBVDSVEuWi5JUV9DT01QQU5ZX05BTUUBAAAAHig5AQMAAAASWmlsbG93IEdyb3VwLCBJbmMuABLEFRMC194IEAYyEwLX3ggbQ0lRLlouSVFfVEVWLjIwMjUtMDctMTQuQ0FEAQAAAB4oOQECAAAAEDI0NTgxLjI4ODQxODExMzgBBgAAAAUAAAABMQEAAAALLTE5NDU0NDc5NTEDAAAAAjI3AgAAAAYxMDAwNjAEAAAAATAHAAAACTcvMTQvMjAyNRLEFRMC194IEAYyEwLX3gghQ0lRLlouSVFfTUFSS0VUQ0FQLjIwMjUtMDctMTQuQ0FEAQAAAB4oOQECAAAAEDI1ODQ0LjI5MzkyODExMzgBBgAAAAUAAAABMQEAAAALLTE5NDU0NDc5NTEDAAAAAjI3AgAAAAYxMDAwNTQEAAAAATAHAAAACTcvMTQvMjAyNRLEFRMC</t>
  </si>
  <si>
    <t>AAABMQEAAAALLTE4OTEyNTE3MzQDAAAAAjI3AgAAAAQxMDA3BAAAAAEwBwAAAAk2LzIzLzIwMjYIAAAACTMvMzEvMjAyNgkAAAABMPZt7Xz+1t4IAZ9aff7W3ggkQ0lRLlRTWDpBR0kuSVFfVEVWLjIwMjYtMDYtMjMuLi4uQ0FEAQAAADt7DQACAAAACzE3NzQ4LjAwNzE3AQYAAAAFAAAAATEBAAAACy0xODkzMjQ1ODA5AwAAAAIyNwIAAAAGMTAwMDYwBAAAAAEwBwAAAAk2LzIzLzIwMja5vO18/tbeCAGfWn3+1t4IHENJUS5UU1g6U1NSTS5JUV9DT1VOVFJZX05BTUUBAAAA2EsGAAMAAAANVW5pdGVkIFN0YXRlcwC3qrZ8/tbeCA/GWn3+1t4ILkNJUS5UU1g6QlRPLklRX1RPVEFMX1JFVi4yMDAwLjIwMjYtMDYtMjMuLi5DQUQBAAAA6d0dAgIAAAALNTE0Ny42MzI5NjYBCAAAAAUAAAABMQEAAAALLTE4OTEyNDM4MDYDAAAAAjI3AgAAAAIyOAQAAAABMAcAAAAJNi8yMy8yMDI2CAAAAAkzLzMxLzIwMjYJAAAAATC3qrZ8/tbeCA/GWn3+1t4IG0NJUS5UU1g6QlRPLklRX0NPTVBBTllfTkFNRQEAAADp3R0CAwAAAAxCMkdvbGQgQ29ycC4A4JTtfP7W3giptaLrCdfeCDJDSVEuVFNYOlBBQVMuSVFfVE9UQUxfQVNTRVRTLjIwMDAuMjAyNi0wNi0yMy4uLkNBRAEAAABd6wUAAgAAAAsxNDE0Mi44NTM1MgEIAAAABQAAAAExAQAAAAstMTg5MTUxMDc2MgMAAAACMjcCAAAABDEwMDcEAAAAATAHAAAACTYvMjMvMjAy</t>
  </si>
  <si>
    <t>LklRX1RFVi4yMDI1LTA3LTAxLkNBRAUAAAAAAAAACAAAABQoSW52YWxpZCBJZGVudGlmaWVyKSoUubGZ1t4IhStZff7W3ggbQ0lRLlRTWDpIQk0uSVFfQ09NUEFOWV9OQU1FAQAAANVPGwADAAAAFEh1ZGJheSBNaW5lcmFscyBJbmMuAOCU7Xz+1t4IWdNnff7W3ggcQ0lRLlRTWDpQQUFTLklRX0NPVU5UUllfTkFNRQEAAABd6wUAAwAAAAZDYW5hZGEA4JTtfP7W3ggPxlp9/tbeCDFDSVEuTllTRTpITC5JUV9UT1RBTF9BU1NFVFMuMjAwMC4yMDI2LTA2LTIzLi4uQ0FEAQAAAF8+BAACAAAACzQ3MTIuODMyMzQ3AQgAAAAFAAAAATEBAAAACy0xODkxMjc4MDcwAwAAAAIyNwIAAAAEMTAwNwQAAAABMAcAAAAJNi8yMy8yMDI2CAAAAAkzLzMxLzIwMjYJAAAAATD2be18/tbeCNSgWX3+1t4ILUNJUS5UU1g6Rk0uSVFfVE9UQUxfUkVWLjIwMDAuMjAyNi0wNi0yMy4uLkNBRAEAAAADcg0AAgAAAAo3NjA4LjgzMjg2AQgAAAAFAAAAATEBAAAACy0xODkzNTc4MTMxAwAAAAIyNwIAAAACMjgEAAAAATAHAAAACTYvMjMvMjAyNggAAAAJMy8zMS8yMDI2CQAAAAEw9m3tfP7W3ggPxlp9/tbeCBtDSVEuVFNYOk9HQy5JUV9DT01QQU5ZX05BTUUBAAAAhxSPAAMAAAAWT2NlYW5hR29sZCBDb3Jwb3JhdGlvbgDglO18/tbeCKm1ousJ194ILkNJUS5UU1g6SEJNLklRX1RPVEFMX1JFVi4yMDAwLjIwMjYtMDYtMjMuLi5DQUQB</t>
  </si>
  <si>
    <t>AAAA1U8bAAIAAAALMzMxMi45MzQxMjQBCAAAAAUAAAABMQEAAAALLTE4OTI2NTI0OTYDAAAAAjI3AgAAAAIyOAQAAAABMAcAAAAJNi8yMy8yMDI2CAAAAAkzLzMxLzIwMjYJAAAAATC3qrZ8/tbeCO93Wn3+1t4IHENJUS5UU1g6U1NSTS5JUV9DT01QQU5ZX05BTUUBAAAA2EsGAAMAAAAPU1NSIE1pbmluZyBJbmMuAOCU7Xz+1t4Ix73W4wnX3ggbQ0lRLlRTWDpFTEQuSVFfQ09VTlRSWV9OQU1FAQAAAN9jDQADAAAABkNhbmFkYQDglO18/tbeCN7uWX3+1t4IL0NJUS5UU1g6U1NSTS5JUV9UT1RBTF9SRVYuMjAwMC4yMDI2LTA2LTIzLi4uQ0FEAQAAANhLBgACAAAACjI2NDQuODcxMzQBCAAAAAUAAAABMQEAAAALLTE4OTE1MzMyNDgDAAAAAjI3AgAAAAIyOAQAAAABMAcAAAAJNi8yMy8yMDI2CAAAAAkzLzMxLzIwMjYJAAAAATC3qrZ8/tbeCA/GWn3+1t4IHENJUS5UU1g6UEFBUy5JUV9DT01QQU5ZX05BTUUBAAAAXesFAAMAAAAZUGFuIEFtZXJpY2FuIFNpbHZlciBDb3JwLgDglO18/tbeCOTaE/YF194IG0NJUS5OWVNFOkhMLklRX0NPVU5UUllfTkFNRQEAAABfPgQAAwAAAA1Vbml0ZWQgU3RhdGVzAOCU7Xz+1t4I1KBZff7W3ggwQ0lRLlRTWDpGTS5JUV9UT1RBTF9BU1NFVFMuMjAwMC4yMDI2LTA2LTIzLi4uQ0FEAQAAAANyDQACAAAACzM0OTE2LjA0MjA0AQgAAAAFAAAAATEBAAAACy0xODkzNTc4MTMx</t>
  </si>
  <si>
    <t>Vi4yMDI1LTA3LTE0LkNBRAUAAAAAAAAACAAAABQoSW52YWxpZCBJZGVudGlmaWVyKSoUubGZ1t4IdGg+WQnX3gggQ0lRLi5JUV9NQVJLRVRDQVAuMjAyNS0wNy0xNC5DQUQFAAAAAAAAAAgAAAAUKEludmFsaWQgSWRlbnRpZmllcikqFLmxmdbeCHRoPlkJ194IMENJUS5UU1g6Q1MuSVFfVE9UQUxfQVNTRVRTLjIwMDAuMjAyNi0wNi0yMy4uLkNBRAEAAACJBSYAAgAAAAwxMDA5OC44NTQ0NzEBCAAAAAUAAAABMQEAAAALLTE4OTMyNDY0NzQDAAAAAjI3AgAAAAQxMDA3BAAAAAEwBwAAAAk2LzIzLzIwMjYIAAAACTMvMzEvMjAyNgkAAAABMPZt7Xz+1t4ID8Zaff7W3ggaQ0lRLlRTWDpDRy5JUV9DT01QQU5ZX05BTUUBAAAAwZuWAAMAAAASQ2VudGVycmEgR29sZCBJbmMuAOCU7Xz+1t4IqbWi6wnX3ggZQ0lRLlRTWDpLLklRX0NPTVBBTllfTkFNRQEAAADbiAQAAwAAABhLaW5yb3NzIEdvbGQgQ29ycG9yYXRpb24A4JTtfP7W3gjk2hP2BdfeCDFDSVEuVFNYOkJUTy5JUV9UT1RBTF9BU1NFVFMuMjAwMC4yMDI2LTA2LTIzLi4uQ0FEAQAAAOndHQICAAAACzgzMjUuNzg4NDMyAQgAAAAFAAAAATEBAAAACy0xODkxMjQzODA2AwAAAAIyNwIAAAAEMTAwNwQAAAABMAcAAAAJNi8yMy8yMDI2CAAAAAkzLzMxLzIwMjYJAAAAATC3qrZ8/tbeCA/GWn3+1t4IGkNJUS5UU1g6Rk0uSVFfQ09NUEFOWV9OQU1FAQAAAANy</t>
  </si>
  <si>
    <t>BQAAAAExAQAAAAstMTg5MzIzNDQ4NwMAAAACMjcCAAAAAjI4BAAAAAEwBwAAAAk2LzIzLzIwMjYIAAAACTMvMzEvMjAyNgkAAAABMLeqtnz+1t4I1KBZff7W3ggbQ0lRLlRTWDpDREUuSVFfQ09VTlRSWV9OQU1FAQAAAJH/AwADAAAADVVuaXRlZCBTdGF0ZXMA4JTtfP7W3ggBn1p9/tbeCCFDSVEuVFNYOkVMRC5JUV9URVYuMjAyNS0wNy0xNC5DQUQBAAAA32MNAAIAAAALNTY1Ny4wNDE0MjMBBgAAAAUAAAABMQEAAAALLTE5NDY4NjI1MDQDAAAAAjI3AgAAAAYxMDAwNjAEAAAAATAHAAAACTcvMTQvMjAyNbm87Xz+1t4I0AdaCArX3ggqQ0lRLlRTWDpFTEQuSVFfTUFSS0VUQ0FQLjIwMjYtMDYtMjMuLi4uQ0FEAQAAAN9jDQACAAAADDExNjMwLjMyMzkxNQEGAAAABQAAAAExAQAAAAstMTg5MjQyMTI5MwMAAAACMjcCAAAABjEwMDA1NAQAAAABMAcAAAAJNi8yMy8yMDI2ubztfP7W3gje7ll9/tbeCCpDSVEuVFNYOklNRy5JUV9NQVJLRVRDQVAuMjAyNi0wNi0yMy4uLi5DQUQBAAAAvm4NAAIAAAAIMTMyODIuNDQBBgAAAAUAAAABMQEAAAALLTE4OTE1MTkxODADAAAAAjI3AgAAAAYxMDAwNTQEAAAAATAHAAAACTYvMjMvMjAyNrm87Xz+1t4ID8Zaff7W3ggrQ0lRLlRTWDpQQUFTLklRX01BUktFVENBUC4yMDI2LTA2LTIzLi4uLkNBRAEAAABd6wUAAgAAAAoyNzY3MC4wNTQ1AQYAAAAFAAAAATEBAAAACy0x</t>
  </si>
  <si>
    <t>vO18/tbeCBAgMO4F194IIUNJUS4wLklRX01BUktFVENBUC4yMDI1LTA3LTE0LkNBRAUAAAAAAAAACAAAABQoSW52YWxpZCBJZGVudGlmaWVyKbm87Xz+1t4IECAw7gXX3ggzQ0lRQVZHLiRDQURVU0QuSVFfTEFTVFNBTEVQUklDRS4xLzEvMjAyNS4zMS8xMi8yMDI1AQAAAHPrWgACAAAAEDEuMzk3NDQ3MzY5ODYzMDEA9m3tfP7W3gjgUFp9/tbeCCBDSVEuLklRX01BUktFVENBUC4yMDI1LTA3LTAxLkNBRAUAAAAAAAAACAAAABQoSW52YWxpZCBJZGVudGlmaWVyKSoUubGZ1t4IhStZff7W3gggQ0lRLlRTWDpDRy5JUV9URVYuMjAyNS0wNy0xNC5DQUQBAAAAwZuWAAIAAAALMTE5MC40MjMzMjEBBgAAAAUAAAABMQEAAAALLTE5NDYwNjE0MTkDAAAAAjI3AgAAAAYxMDAwNjAEAAAAATAHAAAACTcvMTQvMjAyNbm87Xz+1t4IbjJaCArX3ggmQ0lRLlRTWDpDRy5JUV9NQVJLRVRDQVAuMjAyNS0wNy0xNC5DQUQBAAAAwZuWAAIAAAALMjA1NC44NTI4MDEBBgAAAAUAAAABMQEAAAALLTE5NDYwNjE0MTkDAAAAAjI3AgAAAAYxMDAwNTQEAAAAATAHAAAACTcvMTQvMjAyNbm87Xz+1t4IbjJaCArX3gghQ0lRLlRTWDpPR0MuSVFfVEVWLjIwMjUtMDctMTQuQ0FEAQAAAIcUjwACAAAACzQzNjMuMjU1ODc2AQYAAAAFAAAAATEBAAAACy0xOTQ1NTUzODY2AwAAAAIyNwIAAAAGMTAwMDYwBAAAAAEwBwAAAAk3LzE0LzIw</t>
  </si>
  <si>
    <t>MjW5vO18/tbeCG4yWggK194IJ0NJUS5UU1g6T0dDLklRX01BUktFVENBUC4yMDI1LTA3LTE0LkNBRAEAAACHFI8AAgAAAAs0NDUzLjgwODkyNwEGAAAABQAAAAExAQAAAAstMTk0NTU1Mzg2NgMAAAACMjcCAAAABjEwMDA1NAQAAAABMAcAAAAJNy8xNC8yMDI1ubztfP7W3ghuMloICtfeCCFDSVEuVFNYOkJUTy5JUV9URVYuMjAyNS0wNy0xNC5DQUQBAAAA6d0dAgIAAAALNjQ3Mi4yNjA5MTgBBgAAAAUAAAABMQEAAAALLTE5NDU1NTQwMTIDAAAAAjI3AgAAAAYxMDAwNjAEAAAAATAHAAAACTcvMTQvMjAyNbm87Xz+1t4I3x1aCArX3ggnQ0lRLlRTWDpCVE8uSVFfTUFSS0VUQ0FQLjIwMjUtMDctMTQuQ0FEAQAAAOndHQICAAAACzYyODkuNzM0NzE4AQYAAAAFAAAAATEBAAAACy0xOTQ1NTU0MDEyAwAAAAIyNwIAAAAGMTAwMDU0BAAAAAEwBwAAAAk3LzE0LzIwMjW5vO18/tbeCN8dWggK194IIkNJUS5UU1g6UEFBUy5JUV9URVYuMjAyNS0wNy0xNC5DQUQBAAAAXesFAAIAAAAMMTQ2NDMuMTEzNjU2AQYAAAAFAAAAATEBAAAACy0xOTQ1NTU0MDIwAwAAAAIyNwIAAAAGMTAwMDYwBAAAAAEwBwAAAAk3LzE0LzIwMjW5vO18/tbeCNPaWQgK194IKENJUS5UU1g6UEFBUy5JUV9NQVJLRVRDQVAuMjAyNS0wNy0xNC5DQUQBAAAAXesFAAIAAAAMMTQ3NjIuODQ0OTE3AQYAAAAFAAAAATEBAAAACy0xOTQ1NTU0MDIw</t>
  </si>
  <si>
    <t>AwAAAAIyNwIAAAAGMTAwMDU0BAAAAAEwBwAAAAk3LzE0LzIwMjW5vO18/tbeCNPaWQgK194IIUNJUS5UU1g6SU1HLklRX1RFVi4yMDI1LTA3LTE0LkNBRAEAAAC+bg0AAgAAAAs2ODM0LjA4NDY4MgEGAAAABQAAAAExAQAAAAstMTk0NTg5MzcyMgMAAAACMjcCAAAABjEwMDA2MAQAAAABMAcAAAAJNy8xNC8yMDI1ubztfP7W3gjQB1oICtfeCCdDSVEuVFNYOklNRy5JUV9NQVJLRVRDQVAuMjAyNS0wNy0xNC5DQUQBAAAAvm4NAAIAAAALNTU1NC45ODY5MTIBBgAAAAUAAAABMQEAAAALLTE5NDU4OTM3MjIDAAAAAjI3AgAAAAYxMDAwNTQEAAAAATAHAAAACTcvMTQvMjAyNbm87Xz+1t4IrvJZCArX3gghQ0lRLk5ZU0U6SEwuSVFfVEVWLjIwMjUtMDctMTQuQ0FEAQAAAF8+BAACAAAAEDU5OTEuMzM5OTM5ODU2NzMBBgAAAAUAAAABMQEAAAALLTE5NDY4NjY0MTcDAAAAAjI3AgAAAAYxMDAwNjAEAAAAATAHAAAACTcvMTQvMjAyNbm87Xz+1t4IrvJZCArX3ggnQ0lRLk5ZU0U6SEwuSVFfTUFSS0VUQ0FQLjIwMjUtMDctMTQuQ0FEAQAAAF8+BAACAAAAEDUyMzIuMDgzNDI0OTE2NzMBBgAAAAUAAAABMQEAAAALLTE5NDY4NjY0MTcDAAAAAjI3AgAAAAYxMDAwNTQEAAAAATAHAAAACTcvMTQvMjAyNbm87Xz+1t4IrvJZCArX3gghQ0lRLlRTWDpDREUuSVFfVEVWLjIwMjUtMDctMTQuQ0FEAQAAAJH/AwACAAAAEDg4</t>
  </si>
  <si>
    <t>NDYuNTI2NDA1NTY5NjcBBgAAAAUAAAABMQEAAAALLTE5NDU1NTM4NDEDAAAAAjI3AgAAAAYxMDAwNjAEAAAAATAHAAAACTcvMTQvMjAyNbm87Xz+1t4I09pZCArX3ggnQ0lRLlRTWDpDREUuSVFfTUFSS0VUQ0FQLjIwMjUtMDctMTQuQ0FEAQAAAJH/AwACAAAAEDgyNTQuNDgxOTY3ODg5NjcBBgAAAAUAAAABMQEAAAALLTE5NDU1NTM4NDEDAAAAAjI3AgAAAAYxMDAwNTQEAAAAATAHAAAACTcvMTQvMjAyNbm87Xz+1t4I09pZCArX3gghQ0lRLlRTWDpMVU4uSVFfVEVWLjIwMjUtMDctMTQuQ0FEAQAAAKduDQACAAAADDE2MDA1LjI0MDIwMgEGAAAABQAAAAExAQAAAAstMTk0NTU1NDA1NgMAAAACMjcCAAAABjEwMDA2MAQAAAABMAcAAAAJNy8xNC8yMDI1ubztfP7W3gjT2lkICtfeCCdDSVEuVFNYOkxVTi5JUV9NQVJLRVRDQVAuMjAyNS0wNy0xNC5DQUQBAAAAp24NAAIAAAAMMTE4NTUuNTY3NjMzAQYAAAAFAAAAATEBAAAACy0xOTQ1NTU0MDU2AwAAAAIyNwIAAAAGMTAwMDU0BAAAAAEwBwAAAAk3LzE0LzIwMjW5vO18/tbeCLXGWQgK194IM0NJUUFWRy4kQ0FEVVNELklRX0xBU1RTQUxFUFJJQ0UuMS8xLzIwMjQuMzEvMTIvMjAyNAEAAABz61oAAgAAABAxLjM3MDE3MzM0Njk5NDU0APZt7Xz+1t4IOXFiff7W3ggzQ0lRQVZHLiRDQURVU0QuSVFfTEFTVFNBTEVQUklDRS4xLzEvMjAyMy4zMS8xMi8yMDIz</t>
  </si>
  <si>
    <t>AQAAAHPrWgACAAAAEDEuMzQ5NTQxNTM0MjQ2NTgA9m3tfP7W3ghb5mJ9/tbeCCFDSVEuVFNYOkVRWC5JUV9URVYuMjAyNS0wNy0xNC5DQUQBAAAAMmHpDAIAAAAKODQxOC4wNDI4OQEGAAAABQAAAAExAQAAAAstMTk0NTU2NDI5MwMAAAACMjcCAAAABjEwMDA2MAQAAAABMAcAAAAJNy8xNC8yMDI1ubztfP7W3gjfHVoICtfeCCdDSVEuVFNYOkVRWC5JUV9NQVJLRVRDQVAuMjAyNS0wNy0xNC5DQUQBAAAAMmHpDAIAAAAINjUxOC40NDQBBgAAAAUAAAABMQEAAAALLTE5NDU1NjQyOTMDAAAAAjI3AgAAAAYxMDAwNTQEAAAAATAHAAAACTcvMTQvMjAyNbm87Xz+1t4I3x1aCArX3gggQ0lRLlRTWDpDUy5JUV9URVYuMjAyNS0wNy0xNC5DQUQBAAAAiQUmAAIAAAALODQ4Ni4wMTU4MzgBBgAAAAUAAAABMQEAAAALLTE5NDY5NDQ1OTIDAAAAAjI3AgAAAAYxMDAwNjAEAAAAATAHAAAACTcvMTQvMjAyNbm87Xz+1t4I0AdaCArX3ggmQ0lRLlRTWDpDUy5JUV9NQVJLRVRDQVAuMjAyNS0wNy0xNC5DQUQBAAAAiQUmAAIAAAALNTk1My4xNDkyODkBBgAAAAUAAAABMQEAAAALLTE5NDY5NDQ1OTIDAAAAAjI3AgAAAAYxMDAwNTQEAAAAATAHAAAACTcvMTQvMjAyNbm87Xz+1t4I0AdaCArX3ggfQ0lRLlRTWDpLLklRX1RFVi4yMDI1LTA3LTE0LkNBRAEAAADbiAQAAgAAAAsyNzE1OS4zMjIyOQEGAAAABQAAAAExAQAAAAst</t>
  </si>
  <si>
    <t>MTk0NTg5Mzc2MgMAAAACMjcCAAAABjEwMDA2MAQAAAABMAcAAAAJNy8xNC8yMDI1ubztfP7W3gi1xlkICtfeCCVDSVEuVFNYOksuSVFfTUFSS0VUQ0FQLjIwMjUtMDctMTQuQ0FEAQAAANuIBAACAAAACTI2MTc5LjkxMgEGAAAABQAAAAExAQAAAAstMTk0NTg5Mzc2MgMAAAACMjcCAAAABjEwMDA1NAQAAAABMAcAAAAJNy8xNC8yMDI1ubztfP7W3gi1xlkICtfeCCFDSVEuVFNYOkhCTS5JUV9URVYuMjAyNS0wNy0xNC5DQUQBAAAA1U8bAAIAAAALNjc3My44MjAwNTMBBgAAAAUAAAABMQEAAAALLTE5NDQzMDY0OTYDAAAAAjI3AgAAAAYxMDAwNjAEAAAAATAHAAAACTcvMTQvMjAyNbm87Xz+1t4InyqiDwrX3ggnQ0lRLlRTWDpIQk0uSVFfTUFSS0VUQ0FQLjIwMjUtMDctMTQuQ0FEAQAAANVPGwACAAAACzU2NjQuMzI5NTgzAQYAAAAFAAAAATEBAAAACy0xOTQ0MzA2NDk2AwAAAAIyNwIAAAAGMTAwMDU0BAAAAAEwBwAAAAk3LzE0LzIwMjW5vO18/tbeCJ8qog8K194IIkNJUS5UU1g6U1NSTS5JUV9URVYuMjAyNS0wNy0xNC5DQUQBAAAA2EsGAAIAAAALNDc0MC45MTIyODQBBgAAAAUAAAABMQEAAAALLTE5NDU5NDE2OTADAAAAAjI3AgAAAAYxMDAwNjAEAAAAATAHAAAACTcvMTQvMjAyNbm87Xz+1t4I3x1aCArX3ggoQ0lRLlRTWDpTU1JNLklRX01BUktFVENBUC4yMDI1LTA3LTE0LkNBRAEAAADYSwYAAgAA</t>
  </si>
  <si>
    <t>AAszNTMwLjM2NDYxNAEGAAAABQAAAAExAQAAAAstMTk0NTk0MTY5MAMAAAACMjcCAAAABjEwMDA1NAQAAAABMAcAAAAJNy8xNC8yMDI1ubztfP7W3gjfHVoICtfeCCFDSVEuVFNYOkFHSS5JUV9URVYuMjAyNS0wNy0xNC5DQUQBAAAAO3sNAAIAAAAMMTUyMzkuODcwMjU4AQYAAAAFAAAAATEBAAAACy0xOTQ3MjQ5MzYzAwAAAAIyNwIAAAAGMTAwMDYwBAAAAAEwBwAAAAk3LzE0LzIwMjW5vO18/tbeCK7yWQgK194IJ0NJUS5UU1g6QUdJLklRX01BUktFVENBUC4yMDI1LTA3LTE0LkNBRAEAAAA7ew0AAgAAAAwxNTI5MS43NTg1OTgBBgAAAAUAAAABMQEAAAALLTE5NDcyNDkzNjMDAAAAAjI3AgAAAAYxMDAwNTQEAAAAATAHAAAACTcvMTQvMjAyNbm87Xz+1t4IrvJZCArX3ggVQ0lRLjAuSVFfQ09NUEFOWV9OQU1FBQAAAAAAAAAIAAAAFChJbnZhbGlkIElkZW50aWZpZXIp4JTtfP7W3giptaLrCdfeCBtDSVEuMC5JUV9URVYuMjAyNS0wNy0wMS5DQUQFAAAAAAAAAAgAAAAUKEludmFsaWQgSWRlbnRpZmllcim5vO18/tbeCKOLYH3+1t4IIENJUS5UU1g6Rk0uSVFfVEVWLjIwMjUtMDctMTQuQ0FEAQAAAANyDQACAAAACzMwMTg0Ljg3NzE2AQYAAAAFAAAAATEBAAAACy0xOTQ5MzMwMzkxAwAAAAIyNwIAAAAGMTAwMDYwBAAAAAEwBwAAAAk3LzE0LzIwMjW5vO18/tbeCLXGWQgK194IJkNJUS5UU1g6Rk0uSVFf</t>
  </si>
  <si>
    <t>TUFSS0VUQ0FQLjIwMjUtMDctMTQuQ0FEAQAAAANyDQACAAAADDE5MjQzLjc2ODk2MQEGAAAABQAAAAExAQAAAAstMTk0OTMzMDM5MQMAAAACMjcCAAAABjEwMDA1NAQAAAABMAcAAAAJNy8xNC8yMDI1ubztfP7W3gi1xlkICtfeCBtDSVEuVFNYOklNRy5JUV9DT01QQU5ZX05BTUUBAAAAvm4NAAMAAAATSUFNR09MRCBDb3Jwb3JhdGlvbgDglO18/tbeCOTaE/YF194IGkNJUS5UU1g6Q1MuSVFfQ09VTlRSWV9OQU1FAQAAAIkFJgADAAAABkNhbmFkYQDglO18/tbeCA/GWn3+1t4IG0NJUS5UU1g6TFVOLklRX0NPTVBBTllfTkFNRQEAAACnbg0AAwAAABlMdW5kaW4gTWluaW5nIENvcnBvcmF0aW9uAOCU7Xz+1t4I5NoT9gXX3ggbQ0lRLlRTWDpCVE8uSVFfQ09VTlRSWV9OQU1FAQAAAOndHQIDAAAABkNhbmFkYQC3qrZ8/tbeCA/GWn3+1t4IMENJUS5UU1g6Q0cuSVFfVE9UQUxfQVNTRVRTLjIwMDAuMjAyNi0wNi0yMy4uLkNBRAEAAADBm5YAAgAAAAs0MjkyLjU3MTAwNgEIAAAABQAAAAExAQAAAAstMTg5MzIzNDQ4NwMAAAACMjcCAAAABDEwMDcEAAAAATAHAAAACTYvMjMvMjAyNggAAAAJMy8zMS8yMDI2CQAAAAEwt6q2fP7W3gjUoFl9/tbeCC5DSVEuVFNYOklNRy5JUV9UT1RBTF9SRVYuMjAwMC4yMDI2LTA2LTIzLi4uQ0FEAQAAAL5uDQACAAAACzQ3NTQuMDE5OTg4AQgAAAAFAAAAATEBAAAACy0xODkx</t>
  </si>
  <si>
    <t>NTE5MDc0AwAAAAIyNwIAAAACMjgEAAAAATAHAAAACTYvMjMvMjAyNggAAAAJMy8zMS8yMDI2CQAAAAEw9m3tfP7W3ggPxlp9/tbeCBtDSVEuVFNYOkNERS5JUV9DT01QQU5ZX05BTUUBAAAAkf8DAAMAAAASQ29ldXIgTWluaW5nLCBJbmMuAOCU7Xz+1t4IPQZmggfX3ggbQ0lRLlRTWDpFUVguSVFfQ09VTlRSWV9OQU1FAQAAADJh6QwDAAAABkNhbmFkYQDglO18/tbeCNPHWX3+1t4IJ0NJUS5UU1g6RUxELklRX01BUktFVENBUC4yMDI1LTA3LTE0LkNBRAEAAADfYw0AAgAAAAs1NzU5LjkxMTEyMwEGAAAABQAAAAExAQAAAAstMTk0Njg2MjUwNAMAAAACMjcCAAAABjEwMDA1NAQAAAABMAcAAAAJNy8xNC8yMDI1ubztfP7W3gjQB1oICtfeCCdDSVEuVFNYOkhCTS5JUV9NQVJLRVRDQVAuMjAyNS0wNy0wMS5DQUQBAAAA1U8bAAIAAAAKNTcwNy43Nzk4MQEGAAAABQAAAAExAQAAAAstMTk0NDMwNjQ5NgMAAAACMjcCAAAABjEwMDA1NAQAAAABMAcAAAAINy8xLzIwMjW5vO18/tbeCCZjYH3+1t4IJENJUS5UU1g6RUxELklRX1RFVi4yMDI2LTA2LTIzLi4uLkNBRAEAAADfYw0AAgAAAAwxMjQ3Mi4wMjA1MTUBBgAAAAUAAAABMQEAAAALLTE4OTI0MjEyOTMDAAAAAjI3AgAAAAYxMDAwNjAEAAAAATAHAAAACTYvMjMvMjAyNrm87Xz+1t4I3u5Zff7W3ggqQ0lRLlRTWDpBR0kuSVFfTUFSS0VUQ0FQLjIwMjYtMDYt</t>
  </si>
  <si>
    <t>194IEAYyEwLX3ggfQ0lRLlRTWDpCLklRX1RFVi4yMDI2LTA3LTAxLkNBRAUAAAAAAAAACAAAABQoSW52YWxpZCBJZGVudGlmaWVyKTaTqt4D194IHykUJQrX3gglQ0lRLlRTWDpCLklRX01BUktFVENBUC4yMDI2LTA3LTAxLkNBRAUAAAAAAAAACAAAABQoSW52YWxpZCBJZGVudGlmaWVyKTaTqt4D194IHykUJQrX3gggQ0lRLlRTWDpSWS5JUV9URVYuMjAyNi0wNy0wMS5DQUQBAAAA8awBAAMAAAAAADaTqt4D194IHykUJQrX3ggmQ0lRLlRTWDpSWS5JUV9NQVJLRVRDQVAuMjAyNi0wNy0wMS5DQUQBAAAA8awBAAIAAAANNDA4MTM4LjUxMTM0MgEGAAAABQAAAAExAQAAAAstMTg4NjI1NjQ2OQMAAAACMjcCAAAABjEwMDA1NAQAAAABMAcAAAAJNi8zMC8yMDI2NpOq3gPX3ggfKRQlCtfeCB9DSVEuVFNYOkQuSVFfVEVWLjIwMjYtMDctMDEuQ0FEBQAAAAAAAAAIAAAAFChJbnZhbGlkIElkZW50aWZpZXIpNpOq3gPX3ggfKRQlCtfeCCVDSVEuVFNYOkQuSVFfTUFSS0VUQ0FQLjIwMjYtMDctMDEuQ0FEBQAAAAAAAAAIAAAAFChJbnZhbGlkIElkZW50aWZpZXIpNpOq3gPX3ggfKRQlCtfeCB9DSVEuVFNYOkEuSVFfVEVWLjIwMjYtMDctMDEuQ0FEBQAAAAAAAAAIAAAAFChJbnZhbGlkIElkZW50aWZpZXIpNpOq3gPX3ggfKRQlCtfeCCVDSVEuVFNYOkEuSVFfTUFSS0VUQ0FQLjIwMjYtMDctMDEuQ0FEBQAAAAAA</t>
  </si>
  <si>
    <t>AAAIAAAAFChJbnZhbGlkIElkZW50aWZpZXIpNpOq3gPX3ggfKRQlCtfeCB9DSVEuVFNYOkYuSVFfVEVWLjIwMjYtMDctMDEuQ0FEAQAAAF+fAQACAAAAEDI3NDI5Mi42MzgxNTM2OTYBBgAAAAUAAAABMQEAAAALLTE4OTIyNDQ4ODMDAAAAAjI3AgAAAAYxMDAwNjAEAAAAATAHAAAACTYvMzAvMjAyNjaTqt4D194IHykUJQrX3gglQ0lRLlRTWDpGLklRX01BUktFVENBUC4yMDI2LTA3LTAxLkNBRAEAAABfnwEAAgAAABA3ODY1NS40MDE4NTM2OTU3AQYAAAAFAAAAATEBAAAACy0xODkyMjQ0ODgzAwAAAAIyNwIAAAAGMTAwMDU0BAAAAAEwBwAAAAk2LzMwLzIwMjY2k6reA9feCB8pFCUK194IH0NJUS5UU1g6Qy5JUV9URVYuMjAyNi0wNy0wMS5DQUQFAAAAAAAAAAgAAAAUKEludmFsaWQgSWRlbnRpZmllcik2k6reA9feCB8pFCUK194IJUNJUS5UU1g6Qy5JUV9NQVJLRVRDQVAuMjAyNi0wNy0wMS5DQUQFAAAAAAAAAAgAAAAUKEludmFsaWQgSWRlbnRpZmllcik2k6reA9feCB8pFCUK194IH0NJUS5UU1g6SC5JUV9URVYuMjAyNi0wNy0wMS5DQUQBAAAAcbQkAAIAAAALNTQzNTAuNjE3MTcBBgAAAAUAAAABMQEAAAALLTE4ODk4MDAyNzMDAAAAAjI3AgAAAAYxMDAwNjAEAAAAATAHAAAACTYvMzAvMjAyNjaTqt4D194IHykUJQrX3gglQ0lRLlRTWDpILklRX01BUktFVENBUC4yMDI2LTA3LTAxLkNBRAEAAABx</t>
  </si>
  <si>
    <t>tCQAAgAAAAszNTEwNS42MTcxNwEGAAAABQAAAAExAQAAAAstMTg4OTgwMDI3MwMAAAACMjcCAAAABjEwMDA1NAQAAAABMAcAAAAJNi8zMC8yMDI2NpOq3gPX3ggfKRQlCtfeCB9DSVEuVFNYOkUuSVFfVEVWLjIwMjYtMDctMDEuQ0FEAQAAANLbZgECAAAACjEyOS40NTY3MzMBBgAAAAUAAAABMQEAAAALLTE4ODkzNTIwNTcDAAAAAjI3AgAAAAYxMDAwNjAEAAAAATAHAAAACTYvMzAvMjAyNjaTqt4D194IHykUJQrX3gglQ0lRLlRTWDpFLklRX01BUktFVENBUC4yMDI2LTA3LTAxLkNBRAEAAADS22YBAgAAAAoxMTUuMzIwODY0AQYAAAAFAAAAATEBAAAACy0xODg5MzUyMDU3AwAAAAIyNwIAAAAGMTAwMDU0BAAAAAEwBwAAAAk2LzMwLzIwMjY2k6reA9feCB8pFCUK194IH0NJUS5UU1g6Si5JUV9URVYuMjAyNi0wNy0wMS5DQUQBAAAAFoUQEAMAAAAAADaTqt4D194IHykUJQrX3gglQ0lRLlRTWDpKLklRX01BUktFVENBUC4yMDI2LTA3LTAxLkNBRAEAAAAWhRAQAwAAAAAANpOq3gPX3ggfKRQlCtfeCB9DSVEuVFNYOkcuSVFfVEVWLjIwMjYtMDctMDEuQ0FEAQAAACCcuwYDAAAAAAA2k6reA9feCB8pFCUK194IJUNJUS5UU1g6Ry5JUV9NQVJLRVRDQVAuMjAyNi0wNy0wMS5DQUQBAAAAIJy7BgMAAAAAADaTqt4D194IHykUJQrX3ggfQ0lRLlRTWDpMLklRX1RFVi4yMDI2LTA3LTAxLkNBRAEAAABJVQ0AAgAA</t>
  </si>
  <si>
    <t>AAw5MDU0OS4xOTIxMDgBBgAAAAUAAAABMQEAAAALLTE4OTEzOTY4NTQDAAAAAjI3AgAAAAYxMDAwNjAEAAAAATAHAAAACTYvMzAvMjAyNjaTqt4D194IHykUJQrX3gglQ0lRLlRTWDpMLklRX01BUktFVENBUC4yMDI2LTA3LTAxLkNBRAEAAABJVQ0AAgAAAAw3NDYzMi4xOTIxMDkBBgAAAAUAAAABMQEAAAALLTE4OTEzOTY4NTQDAAAAAjI3AgAAAAYxMDAwNTQEAAAAATAHAAAACTYvMzAvMjAyNjaTqt4D194IHykUJQrX3ggfQ0lRLlRTWDpJLklRX1RFVi4yMDI2LTA3LTAxLkNBRAUAAAAAAAAACAAAABQoSW52YWxpZCBJZGVudGlmaWVyKTaTqt4D194IHykUJQrX3gglQ0lRLlRTWDpJLklRX01BUktFVENBUC4yMDI2LTA3LTAxLkNBRAUAAAAAAAAACAAAABQoSW52YWxpZCBJZGVudGlmaWVyKTaTqt4D194IHykUJQrX3ggfQ0lRLlRTWDpOLklRX1RFVi4yMDI2LTA3LTAxLkNBRAUAAAAAAAAACAAAABQoSW52YWxpZCBJZGVudGlmaWVyKTaTqt4D194IHykUJQrX3gglQ0lRLlRTWDpOLklRX01BUktFVENBUC4yMDI2LTA3LTAxLkNBRAUAAAAAAAAACAAAABQoSW52YWxpZCBJZGVudGlmaWVyKTaTqt4D194IHykUJQrX3ggfQ0lRLlRTWDpLLklRX1RFVi4yMDI2LTA3LTAxLkNBRAEAAADbiAQAAgAAAAwzODI3NS4zNDIxOTcBBgAAAAUAAAABMQEAAAALLTE4OTMwNTYwODEDAAAAAjI3AgAAAAYxMDAwNjAEAAAA</t>
  </si>
  <si>
    <t>ATAHAAAACTYvMzAvMjAyNjaTqt4D194IHykUJQrX3gglQ0lRLlRTWDpLLklRX01BUktFVENBUC4yMDI2LTA3LTAxLkNBRAEAAADbiAQAAgAAAAw0MDA5OC4xOTU3NjgBBgAAAAUAAAABMQEAAAALLTE4OTMwNTYwODEDAAAAAjI3AgAAAAYxMDAwNTQEAAAAATAHAAAACTYvMzAvMjAyNjaTqt4D194IHykUJQrX3ggfQ0lRLlRTWDpQLklRX1RFVi4yMDI2LTA3LTAxLkNBRAUAAAAAAAAACAAAABQoSW52YWxpZCBJZGVudGlmaWVyKTaTqt4D194IHykUJQrX3gglQ0lRLlRTWDpQLklRX01BUktFVENBUC4yMDI2LTA3LTAxLkNBRAUAAAAAAAAACAAAABQoSW52YWxpZCBJZGVudGlmaWVyKTaTqt4D194IHykUJQrX3ggfQ0lRLlRTWDpNLklRX1RFVi4yMDI2LTA3LTAxLkNBRAUAAAAAAAAACAAAABQoSW52YWxpZCBJZGVudGlmaWVyKTaTqt4D194IHykUJQrX3gglQ0lRLlRTWDpNLklRX01BUktFVENBUC4yMDI2LTA3LTAxLkNBRAUAAAAAAAAACAAAABQoSW52YWxpZCBJZGVudGlmaWVyKTaTqt4D194IHykUJQrX3ggfQ0lRLlRTWDpSLklRX1RFVi4yMDI2LTA3LTAxLkNBRAUAAAAAAAAACAAAABQoSW52YWxpZCBJZGVudGlmaWVyKTaTqt4D194IHykUJQrX3gglQ0lRLlRTWDpSLklRX01BUktFVENBUC4yMDI2LTA3LTAxLkNBRAUAAAAAAAAACAAAABQoSW52YWxpZCBJZGVudGlmaWVyKTaTqt4D194IHykUJQrX3ggf</t>
  </si>
  <si>
    <t>Q0lRLlRTWDpPLklRX1RFVi4yMDI2LTA3LTAxLkNBRAUAAAAAAAAACAAAABQoSW52YWxpZCBJZGVudGlmaWVyKTaTqt4D194IHykUJQrX3gglQ0lRLlRTWDpPLklRX01BUktFVENBUC4yMDI2LTA3LTAxLkNBRAUAAAAAAAAACAAAABQoSW52YWxpZCBJZGVudGlmaWVyKTaTqt4D194IHykUJQrX3ggfQ0lRLlRTWDpULklRX1RFVi4yMDI2LTA3LTAxLkNBRAEAAAChIgkAAgAAAAU1NDIzNQEGAAAABQAAAAExAQAAAAstMTg5MDc4Mjg0MAMAAAACMjcCAAAABjEwMDA2MAQAAAABMAcAAAAJNi8zMC8yMDI2NpOq3gPX3ggfKRQlCtfeCCVDSVEuVFNYOlQuSVFfTUFSS0VUQ0FQLjIwMjYtMDctMDEuQ0FEAQAAAKEiCQACAAAABTIzNjEwAQYAAAAFAAAAATEBAAAACy0xODkwNzgyODQwAwAAAAIyNwIAAAAGMTAwMDU0BAAAAAEwBwAAAAk2LzMwLzIwMjY2k6reA9feCB8pFCUK194IH0NJUS5UU1g6US5JUV9URVYuMjAyNi0wNy0wMS5DQUQFAAAAAAAAAAgAAAAUKEludmFsaWQgSWRlbnRpZmllcik2k6reA9feCB8pFCUK194IJUNJUS5UU1g6US5JUV9NQVJLRVRDQVAuMjAyNi0wNy0wMS5DQUQFAAAAAAAAAAgAAAAUKEludmFsaWQgSWRlbnRpZmllcik2k6reA9feCB8pFCUK194IH0NJUS5UU1g6Uy5JUV9URVYuMjAyNi0wNy0wMS5DQUQBAAAACW8NAAIAAAAJMjg0LjM3NjA5AQYAAAAFAAAAATEBAAAACy0xOTA3MzE4</t>
  </si>
  <si>
    <t>MTYyAwAAAAIyNwIAAAAGMTAwMDYwBAAAAAEwBwAAAAk1LzE5LzIwMjY2k6reA9feCB8pFCUK194IJUNJUS5UU1g6Uy5JUV9NQVJLRVRDQVAuMjAyNi0wNy0wMS5DQUQBAAAACW8NAAIAAAAJODQuNDc2MDkxAQYAAAAFAAAAATEBAAAACy0xOTA3MzE4MTYyAwAAAAIyNwIAAAAGMTAwMDU0BAAAAAEwBwAAAAk1LzE5LzIwMjY2k6reA9feCB8pFCUK194I</t>
  </si>
  <si>
    <t>允䅁䍁䅯䅁䵁䅁䅁䅖呂䙁䅧杏䉂䅁䅁䅁䅁䵁䉙䅁㡁䙁䅁兙祂䝁䅅兢杁䝁䅫䅚㥁䍁䅉兎楁䑁䄴免㡁䍁䄸䅕桂䡁䅉兙瑂䑁䄴䅐兂䝁䅅杣桂䝁䄰䅉灂䝁䅑児楁䑁䅅杉⭁䍁䄰免㑁䑁䅫免穁䑁䅫李㑁䑁䅕䅎㡁䍁䄸䅕桂䡁䅉兙瑂䑁䄴䅐兂䝁䅅杣桂䝁䄰䅉灂䝁䅑児楁䑁䅍杉⭁䑁䅉睎㡁䍁䄸䅕桂䡁䅉兙瑂䑁䄴䅐兂䝁䅅杣桂䝁䄰䅉灂䝁䅑児楁䑁䅉杉⭁䑁䅅䅍睁䑁䅁兎ぁ䑁䅷睌兂䝁䅅杣桂䝁䄰材㡁䙁䅁兙祂䝁䅅兢杁䝁䅫䅚㥁䍁䅉䅎楁䑁䄴䅍㡁䍁䄸䅕桂䡁䅉兙瑂䑁䄴䅐兂䝁䅅杣桂䝁䄰䅉灂䝁䅑児楁䑁䅣杉⭁䑁䅙睌祁䑁䅉睌祁䑁䅁杍㉁䑁䅷睌兂䝁䅅杣桂䝁䄰材㡁䙁䅁兙祂䝁䅅兢杁䝁䅫䅚㥁䍁䅉免㍁䍁䅉材㑁䑁䅣睍㑁䑁䅁免㡁䍁䄸䅕桂䡁䅉兙瑂䑁䄴䅐兂䝁䅅杣桂䝁䄰䅉灂䝁䅑児楁䑁䅅䅏楁䑁䄴睎穁䑁䅕免㑁䍁䄴李祁䑁䅕䅍ㅁ䑁䅉䅐癁䙁䅁兙祂䝁䅅兢⭁䅁䅁睈䅁䉁䅯䅁䩂䙁䅅睘乂䕁䅅杕䱂䕁䅕䅖䑂䕁䅅䅕䅁䅁䅅䅁䵁䅁䅁䅖呂䙁䅧杏䭂䅁䅁杄䅁䅁䅷䅁ぁ䑁䅙免㕁䑁䅕䅁䍁䅁䅁䅄䅁䙁䅑睕奂䑁䅯睓䅁䅁䅕䅁䵁䅁䅁䅖呂䙁䅧杏䑂䅁䅁睇䅁䅁䅧䅁䑂䕁䅅䅒䅁䅁䅍䅁煁䅁䅁䅋䩂䝁䄴杤桂䝁䅷兡歂䍁䅁兓歂䝁䅕杢あ䝁䅫杚灂䝁䅕杣灁䅁䅁䅂䅁䅁䄴䅁䩂䙁䅅睘啂䕁䅕杖䅁䅁䅙䅁䝄允䅁䅐兂䝁䅅杣桂䝁䄰䅉灂䝁䅑児楁䑁䅕杉⭁䑁䅅䅐癁䙁䅁兙祂䝁䅅兢⭁䑁䅷䅕桂䡁䅉兙瑂䍁䅁兡歂䑁䄰杉硁䍁䅉材瑁䑁䅅䅏㕁䑁䅍䅍ㅁ䑁䅙䅍㑁䑁䅅䅐癁䙁䅁兙祂䝁䅅兢⭁䑁䅷䅕桂䡁䅉兙瑂䍁䅁兡歂䑁䄰杉穁䍁䅉材祁䑁䅣䅐癁䙁䅁兙祂䝁䅅兢⭁䑁䅷䅕桂䡁䅉兙瑂䍁䅁兡歂䑁䄰杉祁䍁䅉材硁䑁䅁䅍睁䑁䅙䅍㡁䍁䄸䅕桂䡁䅉兙瑂䑁䄴䅐兂䝁䅅杣桂䝁䄰䅉灂䝁䅑児楁䑁䅑杉⭁䑁䅁䅐癁䙁䅁兙祂䝁䅅兢⭁䑁䅷䅕桂䡁䅉兙瑂䍁䅁兡歂䑁䄰杉㍁䍁䅉材㉁䍁䄸杍祁䍁䄸杍睁䑁䅉李㡁䍁䄸䅕桂䡁䅉兙瑂䑁䄴䅐兂䝁䅅杣桂䝁䄰䅉灂䝁䅑児楁䑁䅅睎楁䑁䄴杍㕁䑁䅣免㍁䑁䅫䅐癁䙁䅁兙祂䝁䅅兢⭁䑁䅷䅕桂䡁䅉兙瑂䍁䅁兡歂䑁䄰杉硁䑁䅧杉⭁䑁䅑杍㉁䑁䅙兏畁䑁䅙李ㅁ䑁䅁杍硁䑁䅷睌兂䝁䅅杣桂䝁䄰材䅁䅁䅣䅁䵁䅁䅁䅖呂䙁䅧杏䵂䅁䅁䅃䅁䵁䉙䅁㡁䙁䅁兙祂䝁䅅兢杁䝁䅫䅚㥁䍁䅉兎楁䑁䄴免㡁䍁䄸䅕桂䡁䅉兙瑂䑁䄴䅐兂䝁䅅杣桂䝁䄰䅉灂䝁䅑児楁䑁䅅杉⭁䍁䄰免㑁䑁䅫免穁䑁䅫李㑁䑁䅕䅎㡁䍁䄸䅕桂䡁䅉兙瑂䑁䄴䅐兂䝁䅅杣桂䝁䄰䅉灂䝁䅑児楁䑁䅍杉⭁䑁䅉睎㡁䍁䄸䅕桂䡁䅉兙瑂䑁䄴䅐兂䝁䅅杣桂䝁䄰䅉灂䝁䅑児楁䑁䅉杉⭁䑁䅅䅍睁䑁䅁李睁䑁䅷睌兂䝁䅅杣桂䝁䄰材㡁䙁䅁兙祂䝁䅅兢杁䝁䅫䅚㥁䍁䅉䅎楁䑁䄴䅍㡁䍁䄸䅕桂䡁䅉兙瑂䑁䄴䅐兂䝁䅅杣桂䝁䄰䅉灂䝁䅑児楁䑁䅣杉⭁䑁䅙睌祁䑁䅉睌祁䑁䅁杍㉁䑁䅷睌兂䝁䅅杣桂䝁䄰材㡁䙁䅁兙祂䝁䅅兢杁䝁䅫䅚㥁䍁䅉免㍁䍁䅉材㑁䑁䅣睍㑁䑁䅁免㡁䍁䄸䅕桂䡁䅉兙瑂䑁䄴䅐兂䝁䅅杣桂䝁䄰䅉灂䝁䅑児楁䑁䅅䅏楁䑁䄴䅏㕁䑁䅑睍ㅁ䍁䄴李祁䑁䅕䅍ㅁ䑁䅅䅐癁䙁䅁兙祂䝁䅅兢⭁䅁䅁元䅁䅁䅷䅁啂䙁䅍䅗㙁䙁䅉䅁䭁䅁䅁杺䅅䑁䅷䅕桂䡁䅉兙瑂䍁䅁兡歂䑁䄰杉ㅁ䍁䅉材硁䑁䅷睌兂䝁䅅杣桂䝁䄰材㡁䙁䅁兙祂䝁䅅兢杁䝁䅫䅚㥁䍁䅉免楁䑁䄴兌硁䑁䅧兏祁䑁䅉䅎ぁ䑁䅧䅏穁䑁䅷睌兂䝁䅅杣桂䝁䄰材㡁䙁䅁兙祂䝁䅅兢杁䝁䅫䅚㥁䍁䅉睍楁䑁䄴杍㍁䑁䅷睌兂䝁䅅杣桂䝁䄰材㡁䙁䅁兙祂䝁䅅兢杁䝁䅫䅚㥁䍁䅉杍楁䑁䄴免睁䑁䅁䅍ㅁ䑁䅑䅐癁䙁䅁兙祂䝁䅅兢⭁䑁䅷䅕桂䡁䅉兙瑂䍁䅁兡歂䑁䄰杉ぁ䍁䅉材睁䑁䅷睌兂䝁䅅杣桂䝁䄰材㡁䙁䅁兙祂䝁䅅兢杁䝁䅫䅚㥁䍁䅉睎楁䑁䄴李癁䑁䅉杍癁䑁䅉䅍祁䑁䅙䅐癁䙁䅁兙祂䝁䅅兢⭁䑁䅷䅕桂䡁䅉兙瑂䍁䅁兡歂䑁䄰杉硁䑁䅣杉⭁䑁䅅䅍㉁䑁䅍睍ㅁ䑁䅷睌兂䝁䅅杣桂䝁䄰材㡁䙁䅁兙祂䝁䅅兢杁䝁䅫䅚㥁䍁䅉免㑁䍁䅉材㍁䑁䅫李祁䑁䅙杌硁䑁䅍睍㕁䑁䅑睍㍁䑁䅍李硁䑁䅷睌兂䝁䅅杣桂䝁䄰材䅁䍁䅫䅁䵁䅁䅁䅖呂䙁䅧杏䍂䅁䅁睃䅁䅁䅷䅁啂䙁䅍䅗㙁䙁䅁䅁䵁䅁䅁䅄䅁䙁䅑睕奂䑁䅯兓䅁䅁䄰䅁䝄允䅁䅐兂䝁䅅杣桂䝁䄰䅉灂䝁䅑児楁䑁䅕杉⭁䑁䅅䅐癁䙁䅁兙祂䝁䅅兢⭁䑁䅷䅕桂䡁䅉兙瑂䍁䅁兡歂䑁䄰杉硁䍁䅉材瑁䑁䅅䅏㑁䑁䅫睍ㅁ䑁䅉䅍ㅁ䑁䅣䅐癁䙁䅁兙祂䝁䅅兢⭁䑁䅷䅕桂䡁䅉兙瑂䍁䅁兡歂䑁䄰杉穁䍁䅉材祁䑁䅣䅐癁䙁䅁兙祂䝁䅅兢⭁䑁䅷䅕桂䡁䅉兙瑂䍁䅁兡歂䑁䄰杉祁䍁䅉材硁䑁䅁䅍睁䑁䅙䅍㡁䍁䄸䅕桂䡁䅉兙瑂䑁䄴䅐兂䝁䅅杣桂䝁䄰䅉灂䝁䅑児楁䑁䅑杉⭁䑁䅁䅐癁䙁䅁兙祂䝁䅅兢⭁䑁䅷䅕桂䡁䅉兙瑂䍁䅁兡歂䑁䄰杉㍁䍁䅉材㉁䍁䄸杍祁䍁䄸杍睁䑁䅉李㡁䍁䄸䅕桂䡁䅉兙瑂䑁䄴䅐兂䝁䅅杣桂䝁䄰䅉灂䝁䅑児楁䑁䅅睎楁䑁䄴杍穁䑁䅕免㑁䑁䅅李祁䑁䅷睌兂䝁䅅杣桂䝁䄰材㡁䙁䅁兙祂䝁䅅兢杁䝁䅫䅚㥁䍁䅉免㑁䍁䅉材硁䑁䅉䅏畁䑁䅙䅎ぁ䑁䅙免ㅁ䑁䅷睌兂䝁䅅杣桂䝁䄰材䅁䉁䅫䅁䍁䅁䅁䅁偁䅁䅁杸䅅䑁䅷䅕桂䡁䅉兙瑂䍁䅁兡歂䑁䄰杉ㅁ䍁䅉材硁䑁䅷睌兂䝁䅅杣桂䝁䄰材㡁䙁䅁兙祂䝁䅅兢杁䝁䅫䅚㥁䍁䅉免楁䑁䄴兌硁䑁䅧兏穁䑁䅁兎㉁䑁䅁䅏硁䑁䅷睌兂䝁䅅杣桂䝁䄰材㡁䙁䅁兙祂䝁䅅兢杁䝁䅫䅚㥁䍁䅉睍楁䑁䄴杍㍁䑁䅷睌兂䝁䅅杣桂䝁䄰材㡁䙁䅁兙祂䝁䅅兢杁䝁䅫䅚㥁䍁䅉杍楁䑁䄴免睁䑁䅁䅍ㅁ䑁䅑䅐癁䙁䅁兙祂䝁䅅兢⭁䑁䅷䅕桂䡁䅉兙瑂䍁䅁兡歂䑁䄰杉ぁ䍁䅉材睁䑁䅷睌兂䝁䅅杣桂䝁䄰材㡁䙁䅁兙祂䝁䅅兢杁䝁䅫䅚㥁䍁䅉睎楁䑁䄴李癁䑁䅉杍癁䑁䅉䅍祁䑁䅙䅐癁䙁䅁兙祂䝁䅅兢⭁䑁䅷䅕桂䡁䅉兙瑂䍁䅁兡歂䑁䄰杉硁䑁䅣杉⭁䑁䅉兏㍁䑁䅅睎㕁䑁䅷睌兂䝁䅅杣桂䝁䄰材㡁䙁䅁兙祂䝁䅅兢杁䝁䅫䅚㥁䍁䅉免㑁䍁䅉材ぁ䑁䅑䅎㕁䑁䅉杌ㅁ䑁䅅䅏ㅁ䑁䅫免㡁䍁䄸䅕桂䡁䅉兙瑂䑁䄴䅁允䅁䅁䅄䅁䙁䅑睕奂䑁䅯睒䅁䉁䅅䅁䵁䅁䅁䅖呂䙁䅧杏啂䅁䅁杅䅁䱁䈴䅁㡁䙁䅁兙祂䝁䅅兢杁䝁䅫䅚㥁䍁䅉兎楁䑁䄴免㡁䍁䄸䅕桂䡁䅉兙瑂䑁䄴䅐兂䝁䅅杣桂䝁䄰䅉灂䝁䅑児楁䑁䅅杉⭁䍁䄰免㑁䑁䅫䅍㍁䑁䅧杍㑁䑁䅑䅍㡁䍁䄸䅕桂䡁䅉兙瑂䑁䄴䅐兂䝁䅅杣桂䝁䄰䅉灂䝁䅑児楁䑁䅍杉⭁䑁䅉睎㡁䍁䄸䅕桂䡁䅉兙瑂䑁䄴䅐兂䝁䅅杣桂䝁䄰䅉灂䝁䅑児楁䑁䅉杉⭁䑁䅅䅍睁䑁䅁兎ぁ䑁䅷睌兂䝁䅅杣桂䝁䄰材㡁䙁䅁兙祂䝁䅅兢杁䝁䅫䅚㥁䍁䅉䅎楁䑁䄴䅍㡁䍁䄸䅕桂䡁䅉兙瑂䑁䄴䅐兂䝁䅅杣桂䝁䄰䅉灂䝁䅑児楁䑁䅣杉⭁䑁䅙睌祁䑁䅉睌祁䑁䅁杍㉁䑁䅷睌兂䝁䅅杣桂䝁䄰材㡁䙁䅁兙祂䝁䅅兢杁䝁䅫䅚㥁䍁䅉免㍁䍁䅉材ㅁ䑁䅫䅏㉁䑁䅧兏㡁䍁䄸䅕桂䡁䅉兙瑂䑁䄴䅐兂䝁䅅杣桂䝁䄰䅉灂䝁䅑児楁䑁䅅䅏楁䑁䄴杍ㅁ䑁䅉兏ぁ䍁䄴免㑁䑁䅷睌兂䝁䅅杣桂䝁䄰材䅁䉁䅍䅁佁䅁䅁䅖呂䙁䅧杏卂䙁䅫䅁啁䅁䅁䅹䅅䑁䅷䅕桂䡁䅉兙瑂䍁䅁兡歂䑁䄰杉ㅁ䍁䅉材硁䑁䅷睌兂䝁䅅杣桂䝁䄰材㡁䙁䅁兙祂䝁䅅兢杁䝁䅫䅚㥁䍁䅉免楁䑁䄴兌硁䑁䅧䅏㉁䑁䅉兎㉁䑁䅑李㕁䑁䅷睌兂䝁䅅杣桂䝁䄰材㡁䙁䅁兙祂䝁䅅兢杁䝁䅫䅚㥁䍁䅉睍楁䑁䄴杍㍁䑁䅷睌兂䝁䅅杣桂䝁䄰材㡁䙁䅁兙祂䝁䅅兢杁䝁䅫䅚㥁䍁䅉杍楁䑁䄴免睁䑁䅁䅍ㅁ䑁䅑䅐癁䙁䅁兙祂䝁䅅兢⭁䑁䅷䅕桂䡁䅉兙瑂䍁䅁兡歂䑁䄰杉ぁ䍁䅉材睁䑁䅷睌兂䝁䅅杣桂䝁䄰材㡁䙁䅁兙祂䝁䅅兢杁䝁䅫䅚㥁䍁䅉睎楁䑁䄴李癁䑁䅉杍癁䑁䅉䅍祁䑁䅙䅐癁䙁䅁兙祂䝁䅅兢⭁䑁䅷䅕桂䡁䅉兙瑂䍁䅁兡歂䑁䄰杉硁䑁䅣杉⭁䑁䅅䅍㕁䑁䅧䅍㕁䑁䅷睌兂䝁䅅杣桂䝁䄰材㡁䙁䅁兙祂䝁䅅兢杁䝁䅫䅚㥁䍁䅉免㑁䍁䅉材穁䑁䅫䅏ㅁ䑁䅣睎畁䑁䅅䅍㍁䑁䅫免㉁䑁䅷睌兂䝁䅅杣桂䝁䄰材䅁䉁䅕䅁䵁䅁䅁䅖呂䙁䅧杏偂䅁䅁杆䅁䱁䈴䅁㡁䙁䅁兙祂䝁䅅兢杁䝁䅫䅚㥁䍁䅉兎楁䑁䄴免㡁䍁䄸䅕桂䡁䅉兙瑂䑁䄴䅐兂䝁䅅杣桂䝁䄰䅉灂䝁䅑児楁䑁䅅杉⭁䍁䄰免㑁䑁䅫䅍㍁䑁䅧杍㑁䑁䅑䅍㡁䍁䄸䅕桂䡁䅉兙瑂䑁䄴䅐兂䝁䅅杣桂䝁䄰䅉灂䝁䅑児楁䑁䅍杉⭁䑁䅉睎㡁䍁䄸䅕桂䡁䅉兙瑂䑁䄴䅐兂䝁䅅杣桂䝁䄰䅉灂䝁䅑児楁䑁䅉杉⭁䑁䅅䅍睁䑁䅁李睁䑁䅷睌兂䝁䅅杣桂䝁䄰材㡁䙁䅁兙祂䝁䅅兢杁䝁䅫䅚㥁䍁䅉䅎楁䑁䄴䅍㡁䍁䄸䅕桂䡁䅉兙瑂䑁䄴䅐兂䝁䅅杣桂䝁䄰䅉灂䝁䅑児楁䑁䅣杉⭁䑁䅙睌祁䑁䅉睌祁䑁䅁杍㉁䑁䅷睌兂䝁䅅杣桂䝁䄰材㡁䙁䅁兙祂䝁䅅兢杁䝁䅫䅚㥁䍁䅉免㍁䍁䅉材ㅁ䑁䅫䅏㉁䑁䅧兏㡁䍁䄸䅕桂䡁䅉兙瑂䑁䄴䅐兂䝁䅅杣桂䝁䄰䅉灂䝁䅑児楁䑁䅅䅏楁䑁䄴兎ㅁ䑁䅫免㕁䍁䄴免㑁䑁䅷睌兂䝁䅅杣桂䝁䄰材䅁䉁䅣䅁䵁䅁䅁䅖呂䙁䅧杏䙂䅁䅁䅇䅁䅁䅷䅁啂䙁䅍䅗㙁䕁䄴䅁慁䅁䅁䅄䅁䙁䅑睕奂䑁䅯兔䅁䉁䅷䅁䵁䅁䅁䅖呂䙁䅧杏呂䅁䅁先䅁䵁䉁䅁㡁䙁䅁兙祂䝁䅅兢杁䝁䅫䅚㥁䍁䅉兎楁䑁䄴免㡁䍁䄸䅕桂䡁䅉兙瑂䑁䄴䅐兂䝁䅅杣桂䝁䄰䅉灂䝁䅑児楁䑁䅅杉⭁䍁䄰免㕁䑁䅁睎穁䑁䅅䅏硁䑁䅙杍㡁䍁䄸䅕桂䡁䅉兙瑂䑁䄴䅐兂䝁䅅杣桂䝁䄰䅉灂䝁䅑児楁䑁䅍杉⭁䑁䅉睎㡁䍁䄸䅕桂䡁䅉兙瑂䑁䄴䅐兂䝁䅅杣桂䝁䄰䅉灂䝁䅑児楁䑁䅉杉⭁䑁䅅䅍睁䑁䅁兎ぁ䑁䅷睌兂䝁䅅杣桂䝁䄰材㡁䙁䅁兙祂䝁䅅兢杁䝁䅫䅚㥁䍁䅉䅎楁䑁䄴䅍㡁䍁䄸䅕桂䡁䅉兙瑂䑁䄴䅐兂䝁䅅杣桂䝁䄰䅉灂䝁䅑児楁䑁䅣杉⭁䑁䅕睌硁䑁䅫睌祁䑁䅁杍㉁䑁䅷睌兂䝁䅅杣桂䝁䄰材㡁䙁䅁兙祂䝁䅅兢杁䝁䅫䅚㥁䍁䅉免㍁䍁䅉材㑁䑁䅧䅍穁䑁䅫睍㡁䍁䄸䅕桂䡁䅉兙瑂䑁䄴䅐兂䝁䅅杣桂䝁䄰䅉灂䝁䅑児楁䑁䅅䅏楁䑁䄴䅏ぁ䍁䄴䅎㍁䑁䅙䅍㕁䑁䅅䅐癁䙁䅁兙祂䝁䅅兢⭁䅁䅁杈䅁䵁䉁䅁㡁䙁䅁兙祂䝁䅅兢杁䝁䅫䅚㥁䍁䅉兎楁䑁䄴免㡁䍁䄸䅕桂䡁䅉兙瑂䑁䄴䅐兂䝁䅅杣桂䝁䄰䅉灂䝁䅑児楁䑁䅅杉⭁䍁䄰免㕁䑁䅁睎穁䑁䅅䅏硁䑁䅙杍㡁䍁䄸䅕桂䡁䅉兙瑂䑁䄴䅐兂䝁䅅杣桂䝁䄰䅉灂䝁䅑児楁䑁䅍杉⭁䑁䅉睎㡁䍁䄸䅕桂䡁䅉兙瑂䑁䄴䅐兂䝁䅅杣桂䝁䄰䅉灂䝁䅑児楁䑁䅉杉⭁䑁䅅䅍睁䑁䅁李睁䑁䅷睌兂䝁䅅杣桂䝁䄰材㡁䙁䅁兙祂䝁䅅兢杁䝁䅫䅚㥁䍁䅉䅎楁䑁䄴䅍㡁䍁䄸䅕桂䡁䅉兙瑂䑁䄴䅐兂䝁䅅杣桂䝁䄰䅉灂䝁䅑児楁䑁䅣杉⭁䑁䅕睌硁䑁䅫睌祁䑁䅁杍㉁䑁䅷睌兂䝁䅅杣桂䝁䄰材㡁䙁䅁兙祂䝁䅅兢杁䝁䅫䅚㥁䍁䅉免㍁䍁䅉材㑁䑁䅧䅍穁䑁䅫睍㡁䍁䄸䅕桂䡁䅉兙瑂䑁䄴䅐兂䝁䅅杣桂䝁䄰䅉灂䝁䅑児楁䑁䅅䅏楁䑁䄴杍㑁䑁䅑杌穁䑁䅣李睁䑁䅫䅐癁䙁䅁兙祂䝁䅅兢⭁䅁䅁䅉䅁䅁䅷䅁啂䙁䅍䅗㙁䕁䅧䅁桁䅁䅁䅹䅅䑁䅷䅕桂䡁䅉兙瑂䍁䅁兡歂䑁䄰杉ㅁ䍁䅉材硁䑁䅷睌兂䝁䅅杣桂䝁䄰材㡁䙁䅁兙祂䝁䅅兢杁䝁䅫䅚㥁䍁䅉免楁䑁䄴兌硁䑁䅧䅏㕁䑁䅧䅍睁䑁䅉睎穁䑁䅷睌兂䝁䅅杣桂䝁䄰材㡁䙁䅁兙祂䝁䅅兢杁䝁䅫䅚㥁䍁䅉睍楁䑁䄴杍㍁䑁䅷睌兂䝁䅅杣桂䝁䄰材㡁䙁䅁兙祂䝁䅅兢杁䝁䅫䅚㥁䍁䅉杍楁䑁䄴免睁䑁䅁䅍ㅁ䑁䅑䅐癁䙁䅁兙祂䝁䅅兢⭁䑁䅷䅕桂䡁䅉兙瑂䍁䅁兡歂䑁䄰杉ぁ䍁䅉材睁䑁䅷睌兂䝁䅅杣桂䝁䄰材㡁䙁䅁兙祂䝁䅅兢杁䝁䅫䅚㥁䍁䅉睎楁䑁䄴李癁䑁䅉杍癁䑁䅉䅍祁䑁䅙䅐癁䙁䅁兙祂䝁䅅兢⭁䑁䅷䅕桂䡁䅉兙瑂䍁䅁兡歂䑁䄰杉硁䑁䅣杉⭁䑁䅉䅎睁䑁䅕䅎㑁䑁䅫䅐癁䙁䅁兙祂䝁䅅兢⭁䑁䅷䅕桂䡁䅉兙瑂䍁䅁兡歂䑁䄰杉硁䑁䅧杉⭁䑁䅍睍㕁䑁䅫兎畁䑁䅑睍㕁䑁䅕睍穁䑁䅷睌兂䝁䅅杣桂䝁䄰材䅁䍁䅉䅁䥄允䅁䅐兂䝁䅅杣桂䝁䄰䅉灂䝁䅑児楁䑁䅕杉⭁䑁䅅䅐癁䙁䅁兙祂䝁䅅兢⭁䑁䅷䅕桂䡁䅉兙瑂䍁䅁兡歂䑁䄰杉硁䍁䅉材瑁䑁䅅䅏㑁䑁䅫䅏睁䑁䅁杍㍁䑁䅍䅐癁䙁䅁兙祂䝁䅅兢⭁䑁䅷䅕桂䡁䅉兙瑂䍁䅁兡歂䑁䄰杉穁䍁䅉材祁䑁䅣䅐癁䙁䅁兙祂䝁䅅兢⭁䑁䅷䅕桂䡁䅉兙瑂䍁䅁兡歂䑁䄰杉祁䍁䅉材硁䑁䅁䅍睁䑁䅙䅍㡁䍁䄸䅕桂䡁䅉兙瑂䑁䄴䅐兂䝁䅅杣桂䝁䄰䅉灂䝁䅑児楁䑁䅑杉⭁䑁䅁䅐癁䙁䅁兙祂䝁䅅兢⭁䑁䅷䅕桂䡁䅉兙瑂䍁䅁兡歂䑁䄰杉㍁䍁䅉材㉁䍁䄸杍祁䍁䄸杍睁䑁䅉李㡁䍁䄸䅕桂䡁䅉兙瑂䑁䄴䅐兂䝁䅅杣桂䝁䄰䅉灂䝁䅑児楁䑁䅅睎楁䑁䄴杍ぁ䑁䅁兎ぁ䑁䅧兏㡁䍁䄸䅕桂䡁䅉兙瑂䑁䄴䅐兂䝁䅅杣桂䝁䄰䅉灂䝁䅑児楁䑁䅅䅏楁䑁䄴兎穁䑁䅉䅎睁䍁䄴䅎穁䑁䅫兎穁䑁䅍䅐癁䙁䅁兙祂䝁䅅兢⭁䅁䅁睉䅁䵁䉙䅁㡁䙁䅁兙祂䝁䅅兢杁䝁䅫䅚㥁䍁䅉兎楁䑁䄴免㡁䍁䄸䅕桂䡁䅉兙瑂䑁䄴䅐兂䝁䅅杣桂䝁䄰䅉灂䝁䅑児楁䑁䅅杉⭁䍁䄰免㑁䑁䅧兏穁䑁䅕杍睁䑁䅕睎㡁䍁䄸䅕桂䡁䅉兙瑂䑁䄴䅐兂䝁䅅杣桂䝁䄰䅉灂䝁䅑児楁䑁䅍杉⭁䑁䅉睎㡁䍁䄸䅕桂䡁䅉兙瑂䑁䄴䅐兂䝁䅅杣桂䝁䄰䅉灂䝁䅑児楁䑁䅉杉⭁䑁䅅䅍睁䑁䅁兎ぁ䑁䅷睌兂䝁䅅杣桂䝁䄰材㡁䙁䅁兙祂䝁䅅兢杁䝁䅫䅚㥁䍁䅉䅎楁䑁䄴䅍㡁䍁䄸䅕桂䡁䅉兙瑂䑁䄴䅐兂䝁䅅杣桂䝁䄰䅉灂䝁䅑児楁䑁䅣杉⭁䑁䅙睌祁䑁䅉睌祁䑁䅁杍㉁䑁䅷睌兂䝁䅅杣桂䝁䄰材㡁䙁䅁兙祂䝁䅅兢杁䝁䅫䅚㥁䍁䅉免㍁䍁䅉材祁䑁䅍兎硁䑁䅧免㉁䑁䅉䅐癁䙁䅁兙祂䝁䅅兢⭁䑁䅷䅕桂䡁䅉兙瑂䍁䅁兡歂䑁䄰杉硁䑁䅧杉⭁䑁䅅免ぁ䍁䄴兎睁䑁䅧睎ぁ䑁䅕䅐癁䙁䅁兙祂䝁䅅兢⭁䅁䅁䅊䅁䅁䅷䅁啂䙁䅍䅗㙁䙁䅅䅁汁䅁䅁䅄䅁䙁䅑睕奂䑁䅯杒䅁䍁䅙䅁佄允䅁䅐兂䝁䅅杣桂䝁䄰䅉灂䝁䅑児楁䑁䅕杉⭁䑁䅅䅐癁䙁䅁兙祂䝁䅅兢⭁䑁䅷䅕桂䡁䅉兙瑂䍁䅁兡歂䑁䄰杉硁䍁䅉材瑁䑁䅅䅏㕁䑁䅉杍ぁ䑁䅑䅏㑁䑁䅍䅐癁䙁䅁兙祂䝁䅅兢⭁䑁䅷䅕桂䡁䅉兙瑂䍁䅁兡歂䑁䄰杉穁䍁䅉材祁䑁䅣䅐癁䙁䅁兙祂䝁䅅兢⭁䑁䅷䅕桂䡁䅉兙瑂䍁䅁兡歂䑁䄰杉祁䍁䅉材硁䑁䅁䅍睁䑁䅙䅍㡁䍁䄸䅕桂䡁䅉兙瑂䑁䄴䅐兂䝁䅅杣桂䝁䄰䅉灂䝁䅑児楁䑁䅑杉⭁䑁䅁䅐癁䙁䅁兙祂䝁䅅兢⭁䑁䅷䅕桂䡁䅉兙瑂䍁䅁兡歂䑁䄰杉㍁䍁䅉材㉁䍁䄸杍祁䍁䄸杍睁䑁䅉李㡁䍁䄸䅕桂䡁䅉兙瑂䑁䄴䅐兂䝁䅅杣桂䝁䄰䅉灂䝁䅑児楁䑁䅅睎楁䑁䄴免睁䑁䅙睍穁䑁䅕䅐癁䙁䅁兙祂䝁䅅兢⭁䑁䅷䅕桂䡁䅉兙瑂䍁䅁兡歂䑁䄰杉硁䑁䅧杉⭁䑁䅉睎ぁ䑁䅣睍睁䍁䄴杍祁䑁䅣䅎穁䑁䅍睎穁䑁䅙䅐癁䙁䅁兙祂䝁䅅兢⭁䅁䅁睊䅁䅁䅷䅁啂䙁䅍䅗㙁䕁䅑䅁潁䅁䅁䅁䅁䅁㴽</t>
  </si>
  <si>
    <t>CIQANR_505032af17024bdbb4b3447568783357</t>
  </si>
  <si>
    <t>CIQANR_935657cce6f84a3cbef0867455c5cd07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</si>
</sst>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quot;$&quot;* #,##0.00_-;_-&quot;$&quot;* &quot;-&quot;??_-;_-@_-"/>
    <numFmt numFmtId="43" formatCode="_-* #,##0.00_-;\-* #,##0.00_-;_-* &quot;-&quot;??_-;_-@_-"/>
    <numFmt numFmtId="164" formatCode="&quot;$&quot;#,##0"/>
    <numFmt numFmtId="165" formatCode="&quot;$&quot;#,##0.00"/>
    <numFmt numFmtId="166" formatCode="\P0"/>
    <numFmt numFmtId="167" formatCode="&quot;$&quot;#,##0.000"/>
    <numFmt numFmtId="168" formatCode="&quot;P&quot;00"/>
    <numFmt numFmtId="169" formatCode="0.0%"/>
    <numFmt numFmtId="170" formatCode="\P00"/>
    <numFmt numFmtId="171" formatCode="0.000%"/>
  </numFmts>
  <fonts count="117">
    <font>
      <sz val="11"/>
      <color theme="1"/>
      <name val="Calibri"/>
      <family val="2"/>
      <scheme val="minor"/>
    </font>
    <font>
      <sz val="10"/>
      <color theme="1"/>
      <name val="Tahoma"/>
      <family val="2"/>
    </font>
    <font>
      <sz val="11"/>
      <color theme="1"/>
      <name val="Calibri"/>
      <family val="2"/>
      <scheme val="minor"/>
    </font>
    <font>
      <sz val="11"/>
      <name val="Tahoma"/>
      <family val="2"/>
    </font>
    <font>
      <sz val="10"/>
      <name val="Tahoma"/>
      <family val="2"/>
    </font>
    <font>
      <sz val="10"/>
      <name val="Arial"/>
      <family val="2"/>
    </font>
    <font>
      <vertAlign val="superscript"/>
      <sz val="10"/>
      <name val="Tahoma"/>
      <family val="2"/>
    </font>
    <font>
      <b/>
      <sz val="11"/>
      <name val="Tahoma"/>
      <family val="2"/>
    </font>
    <font>
      <b/>
      <i/>
      <sz val="11"/>
      <name val="Tahoma"/>
      <family val="2"/>
    </font>
    <font>
      <vertAlign val="superscript"/>
      <sz val="11"/>
      <name val="Tahoma"/>
      <family val="2"/>
    </font>
    <font>
      <i/>
      <sz val="10"/>
      <name val="Tahoma"/>
      <family val="2"/>
    </font>
    <font>
      <i/>
      <sz val="11"/>
      <color theme="0"/>
      <name val="Tahoma"/>
      <family val="2"/>
    </font>
    <font>
      <i/>
      <sz val="11"/>
      <name val="Tahoma"/>
      <family val="2"/>
    </font>
    <font>
      <b/>
      <i/>
      <sz val="11"/>
      <color theme="0"/>
      <name val="Tahoma"/>
      <family val="2"/>
    </font>
    <font>
      <b/>
      <sz val="11"/>
      <color theme="0"/>
      <name val="Tahoma"/>
      <family val="2"/>
    </font>
    <font>
      <b/>
      <i/>
      <sz val="10"/>
      <color theme="0"/>
      <name val="Tahoma"/>
      <family val="2"/>
    </font>
    <font>
      <b/>
      <sz val="10"/>
      <color theme="0"/>
      <name val="Tahoma"/>
      <family val="2"/>
    </font>
    <font>
      <sz val="12"/>
      <name val="Tahoma"/>
      <family val="2"/>
    </font>
    <font>
      <vertAlign val="superscript"/>
      <sz val="12"/>
      <name val="Tahoma"/>
      <family val="2"/>
    </font>
    <font>
      <b/>
      <u/>
      <sz val="10"/>
      <name val="Tahoma"/>
      <family val="2"/>
    </font>
    <font>
      <b/>
      <i/>
      <sz val="16"/>
      <name val="Tahoma"/>
      <family val="2"/>
    </font>
    <font>
      <sz val="9"/>
      <name val="Tahoma"/>
      <family val="2"/>
    </font>
    <font>
      <sz val="8"/>
      <name val="Arial"/>
      <family val="2"/>
    </font>
    <font>
      <sz val="8"/>
      <color indexed="8"/>
      <name val="Arial"/>
      <family val="2"/>
    </font>
    <font>
      <b/>
      <sz val="11"/>
      <color theme="0"/>
      <name val="Calibri"/>
      <family val="2"/>
      <scheme val="minor"/>
    </font>
    <font>
      <b/>
      <sz val="11"/>
      <color theme="1"/>
      <name val="Calibri"/>
      <family val="2"/>
      <scheme val="minor"/>
    </font>
    <font>
      <sz val="8"/>
      <name val="MUnivers"/>
    </font>
    <font>
      <b/>
      <sz val="10"/>
      <name val="Tahoma"/>
      <family val="2"/>
    </font>
    <font>
      <b/>
      <sz val="10"/>
      <color rgb="FFC00000"/>
      <name val="Tahoma"/>
      <family val="2"/>
    </font>
    <font>
      <b/>
      <sz val="12"/>
      <name val="Tahoma"/>
      <family val="2"/>
    </font>
    <font>
      <i/>
      <sz val="8"/>
      <color theme="1"/>
      <name val="Calibri"/>
      <family val="2"/>
      <scheme val="minor"/>
    </font>
    <font>
      <sz val="10"/>
      <color rgb="FF000000"/>
      <name val="Tahoma"/>
      <family val="2"/>
    </font>
    <font>
      <sz val="10"/>
      <color rgb="FF00B050"/>
      <name val="Tahoma"/>
      <family val="2"/>
    </font>
    <font>
      <sz val="10"/>
      <color rgb="FF0070C0"/>
      <name val="Tahoma"/>
      <family val="2"/>
    </font>
    <font>
      <b/>
      <i/>
      <sz val="16"/>
      <name val="Calibri"/>
      <family val="2"/>
      <scheme val="minor"/>
    </font>
    <font>
      <b/>
      <u/>
      <sz val="10"/>
      <name val="Calibri"/>
      <family val="2"/>
      <scheme val="minor"/>
    </font>
    <font>
      <sz val="10"/>
      <name val="Calibri"/>
      <family val="2"/>
      <scheme val="minor"/>
    </font>
    <font>
      <sz val="11"/>
      <name val="Calibri"/>
      <family val="2"/>
      <scheme val="minor"/>
    </font>
    <font>
      <i/>
      <sz val="11"/>
      <name val="Calibri"/>
      <family val="2"/>
      <scheme val="minor"/>
    </font>
    <font>
      <b/>
      <sz val="11"/>
      <name val="Calibri"/>
      <family val="2"/>
      <scheme val="minor"/>
    </font>
    <font>
      <i/>
      <sz val="11"/>
      <color theme="0"/>
      <name val="Calibri"/>
      <family val="2"/>
      <scheme val="minor"/>
    </font>
    <font>
      <vertAlign val="superscript"/>
      <sz val="10"/>
      <name val="Calibri"/>
      <family val="2"/>
      <scheme val="minor"/>
    </font>
    <font>
      <b/>
      <sz val="10"/>
      <color theme="5"/>
      <name val="Tahoma"/>
      <family val="2"/>
    </font>
    <font>
      <i/>
      <sz val="10"/>
      <color rgb="FFFF0000"/>
      <name val="Calibri"/>
      <family val="2"/>
      <scheme val="minor"/>
    </font>
    <font>
      <sz val="10"/>
      <color rgb="FFFF0000"/>
      <name val="Tahoma"/>
      <family val="2"/>
    </font>
    <font>
      <sz val="11"/>
      <color theme="0"/>
      <name val="Calibri"/>
      <family val="2"/>
      <scheme val="minor"/>
    </font>
    <font>
      <u/>
      <sz val="11"/>
      <color theme="1"/>
      <name val="Calibri"/>
      <family val="2"/>
      <scheme val="minor"/>
    </font>
    <font>
      <sz val="11"/>
      <color theme="1"/>
      <name val="Symbol"/>
      <family val="1"/>
      <charset val="2"/>
    </font>
    <font>
      <sz val="7"/>
      <color theme="1"/>
      <name val="Times New Roman"/>
      <family val="1"/>
    </font>
    <font>
      <sz val="11"/>
      <color theme="1"/>
      <name val="Courier New"/>
      <family val="3"/>
    </font>
    <font>
      <sz val="11"/>
      <color theme="1"/>
      <name val="Wingdings"/>
      <charset val="2"/>
    </font>
    <font>
      <b/>
      <sz val="11"/>
      <color rgb="FF0070C0"/>
      <name val="Calibri"/>
      <family val="2"/>
      <scheme val="minor"/>
    </font>
    <font>
      <sz val="8"/>
      <color rgb="FF000000"/>
      <name val="Verdana"/>
      <family val="2"/>
    </font>
    <font>
      <i/>
      <sz val="11"/>
      <color theme="1"/>
      <name val="Calibri"/>
      <family val="2"/>
      <scheme val="minor"/>
    </font>
    <font>
      <sz val="12"/>
      <color theme="0"/>
      <name val="Calibri"/>
      <family val="2"/>
      <scheme val="minor"/>
    </font>
    <font>
      <b/>
      <sz val="11"/>
      <color rgb="FFFFFFFF"/>
      <name val="Calibri"/>
      <family val="2"/>
      <scheme val="minor"/>
    </font>
    <font>
      <sz val="11"/>
      <color rgb="FF000000"/>
      <name val="Calibri"/>
      <family val="2"/>
      <scheme val="minor"/>
    </font>
    <font>
      <b/>
      <i/>
      <sz val="10"/>
      <color theme="1"/>
      <name val="Tahoma"/>
      <family val="2"/>
    </font>
    <font>
      <b/>
      <sz val="10"/>
      <color theme="1"/>
      <name val="Tahoma"/>
      <family val="2"/>
    </font>
    <font>
      <sz val="11"/>
      <color rgb="FF0070C0"/>
      <name val="Calibri"/>
      <family val="2"/>
    </font>
    <font>
      <sz val="10"/>
      <color theme="4"/>
      <name val="Tahoma"/>
      <family val="2"/>
    </font>
    <font>
      <b/>
      <i/>
      <sz val="11"/>
      <color rgb="FFFFFFFF"/>
      <name val="Calibri"/>
      <family val="2"/>
      <scheme val="minor"/>
    </font>
    <font>
      <b/>
      <sz val="11"/>
      <color rgb="FF000000"/>
      <name val="Calibri"/>
      <family val="2"/>
      <scheme val="minor"/>
    </font>
    <font>
      <sz val="8"/>
      <name val="Calibri"/>
      <family val="2"/>
      <scheme val="minor"/>
    </font>
    <font>
      <i/>
      <sz val="11"/>
      <color rgb="FFFFFFFF"/>
      <name val="Calibri"/>
      <family val="2"/>
      <scheme val="minor"/>
    </font>
    <font>
      <sz val="11"/>
      <color rgb="FF000000"/>
      <name val="Tahoma"/>
      <family val="2"/>
    </font>
    <font>
      <b/>
      <sz val="11"/>
      <color rgb="FF000000"/>
      <name val="Tahoma"/>
      <family val="2"/>
    </font>
    <font>
      <sz val="11"/>
      <color rgb="FFFF0000"/>
      <name val="Calibri"/>
      <family val="2"/>
      <scheme val="minor"/>
    </font>
    <font>
      <strike/>
      <sz val="11"/>
      <color theme="1"/>
      <name val="Calibri"/>
      <family val="2"/>
      <scheme val="minor"/>
    </font>
    <font>
      <b/>
      <sz val="10"/>
      <color rgb="FF0070C0"/>
      <name val="Tahoma"/>
      <family val="2"/>
    </font>
    <font>
      <b/>
      <strike/>
      <sz val="11"/>
      <color theme="1"/>
      <name val="Calibri"/>
      <family val="2"/>
      <scheme val="minor"/>
    </font>
    <font>
      <b/>
      <i/>
      <sz val="11"/>
      <color rgb="FFFF0000"/>
      <name val="Calibri"/>
      <family val="2"/>
      <scheme val="minor"/>
    </font>
    <font>
      <b/>
      <sz val="11"/>
      <color rgb="FFFF0000"/>
      <name val="Calibri"/>
      <family val="2"/>
      <scheme val="minor"/>
    </font>
    <font>
      <sz val="12"/>
      <color rgb="FF000000"/>
      <name val="Calibri"/>
      <family val="2"/>
      <scheme val="minor"/>
    </font>
    <font>
      <b/>
      <sz val="12"/>
      <color rgb="FF000000"/>
      <name val="Calibri"/>
      <family val="2"/>
      <scheme val="minor"/>
    </font>
    <font>
      <sz val="12"/>
      <color rgb="FF000000"/>
      <name val="Tahoma"/>
      <family val="2"/>
    </font>
    <font>
      <b/>
      <sz val="12"/>
      <color rgb="FFFFFFFF"/>
      <name val="Calibri"/>
      <family val="2"/>
      <scheme val="minor"/>
    </font>
    <font>
      <b/>
      <sz val="12"/>
      <color rgb="FF000000"/>
      <name val="Tahoma"/>
      <family val="2"/>
    </font>
    <font>
      <i/>
      <sz val="12"/>
      <color rgb="FFFFFFFF"/>
      <name val="Calibri"/>
      <family val="2"/>
      <scheme val="minor"/>
    </font>
    <font>
      <b/>
      <sz val="14"/>
      <color rgb="FFFFFFFF"/>
      <name val="Calibri"/>
      <family val="2"/>
      <scheme val="minor"/>
    </font>
    <font>
      <sz val="14"/>
      <color rgb="FF000000"/>
      <name val="Tahoma"/>
      <family val="2"/>
    </font>
    <font>
      <sz val="14"/>
      <color rgb="FF000000"/>
      <name val="Calibri"/>
      <family val="2"/>
      <scheme val="minor"/>
    </font>
    <font>
      <sz val="14"/>
      <color rgb="FFFFFFFF"/>
      <name val="Calibri"/>
      <family val="2"/>
      <scheme val="minor"/>
    </font>
    <font>
      <i/>
      <sz val="11"/>
      <color rgb="FF000000"/>
      <name val="Calibri"/>
      <family val="2"/>
      <scheme val="minor"/>
    </font>
    <font>
      <sz val="11"/>
      <color rgb="FF0070C0"/>
      <name val="Calibri"/>
      <family val="2"/>
      <scheme val="minor"/>
    </font>
    <font>
      <b/>
      <sz val="13"/>
      <color rgb="FFFFFFFF"/>
      <name val="Calibri"/>
      <family val="2"/>
      <scheme val="minor"/>
    </font>
    <font>
      <sz val="13"/>
      <color rgb="FF000000"/>
      <name val="Calibri"/>
      <family val="2"/>
      <scheme val="minor"/>
    </font>
    <font>
      <b/>
      <sz val="13"/>
      <color rgb="FF000000"/>
      <name val="Calibri"/>
      <family val="2"/>
      <scheme val="minor"/>
    </font>
    <font>
      <i/>
      <sz val="13"/>
      <color rgb="FFFFFFFF"/>
      <name val="Calibri"/>
      <family val="2"/>
      <scheme val="minor"/>
    </font>
    <font>
      <sz val="10"/>
      <color theme="9"/>
      <name val="Tahoma"/>
      <family val="2"/>
    </font>
    <font>
      <sz val="10"/>
      <color rgb="FFFFC000"/>
      <name val="Tahoma"/>
      <family val="2"/>
    </font>
    <font>
      <strike/>
      <sz val="11"/>
      <color rgb="FF0070C0"/>
      <name val="Calibri"/>
      <family val="2"/>
      <scheme val="minor"/>
    </font>
    <font>
      <sz val="9"/>
      <color rgb="FF003366"/>
      <name val="Verdana"/>
      <family val="2"/>
    </font>
    <font>
      <sz val="12"/>
      <color theme="0"/>
      <name val="Tahoma"/>
      <family val="2"/>
    </font>
    <font>
      <sz val="12"/>
      <color rgb="FFFF0000"/>
      <name val="Calibri"/>
      <family val="2"/>
      <scheme val="minor"/>
    </font>
    <font>
      <sz val="13"/>
      <color rgb="FF000000"/>
      <name val="Tahoma"/>
      <family val="2"/>
    </font>
    <font>
      <sz val="13"/>
      <color rgb="FFFFFFFF"/>
      <name val="Tahoma"/>
      <family val="2"/>
    </font>
    <font>
      <sz val="13"/>
      <name val="Tahoma"/>
      <family val="2"/>
    </font>
    <font>
      <sz val="13"/>
      <color theme="1"/>
      <name val="Calibri"/>
      <family val="2"/>
      <scheme val="minor"/>
    </font>
    <font>
      <b/>
      <i/>
      <sz val="13"/>
      <name val="Calibri"/>
      <family val="2"/>
      <scheme val="minor"/>
    </font>
    <font>
      <b/>
      <u/>
      <sz val="13"/>
      <name val="Calibri"/>
      <family val="2"/>
      <scheme val="minor"/>
    </font>
    <font>
      <sz val="13"/>
      <name val="Calibri"/>
      <family val="2"/>
      <scheme val="minor"/>
    </font>
    <font>
      <vertAlign val="superscript"/>
      <sz val="13"/>
      <name val="Tahoma"/>
      <family val="2"/>
    </font>
    <font>
      <sz val="13"/>
      <color rgb="FFFFFFFF"/>
      <name val="Calibri"/>
      <family val="2"/>
      <scheme val="minor"/>
    </font>
    <font>
      <b/>
      <sz val="13"/>
      <color theme="0"/>
      <name val="Calibri"/>
      <family val="2"/>
      <scheme val="minor"/>
    </font>
    <font>
      <sz val="13"/>
      <color theme="0"/>
      <name val="Tahoma"/>
      <family val="2"/>
    </font>
    <font>
      <b/>
      <sz val="13"/>
      <name val="Calibri"/>
      <family val="2"/>
      <scheme val="minor"/>
    </font>
    <font>
      <b/>
      <sz val="13"/>
      <name val="Tahoma"/>
      <family val="2"/>
    </font>
    <font>
      <i/>
      <sz val="13"/>
      <name val="Calibri"/>
      <family val="2"/>
      <scheme val="minor"/>
    </font>
    <font>
      <b/>
      <sz val="13"/>
      <color theme="5"/>
      <name val="Tahoma"/>
      <family val="2"/>
    </font>
    <font>
      <i/>
      <sz val="13"/>
      <color rgb="FFFF0000"/>
      <name val="Calibri"/>
      <family val="2"/>
      <scheme val="minor"/>
    </font>
    <font>
      <sz val="13"/>
      <color rgb="FFFF0000"/>
      <name val="Tahoma"/>
      <family val="2"/>
    </font>
    <font>
      <vertAlign val="superscript"/>
      <sz val="13"/>
      <name val="Calibri"/>
      <family val="2"/>
      <scheme val="minor"/>
    </font>
    <font>
      <b/>
      <i/>
      <sz val="13"/>
      <name val="Tahoma"/>
      <family val="2"/>
    </font>
    <font>
      <sz val="12"/>
      <color rgb="FFFFFFFF"/>
      <name val="Calibri"/>
      <family val="2"/>
      <scheme val="minor"/>
    </font>
    <font>
      <b/>
      <sz val="14"/>
      <color rgb="FF000000"/>
      <name val="Tahoma"/>
      <family val="2"/>
    </font>
    <font>
      <b/>
      <sz val="14"/>
      <color rgb="FF000000"/>
      <name val="Calibri"/>
      <family val="2"/>
      <scheme val="minor"/>
    </font>
  </fonts>
  <fills count="26">
    <fill>
      <patternFill patternType="none"/>
    </fill>
    <fill>
      <patternFill patternType="gray125"/>
    </fill>
    <fill>
      <patternFill patternType="solid">
        <fgColor rgb="FFF0531E"/>
        <bgColor indexed="64"/>
      </patternFill>
    </fill>
    <fill>
      <patternFill patternType="solid">
        <fgColor rgb="FF5F6269"/>
        <bgColor indexed="64"/>
      </patternFill>
    </fill>
    <fill>
      <patternFill patternType="solid">
        <fgColor rgb="FF002957"/>
        <bgColor indexed="64"/>
      </patternFill>
    </fill>
    <fill>
      <patternFill patternType="solid">
        <fgColor theme="5" tint="-0.249977111117893"/>
        <bgColor indexed="64"/>
      </patternFill>
    </fill>
    <fill>
      <patternFill patternType="solid">
        <fgColor theme="5"/>
        <bgColor indexed="64"/>
      </patternFill>
    </fill>
    <fill>
      <patternFill patternType="solid">
        <fgColor theme="3" tint="-0.249977111117893"/>
        <bgColor indexed="64"/>
      </patternFill>
    </fill>
    <fill>
      <patternFill patternType="solid">
        <fgColor theme="3"/>
        <bgColor indexed="64"/>
      </patternFill>
    </fill>
    <fill>
      <patternFill patternType="solid">
        <fgColor theme="7" tint="0.39997558519241921"/>
        <bgColor indexed="64"/>
      </patternFill>
    </fill>
    <fill>
      <patternFill patternType="solid">
        <fgColor theme="7" tint="-0.499984740745262"/>
        <bgColor indexed="64"/>
      </patternFill>
    </fill>
    <fill>
      <patternFill patternType="solid">
        <fgColor theme="1" tint="0.499984740745262"/>
        <bgColor indexed="64"/>
      </patternFill>
    </fill>
    <fill>
      <patternFill patternType="solid">
        <fgColor theme="8" tint="-0.249977111117893"/>
        <bgColor indexed="64"/>
      </patternFill>
    </fill>
    <fill>
      <patternFill patternType="solid">
        <fgColor rgb="FFFFC0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D9D9D9"/>
        <bgColor indexed="64"/>
      </patternFill>
    </fill>
    <fill>
      <patternFill patternType="solid">
        <fgColor theme="8" tint="-0.499984740745262"/>
        <bgColor indexed="64"/>
      </patternFill>
    </fill>
    <fill>
      <patternFill patternType="solid">
        <fgColor rgb="FFFFFF00"/>
        <bgColor indexed="64"/>
      </patternFill>
    </fill>
    <fill>
      <patternFill patternType="solid">
        <fgColor theme="2"/>
        <bgColor indexed="64"/>
      </patternFill>
    </fill>
    <fill>
      <patternFill patternType="solid">
        <fgColor rgb="FF0070C0"/>
        <bgColor indexed="64"/>
      </patternFill>
    </fill>
    <fill>
      <patternFill patternType="solid">
        <fgColor theme="4" tint="0.59999389629810485"/>
        <bgColor indexed="64"/>
      </patternFill>
    </fill>
    <fill>
      <patternFill patternType="solid">
        <fgColor theme="2" tint="0.89999084444715716"/>
        <bgColor indexed="64"/>
      </patternFill>
    </fill>
    <fill>
      <patternFill patternType="solid">
        <fgColor rgb="FF00B050"/>
        <bgColor indexed="64"/>
      </patternFill>
    </fill>
  </fills>
  <borders count="20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4" tint="0.79995117038483843"/>
      </left>
      <right/>
      <top style="thin">
        <color theme="4" tint="0.79995117038483843"/>
      </top>
      <bottom/>
      <diagonal/>
    </border>
    <border>
      <left style="thin">
        <color theme="3" tint="0.79995117038483843"/>
      </left>
      <right style="thin">
        <color theme="3" tint="0.79995117038483843"/>
      </right>
      <top style="thin">
        <color theme="3" tint="0.79998168889431442"/>
      </top>
      <bottom style="thin">
        <color theme="3" tint="0.79998168889431442"/>
      </bottom>
      <diagonal/>
    </border>
    <border>
      <left style="thin">
        <color theme="3" tint="0.79998168889431442"/>
      </left>
      <right/>
      <top style="thin">
        <color theme="3" tint="0.79998168889431442"/>
      </top>
      <bottom style="thin">
        <color theme="3" tint="0.79998168889431442"/>
      </bottom>
      <diagonal/>
    </border>
    <border>
      <left style="thin">
        <color theme="3" tint="0.79995117038483843"/>
      </left>
      <right style="thin">
        <color theme="3" tint="0.79995117038483843"/>
      </right>
      <top style="thin">
        <color theme="3" tint="0.79998168889431442"/>
      </top>
      <bottom style="thin">
        <color theme="3" tint="0.79995117038483843"/>
      </bottom>
      <diagonal/>
    </border>
    <border>
      <left style="thin">
        <color theme="3" tint="0.79995117038483843"/>
      </left>
      <right/>
      <top style="thin">
        <color theme="3" tint="0.79998168889431442"/>
      </top>
      <bottom style="thin">
        <color theme="3" tint="0.79995117038483843"/>
      </bottom>
      <diagonal/>
    </border>
    <border>
      <left style="thin">
        <color theme="3" tint="0.79995117038483843"/>
      </left>
      <right style="thin">
        <color theme="3" tint="0.79995117038483843"/>
      </right>
      <top/>
      <bottom style="thin">
        <color theme="3" tint="0.79998168889431442"/>
      </bottom>
      <diagonal/>
    </border>
    <border>
      <left style="thin">
        <color theme="3" tint="0.79998168889431442"/>
      </left>
      <right/>
      <top/>
      <bottom style="thin">
        <color theme="3" tint="0.79998168889431442"/>
      </bottom>
      <diagonal/>
    </border>
    <border>
      <left style="thin">
        <color theme="3" tint="0.79995117038483843"/>
      </left>
      <right style="thin">
        <color theme="3" tint="0.79995117038483843"/>
      </right>
      <top/>
      <bottom/>
      <diagonal/>
    </border>
    <border>
      <left style="thin">
        <color theme="3" tint="0.79998168889431442"/>
      </left>
      <right/>
      <top/>
      <bottom/>
      <diagonal/>
    </border>
    <border>
      <left style="thin">
        <color theme="3" tint="0.79995117038483843"/>
      </left>
      <right style="thin">
        <color theme="3" tint="0.79995117038483843"/>
      </right>
      <top style="thin">
        <color theme="3" tint="0.79998168889431442"/>
      </top>
      <bottom/>
      <diagonal/>
    </border>
    <border>
      <left style="thin">
        <color theme="3" tint="0.79998168889431442"/>
      </left>
      <right/>
      <top style="thin">
        <color theme="3" tint="0.79998168889431442"/>
      </top>
      <bottom/>
      <diagonal/>
    </border>
    <border>
      <left style="thin">
        <color theme="3" tint="0.79998168889431442"/>
      </left>
      <right style="thin">
        <color theme="3" tint="0.79998168889431442"/>
      </right>
      <top style="thin">
        <color theme="3" tint="0.79998168889431442"/>
      </top>
      <bottom style="thin">
        <color theme="3" tint="0.79998168889431442"/>
      </bottom>
      <diagonal/>
    </border>
    <border>
      <left/>
      <right style="thin">
        <color theme="3" tint="0.79992065187536243"/>
      </right>
      <top style="thin">
        <color theme="3" tint="0.79995117038483843"/>
      </top>
      <bottom style="thin">
        <color theme="3" tint="0.79998168889431442"/>
      </bottom>
      <diagonal/>
    </border>
    <border>
      <left/>
      <right/>
      <top style="thin">
        <color theme="3" tint="0.79995117038483843"/>
      </top>
      <bottom style="thin">
        <color theme="3" tint="0.79998168889431442"/>
      </bottom>
      <diagonal/>
    </border>
    <border>
      <left style="thin">
        <color theme="3" tint="0.79998168889431442"/>
      </left>
      <right/>
      <top style="thin">
        <color theme="3" tint="0.79995117038483843"/>
      </top>
      <bottom style="thin">
        <color theme="3" tint="0.79998168889431442"/>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left>
      <right/>
      <top style="thin">
        <color theme="0"/>
      </top>
      <bottom/>
      <diagonal/>
    </border>
    <border>
      <left style="thin">
        <color theme="0"/>
      </left>
      <right style="thin">
        <color theme="0"/>
      </right>
      <top style="thin">
        <color indexed="64"/>
      </top>
      <bottom style="thin">
        <color theme="0"/>
      </bottom>
      <diagonal/>
    </border>
    <border>
      <left style="thin">
        <color indexed="64"/>
      </left>
      <right style="thin">
        <color indexed="64"/>
      </right>
      <top/>
      <bottom/>
      <diagonal/>
    </border>
    <border>
      <left style="thin">
        <color theme="0"/>
      </left>
      <right style="thin">
        <color theme="0"/>
      </right>
      <top style="thin">
        <color theme="0"/>
      </top>
      <bottom/>
      <diagonal/>
    </border>
    <border>
      <left style="thin">
        <color indexed="64"/>
      </left>
      <right/>
      <top style="thin">
        <color indexed="64"/>
      </top>
      <bottom style="thin">
        <color theme="0"/>
      </bottom>
      <diagonal/>
    </border>
    <border>
      <left/>
      <right/>
      <top style="thin">
        <color indexed="64"/>
      </top>
      <bottom style="thin">
        <color theme="0"/>
      </bottom>
      <diagonal/>
    </border>
    <border>
      <left/>
      <right style="thin">
        <color theme="0"/>
      </right>
      <top style="thin">
        <color indexed="64"/>
      </top>
      <bottom style="thin">
        <color theme="0"/>
      </bottom>
      <diagonal/>
    </border>
    <border>
      <left style="thin">
        <color theme="0"/>
      </left>
      <right/>
      <top style="thin">
        <color indexed="64"/>
      </top>
      <bottom style="thin">
        <color theme="0"/>
      </bottom>
      <diagonal/>
    </border>
    <border>
      <left/>
      <right style="thin">
        <color indexed="64"/>
      </right>
      <top style="thin">
        <color indexed="64"/>
      </top>
      <bottom style="thin">
        <color theme="0"/>
      </bottom>
      <diagonal/>
    </border>
    <border>
      <left style="thin">
        <color theme="0"/>
      </left>
      <right style="thin">
        <color theme="0"/>
      </right>
      <top style="thin">
        <color theme="0"/>
      </top>
      <bottom style="thin">
        <color theme="0"/>
      </bottom>
      <diagonal/>
    </border>
    <border>
      <left/>
      <right style="thin">
        <color indexed="64"/>
      </right>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theme="0"/>
      </left>
      <right style="thin">
        <color theme="0"/>
      </right>
      <top style="thin">
        <color indexed="64"/>
      </top>
      <bottom/>
      <diagonal/>
    </border>
    <border>
      <left style="thick">
        <color indexed="64"/>
      </left>
      <right style="thin">
        <color theme="0"/>
      </right>
      <top style="thick">
        <color indexed="64"/>
      </top>
      <bottom style="thin">
        <color theme="0"/>
      </bottom>
      <diagonal/>
    </border>
    <border>
      <left style="thin">
        <color theme="0"/>
      </left>
      <right style="thick">
        <color indexed="64"/>
      </right>
      <top style="thick">
        <color indexed="64"/>
      </top>
      <bottom style="thin">
        <color theme="0"/>
      </bottom>
      <diagonal/>
    </border>
    <border>
      <left style="thin">
        <color indexed="64"/>
      </left>
      <right/>
      <top/>
      <bottom/>
      <diagonal/>
    </border>
    <border>
      <left style="thick">
        <color indexed="64"/>
      </left>
      <right style="hair">
        <color indexed="64"/>
      </right>
      <top/>
      <bottom/>
      <diagonal/>
    </border>
    <border>
      <left style="hair">
        <color indexed="64"/>
      </left>
      <right style="thick">
        <color indexed="64"/>
      </right>
      <top/>
      <bottom/>
      <diagonal/>
    </border>
    <border>
      <left/>
      <right style="hair">
        <color indexed="64"/>
      </right>
      <top/>
      <bottom/>
      <diagonal/>
    </border>
    <border>
      <left style="hair">
        <color indexed="64"/>
      </left>
      <right/>
      <top/>
      <bottom/>
      <diagonal/>
    </border>
    <border>
      <left style="thin">
        <color indexed="64"/>
      </left>
      <right style="thin">
        <color theme="0"/>
      </right>
      <top style="thin">
        <color theme="0"/>
      </top>
      <bottom/>
      <diagonal/>
    </border>
    <border>
      <left/>
      <right style="thin">
        <color theme="0"/>
      </right>
      <top style="thin">
        <color theme="0"/>
      </top>
      <bottom/>
      <diagonal/>
    </border>
    <border>
      <left style="thick">
        <color indexed="64"/>
      </left>
      <right style="thin">
        <color theme="0"/>
      </right>
      <top style="thin">
        <color theme="0"/>
      </top>
      <bottom/>
      <diagonal/>
    </border>
    <border>
      <left style="thin">
        <color theme="0"/>
      </left>
      <right style="thick">
        <color indexed="64"/>
      </right>
      <top style="thin">
        <color theme="0"/>
      </top>
      <bottom/>
      <diagonal/>
    </border>
    <border>
      <left style="thin">
        <color theme="0"/>
      </left>
      <right style="thin">
        <color theme="0"/>
      </right>
      <top/>
      <bottom/>
      <diagonal/>
    </border>
    <border>
      <left style="thin">
        <color theme="0"/>
      </left>
      <right style="thin">
        <color indexed="64"/>
      </right>
      <top/>
      <bottom/>
      <diagonal/>
    </border>
    <border>
      <left style="thin">
        <color theme="1"/>
      </left>
      <right style="thin">
        <color theme="1"/>
      </right>
      <top/>
      <bottom/>
      <diagonal/>
    </border>
    <border>
      <left style="thin">
        <color theme="1"/>
      </left>
      <right style="hair">
        <color theme="1"/>
      </right>
      <top/>
      <bottom/>
      <diagonal/>
    </border>
    <border>
      <left style="hair">
        <color theme="1"/>
      </left>
      <right style="hair">
        <color theme="1"/>
      </right>
      <top/>
      <bottom/>
      <diagonal/>
    </border>
    <border>
      <left style="hair">
        <color theme="1"/>
      </left>
      <right style="thin">
        <color theme="1"/>
      </right>
      <top/>
      <bottom/>
      <diagonal/>
    </border>
    <border>
      <left style="thin">
        <color theme="0"/>
      </left>
      <right/>
      <top style="thin">
        <color indexed="64"/>
      </top>
      <bottom/>
      <diagonal/>
    </border>
    <border>
      <left style="thick">
        <color indexed="64"/>
      </left>
      <right style="thin">
        <color theme="0"/>
      </right>
      <top style="thick">
        <color indexed="64"/>
      </top>
      <bottom/>
      <diagonal/>
    </border>
    <border>
      <left/>
      <right style="thick">
        <color indexed="64"/>
      </right>
      <top style="thin">
        <color theme="0"/>
      </top>
      <bottom/>
      <diagonal/>
    </border>
    <border>
      <left/>
      <right style="thick">
        <color indexed="64"/>
      </right>
      <top/>
      <bottom/>
      <diagonal/>
    </border>
    <border>
      <left style="hair">
        <color rgb="FF000000"/>
      </left>
      <right style="thick">
        <color indexed="64"/>
      </right>
      <top/>
      <bottom/>
      <diagonal/>
    </border>
    <border>
      <left style="thin">
        <color rgb="FF000000"/>
      </left>
      <right style="hair">
        <color indexed="64"/>
      </right>
      <top/>
      <bottom/>
      <diagonal/>
    </border>
    <border>
      <left style="thin">
        <color theme="0"/>
      </left>
      <right style="thick">
        <color theme="1"/>
      </right>
      <top style="thick">
        <color auto="1"/>
      </top>
      <bottom/>
      <diagonal/>
    </border>
    <border>
      <left/>
      <right style="thick">
        <color auto="1"/>
      </right>
      <top style="thick">
        <color auto="1"/>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thin">
        <color indexed="64"/>
      </left>
      <right style="thin">
        <color theme="0"/>
      </right>
      <top style="thin">
        <color indexed="64"/>
      </top>
      <bottom/>
      <diagonal/>
    </border>
    <border>
      <left style="thin">
        <color theme="0"/>
      </left>
      <right style="thin">
        <color indexed="64"/>
      </right>
      <top style="thin">
        <color indexed="64"/>
      </top>
      <bottom style="thin">
        <color theme="0"/>
      </bottom>
      <diagonal/>
    </border>
    <border>
      <left style="thin">
        <color indexed="64"/>
      </left>
      <right style="thin">
        <color theme="0"/>
      </right>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1"/>
      </right>
      <top/>
      <bottom/>
      <diagonal/>
    </border>
    <border>
      <left style="hair">
        <color theme="1"/>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theme="0"/>
      </left>
      <right style="thin">
        <color indexed="64"/>
      </right>
      <top style="thin">
        <color indexed="64"/>
      </top>
      <bottom/>
      <diagonal/>
    </border>
    <border>
      <left style="thin">
        <color indexed="64"/>
      </left>
      <right style="thin">
        <color theme="0"/>
      </right>
      <top/>
      <bottom style="thin">
        <color indexed="64"/>
      </bottom>
      <diagonal/>
    </border>
    <border>
      <left style="thin">
        <color theme="0"/>
      </left>
      <right style="thin">
        <color theme="0"/>
      </right>
      <top/>
      <bottom style="thin">
        <color indexed="64"/>
      </bottom>
      <diagonal/>
    </border>
    <border>
      <left style="thin">
        <color theme="0"/>
      </left>
      <right style="thin">
        <color indexed="64"/>
      </right>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indexed="64"/>
      </right>
      <top style="thin">
        <color theme="0"/>
      </top>
      <bottom/>
      <diagonal/>
    </border>
    <border>
      <left style="thin">
        <color indexed="64"/>
      </left>
      <right style="thin">
        <color indexed="64"/>
      </right>
      <top/>
      <bottom style="thin">
        <color rgb="FF000000"/>
      </bottom>
      <diagonal/>
    </border>
    <border>
      <left style="thin">
        <color indexed="64"/>
      </left>
      <right/>
      <top/>
      <bottom style="thin">
        <color rgb="FF000000"/>
      </bottom>
      <diagonal/>
    </border>
    <border>
      <left style="thick">
        <color indexed="64"/>
      </left>
      <right style="hair">
        <color indexed="64"/>
      </right>
      <top/>
      <bottom style="thin">
        <color rgb="FF000000"/>
      </bottom>
      <diagonal/>
    </border>
    <border>
      <left style="hair">
        <color indexed="64"/>
      </left>
      <right style="hair">
        <color indexed="64"/>
      </right>
      <top/>
      <bottom style="thin">
        <color rgb="FF000000"/>
      </bottom>
      <diagonal/>
    </border>
    <border>
      <left style="hair">
        <color indexed="64"/>
      </left>
      <right style="thick">
        <color indexed="64"/>
      </right>
      <top/>
      <bottom style="thin">
        <color rgb="FF000000"/>
      </bottom>
      <diagonal/>
    </border>
    <border>
      <left/>
      <right style="hair">
        <color indexed="64"/>
      </right>
      <top/>
      <bottom style="thin">
        <color rgb="FF000000"/>
      </bottom>
      <diagonal/>
    </border>
    <border>
      <left style="hair">
        <color indexed="64"/>
      </left>
      <right/>
      <top/>
      <bottom style="thin">
        <color rgb="FF000000"/>
      </bottom>
      <diagonal/>
    </border>
    <border>
      <left style="hair">
        <color rgb="FF000000"/>
      </left>
      <right style="thick">
        <color indexed="64"/>
      </right>
      <top/>
      <bottom style="thin">
        <color rgb="FF000000"/>
      </bottom>
      <diagonal/>
    </border>
    <border>
      <left/>
      <right style="thick">
        <color indexed="64"/>
      </right>
      <top/>
      <bottom style="thin">
        <color rgb="FF000000"/>
      </bottom>
      <diagonal/>
    </border>
    <border>
      <left style="thin">
        <color rgb="FF000000"/>
      </left>
      <right style="hair">
        <color indexed="64"/>
      </right>
      <top/>
      <bottom style="thin">
        <color rgb="FF000000"/>
      </bottom>
      <diagonal/>
    </border>
    <border>
      <left/>
      <right style="thin">
        <color indexed="64"/>
      </right>
      <top/>
      <bottom style="thin">
        <color rgb="FF000000"/>
      </bottom>
      <diagonal/>
    </border>
    <border>
      <left style="thin">
        <color indexed="64"/>
      </left>
      <right style="thin">
        <color indexed="64"/>
      </right>
      <top style="thin">
        <color indexed="64"/>
      </top>
      <bottom/>
      <diagonal/>
    </border>
    <border>
      <left style="hair">
        <color indexed="64"/>
      </left>
      <right style="thick">
        <color indexed="64"/>
      </right>
      <top style="thin">
        <color theme="0"/>
      </top>
      <bottom/>
      <diagonal/>
    </border>
    <border>
      <left style="hair">
        <color indexed="64"/>
      </left>
      <right style="thick">
        <color indexed="64"/>
      </right>
      <top/>
      <bottom style="thin">
        <color indexed="64"/>
      </bottom>
      <diagonal/>
    </border>
    <border>
      <left style="thin">
        <color rgb="FFB0370C"/>
      </left>
      <right/>
      <top/>
      <bottom/>
      <diagonal/>
    </border>
    <border>
      <left/>
      <right style="hair">
        <color theme="1"/>
      </right>
      <top/>
      <bottom/>
      <diagonal/>
    </border>
    <border>
      <left style="thin">
        <color indexed="64"/>
      </left>
      <right style="hair">
        <color theme="1"/>
      </right>
      <top/>
      <bottom/>
      <diagonal/>
    </border>
    <border>
      <left style="thin">
        <color auto="1"/>
      </left>
      <right/>
      <top style="thin">
        <color rgb="FF002957"/>
      </top>
      <bottom style="thin">
        <color rgb="FF002957"/>
      </bottom>
      <diagonal/>
    </border>
    <border>
      <left/>
      <right/>
      <top style="thin">
        <color rgb="FF002957"/>
      </top>
      <bottom style="thin">
        <color rgb="FF002957"/>
      </bottom>
      <diagonal/>
    </border>
    <border>
      <left/>
      <right style="thin">
        <color auto="1"/>
      </right>
      <top style="thin">
        <color rgb="FF002957"/>
      </top>
      <bottom style="thin">
        <color rgb="FF002957"/>
      </bottom>
      <diagonal/>
    </border>
    <border>
      <left style="thin">
        <color indexed="64"/>
      </left>
      <right style="thin">
        <color theme="0"/>
      </right>
      <top/>
      <bottom/>
      <diagonal/>
    </border>
    <border>
      <left/>
      <right style="thin">
        <color theme="0"/>
      </right>
      <top/>
      <bottom style="thin">
        <color indexed="64"/>
      </bottom>
      <diagonal/>
    </border>
    <border>
      <left/>
      <right style="thin">
        <color rgb="FFB0370C"/>
      </right>
      <top/>
      <bottom/>
      <diagonal/>
    </border>
    <border>
      <left style="medium">
        <color indexed="64"/>
      </left>
      <right style="thin">
        <color theme="0"/>
      </right>
      <top style="thin">
        <color theme="0"/>
      </top>
      <bottom/>
      <diagonal/>
    </border>
    <border>
      <left style="medium">
        <color indexed="64"/>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thin">
        <color theme="0"/>
      </left>
      <right style="medium">
        <color indexed="64"/>
      </right>
      <top style="thin">
        <color theme="0"/>
      </top>
      <bottom/>
      <diagonal/>
    </border>
    <border>
      <left style="medium">
        <color indexed="64"/>
      </left>
      <right style="hair">
        <color indexed="64"/>
      </right>
      <top/>
      <bottom/>
      <diagonal/>
    </border>
    <border>
      <left style="hair">
        <color indexed="64"/>
      </left>
      <right style="medium">
        <color indexed="64"/>
      </right>
      <top/>
      <bottom/>
      <diagonal/>
    </border>
    <border>
      <left style="medium">
        <color indexed="64"/>
      </left>
      <right style="hair">
        <color indexed="64"/>
      </right>
      <top/>
      <bottom style="thin">
        <color rgb="FF000000"/>
      </bottom>
      <diagonal/>
    </border>
    <border>
      <left style="hair">
        <color indexed="64"/>
      </left>
      <right style="medium">
        <color indexed="64"/>
      </right>
      <top/>
      <bottom style="thin">
        <color rgb="FF000000"/>
      </bottom>
      <diagonal/>
    </border>
    <border>
      <left style="medium">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theme="0"/>
      </right>
      <top style="thin">
        <color indexed="64"/>
      </top>
      <bottom style="thin">
        <color theme="0"/>
      </bottom>
      <diagonal/>
    </border>
    <border>
      <left style="thin">
        <color theme="0"/>
      </left>
      <right style="thick">
        <color indexed="64"/>
      </right>
      <top style="thin">
        <color indexed="64"/>
      </top>
      <bottom style="thin">
        <color theme="0"/>
      </bottom>
      <diagonal/>
    </border>
    <border>
      <left style="thick">
        <color indexed="64"/>
      </left>
      <right style="hair">
        <color indexed="64"/>
      </right>
      <top style="thin">
        <color rgb="FF000000"/>
      </top>
      <bottom/>
      <diagonal/>
    </border>
    <border>
      <left style="hair">
        <color indexed="64"/>
      </left>
      <right style="thick">
        <color indexed="64"/>
      </right>
      <top style="thin">
        <color rgb="FF000000"/>
      </top>
      <bottom/>
      <diagonal/>
    </border>
    <border>
      <left style="thick">
        <color indexed="64"/>
      </left>
      <right style="hair">
        <color indexed="64"/>
      </right>
      <top/>
      <bottom style="thin">
        <color indexed="64"/>
      </bottom>
      <diagonal/>
    </border>
    <border>
      <left style="thick">
        <color indexed="64"/>
      </left>
      <right style="hair">
        <color indexed="64"/>
      </right>
      <top/>
      <bottom style="thick">
        <color indexed="64"/>
      </bottom>
      <diagonal/>
    </border>
    <border>
      <left style="hair">
        <color indexed="64"/>
      </left>
      <right style="thick">
        <color indexed="64"/>
      </right>
      <top/>
      <bottom style="thick">
        <color indexed="64"/>
      </bottom>
      <diagonal/>
    </border>
    <border>
      <left/>
      <right style="hair">
        <color rgb="FF000000"/>
      </right>
      <top/>
      <bottom/>
      <diagonal/>
    </border>
    <border>
      <left style="hair">
        <color rgb="FF000000"/>
      </left>
      <right style="hair">
        <color rgb="FF000000"/>
      </right>
      <top/>
      <bottom/>
      <diagonal/>
    </border>
    <border>
      <left style="hair">
        <color rgb="FF000000"/>
      </left>
      <right style="thin">
        <color indexed="64"/>
      </right>
      <top/>
      <bottom/>
      <diagonal/>
    </border>
    <border>
      <left/>
      <right style="hair">
        <color rgb="FF000000"/>
      </right>
      <top/>
      <bottom style="thin">
        <color rgb="FF000000"/>
      </bottom>
      <diagonal/>
    </border>
    <border>
      <left style="hair">
        <color rgb="FF000000"/>
      </left>
      <right style="hair">
        <color rgb="FF000000"/>
      </right>
      <top/>
      <bottom style="thin">
        <color rgb="FF000000"/>
      </bottom>
      <diagonal/>
    </border>
    <border>
      <left style="hair">
        <color rgb="FF000000"/>
      </left>
      <right style="thin">
        <color indexed="64"/>
      </right>
      <top/>
      <bottom style="thin">
        <color rgb="FF000000"/>
      </bottom>
      <diagonal/>
    </border>
    <border>
      <left style="thin">
        <color indexed="64"/>
      </left>
      <right style="hair">
        <color rgb="FF000000"/>
      </right>
      <top/>
      <bottom/>
      <diagonal/>
    </border>
    <border>
      <left style="thin">
        <color indexed="64"/>
      </left>
      <right style="hair">
        <color rgb="FF000000"/>
      </right>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right style="hair">
        <color indexed="64"/>
      </right>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right style="thick">
        <color indexed="64"/>
      </right>
      <top/>
      <bottom style="thin">
        <color indexed="64"/>
      </bottom>
      <diagonal/>
    </border>
    <border>
      <left/>
      <right style="hair">
        <color rgb="FF000000"/>
      </right>
      <top/>
      <bottom style="thin">
        <color indexed="64"/>
      </bottom>
      <diagonal/>
    </border>
    <border>
      <left style="hair">
        <color rgb="FF000000"/>
      </left>
      <right style="hair">
        <color rgb="FF000000"/>
      </right>
      <top/>
      <bottom style="thin">
        <color indexed="64"/>
      </bottom>
      <diagonal/>
    </border>
    <border>
      <left style="hair">
        <color rgb="FF000000"/>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right/>
      <top/>
      <bottom style="thin">
        <color indexed="64"/>
      </bottom>
      <diagonal/>
    </border>
    <border>
      <left style="thin">
        <color indexed="64"/>
      </left>
      <right style="thin">
        <color theme="0"/>
      </right>
      <top style="thin">
        <color theme="0"/>
      </top>
      <bottom style="thin">
        <color indexed="64"/>
      </bottom>
      <diagonal/>
    </border>
    <border>
      <left/>
      <right/>
      <top style="thin">
        <color indexed="64"/>
      </top>
      <bottom/>
      <diagonal/>
    </border>
    <border>
      <left style="thin">
        <color indexed="64"/>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style="thin">
        <color indexed="64"/>
      </right>
      <top/>
      <bottom style="thin">
        <color theme="0"/>
      </bottom>
      <diagonal/>
    </border>
    <border>
      <left style="thin">
        <color theme="3" tint="0.79995117038483843"/>
      </left>
      <right/>
      <top style="thin">
        <color theme="3" tint="0.79998168889431442"/>
      </top>
      <bottom/>
      <diagonal/>
    </border>
    <border>
      <left style="thin">
        <color theme="3" tint="0.79995117038483843"/>
      </left>
      <right/>
      <top/>
      <bottom/>
      <diagonal/>
    </border>
    <border>
      <left style="thin">
        <color theme="3" tint="0.79995117038483843"/>
      </left>
      <right/>
      <top/>
      <bottom style="thin">
        <color theme="3" tint="0.79998168889431442"/>
      </bottom>
      <diagonal/>
    </border>
    <border>
      <left style="thin">
        <color theme="3" tint="0.79995117038483843"/>
      </left>
      <right/>
      <top style="thin">
        <color theme="3" tint="0.79998168889431442"/>
      </top>
      <bottom style="thin">
        <color theme="3" tint="0.79998168889431442"/>
      </bottom>
      <diagonal/>
    </border>
    <border>
      <left/>
      <right style="hair">
        <color indexed="64"/>
      </right>
      <top style="thin">
        <color indexed="64"/>
      </top>
      <bottom/>
      <diagonal/>
    </border>
    <border>
      <left/>
      <right style="thin">
        <color indexed="64"/>
      </right>
      <top style="thin">
        <color theme="0"/>
      </top>
      <bottom style="thin">
        <color indexed="64"/>
      </bottom>
      <diagonal/>
    </border>
    <border>
      <left/>
      <right style="thin">
        <color theme="0"/>
      </right>
      <top style="thin">
        <color indexed="64"/>
      </top>
      <bottom/>
      <diagonal/>
    </border>
    <border>
      <left style="medium">
        <color indexed="64"/>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style="thin">
        <color indexed="64"/>
      </left>
      <right style="thin">
        <color theme="1"/>
      </right>
      <top/>
      <bottom style="thin">
        <color indexed="64"/>
      </bottom>
      <diagonal/>
    </border>
    <border>
      <left style="thin">
        <color theme="1"/>
      </left>
      <right style="thin">
        <color theme="1"/>
      </right>
      <top/>
      <bottom style="thin">
        <color indexed="64"/>
      </bottom>
      <diagonal/>
    </border>
    <border>
      <left style="thin">
        <color theme="1"/>
      </left>
      <right style="hair">
        <color theme="1"/>
      </right>
      <top/>
      <bottom style="thin">
        <color indexed="64"/>
      </bottom>
      <diagonal/>
    </border>
    <border>
      <left style="hair">
        <color theme="1"/>
      </left>
      <right style="hair">
        <color theme="1"/>
      </right>
      <top/>
      <bottom style="thin">
        <color indexed="64"/>
      </bottom>
      <diagonal/>
    </border>
    <border>
      <left style="hair">
        <color theme="1"/>
      </left>
      <right style="thin">
        <color theme="1"/>
      </right>
      <top/>
      <bottom style="thin">
        <color indexed="64"/>
      </bottom>
      <diagonal/>
    </border>
    <border>
      <left/>
      <right/>
      <top/>
      <bottom style="thin">
        <color theme="3" tint="0.79998168889431442"/>
      </bottom>
      <diagonal/>
    </border>
    <border>
      <left/>
      <right style="thin">
        <color theme="0"/>
      </right>
      <top style="thin">
        <color theme="0"/>
      </top>
      <bottom style="thin">
        <color theme="0"/>
      </bottom>
      <diagonal/>
    </border>
    <border>
      <left/>
      <right/>
      <top/>
      <bottom style="thin">
        <color theme="0"/>
      </bottom>
      <diagonal/>
    </border>
    <border>
      <left/>
      <right/>
      <top style="thin">
        <color theme="0"/>
      </top>
      <bottom/>
      <diagonal/>
    </border>
    <border>
      <left/>
      <right style="thin">
        <color theme="0"/>
      </right>
      <top/>
      <bottom style="thin">
        <color theme="0"/>
      </bottom>
      <diagonal/>
    </border>
    <border>
      <left style="thin">
        <color indexed="64"/>
      </left>
      <right style="thick">
        <color indexed="64"/>
      </right>
      <top/>
      <bottom style="thin">
        <color indexed="64"/>
      </bottom>
      <diagonal/>
    </border>
    <border>
      <left style="thick">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hair">
        <color indexed="64"/>
      </left>
      <right style="thick">
        <color indexed="64"/>
      </right>
      <top style="thin">
        <color indexed="64"/>
      </top>
      <bottom/>
      <diagonal/>
    </border>
    <border>
      <left/>
      <right style="hair">
        <color rgb="FF000000"/>
      </right>
      <top style="thin">
        <color indexed="64"/>
      </top>
      <bottom/>
      <diagonal/>
    </border>
    <border>
      <left style="hair">
        <color rgb="FF000000"/>
      </left>
      <right style="hair">
        <color rgb="FF000000"/>
      </right>
      <top style="thin">
        <color indexed="64"/>
      </top>
      <bottom/>
      <diagonal/>
    </border>
    <border>
      <left style="medium">
        <color indexed="64"/>
      </left>
      <right style="hair">
        <color rgb="FF000000"/>
      </right>
      <top/>
      <bottom style="thin">
        <color indexed="64"/>
      </bottom>
      <diagonal/>
    </border>
    <border>
      <left style="thin">
        <color indexed="64"/>
      </left>
      <right style="hair">
        <color rgb="FF000000"/>
      </right>
      <top style="thin">
        <color indexed="64"/>
      </top>
      <bottom/>
      <diagonal/>
    </border>
    <border>
      <left/>
      <right/>
      <top style="thin">
        <color theme="3" tint="0.79995117038483843"/>
      </top>
      <bottom/>
      <diagonal/>
    </border>
    <border>
      <left style="thin">
        <color indexed="64"/>
      </left>
      <right style="thin">
        <color indexed="64"/>
      </right>
      <top style="thin">
        <color theme="0"/>
      </top>
      <bottom/>
      <diagonal/>
    </border>
    <border>
      <left style="thin">
        <color rgb="FF000000"/>
      </left>
      <right style="hair">
        <color indexed="64"/>
      </right>
      <top/>
      <bottom style="thin">
        <color indexed="64"/>
      </bottom>
      <diagonal/>
    </border>
    <border>
      <left style="medium">
        <color indexed="64"/>
      </left>
      <right style="hair">
        <color indexed="64"/>
      </right>
      <top/>
      <bottom style="thin">
        <color indexed="64"/>
      </bottom>
      <diagonal/>
    </border>
    <border>
      <left style="hair">
        <color indexed="64"/>
      </left>
      <right style="medium">
        <color indexed="64"/>
      </right>
      <top/>
      <bottom style="thin">
        <color indexed="64"/>
      </bottom>
      <diagonal/>
    </border>
    <border>
      <left/>
      <right style="hair">
        <color theme="1"/>
      </right>
      <top/>
      <bottom style="thin">
        <color indexed="64"/>
      </bottom>
      <diagonal/>
    </border>
    <border>
      <left style="thin">
        <color indexed="64"/>
      </left>
      <right style="hair">
        <color theme="1"/>
      </right>
      <top/>
      <bottom style="thin">
        <color indexed="64"/>
      </bottom>
      <diagonal/>
    </border>
    <border>
      <left style="thin">
        <color indexed="64"/>
      </left>
      <right/>
      <top/>
      <bottom style="thin">
        <color theme="0"/>
      </bottom>
      <diagonal/>
    </border>
    <border>
      <left/>
      <right style="thin">
        <color theme="1"/>
      </right>
      <top/>
      <bottom/>
      <diagonal/>
    </border>
    <border>
      <left style="hair">
        <color theme="1"/>
      </left>
      <right style="thin">
        <color indexed="64"/>
      </right>
      <top/>
      <bottom style="thin">
        <color indexed="64"/>
      </bottom>
      <diagonal/>
    </border>
    <border>
      <left style="thin">
        <color theme="0"/>
      </left>
      <right style="thin">
        <color theme="0"/>
      </right>
      <top style="thin">
        <color indexed="64"/>
      </top>
      <bottom style="thin">
        <color indexed="64"/>
      </bottom>
      <diagonal/>
    </border>
    <border>
      <left style="thin">
        <color theme="0"/>
      </left>
      <right style="medium">
        <color indexed="64"/>
      </right>
      <top style="thin">
        <color indexed="64"/>
      </top>
      <bottom style="thin">
        <color indexed="64"/>
      </bottom>
      <diagonal/>
    </border>
    <border>
      <left/>
      <right style="thin">
        <color theme="0"/>
      </right>
      <top style="thin">
        <color indexed="64"/>
      </top>
      <bottom style="thin">
        <color indexed="64"/>
      </bottom>
      <diagonal/>
    </border>
    <border>
      <left/>
      <right style="thin">
        <color indexed="64"/>
      </right>
      <top style="thin">
        <color theme="0"/>
      </top>
      <bottom/>
      <diagonal/>
    </border>
  </borders>
  <cellStyleXfs count="20">
    <xf numFmtId="0" fontId="0" fillId="0" borderId="0"/>
    <xf numFmtId="9" fontId="2" fillId="0" borderId="0" applyFont="0" applyFill="0" applyBorder="0" applyAlignment="0" applyProtection="0"/>
    <xf numFmtId="0" fontId="5" fillId="0" borderId="0"/>
    <xf numFmtId="9" fontId="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4" fontId="22" fillId="0" borderId="0" applyFill="0" applyBorder="0" applyProtection="0">
      <alignment wrapText="1"/>
    </xf>
    <xf numFmtId="0" fontId="23" fillId="0" borderId="0"/>
    <xf numFmtId="0" fontId="23" fillId="0" borderId="0" applyAlignment="0"/>
    <xf numFmtId="0" fontId="26" fillId="0" borderId="0"/>
    <xf numFmtId="0" fontId="5" fillId="0" borderId="0"/>
  </cellStyleXfs>
  <cellXfs count="1368">
    <xf numFmtId="0" fontId="0" fillId="0" borderId="0" xfId="0"/>
    <xf numFmtId="0" fontId="1" fillId="0" borderId="0" xfId="0" applyFont="1"/>
    <xf numFmtId="0" fontId="1" fillId="0" borderId="1" xfId="0" applyFont="1" applyBorder="1"/>
    <xf numFmtId="14" fontId="1" fillId="0" borderId="2" xfId="0" applyNumberFormat="1" applyFont="1" applyBorder="1" applyAlignment="1">
      <alignment horizontal="center"/>
    </xf>
    <xf numFmtId="0" fontId="1" fillId="0" borderId="3" xfId="0" applyFont="1" applyBorder="1"/>
    <xf numFmtId="0" fontId="1" fillId="0" borderId="4" xfId="0" applyFont="1" applyBorder="1" applyAlignment="1">
      <alignment horizontal="center"/>
    </xf>
    <xf numFmtId="0" fontId="1" fillId="0" borderId="5" xfId="0" applyFont="1" applyBorder="1"/>
    <xf numFmtId="0" fontId="1" fillId="0" borderId="7" xfId="0" applyFont="1" applyBorder="1" applyAlignment="1">
      <alignment horizontal="centerContinuous"/>
    </xf>
    <xf numFmtId="0" fontId="1" fillId="0" borderId="8" xfId="0" applyFont="1" applyBorder="1" applyAlignment="1">
      <alignment horizontal="centerContinuous"/>
    </xf>
    <xf numFmtId="0" fontId="1" fillId="0" borderId="3" xfId="0" applyFont="1" applyBorder="1" applyAlignment="1">
      <alignment horizontal="center"/>
    </xf>
    <xf numFmtId="0" fontId="1" fillId="0" borderId="4" xfId="0" applyFont="1" applyBorder="1"/>
    <xf numFmtId="0" fontId="1" fillId="0" borderId="5" xfId="0" applyFont="1" applyBorder="1" applyAlignment="1">
      <alignment horizontal="center"/>
    </xf>
    <xf numFmtId="0" fontId="3" fillId="0" borderId="0" xfId="0" applyFont="1"/>
    <xf numFmtId="0" fontId="3" fillId="0" borderId="0" xfId="0" applyFont="1" applyAlignment="1">
      <alignment horizontal="left"/>
    </xf>
    <xf numFmtId="0" fontId="4" fillId="0" borderId="0" xfId="2" applyFont="1" applyAlignment="1">
      <alignment vertical="top" wrapText="1"/>
    </xf>
    <xf numFmtId="0" fontId="6" fillId="0" borderId="0" xfId="2" applyFont="1" applyAlignment="1">
      <alignment vertical="top"/>
    </xf>
    <xf numFmtId="9" fontId="3" fillId="0" borderId="0" xfId="1" applyFont="1" applyFill="1" applyBorder="1" applyAlignment="1">
      <alignment horizontal="center"/>
    </xf>
    <xf numFmtId="0" fontId="3" fillId="0" borderId="0" xfId="0" applyFont="1" applyAlignment="1">
      <alignment vertical="center"/>
    </xf>
    <xf numFmtId="0" fontId="3" fillId="0" borderId="0" xfId="0" applyFont="1" applyAlignment="1">
      <alignment horizontal="left" vertical="center"/>
    </xf>
    <xf numFmtId="9" fontId="3" fillId="0" borderId="0" xfId="2" applyNumberFormat="1" applyFont="1" applyAlignment="1">
      <alignment horizontal="center" vertical="center"/>
    </xf>
    <xf numFmtId="0" fontId="7" fillId="0" borderId="0" xfId="2" applyFont="1" applyAlignment="1">
      <alignment vertical="center"/>
    </xf>
    <xf numFmtId="164" fontId="8" fillId="0" borderId="0" xfId="2" applyNumberFormat="1" applyFont="1" applyAlignment="1">
      <alignment horizontal="center" vertical="center"/>
    </xf>
    <xf numFmtId="164" fontId="7" fillId="0" borderId="0" xfId="2" applyNumberFormat="1" applyFont="1" applyAlignment="1">
      <alignment horizontal="center" vertical="center"/>
    </xf>
    <xf numFmtId="9" fontId="7" fillId="0" borderId="0" xfId="1" applyFont="1" applyFill="1" applyBorder="1" applyAlignment="1">
      <alignment horizontal="center" vertical="center"/>
    </xf>
    <xf numFmtId="9" fontId="8" fillId="0" borderId="0" xfId="1" applyFont="1" applyFill="1" applyBorder="1" applyAlignment="1">
      <alignment horizontal="center" vertical="center"/>
    </xf>
    <xf numFmtId="1" fontId="9" fillId="0" borderId="0" xfId="2" applyNumberFormat="1" applyFont="1" applyAlignment="1">
      <alignment vertical="center"/>
    </xf>
    <xf numFmtId="0" fontId="4" fillId="0" borderId="0" xfId="2" applyFont="1"/>
    <xf numFmtId="0" fontId="4" fillId="0" borderId="0" xfId="2" applyFont="1" applyAlignment="1">
      <alignment wrapText="1"/>
    </xf>
    <xf numFmtId="0" fontId="3" fillId="0" borderId="0" xfId="2" applyFont="1"/>
    <xf numFmtId="0" fontId="3" fillId="0" borderId="0" xfId="2" applyFont="1" applyAlignment="1">
      <alignment horizontal="center"/>
    </xf>
    <xf numFmtId="165" fontId="3" fillId="0" borderId="0" xfId="2" applyNumberFormat="1" applyFont="1" applyAlignment="1">
      <alignment horizontal="center"/>
    </xf>
    <xf numFmtId="164" fontId="3" fillId="0" borderId="0" xfId="2" applyNumberFormat="1" applyFont="1" applyAlignment="1">
      <alignment horizontal="center"/>
    </xf>
    <xf numFmtId="0" fontId="10" fillId="0" borderId="0" xfId="2" applyFont="1"/>
    <xf numFmtId="0" fontId="9" fillId="0" borderId="0" xfId="2" applyFont="1" applyAlignment="1">
      <alignment vertical="top"/>
    </xf>
    <xf numFmtId="0" fontId="12" fillId="0" borderId="0" xfId="2" applyFont="1" applyAlignment="1">
      <alignment vertical="center"/>
    </xf>
    <xf numFmtId="0" fontId="7" fillId="0" borderId="0" xfId="0" applyFont="1"/>
    <xf numFmtId="0" fontId="3" fillId="0" borderId="0" xfId="2" applyFont="1" applyAlignment="1">
      <alignment horizontal="left"/>
    </xf>
    <xf numFmtId="0" fontId="7" fillId="0" borderId="0" xfId="2" applyFont="1"/>
    <xf numFmtId="0" fontId="12" fillId="0" borderId="0" xfId="2" applyFont="1" applyAlignment="1">
      <alignment horizontal="center"/>
    </xf>
    <xf numFmtId="0" fontId="7" fillId="0" borderId="0" xfId="2" applyFont="1" applyAlignment="1">
      <alignment horizontal="center"/>
    </xf>
    <xf numFmtId="9" fontId="7" fillId="0" borderId="0" xfId="1" applyFont="1" applyFill="1" applyBorder="1" applyAlignment="1">
      <alignment horizontal="center"/>
    </xf>
    <xf numFmtId="9" fontId="12" fillId="0" borderId="0" xfId="1" applyFont="1" applyFill="1" applyBorder="1" applyAlignment="1">
      <alignment horizontal="center"/>
    </xf>
    <xf numFmtId="164" fontId="3" fillId="0" borderId="0" xfId="2" applyNumberFormat="1" applyFont="1" applyAlignment="1">
      <alignment horizontal="center" vertical="center"/>
    </xf>
    <xf numFmtId="0" fontId="3" fillId="0" borderId="0" xfId="2" applyFont="1" applyAlignment="1">
      <alignment vertical="center"/>
    </xf>
    <xf numFmtId="0" fontId="17" fillId="0" borderId="0" xfId="2" applyFont="1" applyAlignment="1">
      <alignment horizontal="center" vertical="center" wrapText="1"/>
    </xf>
    <xf numFmtId="0" fontId="18" fillId="0" borderId="0" xfId="2" applyFont="1" applyAlignment="1">
      <alignment horizontal="center" vertical="top" wrapText="1"/>
    </xf>
    <xf numFmtId="0" fontId="19" fillId="0" borderId="0" xfId="2" applyFont="1"/>
    <xf numFmtId="0" fontId="20" fillId="0" borderId="0" xfId="0" applyFont="1" applyAlignment="1">
      <alignment vertical="center"/>
    </xf>
    <xf numFmtId="0" fontId="21" fillId="0" borderId="0" xfId="0" applyFont="1" applyAlignment="1">
      <alignment horizontal="center" vertical="top"/>
    </xf>
    <xf numFmtId="0" fontId="3" fillId="0" borderId="9" xfId="0" applyFont="1" applyBorder="1"/>
    <xf numFmtId="0" fontId="1" fillId="0" borderId="0" xfId="0" applyFont="1" applyAlignment="1">
      <alignment horizontal="center" vertical="center"/>
    </xf>
    <xf numFmtId="0" fontId="1" fillId="0" borderId="0" xfId="0" applyFont="1" applyAlignment="1">
      <alignment vertical="center"/>
    </xf>
    <xf numFmtId="0" fontId="9" fillId="0" borderId="0" xfId="2" applyFont="1" applyAlignment="1">
      <alignment vertical="center"/>
    </xf>
    <xf numFmtId="0" fontId="3" fillId="0" borderId="9" xfId="0" applyFont="1" applyBorder="1" applyAlignment="1">
      <alignment horizontal="center"/>
    </xf>
    <xf numFmtId="164" fontId="25" fillId="0" borderId="0" xfId="0" applyNumberFormat="1" applyFont="1" applyAlignment="1">
      <alignment horizontal="center"/>
    </xf>
    <xf numFmtId="0" fontId="25" fillId="0" borderId="0" xfId="0" applyFont="1"/>
    <xf numFmtId="164" fontId="25" fillId="0" borderId="11" xfId="0" applyNumberFormat="1" applyFont="1" applyBorder="1" applyAlignment="1">
      <alignment horizontal="center"/>
    </xf>
    <xf numFmtId="0" fontId="25" fillId="0" borderId="12" xfId="0" applyFont="1" applyBorder="1"/>
    <xf numFmtId="164" fontId="4" fillId="0" borderId="13" xfId="18" applyNumberFormat="1" applyFont="1" applyBorder="1" applyAlignment="1">
      <alignment horizontal="center" vertical="center"/>
    </xf>
    <xf numFmtId="0" fontId="4" fillId="0" borderId="14" xfId="18" applyFont="1" applyBorder="1" applyAlignment="1">
      <alignment horizontal="left" vertical="center"/>
    </xf>
    <xf numFmtId="164" fontId="27" fillId="0" borderId="15" xfId="18" applyNumberFormat="1" applyFont="1" applyBorder="1" applyAlignment="1">
      <alignment horizontal="center" vertical="center"/>
    </xf>
    <xf numFmtId="0" fontId="27" fillId="0" borderId="16" xfId="19" applyFont="1" applyBorder="1" applyAlignment="1">
      <alignment horizontal="left" vertical="center"/>
    </xf>
    <xf numFmtId="164" fontId="4" fillId="0" borderId="17" xfId="18" applyNumberFormat="1" applyFont="1" applyBorder="1" applyAlignment="1">
      <alignment horizontal="center" vertical="center"/>
    </xf>
    <xf numFmtId="0" fontId="4" fillId="0" borderId="18" xfId="19" applyFont="1" applyBorder="1" applyAlignment="1">
      <alignment horizontal="left" vertical="center"/>
    </xf>
    <xf numFmtId="164" fontId="27" fillId="0" borderId="17" xfId="18" applyNumberFormat="1" applyFont="1" applyBorder="1" applyAlignment="1">
      <alignment horizontal="center" vertical="center"/>
    </xf>
    <xf numFmtId="0" fontId="27" fillId="0" borderId="18" xfId="19" applyFont="1" applyBorder="1" applyAlignment="1">
      <alignment horizontal="left" vertical="center"/>
    </xf>
    <xf numFmtId="164" fontId="4" fillId="0" borderId="19" xfId="18" applyNumberFormat="1" applyFont="1" applyBorder="1" applyAlignment="1">
      <alignment horizontal="center" vertical="center"/>
    </xf>
    <xf numFmtId="0" fontId="4" fillId="0" borderId="20" xfId="19" applyFont="1" applyBorder="1" applyAlignment="1">
      <alignment horizontal="left" vertical="center"/>
    </xf>
    <xf numFmtId="0" fontId="4" fillId="0" borderId="0" xfId="0" applyFont="1"/>
    <xf numFmtId="0" fontId="28" fillId="0" borderId="0" xfId="18" applyFont="1" applyAlignment="1">
      <alignment horizontal="left" vertical="center"/>
    </xf>
    <xf numFmtId="164" fontId="4" fillId="0" borderId="0" xfId="18" applyNumberFormat="1" applyFont="1" applyAlignment="1">
      <alignment horizontal="center" vertical="center"/>
    </xf>
    <xf numFmtId="0" fontId="4" fillId="0" borderId="0" xfId="18" applyFont="1" applyAlignment="1">
      <alignment horizontal="left" vertical="center"/>
    </xf>
    <xf numFmtId="164" fontId="27" fillId="0" borderId="19" xfId="18" applyNumberFormat="1" applyFont="1" applyBorder="1" applyAlignment="1">
      <alignment horizontal="center" vertical="center"/>
    </xf>
    <xf numFmtId="0" fontId="4" fillId="0" borderId="0" xfId="18" applyFont="1" applyAlignment="1">
      <alignment horizontal="center" vertical="center" wrapText="1"/>
    </xf>
    <xf numFmtId="0" fontId="28" fillId="0" borderId="0" xfId="18" applyFont="1" applyAlignment="1">
      <alignment horizontal="left" vertical="center" wrapText="1"/>
    </xf>
    <xf numFmtId="0" fontId="29" fillId="0" borderId="21" xfId="18" applyFont="1" applyBorder="1" applyAlignment="1">
      <alignment horizontal="center" vertical="center" wrapText="1"/>
    </xf>
    <xf numFmtId="0" fontId="4" fillId="0" borderId="0" xfId="18" applyFont="1" applyAlignment="1">
      <alignment horizontal="left" vertical="center" wrapText="1"/>
    </xf>
    <xf numFmtId="0" fontId="29" fillId="0" borderId="22" xfId="18" applyFont="1" applyBorder="1" applyAlignment="1">
      <alignment horizontal="centerContinuous" vertical="center" wrapText="1"/>
    </xf>
    <xf numFmtId="0" fontId="29" fillId="0" borderId="23" xfId="18" applyFont="1" applyBorder="1" applyAlignment="1">
      <alignment horizontal="centerContinuous" vertical="center" wrapText="1"/>
    </xf>
    <xf numFmtId="0" fontId="29" fillId="0" borderId="24" xfId="18" applyFont="1" applyBorder="1" applyAlignment="1">
      <alignment horizontal="centerContinuous" vertical="center" wrapText="1"/>
    </xf>
    <xf numFmtId="2" fontId="0" fillId="0" borderId="0" xfId="0" applyNumberFormat="1"/>
    <xf numFmtId="0" fontId="0" fillId="0" borderId="0" xfId="0" applyAlignment="1">
      <alignment horizontal="center" vertical="center" wrapText="1"/>
    </xf>
    <xf numFmtId="0" fontId="30" fillId="0" borderId="0" xfId="0" applyFont="1"/>
    <xf numFmtId="0" fontId="1" fillId="0" borderId="25" xfId="0" applyFont="1" applyBorder="1" applyAlignment="1">
      <alignment horizontal="centerContinuous"/>
    </xf>
    <xf numFmtId="0" fontId="1" fillId="0" borderId="26" xfId="0" applyFont="1" applyBorder="1" applyAlignment="1">
      <alignment horizontal="centerContinuous"/>
    </xf>
    <xf numFmtId="0" fontId="31" fillId="0" borderId="4" xfId="0" applyFont="1" applyBorder="1" applyAlignment="1">
      <alignment horizontal="center"/>
    </xf>
    <xf numFmtId="0" fontId="31" fillId="0" borderId="6" xfId="0" applyFont="1" applyBorder="1" applyAlignment="1">
      <alignment horizontal="center"/>
    </xf>
    <xf numFmtId="9" fontId="0" fillId="0" borderId="0" xfId="1" applyFont="1" applyBorder="1" applyAlignment="1">
      <alignment horizontal="center"/>
    </xf>
    <xf numFmtId="0" fontId="1" fillId="0" borderId="0" xfId="0" applyFont="1" applyAlignment="1">
      <alignment horizontal="center"/>
    </xf>
    <xf numFmtId="0" fontId="7" fillId="0" borderId="29" xfId="2" applyFont="1" applyBorder="1" applyAlignment="1">
      <alignment vertical="center"/>
    </xf>
    <xf numFmtId="164" fontId="7" fillId="0" borderId="29" xfId="2" applyNumberFormat="1" applyFont="1" applyBorder="1" applyAlignment="1">
      <alignment horizontal="center" vertical="center"/>
    </xf>
    <xf numFmtId="0" fontId="3" fillId="0" borderId="29" xfId="2" applyFont="1" applyBorder="1" applyAlignment="1">
      <alignment vertical="center"/>
    </xf>
    <xf numFmtId="164" fontId="3" fillId="0" borderId="29" xfId="2" applyNumberFormat="1" applyFont="1" applyBorder="1" applyAlignment="1">
      <alignment horizontal="center" vertical="center"/>
    </xf>
    <xf numFmtId="164" fontId="7" fillId="0" borderId="38" xfId="2" applyNumberFormat="1" applyFont="1" applyBorder="1" applyAlignment="1">
      <alignment horizontal="center" vertical="center"/>
    </xf>
    <xf numFmtId="9" fontId="7" fillId="0" borderId="39" xfId="1" applyFont="1" applyFill="1" applyBorder="1" applyAlignment="1">
      <alignment horizontal="center" vertical="center"/>
    </xf>
    <xf numFmtId="164" fontId="8" fillId="0" borderId="39" xfId="2" applyNumberFormat="1" applyFont="1" applyBorder="1" applyAlignment="1">
      <alignment horizontal="center" vertical="center"/>
    </xf>
    <xf numFmtId="9" fontId="8" fillId="0" borderId="40" xfId="1" applyFont="1" applyFill="1" applyBorder="1" applyAlignment="1">
      <alignment horizontal="center" vertical="center"/>
    </xf>
    <xf numFmtId="164" fontId="3" fillId="0" borderId="38" xfId="2" applyNumberFormat="1" applyFont="1" applyBorder="1" applyAlignment="1">
      <alignment horizontal="center" vertical="center"/>
    </xf>
    <xf numFmtId="9" fontId="3" fillId="0" borderId="39" xfId="1" applyFont="1" applyFill="1" applyBorder="1" applyAlignment="1">
      <alignment horizontal="center" vertical="center"/>
    </xf>
    <xf numFmtId="164" fontId="12" fillId="0" borderId="39" xfId="2" applyNumberFormat="1" applyFont="1" applyBorder="1" applyAlignment="1">
      <alignment horizontal="center" vertical="center"/>
    </xf>
    <xf numFmtId="9" fontId="12" fillId="0" borderId="40" xfId="1" applyFont="1" applyFill="1" applyBorder="1" applyAlignment="1">
      <alignment horizontal="center" vertical="center"/>
    </xf>
    <xf numFmtId="164" fontId="8" fillId="0" borderId="40" xfId="2" applyNumberFormat="1" applyFont="1" applyBorder="1" applyAlignment="1">
      <alignment horizontal="center" vertical="center"/>
    </xf>
    <xf numFmtId="164" fontId="12" fillId="0" borderId="40" xfId="2" applyNumberFormat="1" applyFont="1" applyBorder="1" applyAlignment="1">
      <alignment horizontal="center" vertical="center"/>
    </xf>
    <xf numFmtId="164" fontId="8" fillId="0" borderId="38" xfId="2" applyNumberFormat="1" applyFont="1" applyBorder="1" applyAlignment="1">
      <alignment horizontal="center" vertical="center"/>
    </xf>
    <xf numFmtId="9" fontId="8" fillId="0" borderId="39" xfId="1" applyFont="1" applyFill="1" applyBorder="1" applyAlignment="1">
      <alignment horizontal="center" vertical="center"/>
    </xf>
    <xf numFmtId="164" fontId="7" fillId="0" borderId="39" xfId="2" applyNumberFormat="1" applyFont="1" applyBorder="1" applyAlignment="1">
      <alignment horizontal="center" vertical="center"/>
    </xf>
    <xf numFmtId="9" fontId="7" fillId="0" borderId="40" xfId="1" applyFont="1" applyFill="1" applyBorder="1" applyAlignment="1">
      <alignment horizontal="center" vertical="center"/>
    </xf>
    <xf numFmtId="164" fontId="12" fillId="0" borderId="38" xfId="2" applyNumberFormat="1" applyFont="1" applyBorder="1" applyAlignment="1">
      <alignment horizontal="center" vertical="center"/>
    </xf>
    <xf numFmtId="9" fontId="12" fillId="0" borderId="39" xfId="1" applyFont="1" applyFill="1" applyBorder="1" applyAlignment="1">
      <alignment horizontal="center" vertical="center"/>
    </xf>
    <xf numFmtId="164" fontId="3" fillId="0" borderId="39" xfId="2" applyNumberFormat="1" applyFont="1" applyBorder="1" applyAlignment="1">
      <alignment horizontal="center" vertical="center"/>
    </xf>
    <xf numFmtId="9" fontId="3" fillId="0" borderId="40" xfId="1" applyFont="1" applyFill="1" applyBorder="1" applyAlignment="1">
      <alignment horizontal="center" vertical="center"/>
    </xf>
    <xf numFmtId="14" fontId="21" fillId="0" borderId="0" xfId="0" applyNumberFormat="1" applyFont="1" applyAlignment="1">
      <alignment horizontal="center" vertical="top"/>
    </xf>
    <xf numFmtId="0" fontId="25" fillId="0" borderId="9" xfId="0" applyFont="1" applyBorder="1"/>
    <xf numFmtId="0" fontId="25" fillId="0" borderId="9" xfId="0" applyFont="1" applyBorder="1" applyAlignment="1">
      <alignment horizontal="center"/>
    </xf>
    <xf numFmtId="0" fontId="1" fillId="0" borderId="29" xfId="0" applyFont="1" applyBorder="1" applyAlignment="1">
      <alignment horizontal="center" vertical="center"/>
    </xf>
    <xf numFmtId="164" fontId="4" fillId="0" borderId="55" xfId="2" applyNumberFormat="1" applyFont="1" applyBorder="1" applyAlignment="1">
      <alignment horizontal="center" vertical="center"/>
    </xf>
    <xf numFmtId="0" fontId="4" fillId="0" borderId="55" xfId="2" applyFont="1" applyBorder="1" applyAlignment="1">
      <alignment horizontal="center" vertical="center"/>
    </xf>
    <xf numFmtId="164" fontId="4" fillId="0" borderId="56" xfId="2" applyNumberFormat="1" applyFont="1" applyBorder="1" applyAlignment="1">
      <alignment horizontal="center" vertical="center"/>
    </xf>
    <xf numFmtId="9" fontId="4" fillId="0" borderId="57" xfId="1" applyFont="1" applyFill="1" applyBorder="1" applyAlignment="1">
      <alignment horizontal="center" vertical="center"/>
    </xf>
    <xf numFmtId="164" fontId="10" fillId="0" borderId="57" xfId="2" applyNumberFormat="1" applyFont="1" applyBorder="1" applyAlignment="1">
      <alignment horizontal="center" vertical="center"/>
    </xf>
    <xf numFmtId="9" fontId="10" fillId="0" borderId="58" xfId="1" applyFont="1" applyFill="1" applyBorder="1" applyAlignment="1">
      <alignment horizontal="center" vertical="center"/>
    </xf>
    <xf numFmtId="164" fontId="10" fillId="0" borderId="58" xfId="2" applyNumberFormat="1" applyFont="1" applyBorder="1" applyAlignment="1">
      <alignment horizontal="center" vertical="center"/>
    </xf>
    <xf numFmtId="0" fontId="1" fillId="0" borderId="29" xfId="0" quotePrefix="1" applyFont="1" applyBorder="1" applyAlignment="1">
      <alignment horizontal="center" vertical="center"/>
    </xf>
    <xf numFmtId="0" fontId="1" fillId="0" borderId="44" xfId="0" quotePrefix="1" applyFont="1" applyBorder="1" applyAlignment="1">
      <alignment horizontal="center" vertical="center"/>
    </xf>
    <xf numFmtId="164" fontId="1" fillId="0" borderId="45" xfId="0" applyNumberFormat="1" applyFont="1" applyBorder="1" applyAlignment="1">
      <alignment horizontal="center" vertical="center"/>
    </xf>
    <xf numFmtId="164" fontId="1" fillId="0" borderId="39" xfId="0" applyNumberFormat="1" applyFont="1" applyBorder="1" applyAlignment="1">
      <alignment horizontal="center" vertical="center"/>
    </xf>
    <xf numFmtId="164" fontId="1" fillId="0" borderId="46" xfId="0" applyNumberFormat="1" applyFont="1" applyBorder="1" applyAlignment="1">
      <alignment horizontal="center" vertical="center"/>
    </xf>
    <xf numFmtId="9" fontId="1" fillId="0" borderId="39" xfId="1" applyFont="1" applyFill="1" applyBorder="1" applyAlignment="1">
      <alignment horizontal="center" vertical="center"/>
    </xf>
    <xf numFmtId="9" fontId="1" fillId="0" borderId="48" xfId="1" applyFont="1" applyFill="1" applyBorder="1" applyAlignment="1">
      <alignment horizontal="center" vertical="center"/>
    </xf>
    <xf numFmtId="164" fontId="1" fillId="0" borderId="63" xfId="0" applyNumberFormat="1" applyFont="1" applyBorder="1" applyAlignment="1">
      <alignment horizontal="center" vertical="center"/>
    </xf>
    <xf numFmtId="164" fontId="1" fillId="0" borderId="62" xfId="0" applyNumberFormat="1" applyFont="1" applyBorder="1" applyAlignment="1">
      <alignment horizontal="center" vertical="center"/>
    </xf>
    <xf numFmtId="164" fontId="1" fillId="0" borderId="64" xfId="0" applyNumberFormat="1" applyFont="1" applyBorder="1" applyAlignment="1">
      <alignment horizontal="center" vertical="center"/>
    </xf>
    <xf numFmtId="0" fontId="1" fillId="0" borderId="44" xfId="0" applyFont="1" applyBorder="1" applyAlignment="1">
      <alignment horizontal="left" vertical="center"/>
    </xf>
    <xf numFmtId="0" fontId="1" fillId="0" borderId="29" xfId="0" applyFont="1" applyBorder="1" applyAlignment="1">
      <alignment horizontal="left" vertical="center"/>
    </xf>
    <xf numFmtId="0" fontId="16" fillId="2" borderId="31" xfId="0" applyFont="1" applyFill="1" applyBorder="1" applyAlignment="1">
      <alignment vertical="center"/>
    </xf>
    <xf numFmtId="0" fontId="16" fillId="2" borderId="32" xfId="0" applyFont="1" applyFill="1" applyBorder="1" applyAlignment="1">
      <alignment vertical="center"/>
    </xf>
    <xf numFmtId="0" fontId="16" fillId="2" borderId="49" xfId="0" applyFont="1" applyFill="1" applyBorder="1" applyAlignment="1">
      <alignment horizontal="center" vertical="center" wrapText="1"/>
    </xf>
    <xf numFmtId="0" fontId="16" fillId="2" borderId="30" xfId="0" applyFont="1" applyFill="1" applyBorder="1" applyAlignment="1">
      <alignment horizontal="center" vertical="center" wrapText="1"/>
    </xf>
    <xf numFmtId="0" fontId="16" fillId="2" borderId="27" xfId="0" applyFont="1" applyFill="1" applyBorder="1" applyAlignment="1">
      <alignment horizontal="center" vertical="center" wrapText="1"/>
    </xf>
    <xf numFmtId="0" fontId="16" fillId="2" borderId="36" xfId="2" applyFont="1" applyFill="1" applyBorder="1" applyAlignment="1">
      <alignment horizontal="center" vertical="center"/>
    </xf>
    <xf numFmtId="0" fontId="16" fillId="2" borderId="36" xfId="2" applyFont="1" applyFill="1" applyBorder="1" applyAlignment="1">
      <alignment horizontal="center" vertical="center" wrapText="1"/>
    </xf>
    <xf numFmtId="0" fontId="15" fillId="2" borderId="36" xfId="2" applyFont="1" applyFill="1" applyBorder="1" applyAlignment="1">
      <alignment horizontal="center" vertical="center" wrapText="1"/>
    </xf>
    <xf numFmtId="0" fontId="7" fillId="0" borderId="29" xfId="2" applyFont="1" applyBorder="1" applyAlignment="1">
      <alignment horizontal="center" vertical="center"/>
    </xf>
    <xf numFmtId="0" fontId="16" fillId="3" borderId="10" xfId="0" applyFont="1" applyFill="1" applyBorder="1" applyAlignment="1">
      <alignment horizontal="center" vertical="center" wrapText="1"/>
    </xf>
    <xf numFmtId="0" fontId="15" fillId="2" borderId="36" xfId="2" applyFont="1" applyFill="1" applyBorder="1" applyAlignment="1">
      <alignment horizontal="center" vertical="center"/>
    </xf>
    <xf numFmtId="9" fontId="16" fillId="2" borderId="36" xfId="1" applyFont="1" applyFill="1" applyBorder="1" applyAlignment="1">
      <alignment horizontal="center" vertical="center" wrapText="1"/>
    </xf>
    <xf numFmtId="9" fontId="15" fillId="2" borderId="36" xfId="1" applyFont="1" applyFill="1" applyBorder="1" applyAlignment="1">
      <alignment horizontal="center" vertical="center"/>
    </xf>
    <xf numFmtId="0" fontId="14" fillId="2" borderId="53" xfId="0" applyFont="1" applyFill="1" applyBorder="1" applyAlignment="1">
      <alignment horizontal="center" wrapText="1"/>
    </xf>
    <xf numFmtId="0" fontId="14" fillId="2" borderId="69" xfId="0" applyFont="1" applyFill="1" applyBorder="1" applyAlignment="1">
      <alignment horizontal="center" wrapText="1"/>
    </xf>
    <xf numFmtId="0" fontId="0" fillId="0" borderId="37" xfId="0" applyBorder="1"/>
    <xf numFmtId="9" fontId="0" fillId="0" borderId="29" xfId="1" applyFont="1" applyBorder="1" applyAlignment="1">
      <alignment horizontal="center"/>
    </xf>
    <xf numFmtId="9" fontId="0" fillId="0" borderId="44" xfId="1" applyFont="1" applyBorder="1" applyAlignment="1">
      <alignment horizontal="center"/>
    </xf>
    <xf numFmtId="0" fontId="14" fillId="2" borderId="53" xfId="0" applyFont="1" applyFill="1" applyBorder="1" applyAlignment="1">
      <alignment horizontal="center" vertical="top" wrapText="1"/>
    </xf>
    <xf numFmtId="0" fontId="14" fillId="2" borderId="69" xfId="0" applyFont="1" applyFill="1" applyBorder="1" applyAlignment="1">
      <alignment horizontal="center" vertical="top" wrapText="1"/>
    </xf>
    <xf numFmtId="0" fontId="24" fillId="3" borderId="68" xfId="0" applyFont="1" applyFill="1" applyBorder="1"/>
    <xf numFmtId="9" fontId="24" fillId="3" borderId="53" xfId="1" applyFont="1" applyFill="1" applyBorder="1" applyAlignment="1">
      <alignment horizontal="center"/>
    </xf>
    <xf numFmtId="9" fontId="24" fillId="3" borderId="69" xfId="1" applyFont="1" applyFill="1" applyBorder="1" applyAlignment="1">
      <alignment horizontal="center"/>
    </xf>
    <xf numFmtId="0" fontId="0" fillId="0" borderId="0" xfId="0" applyAlignment="1">
      <alignment horizontal="center"/>
    </xf>
    <xf numFmtId="0" fontId="16" fillId="2" borderId="28" xfId="2" applyFont="1" applyFill="1" applyBorder="1" applyAlignment="1">
      <alignment horizontal="centerContinuous" vertical="center" wrapText="1"/>
    </xf>
    <xf numFmtId="0" fontId="15" fillId="2" borderId="28" xfId="2" applyFont="1" applyFill="1" applyBorder="1" applyAlignment="1">
      <alignment horizontal="centerContinuous" vertical="center" wrapText="1"/>
    </xf>
    <xf numFmtId="0" fontId="16" fillId="2" borderId="71" xfId="2" applyFont="1" applyFill="1" applyBorder="1" applyAlignment="1">
      <alignment horizontal="centerContinuous" vertical="center" wrapText="1"/>
    </xf>
    <xf numFmtId="0" fontId="15" fillId="2" borderId="73" xfId="2" applyFont="1" applyFill="1" applyBorder="1" applyAlignment="1">
      <alignment horizontal="center" vertical="center"/>
    </xf>
    <xf numFmtId="164" fontId="10" fillId="0" borderId="75" xfId="2" applyNumberFormat="1" applyFont="1" applyBorder="1" applyAlignment="1">
      <alignment horizontal="center" vertical="center"/>
    </xf>
    <xf numFmtId="164" fontId="7" fillId="0" borderId="76" xfId="2" applyNumberFormat="1" applyFont="1" applyBorder="1" applyAlignment="1">
      <alignment horizontal="center" vertical="center"/>
    </xf>
    <xf numFmtId="0" fontId="7" fillId="0" borderId="76" xfId="2" applyFont="1" applyBorder="1" applyAlignment="1">
      <alignment horizontal="center" vertical="center"/>
    </xf>
    <xf numFmtId="164" fontId="7" fillId="0" borderId="77" xfId="2" applyNumberFormat="1" applyFont="1" applyBorder="1" applyAlignment="1">
      <alignment horizontal="center" vertical="center"/>
    </xf>
    <xf numFmtId="9" fontId="7" fillId="0" borderId="78" xfId="1" applyFont="1" applyFill="1" applyBorder="1" applyAlignment="1">
      <alignment horizontal="center" vertical="center"/>
    </xf>
    <xf numFmtId="164" fontId="7" fillId="0" borderId="78" xfId="2" applyNumberFormat="1" applyFont="1" applyBorder="1" applyAlignment="1">
      <alignment horizontal="center" vertical="center"/>
    </xf>
    <xf numFmtId="9" fontId="7" fillId="0" borderId="79" xfId="1" applyFont="1" applyFill="1" applyBorder="1" applyAlignment="1">
      <alignment horizontal="center" vertical="center"/>
    </xf>
    <xf numFmtId="164" fontId="7" fillId="0" borderId="79" xfId="2" applyNumberFormat="1" applyFont="1" applyBorder="1" applyAlignment="1">
      <alignment horizontal="center" vertical="center"/>
    </xf>
    <xf numFmtId="164" fontId="14" fillId="3" borderId="41" xfId="2" applyNumberFormat="1" applyFont="1" applyFill="1" applyBorder="1" applyAlignment="1">
      <alignment horizontal="center" vertical="center"/>
    </xf>
    <xf numFmtId="0" fontId="14" fillId="3" borderId="41" xfId="2" applyFont="1" applyFill="1" applyBorder="1" applyAlignment="1">
      <alignment horizontal="center" vertical="center"/>
    </xf>
    <xf numFmtId="9" fontId="14" fillId="3" borderId="41" xfId="1" applyFont="1" applyFill="1" applyBorder="1" applyAlignment="1">
      <alignment horizontal="center" vertical="center"/>
    </xf>
    <xf numFmtId="164" fontId="13" fillId="3" borderId="41" xfId="2" applyNumberFormat="1" applyFont="1" applyFill="1" applyBorder="1" applyAlignment="1">
      <alignment horizontal="center" vertical="center"/>
    </xf>
    <xf numFmtId="9" fontId="13" fillId="3" borderId="41" xfId="1" applyFont="1" applyFill="1" applyBorder="1" applyAlignment="1">
      <alignment horizontal="center" vertical="center"/>
    </xf>
    <xf numFmtId="164" fontId="13" fillId="3" borderId="80" xfId="2" applyNumberFormat="1" applyFont="1" applyFill="1" applyBorder="1" applyAlignment="1">
      <alignment horizontal="center" vertical="center"/>
    </xf>
    <xf numFmtId="9" fontId="11" fillId="3" borderId="82" xfId="3" applyFont="1" applyFill="1" applyBorder="1" applyAlignment="1">
      <alignment horizontal="center" vertical="center"/>
    </xf>
    <xf numFmtId="0" fontId="11" fillId="3" borderId="82" xfId="2" applyFont="1" applyFill="1" applyBorder="1" applyAlignment="1">
      <alignment vertical="center"/>
    </xf>
    <xf numFmtId="9" fontId="11" fillId="3" borderId="82" xfId="1" applyFont="1" applyFill="1" applyBorder="1" applyAlignment="1">
      <alignment horizontal="center" vertical="center"/>
    </xf>
    <xf numFmtId="9" fontId="11" fillId="3" borderId="83" xfId="3" applyFont="1" applyFill="1" applyBorder="1" applyAlignment="1">
      <alignment horizontal="center" vertical="center"/>
    </xf>
    <xf numFmtId="0" fontId="16" fillId="2" borderId="84" xfId="2" applyFont="1" applyFill="1" applyBorder="1" applyAlignment="1">
      <alignment horizontal="centerContinuous" vertical="center" wrapText="1"/>
    </xf>
    <xf numFmtId="0" fontId="14" fillId="2" borderId="49" xfId="2" applyFont="1" applyFill="1" applyBorder="1" applyAlignment="1">
      <alignment horizontal="center" vertical="center"/>
    </xf>
    <xf numFmtId="0" fontId="14" fillId="2" borderId="85" xfId="2" applyFont="1" applyFill="1" applyBorder="1" applyAlignment="1">
      <alignment horizontal="center" vertical="center"/>
    </xf>
    <xf numFmtId="0" fontId="3" fillId="4" borderId="44" xfId="2" applyFont="1" applyFill="1" applyBorder="1"/>
    <xf numFmtId="0" fontId="3" fillId="4" borderId="37" xfId="2" applyFont="1" applyFill="1" applyBorder="1"/>
    <xf numFmtId="9" fontId="14" fillId="3" borderId="70" xfId="1" applyFont="1" applyFill="1" applyBorder="1" applyAlignment="1">
      <alignment horizontal="center" vertical="center"/>
    </xf>
    <xf numFmtId="9" fontId="13" fillId="3" borderId="80" xfId="1" applyFont="1" applyFill="1" applyBorder="1" applyAlignment="1">
      <alignment horizontal="center" vertical="center"/>
    </xf>
    <xf numFmtId="9" fontId="11" fillId="3" borderId="81" xfId="1" applyFont="1" applyFill="1" applyBorder="1" applyAlignment="1">
      <alignment horizontal="center" vertical="center"/>
    </xf>
    <xf numFmtId="9" fontId="11" fillId="3" borderId="83" xfId="1" applyFont="1" applyFill="1" applyBorder="1" applyAlignment="1">
      <alignment horizontal="center" vertical="center"/>
    </xf>
    <xf numFmtId="0" fontId="4" fillId="0" borderId="74" xfId="2" applyFont="1" applyBorder="1" applyAlignment="1">
      <alignment horizontal="center" vertical="center"/>
    </xf>
    <xf numFmtId="0" fontId="3" fillId="0" borderId="29" xfId="2" applyFont="1" applyBorder="1" applyAlignment="1">
      <alignment horizontal="center" vertical="center"/>
    </xf>
    <xf numFmtId="0" fontId="14" fillId="3" borderId="70" xfId="0" applyFont="1" applyFill="1" applyBorder="1" applyAlignment="1">
      <alignment horizontal="center" vertical="center" wrapText="1"/>
    </xf>
    <xf numFmtId="0" fontId="11" fillId="3" borderId="81" xfId="2" applyFont="1" applyFill="1" applyBorder="1" applyAlignment="1">
      <alignment horizontal="center" vertical="center"/>
    </xf>
    <xf numFmtId="0" fontId="15" fillId="4" borderId="44" xfId="2" applyFont="1" applyFill="1" applyBorder="1" applyAlignment="1">
      <alignment horizontal="centerContinuous" vertical="center"/>
    </xf>
    <xf numFmtId="0" fontId="15" fillId="4" borderId="0" xfId="2" applyFont="1" applyFill="1" applyAlignment="1">
      <alignment horizontal="centerContinuous" vertical="center"/>
    </xf>
    <xf numFmtId="0" fontId="13" fillId="4" borderId="0" xfId="2" applyFont="1" applyFill="1" applyAlignment="1">
      <alignment horizontal="centerContinuous" vertical="center"/>
    </xf>
    <xf numFmtId="9" fontId="13" fillId="4" borderId="0" xfId="1" applyFont="1" applyFill="1" applyBorder="1" applyAlignment="1">
      <alignment horizontal="centerContinuous" vertical="center"/>
    </xf>
    <xf numFmtId="0" fontId="13" fillId="4" borderId="37" xfId="2" applyFont="1" applyFill="1" applyBorder="1" applyAlignment="1">
      <alignment horizontal="centerContinuous" vertical="center"/>
    </xf>
    <xf numFmtId="9" fontId="4" fillId="0" borderId="38" xfId="1" applyFont="1" applyFill="1" applyBorder="1" applyAlignment="1">
      <alignment horizontal="center" vertical="center"/>
    </xf>
    <xf numFmtId="9" fontId="4" fillId="0" borderId="40" xfId="1" applyFont="1" applyFill="1" applyBorder="1" applyAlignment="1">
      <alignment horizontal="center" vertical="center"/>
    </xf>
    <xf numFmtId="9" fontId="3" fillId="0" borderId="38" xfId="1" applyFont="1" applyFill="1" applyBorder="1" applyAlignment="1">
      <alignment horizontal="center" vertical="center"/>
    </xf>
    <xf numFmtId="9" fontId="7" fillId="0" borderId="38" xfId="1" applyFont="1" applyFill="1" applyBorder="1" applyAlignment="1">
      <alignment horizontal="center" vertical="center"/>
    </xf>
    <xf numFmtId="9" fontId="7" fillId="0" borderId="77" xfId="1" applyFont="1" applyFill="1" applyBorder="1" applyAlignment="1">
      <alignment horizontal="center" vertical="center"/>
    </xf>
    <xf numFmtId="0" fontId="1" fillId="0" borderId="76" xfId="0" applyFont="1" applyBorder="1" applyAlignment="1">
      <alignment horizontal="center" vertical="center"/>
    </xf>
    <xf numFmtId="0" fontId="1" fillId="0" borderId="86" xfId="0" applyFont="1" applyBorder="1" applyAlignment="1">
      <alignment horizontal="center" vertical="center"/>
    </xf>
    <xf numFmtId="0" fontId="1" fillId="0" borderId="86" xfId="0" applyFont="1" applyBorder="1" applyAlignment="1">
      <alignment horizontal="left" vertical="center"/>
    </xf>
    <xf numFmtId="0" fontId="1" fillId="0" borderId="87" xfId="0" quotePrefix="1" applyFont="1" applyBorder="1" applyAlignment="1">
      <alignment horizontal="center" vertical="center"/>
    </xf>
    <xf numFmtId="0" fontId="1" fillId="0" borderId="87" xfId="0" applyFont="1" applyBorder="1" applyAlignment="1">
      <alignment horizontal="left" vertical="center"/>
    </xf>
    <xf numFmtId="164" fontId="1" fillId="0" borderId="88" xfId="0" applyNumberFormat="1" applyFont="1" applyBorder="1" applyAlignment="1">
      <alignment horizontal="center" vertical="center"/>
    </xf>
    <xf numFmtId="164" fontId="1" fillId="0" borderId="89" xfId="0" applyNumberFormat="1" applyFont="1" applyBorder="1" applyAlignment="1">
      <alignment horizontal="center" vertical="center"/>
    </xf>
    <xf numFmtId="164" fontId="1" fillId="0" borderId="90" xfId="0" applyNumberFormat="1" applyFont="1" applyBorder="1" applyAlignment="1">
      <alignment horizontal="center" vertical="center"/>
    </xf>
    <xf numFmtId="9" fontId="1" fillId="0" borderId="89" xfId="1" applyFont="1" applyFill="1" applyBorder="1" applyAlignment="1">
      <alignment horizontal="center" vertical="center"/>
    </xf>
    <xf numFmtId="9" fontId="1" fillId="0" borderId="92" xfId="1" applyFont="1" applyFill="1" applyBorder="1" applyAlignment="1">
      <alignment horizontal="center" vertical="center"/>
    </xf>
    <xf numFmtId="164" fontId="1" fillId="0" borderId="93" xfId="0" applyNumberFormat="1" applyFont="1" applyBorder="1" applyAlignment="1">
      <alignment horizontal="center" vertical="center"/>
    </xf>
    <xf numFmtId="164" fontId="1" fillId="0" borderId="94" xfId="0" applyNumberFormat="1" applyFont="1" applyBorder="1" applyAlignment="1">
      <alignment horizontal="center" vertical="center"/>
    </xf>
    <xf numFmtId="164" fontId="1" fillId="0" borderId="95" xfId="0" applyNumberFormat="1" applyFont="1" applyBorder="1" applyAlignment="1">
      <alignment horizontal="center" vertical="center"/>
    </xf>
    <xf numFmtId="0" fontId="32" fillId="0" borderId="29" xfId="0" applyFont="1" applyBorder="1" applyAlignment="1">
      <alignment horizontal="center" vertical="center"/>
    </xf>
    <xf numFmtId="0" fontId="33" fillId="0" borderId="44" xfId="0" quotePrefix="1" applyFont="1" applyBorder="1" applyAlignment="1">
      <alignment horizontal="center" vertical="center"/>
    </xf>
    <xf numFmtId="0" fontId="33" fillId="0" borderId="44" xfId="0" applyFont="1" applyBorder="1" applyAlignment="1">
      <alignment horizontal="left" vertical="center"/>
    </xf>
    <xf numFmtId="164" fontId="33" fillId="0" borderId="45" xfId="0" applyNumberFormat="1" applyFont="1" applyBorder="1" applyAlignment="1">
      <alignment horizontal="center" vertical="center"/>
    </xf>
    <xf numFmtId="164" fontId="33" fillId="0" borderId="88" xfId="0" applyNumberFormat="1" applyFont="1" applyBorder="1" applyAlignment="1">
      <alignment horizontal="center" vertical="center"/>
    </xf>
    <xf numFmtId="164" fontId="33" fillId="0" borderId="47" xfId="0" applyNumberFormat="1" applyFont="1" applyBorder="1" applyAlignment="1">
      <alignment horizontal="center" vertical="center"/>
    </xf>
    <xf numFmtId="164" fontId="33" fillId="0" borderId="91" xfId="0" applyNumberFormat="1" applyFont="1" applyBorder="1" applyAlignment="1">
      <alignment horizontal="center" vertical="center"/>
    </xf>
    <xf numFmtId="9" fontId="33" fillId="0" borderId="48" xfId="1" applyFont="1" applyFill="1" applyBorder="1" applyAlignment="1">
      <alignment horizontal="center" vertical="center"/>
    </xf>
    <xf numFmtId="9" fontId="33" fillId="0" borderId="92" xfId="1" applyFont="1" applyFill="1" applyBorder="1" applyAlignment="1">
      <alignment horizontal="center" vertical="center"/>
    </xf>
    <xf numFmtId="164" fontId="33" fillId="0" borderId="39" xfId="0" applyNumberFormat="1" applyFont="1" applyBorder="1" applyAlignment="1">
      <alignment horizontal="center" vertical="center"/>
    </xf>
    <xf numFmtId="164" fontId="33" fillId="0" borderId="89" xfId="0" applyNumberFormat="1" applyFont="1" applyBorder="1" applyAlignment="1">
      <alignment horizontal="center" vertical="center"/>
    </xf>
    <xf numFmtId="0" fontId="16" fillId="5" borderId="30" xfId="0" applyFont="1" applyFill="1" applyBorder="1" applyAlignment="1">
      <alignment horizontal="center" vertical="center" wrapText="1"/>
    </xf>
    <xf numFmtId="0" fontId="16" fillId="5" borderId="52" xfId="0" applyFont="1" applyFill="1" applyBorder="1" applyAlignment="1">
      <alignment horizontal="center" vertical="center" wrapText="1"/>
    </xf>
    <xf numFmtId="0" fontId="16" fillId="5" borderId="33" xfId="0" applyFont="1" applyFill="1" applyBorder="1" applyAlignment="1">
      <alignment horizontal="centerContinuous" vertical="center"/>
    </xf>
    <xf numFmtId="0" fontId="16" fillId="5" borderId="28" xfId="0" applyFont="1" applyFill="1" applyBorder="1" applyAlignment="1">
      <alignment horizontal="centerContinuous" vertical="center"/>
    </xf>
    <xf numFmtId="0" fontId="16" fillId="5" borderId="59" xfId="0" applyFont="1" applyFill="1" applyBorder="1" applyAlignment="1">
      <alignment horizontal="centerContinuous" vertical="center"/>
    </xf>
    <xf numFmtId="0" fontId="16" fillId="5" borderId="50" xfId="0" applyFont="1" applyFill="1" applyBorder="1" applyAlignment="1">
      <alignment horizontal="center" vertical="center" wrapText="1"/>
    </xf>
    <xf numFmtId="0" fontId="16" fillId="5" borderId="27" xfId="0" applyFont="1" applyFill="1" applyBorder="1" applyAlignment="1">
      <alignment horizontal="center" vertical="center" wrapText="1"/>
    </xf>
    <xf numFmtId="0" fontId="16" fillId="6" borderId="60" xfId="0" applyFont="1" applyFill="1" applyBorder="1" applyAlignment="1">
      <alignment horizontal="centerContinuous" vertical="center"/>
    </xf>
    <xf numFmtId="0" fontId="16" fillId="6" borderId="43" xfId="0" applyFont="1" applyFill="1" applyBorder="1" applyAlignment="1">
      <alignment horizontal="centerContinuous" vertical="center"/>
    </xf>
    <xf numFmtId="0" fontId="16" fillId="6" borderId="51" xfId="0" applyFont="1" applyFill="1" applyBorder="1" applyAlignment="1">
      <alignment horizontal="center" vertical="center" wrapText="1"/>
    </xf>
    <xf numFmtId="0" fontId="16" fillId="6" borderId="61" xfId="0" applyFont="1" applyFill="1" applyBorder="1" applyAlignment="1">
      <alignment horizontal="center" vertical="center" wrapText="1"/>
    </xf>
    <xf numFmtId="0" fontId="16" fillId="7" borderId="33" xfId="0" applyFont="1" applyFill="1" applyBorder="1" applyAlignment="1">
      <alignment horizontal="centerContinuous" vertical="center"/>
    </xf>
    <xf numFmtId="0" fontId="16" fillId="7" borderId="28" xfId="0" applyFont="1" applyFill="1" applyBorder="1" applyAlignment="1">
      <alignment horizontal="centerContinuous" vertical="center"/>
    </xf>
    <xf numFmtId="0" fontId="16" fillId="7" borderId="41" xfId="0" applyFont="1" applyFill="1" applyBorder="1" applyAlignment="1">
      <alignment horizontal="centerContinuous" vertical="center"/>
    </xf>
    <xf numFmtId="0" fontId="16" fillId="7" borderId="59" xfId="0" applyFont="1" applyFill="1" applyBorder="1" applyAlignment="1">
      <alignment horizontal="centerContinuous" vertical="center"/>
    </xf>
    <xf numFmtId="0" fontId="16" fillId="7" borderId="50" xfId="0" applyFont="1" applyFill="1" applyBorder="1" applyAlignment="1">
      <alignment horizontal="center" vertical="center" wrapText="1"/>
    </xf>
    <xf numFmtId="0" fontId="16" fillId="7" borderId="30" xfId="0" applyFont="1" applyFill="1" applyBorder="1" applyAlignment="1">
      <alignment horizontal="center" vertical="center" wrapText="1"/>
    </xf>
    <xf numFmtId="0" fontId="16" fillId="7" borderId="27" xfId="0" applyFont="1" applyFill="1" applyBorder="1" applyAlignment="1">
      <alignment horizontal="center" vertical="center" wrapText="1"/>
    </xf>
    <xf numFmtId="0" fontId="16" fillId="9" borderId="30" xfId="0" applyFont="1" applyFill="1" applyBorder="1" applyAlignment="1">
      <alignment horizontal="center" vertical="center" wrapText="1"/>
    </xf>
    <xf numFmtId="0" fontId="16" fillId="10" borderId="33" xfId="0" applyFont="1" applyFill="1" applyBorder="1" applyAlignment="1">
      <alignment vertical="center"/>
    </xf>
    <xf numFmtId="0" fontId="16" fillId="11" borderId="34" xfId="0" applyFont="1" applyFill="1" applyBorder="1" applyAlignment="1">
      <alignment horizontal="center" vertical="center"/>
    </xf>
    <xf numFmtId="0" fontId="16" fillId="11" borderId="35" xfId="0" applyFont="1" applyFill="1" applyBorder="1" applyAlignment="1">
      <alignment horizontal="center" vertical="center"/>
    </xf>
    <xf numFmtId="0" fontId="16" fillId="11" borderId="53" xfId="0" applyFont="1" applyFill="1" applyBorder="1" applyAlignment="1">
      <alignment horizontal="center" vertical="center"/>
    </xf>
    <xf numFmtId="0" fontId="16" fillId="11" borderId="54" xfId="0" applyFont="1" applyFill="1" applyBorder="1" applyAlignment="1">
      <alignment horizontal="center" vertical="center"/>
    </xf>
    <xf numFmtId="0" fontId="16" fillId="12" borderId="60" xfId="0" applyFont="1" applyFill="1" applyBorder="1" applyAlignment="1">
      <alignment horizontal="centerContinuous" vertical="center"/>
    </xf>
    <xf numFmtId="0" fontId="16" fillId="12" borderId="65" xfId="0" applyFont="1" applyFill="1" applyBorder="1" applyAlignment="1">
      <alignment horizontal="centerContinuous" vertical="center"/>
    </xf>
    <xf numFmtId="0" fontId="16" fillId="12" borderId="66" xfId="0" applyFont="1" applyFill="1" applyBorder="1" applyAlignment="1">
      <alignment horizontal="centerContinuous" vertical="center"/>
    </xf>
    <xf numFmtId="0" fontId="16" fillId="12" borderId="51" xfId="0" applyFont="1" applyFill="1" applyBorder="1" applyAlignment="1">
      <alignment horizontal="center" vertical="center" wrapText="1"/>
    </xf>
    <xf numFmtId="0" fontId="16" fillId="12" borderId="30" xfId="0" applyFont="1" applyFill="1" applyBorder="1" applyAlignment="1">
      <alignment horizontal="center" vertical="center" wrapText="1"/>
    </xf>
    <xf numFmtId="0" fontId="34" fillId="0" borderId="0" xfId="0" applyFont="1" applyAlignment="1">
      <alignment vertical="center"/>
    </xf>
    <xf numFmtId="0" fontId="35" fillId="0" borderId="0" xfId="2" applyFont="1"/>
    <xf numFmtId="0" fontId="36" fillId="0" borderId="0" xfId="2" applyFont="1"/>
    <xf numFmtId="0" fontId="37" fillId="0" borderId="0" xfId="2" applyFont="1"/>
    <xf numFmtId="0" fontId="37" fillId="4" borderId="44" xfId="2" applyFont="1" applyFill="1" applyBorder="1"/>
    <xf numFmtId="0" fontId="37" fillId="4" borderId="37" xfId="2" applyFont="1" applyFill="1" applyBorder="1"/>
    <xf numFmtId="164" fontId="37" fillId="0" borderId="29" xfId="2" applyNumberFormat="1" applyFont="1" applyBorder="1" applyAlignment="1">
      <alignment horizontal="center" vertical="center"/>
    </xf>
    <xf numFmtId="164" fontId="37" fillId="0" borderId="38" xfId="2" applyNumberFormat="1" applyFont="1" applyBorder="1" applyAlignment="1">
      <alignment horizontal="center" vertical="center"/>
    </xf>
    <xf numFmtId="9" fontId="37" fillId="0" borderId="40" xfId="1" applyFont="1" applyFill="1" applyBorder="1" applyAlignment="1">
      <alignment horizontal="center" vertical="center"/>
    </xf>
    <xf numFmtId="9" fontId="37" fillId="0" borderId="38" xfId="1" applyFont="1" applyFill="1" applyBorder="1" applyAlignment="1">
      <alignment horizontal="center" vertical="center"/>
    </xf>
    <xf numFmtId="164" fontId="39" fillId="0" borderId="29" xfId="2" applyNumberFormat="1" applyFont="1" applyBorder="1" applyAlignment="1">
      <alignment horizontal="center" vertical="center"/>
    </xf>
    <xf numFmtId="164" fontId="39" fillId="0" borderId="38" xfId="2" applyNumberFormat="1" applyFont="1" applyBorder="1" applyAlignment="1">
      <alignment horizontal="center" vertical="center"/>
    </xf>
    <xf numFmtId="9" fontId="39" fillId="0" borderId="40" xfId="1" applyFont="1" applyFill="1" applyBorder="1" applyAlignment="1">
      <alignment horizontal="center" vertical="center"/>
    </xf>
    <xf numFmtId="9" fontId="39" fillId="0" borderId="38" xfId="1" applyFont="1" applyFill="1" applyBorder="1" applyAlignment="1">
      <alignment horizontal="center" vertical="center"/>
    </xf>
    <xf numFmtId="164" fontId="39" fillId="0" borderId="76" xfId="2" applyNumberFormat="1" applyFont="1" applyBorder="1" applyAlignment="1">
      <alignment horizontal="center" vertical="center"/>
    </xf>
    <xf numFmtId="164" fontId="39" fillId="0" borderId="77" xfId="2" applyNumberFormat="1" applyFont="1" applyBorder="1" applyAlignment="1">
      <alignment horizontal="center" vertical="center"/>
    </xf>
    <xf numFmtId="9" fontId="39" fillId="0" borderId="79" xfId="1" applyFont="1" applyFill="1" applyBorder="1" applyAlignment="1">
      <alignment horizontal="center" vertical="center"/>
    </xf>
    <xf numFmtId="164" fontId="39" fillId="0" borderId="79" xfId="2" applyNumberFormat="1" applyFont="1" applyBorder="1" applyAlignment="1">
      <alignment horizontal="center" vertical="center"/>
    </xf>
    <xf numFmtId="9" fontId="39" fillId="0" borderId="77" xfId="1" applyFont="1" applyFill="1" applyBorder="1" applyAlignment="1">
      <alignment horizontal="center" vertical="center"/>
    </xf>
    <xf numFmtId="0" fontId="37" fillId="0" borderId="0" xfId="2" applyFont="1" applyAlignment="1">
      <alignment horizontal="center"/>
    </xf>
    <xf numFmtId="0" fontId="39" fillId="0" borderId="0" xfId="2" applyFont="1" applyAlignment="1">
      <alignment horizontal="center"/>
    </xf>
    <xf numFmtId="9" fontId="39" fillId="0" borderId="0" xfId="1" applyFont="1" applyFill="1" applyBorder="1" applyAlignment="1">
      <alignment horizontal="center"/>
    </xf>
    <xf numFmtId="164" fontId="24" fillId="3" borderId="41" xfId="2" applyNumberFormat="1" applyFont="1" applyFill="1" applyBorder="1" applyAlignment="1">
      <alignment horizontal="center" vertical="center"/>
    </xf>
    <xf numFmtId="9" fontId="24" fillId="3" borderId="70" xfId="1" applyFont="1" applyFill="1" applyBorder="1" applyAlignment="1">
      <alignment horizontal="center" vertical="center"/>
    </xf>
    <xf numFmtId="9" fontId="40" fillId="3" borderId="82" xfId="3" applyFont="1" applyFill="1" applyBorder="1" applyAlignment="1">
      <alignment horizontal="center" vertical="center"/>
    </xf>
    <xf numFmtId="9" fontId="40" fillId="3" borderId="83" xfId="3" applyFont="1" applyFill="1" applyBorder="1" applyAlignment="1">
      <alignment horizontal="center" vertical="center"/>
    </xf>
    <xf numFmtId="9" fontId="40" fillId="3" borderId="81" xfId="1" applyFont="1" applyFill="1" applyBorder="1" applyAlignment="1">
      <alignment horizontal="center" vertical="center"/>
    </xf>
    <xf numFmtId="9" fontId="40" fillId="3" borderId="83" xfId="1" applyFont="1" applyFill="1" applyBorder="1" applyAlignment="1">
      <alignment horizontal="center" vertical="center"/>
    </xf>
    <xf numFmtId="0" fontId="36" fillId="0" borderId="0" xfId="2" applyFont="1" applyAlignment="1">
      <alignment vertical="top" wrapText="1"/>
    </xf>
    <xf numFmtId="164" fontId="37" fillId="0" borderId="56" xfId="2" applyNumberFormat="1" applyFont="1" applyBorder="1" applyAlignment="1">
      <alignment horizontal="center" vertical="center"/>
    </xf>
    <xf numFmtId="0" fontId="38" fillId="0" borderId="0" xfId="2" applyFont="1"/>
    <xf numFmtId="164" fontId="37" fillId="0" borderId="75" xfId="2" applyNumberFormat="1" applyFont="1" applyBorder="1" applyAlignment="1">
      <alignment horizontal="center" vertical="center"/>
    </xf>
    <xf numFmtId="0" fontId="24" fillId="4" borderId="0" xfId="2" applyFont="1" applyFill="1" applyAlignment="1">
      <alignment horizontal="centerContinuous" vertical="center"/>
    </xf>
    <xf numFmtId="0" fontId="24" fillId="4" borderId="37" xfId="2" applyFont="1" applyFill="1" applyBorder="1" applyAlignment="1">
      <alignment horizontal="centerContinuous" vertical="center"/>
    </xf>
    <xf numFmtId="164" fontId="37" fillId="0" borderId="40" xfId="2" applyNumberFormat="1" applyFont="1" applyBorder="1" applyAlignment="1">
      <alignment horizontal="center" vertical="center"/>
    </xf>
    <xf numFmtId="164" fontId="39" fillId="0" borderId="40" xfId="2" applyNumberFormat="1" applyFont="1" applyBorder="1" applyAlignment="1">
      <alignment horizontal="center" vertical="center"/>
    </xf>
    <xf numFmtId="164" fontId="24" fillId="3" borderId="80" xfId="2" applyNumberFormat="1" applyFont="1" applyFill="1" applyBorder="1" applyAlignment="1">
      <alignment horizontal="center" vertical="center"/>
    </xf>
    <xf numFmtId="9" fontId="24" fillId="3" borderId="80" xfId="1" applyFont="1" applyFill="1" applyBorder="1" applyAlignment="1">
      <alignment horizontal="center" vertical="center"/>
    </xf>
    <xf numFmtId="0" fontId="4" fillId="0" borderId="0" xfId="2" applyFont="1" applyAlignment="1">
      <alignment horizontal="center" vertical="center" wrapText="1"/>
    </xf>
    <xf numFmtId="0" fontId="41" fillId="0" borderId="0" xfId="2" applyFont="1" applyAlignment="1">
      <alignment horizontal="center" vertical="center"/>
    </xf>
    <xf numFmtId="0" fontId="36" fillId="0" borderId="0" xfId="2" applyFont="1" applyAlignment="1">
      <alignment horizontal="center" vertical="center" wrapText="1"/>
    </xf>
    <xf numFmtId="0" fontId="27" fillId="0" borderId="0" xfId="2" applyFont="1" applyAlignment="1">
      <alignment vertical="top" wrapText="1"/>
    </xf>
    <xf numFmtId="0" fontId="1" fillId="0" borderId="25" xfId="0" applyFont="1" applyBorder="1"/>
    <xf numFmtId="9" fontId="1" fillId="13" borderId="26" xfId="0" applyNumberFormat="1" applyFont="1" applyFill="1" applyBorder="1"/>
    <xf numFmtId="0" fontId="1" fillId="13" borderId="4" xfId="0" applyFont="1" applyFill="1" applyBorder="1"/>
    <xf numFmtId="0" fontId="1" fillId="13" borderId="6" xfId="0" applyFont="1" applyFill="1" applyBorder="1"/>
    <xf numFmtId="0" fontId="1" fillId="13" borderId="6" xfId="0" applyFont="1" applyFill="1" applyBorder="1" applyAlignment="1">
      <alignment horizontal="center"/>
    </xf>
    <xf numFmtId="164" fontId="37" fillId="0" borderId="97" xfId="2" applyNumberFormat="1" applyFont="1" applyBorder="1" applyAlignment="1">
      <alignment horizontal="center" vertical="center"/>
    </xf>
    <xf numFmtId="164" fontId="37" fillId="0" borderId="76" xfId="2" applyNumberFormat="1" applyFont="1" applyBorder="1" applyAlignment="1">
      <alignment horizontal="center" vertical="center"/>
    </xf>
    <xf numFmtId="0" fontId="42" fillId="14" borderId="0" xfId="2" applyFont="1" applyFill="1" applyAlignment="1">
      <alignment vertical="top" wrapText="1"/>
    </xf>
    <xf numFmtId="0" fontId="4" fillId="14" borderId="0" xfId="2" applyFont="1" applyFill="1" applyAlignment="1">
      <alignment vertical="top" wrapText="1"/>
    </xf>
    <xf numFmtId="0" fontId="4" fillId="14" borderId="0" xfId="2" applyFont="1" applyFill="1" applyAlignment="1">
      <alignment wrapText="1"/>
    </xf>
    <xf numFmtId="0" fontId="3" fillId="14" borderId="0" xfId="0" applyFont="1" applyFill="1"/>
    <xf numFmtId="0" fontId="16" fillId="12" borderId="27" xfId="0" applyFont="1" applyFill="1" applyBorder="1" applyAlignment="1">
      <alignment horizontal="center" vertical="center" wrapText="1"/>
    </xf>
    <xf numFmtId="0" fontId="16" fillId="12" borderId="98" xfId="0" applyFont="1" applyFill="1" applyBorder="1" applyAlignment="1">
      <alignment horizontal="center" vertical="center" wrapText="1"/>
    </xf>
    <xf numFmtId="164" fontId="33" fillId="0" borderId="48" xfId="0" applyNumberFormat="1" applyFont="1" applyBorder="1" applyAlignment="1">
      <alignment horizontal="center" vertical="center"/>
    </xf>
    <xf numFmtId="164" fontId="33" fillId="0" borderId="92" xfId="0" applyNumberFormat="1" applyFont="1" applyBorder="1" applyAlignment="1">
      <alignment horizontal="center" vertical="center"/>
    </xf>
    <xf numFmtId="0" fontId="43" fillId="14" borderId="0" xfId="2" applyFont="1" applyFill="1" applyAlignment="1">
      <alignment vertical="top"/>
    </xf>
    <xf numFmtId="0" fontId="44" fillId="0" borderId="0" xfId="2" applyFont="1" applyAlignment="1">
      <alignment horizontal="center" vertical="center" wrapText="1"/>
    </xf>
    <xf numFmtId="0" fontId="27" fillId="0" borderId="0" xfId="2" applyFont="1" applyAlignment="1">
      <alignment horizontal="left" vertical="center"/>
    </xf>
    <xf numFmtId="0" fontId="37" fillId="0" borderId="0" xfId="0" applyFont="1" applyAlignment="1">
      <alignment horizontal="left" vertical="center"/>
    </xf>
    <xf numFmtId="0" fontId="25" fillId="15" borderId="0" xfId="0" applyFont="1" applyFill="1"/>
    <xf numFmtId="0" fontId="0" fillId="15" borderId="0" xfId="0" quotePrefix="1" applyFill="1"/>
    <xf numFmtId="0" fontId="0" fillId="15" borderId="0" xfId="0" applyFill="1"/>
    <xf numFmtId="15" fontId="0" fillId="0" borderId="0" xfId="0" applyNumberFormat="1"/>
    <xf numFmtId="0" fontId="25" fillId="0" borderId="0" xfId="0" applyFont="1" applyAlignment="1">
      <alignment horizontal="left" vertical="center"/>
    </xf>
    <xf numFmtId="0" fontId="0" fillId="0" borderId="0" xfId="0" applyAlignment="1">
      <alignment vertical="center"/>
    </xf>
    <xf numFmtId="0" fontId="25" fillId="0" borderId="0" xfId="0" applyFont="1" applyAlignment="1">
      <alignment vertical="center"/>
    </xf>
    <xf numFmtId="0" fontId="46" fillId="0" borderId="0" xfId="0" applyFont="1" applyAlignment="1">
      <alignment vertical="center"/>
    </xf>
    <xf numFmtId="0" fontId="47" fillId="0" borderId="0" xfId="0" applyFont="1" applyAlignment="1">
      <alignment horizontal="left" vertical="center" indent="5"/>
    </xf>
    <xf numFmtId="0" fontId="49" fillId="0" borderId="0" xfId="0" applyFont="1" applyAlignment="1">
      <alignment horizontal="left" vertical="center" indent="10"/>
    </xf>
    <xf numFmtId="0" fontId="50" fillId="0" borderId="0" xfId="0" applyFont="1" applyAlignment="1">
      <alignment horizontal="left" vertical="center" indent="15"/>
    </xf>
    <xf numFmtId="0" fontId="33" fillId="0" borderId="29" xfId="0" applyFont="1" applyBorder="1" applyAlignment="1">
      <alignment horizontal="center" vertical="center"/>
    </xf>
    <xf numFmtId="164" fontId="1" fillId="0" borderId="99" xfId="0" applyNumberFormat="1" applyFont="1" applyBorder="1" applyAlignment="1">
      <alignment horizontal="center" vertical="center"/>
    </xf>
    <xf numFmtId="14" fontId="1" fillId="0" borderId="29" xfId="0" applyNumberFormat="1" applyFont="1" applyBorder="1" applyAlignment="1">
      <alignment horizontal="center" vertical="center"/>
    </xf>
    <xf numFmtId="14" fontId="1" fillId="0" borderId="76" xfId="0" applyNumberFormat="1" applyFont="1" applyBorder="1" applyAlignment="1">
      <alignment horizontal="center" vertical="center"/>
    </xf>
    <xf numFmtId="1" fontId="1" fillId="0" borderId="29" xfId="0" applyNumberFormat="1" applyFont="1" applyBorder="1" applyAlignment="1">
      <alignment horizontal="center" vertical="center"/>
    </xf>
    <xf numFmtId="0" fontId="0" fillId="17" borderId="0" xfId="0" applyFill="1"/>
    <xf numFmtId="0" fontId="45" fillId="4" borderId="29" xfId="0" applyFont="1" applyFill="1" applyBorder="1" applyAlignment="1">
      <alignment horizontal="center" vertical="center" wrapText="1"/>
    </xf>
    <xf numFmtId="0" fontId="0" fillId="16" borderId="100" xfId="0" applyFill="1" applyBorder="1" applyAlignment="1">
      <alignment vertical="center" wrapText="1"/>
    </xf>
    <xf numFmtId="14" fontId="0" fillId="0" borderId="0" xfId="0" applyNumberFormat="1" applyAlignment="1">
      <alignment vertical="center"/>
    </xf>
    <xf numFmtId="0" fontId="52" fillId="0" borderId="0" xfId="0" applyFont="1"/>
    <xf numFmtId="0" fontId="53" fillId="0" borderId="0" xfId="0" applyFont="1"/>
    <xf numFmtId="164" fontId="0" fillId="0" borderId="0" xfId="1" applyNumberFormat="1" applyFont="1"/>
    <xf numFmtId="9" fontId="0" fillId="0" borderId="0" xfId="1" applyFont="1"/>
    <xf numFmtId="0" fontId="0" fillId="17" borderId="100" xfId="0" applyFill="1" applyBorder="1" applyAlignment="1">
      <alignment vertical="center" wrapText="1"/>
    </xf>
    <xf numFmtId="0" fontId="54" fillId="2" borderId="68" xfId="0" applyFont="1" applyFill="1" applyBorder="1" applyAlignment="1">
      <alignment horizontal="center" vertical="center"/>
    </xf>
    <xf numFmtId="0" fontId="54" fillId="2" borderId="69" xfId="0" applyFont="1" applyFill="1" applyBorder="1" applyAlignment="1">
      <alignment horizontal="center" vertical="center"/>
    </xf>
    <xf numFmtId="0" fontId="54" fillId="17" borderId="0" xfId="0" applyFont="1" applyFill="1" applyAlignment="1">
      <alignment horizontal="center" vertical="center"/>
    </xf>
    <xf numFmtId="0" fontId="0" fillId="17" borderId="0" xfId="0" applyFill="1" applyAlignment="1">
      <alignment vertical="center" wrapText="1"/>
    </xf>
    <xf numFmtId="0" fontId="0" fillId="16" borderId="29" xfId="0" applyFill="1" applyBorder="1" applyAlignment="1">
      <alignment horizontal="left" vertical="top"/>
    </xf>
    <xf numFmtId="0" fontId="0" fillId="17" borderId="29" xfId="0" applyFill="1" applyBorder="1" applyAlignment="1">
      <alignment horizontal="left" vertical="top"/>
    </xf>
    <xf numFmtId="0" fontId="0" fillId="0" borderId="0" xfId="0" applyAlignment="1">
      <alignment horizontal="center" vertical="center"/>
    </xf>
    <xf numFmtId="0" fontId="1" fillId="13" borderId="3" xfId="0" applyFont="1" applyFill="1" applyBorder="1" applyAlignment="1">
      <alignment horizontal="center"/>
    </xf>
    <xf numFmtId="0" fontId="1" fillId="13" borderId="5" xfId="0" applyFont="1" applyFill="1" applyBorder="1" applyAlignment="1">
      <alignment horizontal="center"/>
    </xf>
    <xf numFmtId="0" fontId="33" fillId="0" borderId="29" xfId="0" quotePrefix="1" applyFont="1" applyBorder="1" applyAlignment="1">
      <alignment horizontal="center" vertical="center"/>
    </xf>
    <xf numFmtId="0" fontId="16" fillId="10" borderId="50" xfId="0" applyFont="1" applyFill="1" applyBorder="1" applyAlignment="1">
      <alignment horizontal="center" vertical="center" wrapText="1"/>
    </xf>
    <xf numFmtId="0" fontId="33" fillId="0" borderId="37" xfId="0" applyFont="1" applyBorder="1" applyAlignment="1">
      <alignment horizontal="left" vertical="center"/>
    </xf>
    <xf numFmtId="0" fontId="33" fillId="0" borderId="96" xfId="0" applyFont="1" applyBorder="1" applyAlignment="1">
      <alignment horizontal="left" vertical="center"/>
    </xf>
    <xf numFmtId="0" fontId="16" fillId="19" borderId="42" xfId="0" applyFont="1" applyFill="1" applyBorder="1" applyAlignment="1">
      <alignment horizontal="centerContinuous" vertical="center"/>
    </xf>
    <xf numFmtId="0" fontId="16" fillId="19" borderId="43" xfId="0" applyFont="1" applyFill="1" applyBorder="1" applyAlignment="1">
      <alignment horizontal="centerContinuous" vertical="center"/>
    </xf>
    <xf numFmtId="0" fontId="16" fillId="19" borderId="51" xfId="0" applyFont="1" applyFill="1" applyBorder="1" applyAlignment="1">
      <alignment horizontal="center" vertical="center" wrapText="1"/>
    </xf>
    <xf numFmtId="0" fontId="16" fillId="19" borderId="52" xfId="0" applyFont="1" applyFill="1" applyBorder="1" applyAlignment="1">
      <alignment horizontal="center" vertical="center" wrapText="1"/>
    </xf>
    <xf numFmtId="164" fontId="56" fillId="0" borderId="56" xfId="2" applyNumberFormat="1" applyFont="1" applyBorder="1" applyAlignment="1">
      <alignment horizontal="center" vertical="center"/>
    </xf>
    <xf numFmtId="164" fontId="56" fillId="0" borderId="75" xfId="2" applyNumberFormat="1" applyFont="1" applyBorder="1" applyAlignment="1">
      <alignment horizontal="center" vertical="center"/>
    </xf>
    <xf numFmtId="164" fontId="4" fillId="0" borderId="0" xfId="2" applyNumberFormat="1" applyFont="1" applyAlignment="1">
      <alignment vertical="top" wrapText="1"/>
    </xf>
    <xf numFmtId="164" fontId="3" fillId="0" borderId="0" xfId="0" applyNumberFormat="1" applyFont="1"/>
    <xf numFmtId="164" fontId="7" fillId="0" borderId="0" xfId="1" applyNumberFormat="1" applyFont="1" applyFill="1" applyBorder="1" applyAlignment="1">
      <alignment horizontal="center" vertical="center"/>
    </xf>
    <xf numFmtId="164" fontId="3" fillId="0" borderId="0" xfId="0" applyNumberFormat="1" applyFont="1" applyAlignment="1">
      <alignment vertical="center"/>
    </xf>
    <xf numFmtId="164" fontId="8" fillId="0" borderId="0" xfId="1" applyNumberFormat="1" applyFont="1" applyFill="1" applyBorder="1" applyAlignment="1">
      <alignment horizontal="center" vertical="center"/>
    </xf>
    <xf numFmtId="164" fontId="3" fillId="0" borderId="0" xfId="1" applyNumberFormat="1" applyFont="1" applyFill="1" applyBorder="1" applyAlignment="1">
      <alignment horizontal="center"/>
    </xf>
    <xf numFmtId="0" fontId="1" fillId="20" borderId="0" xfId="0" applyFont="1" applyFill="1"/>
    <xf numFmtId="164" fontId="1" fillId="0" borderId="48" xfId="0" applyNumberFormat="1" applyFont="1" applyBorder="1" applyAlignment="1">
      <alignment horizontal="center" vertical="center"/>
    </xf>
    <xf numFmtId="164" fontId="1" fillId="0" borderId="92" xfId="0" applyNumberFormat="1" applyFont="1" applyBorder="1" applyAlignment="1">
      <alignment horizontal="center" vertical="center"/>
    </xf>
    <xf numFmtId="0" fontId="16" fillId="9" borderId="109" xfId="0" applyFont="1" applyFill="1" applyBorder="1" applyAlignment="1">
      <alignment horizontal="center" vertical="center" wrapText="1"/>
    </xf>
    <xf numFmtId="0" fontId="16" fillId="8" borderId="110" xfId="0" applyFont="1" applyFill="1" applyBorder="1" applyAlignment="1">
      <alignment horizontal="centerContinuous" vertical="center"/>
    </xf>
    <xf numFmtId="0" fontId="16" fillId="8" borderId="111" xfId="0" applyFont="1" applyFill="1" applyBorder="1" applyAlignment="1">
      <alignment horizontal="centerContinuous" vertical="center"/>
    </xf>
    <xf numFmtId="0" fontId="16" fillId="8" borderId="109" xfId="0" applyFont="1" applyFill="1" applyBorder="1" applyAlignment="1">
      <alignment horizontal="center" vertical="center" wrapText="1"/>
    </xf>
    <xf numFmtId="0" fontId="16" fillId="8" borderId="112" xfId="0" applyFont="1" applyFill="1" applyBorder="1" applyAlignment="1">
      <alignment horizontal="center" vertical="center" wrapText="1"/>
    </xf>
    <xf numFmtId="164" fontId="1" fillId="0" borderId="113" xfId="0" applyNumberFormat="1" applyFont="1" applyBorder="1" applyAlignment="1">
      <alignment horizontal="center" vertical="center"/>
    </xf>
    <xf numFmtId="164" fontId="1" fillId="0" borderId="114" xfId="0" applyNumberFormat="1" applyFont="1" applyBorder="1" applyAlignment="1">
      <alignment horizontal="center" vertical="center"/>
    </xf>
    <xf numFmtId="164" fontId="1" fillId="0" borderId="115" xfId="0" applyNumberFormat="1" applyFont="1" applyBorder="1" applyAlignment="1">
      <alignment horizontal="center" vertical="center"/>
    </xf>
    <xf numFmtId="164" fontId="1" fillId="0" borderId="116" xfId="0" applyNumberFormat="1" applyFont="1" applyBorder="1" applyAlignment="1">
      <alignment horizontal="center" vertical="center"/>
    </xf>
    <xf numFmtId="164" fontId="1" fillId="0" borderId="117" xfId="0" applyNumberFormat="1" applyFont="1" applyBorder="1" applyAlignment="1">
      <alignment horizontal="center" vertical="center"/>
    </xf>
    <xf numFmtId="164" fontId="1" fillId="0" borderId="118" xfId="0" applyNumberFormat="1" applyFont="1" applyBorder="1" applyAlignment="1">
      <alignment horizontal="center" vertical="center"/>
    </xf>
    <xf numFmtId="0" fontId="16" fillId="9" borderId="119" xfId="0" applyFont="1" applyFill="1" applyBorder="1" applyAlignment="1">
      <alignment horizontal="centerContinuous" vertical="center"/>
    </xf>
    <xf numFmtId="0" fontId="16" fillId="9" borderId="28" xfId="0" applyFont="1" applyFill="1" applyBorder="1" applyAlignment="1">
      <alignment horizontal="centerContinuous" vertical="center"/>
    </xf>
    <xf numFmtId="0" fontId="16" fillId="9" borderId="120" xfId="0" applyFont="1" applyFill="1" applyBorder="1" applyAlignment="1">
      <alignment horizontal="centerContinuous" vertical="center"/>
    </xf>
    <xf numFmtId="0" fontId="16" fillId="9" borderId="52" xfId="0" applyFont="1" applyFill="1" applyBorder="1" applyAlignment="1">
      <alignment horizontal="center" vertical="center" wrapText="1"/>
    </xf>
    <xf numFmtId="164" fontId="24" fillId="3" borderId="41" xfId="1" applyNumberFormat="1" applyFont="1" applyFill="1" applyBorder="1" applyAlignment="1">
      <alignment horizontal="center" vertical="center"/>
    </xf>
    <xf numFmtId="164" fontId="4" fillId="0" borderId="121" xfId="0" applyNumberFormat="1" applyFont="1" applyBorder="1" applyAlignment="1">
      <alignment horizontal="center" vertical="center"/>
    </xf>
    <xf numFmtId="164" fontId="4" fillId="0" borderId="122" xfId="0" applyNumberFormat="1" applyFont="1" applyBorder="1" applyAlignment="1">
      <alignment horizontal="center" vertical="center"/>
    </xf>
    <xf numFmtId="164" fontId="4" fillId="0" borderId="45" xfId="0" applyNumberFormat="1" applyFont="1" applyBorder="1" applyAlignment="1">
      <alignment horizontal="center" vertical="center"/>
    </xf>
    <xf numFmtId="164" fontId="4" fillId="0" borderId="46" xfId="0" applyNumberFormat="1" applyFont="1" applyBorder="1" applyAlignment="1">
      <alignment horizontal="center" vertical="center"/>
    </xf>
    <xf numFmtId="164" fontId="4" fillId="0" borderId="123" xfId="0" applyNumberFormat="1" applyFont="1" applyBorder="1" applyAlignment="1">
      <alignment horizontal="center" vertical="center"/>
    </xf>
    <xf numFmtId="164" fontId="4" fillId="0" borderId="99" xfId="0" applyNumberFormat="1" applyFont="1" applyBorder="1" applyAlignment="1">
      <alignment horizontal="center" vertical="center"/>
    </xf>
    <xf numFmtId="164" fontId="4" fillId="0" borderId="124" xfId="0" applyNumberFormat="1" applyFont="1" applyBorder="1" applyAlignment="1">
      <alignment horizontal="center" vertical="center"/>
    </xf>
    <xf numFmtId="164" fontId="4" fillId="0" borderId="125" xfId="0" applyNumberFormat="1" applyFont="1" applyBorder="1" applyAlignment="1">
      <alignment horizontal="center" vertical="center"/>
    </xf>
    <xf numFmtId="164" fontId="33" fillId="0" borderId="126" xfId="0" applyNumberFormat="1" applyFont="1" applyBorder="1" applyAlignment="1">
      <alignment horizontal="center" vertical="center"/>
    </xf>
    <xf numFmtId="164" fontId="33" fillId="0" borderId="127" xfId="0" applyNumberFormat="1" applyFont="1" applyBorder="1" applyAlignment="1">
      <alignment horizontal="center" vertical="center"/>
    </xf>
    <xf numFmtId="164" fontId="4" fillId="0" borderId="127" xfId="0" applyNumberFormat="1" applyFont="1" applyBorder="1" applyAlignment="1">
      <alignment horizontal="center" vertical="center"/>
    </xf>
    <xf numFmtId="164" fontId="4" fillId="0" borderId="128" xfId="0" applyNumberFormat="1" applyFont="1" applyBorder="1" applyAlignment="1">
      <alignment horizontal="center" vertical="center"/>
    </xf>
    <xf numFmtId="164" fontId="33" fillId="0" borderId="129" xfId="0" applyNumberFormat="1" applyFont="1" applyBorder="1" applyAlignment="1">
      <alignment horizontal="center" vertical="center"/>
    </xf>
    <xf numFmtId="164" fontId="33" fillId="0" borderId="130" xfId="0" applyNumberFormat="1" applyFont="1" applyBorder="1" applyAlignment="1">
      <alignment horizontal="center" vertical="center"/>
    </xf>
    <xf numFmtId="164" fontId="4" fillId="0" borderId="131" xfId="0" applyNumberFormat="1" applyFont="1" applyBorder="1" applyAlignment="1">
      <alignment horizontal="center" vertical="center"/>
    </xf>
    <xf numFmtId="164" fontId="33" fillId="0" borderId="132" xfId="0" applyNumberFormat="1" applyFont="1" applyBorder="1" applyAlignment="1">
      <alignment horizontal="center" vertical="center"/>
    </xf>
    <xf numFmtId="164" fontId="33" fillId="0" borderId="133" xfId="0" applyNumberFormat="1" applyFont="1" applyBorder="1" applyAlignment="1">
      <alignment horizontal="center" vertical="center"/>
    </xf>
    <xf numFmtId="0" fontId="1" fillId="0" borderId="38" xfId="0" applyFont="1" applyBorder="1" applyAlignment="1">
      <alignment horizontal="center" vertical="center"/>
    </xf>
    <xf numFmtId="0" fontId="1" fillId="0" borderId="40" xfId="0" applyFont="1" applyBorder="1" applyAlignment="1">
      <alignment horizontal="center" vertical="center"/>
    </xf>
    <xf numFmtId="0" fontId="1" fillId="0" borderId="77" xfId="0" applyFont="1" applyBorder="1" applyAlignment="1">
      <alignment horizontal="center" vertical="center"/>
    </xf>
    <xf numFmtId="0" fontId="1" fillId="0" borderId="79" xfId="0" applyFont="1" applyBorder="1" applyAlignment="1">
      <alignment horizontal="center" vertical="center"/>
    </xf>
    <xf numFmtId="0" fontId="4" fillId="0" borderId="29" xfId="0" applyFont="1" applyBorder="1" applyAlignment="1">
      <alignment horizontal="center" vertical="center"/>
    </xf>
    <xf numFmtId="0" fontId="4" fillId="0" borderId="86" xfId="0" applyFont="1" applyBorder="1" applyAlignment="1">
      <alignment horizontal="center" vertical="center"/>
    </xf>
    <xf numFmtId="164" fontId="1" fillId="0" borderId="128" xfId="1" applyNumberFormat="1" applyFont="1" applyFill="1" applyBorder="1" applyAlignment="1">
      <alignment horizontal="center" vertical="center"/>
    </xf>
    <xf numFmtId="0" fontId="57" fillId="0" borderId="0" xfId="0" applyFont="1"/>
    <xf numFmtId="0" fontId="1" fillId="0" borderId="0" xfId="0" quotePrefix="1" applyFont="1"/>
    <xf numFmtId="0" fontId="32" fillId="0" borderId="97" xfId="0" applyFont="1" applyBorder="1" applyAlignment="1">
      <alignment horizontal="center" vertical="center"/>
    </xf>
    <xf numFmtId="0" fontId="1" fillId="0" borderId="97" xfId="0" applyFont="1" applyBorder="1" applyAlignment="1">
      <alignment horizontal="left" vertical="center"/>
    </xf>
    <xf numFmtId="0" fontId="33" fillId="0" borderId="97" xfId="0" applyFont="1" applyBorder="1" applyAlignment="1">
      <alignment horizontal="center" vertical="center"/>
    </xf>
    <xf numFmtId="14" fontId="1" fillId="0" borderId="97" xfId="0" applyNumberFormat="1" applyFont="1" applyBorder="1" applyAlignment="1">
      <alignment horizontal="center" vertical="center"/>
    </xf>
    <xf numFmtId="1" fontId="1" fillId="0" borderId="97" xfId="0" applyNumberFormat="1" applyFont="1" applyBorder="1" applyAlignment="1">
      <alignment horizontal="center" vertical="center"/>
    </xf>
    <xf numFmtId="0" fontId="1" fillId="0" borderId="137" xfId="0" applyFont="1" applyBorder="1" applyAlignment="1">
      <alignment horizontal="center" vertical="center"/>
    </xf>
    <xf numFmtId="164" fontId="1" fillId="0" borderId="78" xfId="0" applyNumberFormat="1" applyFont="1" applyBorder="1" applyAlignment="1">
      <alignment horizontal="center" vertical="center"/>
    </xf>
    <xf numFmtId="0" fontId="58" fillId="0" borderId="0" xfId="0" applyFont="1"/>
    <xf numFmtId="164" fontId="44" fillId="0" borderId="39" xfId="0" applyNumberFormat="1" applyFont="1" applyBorder="1" applyAlignment="1">
      <alignment horizontal="center" vertical="center"/>
    </xf>
    <xf numFmtId="9" fontId="44" fillId="0" borderId="48" xfId="1" applyFont="1" applyFill="1" applyBorder="1" applyAlignment="1">
      <alignment horizontal="center" vertical="center"/>
    </xf>
    <xf numFmtId="164" fontId="44" fillId="0" borderId="127" xfId="0" applyNumberFormat="1" applyFont="1" applyBorder="1" applyAlignment="1">
      <alignment horizontal="center" vertical="center"/>
    </xf>
    <xf numFmtId="0" fontId="44" fillId="0" borderId="37" xfId="0" applyFont="1" applyBorder="1" applyAlignment="1">
      <alignment horizontal="left" vertical="center"/>
    </xf>
    <xf numFmtId="164" fontId="44" fillId="0" borderId="47" xfId="0" applyNumberFormat="1" applyFont="1" applyBorder="1" applyAlignment="1">
      <alignment horizontal="center" vertical="center"/>
    </xf>
    <xf numFmtId="0" fontId="44" fillId="0" borderId="44" xfId="0" quotePrefix="1" applyFont="1" applyBorder="1" applyAlignment="1">
      <alignment horizontal="center" vertical="center"/>
    </xf>
    <xf numFmtId="164" fontId="44" fillId="0" borderId="45" xfId="0" applyNumberFormat="1" applyFont="1" applyBorder="1" applyAlignment="1">
      <alignment horizontal="center" vertical="center"/>
    </xf>
    <xf numFmtId="164" fontId="59" fillId="16" borderId="0" xfId="0" applyNumberFormat="1" applyFont="1" applyFill="1" applyAlignment="1">
      <alignment horizontal="center"/>
    </xf>
    <xf numFmtId="164" fontId="59" fillId="16" borderId="45" xfId="0" applyNumberFormat="1" applyFont="1" applyFill="1" applyBorder="1" applyAlignment="1">
      <alignment horizontal="center"/>
    </xf>
    <xf numFmtId="164" fontId="44" fillId="0" borderId="132" xfId="0" applyNumberFormat="1" applyFont="1" applyBorder="1" applyAlignment="1">
      <alignment horizontal="center" vertical="center"/>
    </xf>
    <xf numFmtId="164" fontId="44" fillId="0" borderId="123" xfId="0" applyNumberFormat="1" applyFont="1" applyBorder="1" applyAlignment="1">
      <alignment horizontal="center" vertical="center"/>
    </xf>
    <xf numFmtId="0" fontId="33" fillId="0" borderId="37" xfId="0" quotePrefix="1" applyFont="1" applyBorder="1" applyAlignment="1">
      <alignment horizontal="left" vertical="center"/>
    </xf>
    <xf numFmtId="9" fontId="1" fillId="0" borderId="78" xfId="1" applyFont="1" applyFill="1" applyBorder="1" applyAlignment="1">
      <alignment horizontal="center" vertical="center"/>
    </xf>
    <xf numFmtId="164" fontId="33" fillId="0" borderId="123" xfId="0" applyNumberFormat="1" applyFont="1" applyBorder="1" applyAlignment="1">
      <alignment horizontal="center" vertical="center"/>
    </xf>
    <xf numFmtId="164" fontId="44" fillId="0" borderId="48" xfId="0" applyNumberFormat="1" applyFont="1" applyBorder="1" applyAlignment="1">
      <alignment horizontal="center" vertical="center"/>
    </xf>
    <xf numFmtId="164" fontId="44" fillId="0" borderId="92" xfId="0" applyNumberFormat="1" applyFont="1" applyBorder="1" applyAlignment="1">
      <alignment horizontal="center" vertical="center"/>
    </xf>
    <xf numFmtId="9" fontId="44" fillId="0" borderId="92" xfId="1" applyFont="1" applyFill="1" applyBorder="1" applyAlignment="1">
      <alignment horizontal="center" vertical="center"/>
    </xf>
    <xf numFmtId="0" fontId="44" fillId="0" borderId="37" xfId="0" quotePrefix="1" applyFont="1" applyBorder="1" applyAlignment="1">
      <alignment horizontal="left" vertical="center"/>
    </xf>
    <xf numFmtId="14" fontId="44" fillId="0" borderId="29" xfId="0" applyNumberFormat="1" applyFont="1" applyBorder="1" applyAlignment="1">
      <alignment horizontal="center" vertical="center"/>
    </xf>
    <xf numFmtId="0" fontId="1" fillId="0" borderId="44" xfId="0" applyFont="1" applyBorder="1" applyAlignment="1">
      <alignment horizontal="center" vertical="center"/>
    </xf>
    <xf numFmtId="0" fontId="1" fillId="0" borderId="134" xfId="0" applyFont="1" applyBorder="1" applyAlignment="1">
      <alignment horizontal="center" vertical="center"/>
    </xf>
    <xf numFmtId="0" fontId="1" fillId="0" borderId="87" xfId="0" applyFont="1" applyBorder="1" applyAlignment="1">
      <alignment horizontal="center" vertical="center"/>
    </xf>
    <xf numFmtId="0" fontId="33" fillId="0" borderId="37" xfId="0" quotePrefix="1" applyFont="1" applyBorder="1" applyAlignment="1">
      <alignment horizontal="center" vertical="center"/>
    </xf>
    <xf numFmtId="0" fontId="1" fillId="0" borderId="37" xfId="0" quotePrefix="1" applyFont="1" applyBorder="1" applyAlignment="1">
      <alignment horizontal="center" vertical="center"/>
    </xf>
    <xf numFmtId="0" fontId="1" fillId="0" borderId="96" xfId="0" quotePrefix="1" applyFont="1" applyBorder="1" applyAlignment="1">
      <alignment horizontal="center" vertical="center"/>
    </xf>
    <xf numFmtId="0" fontId="60" fillId="0" borderId="29" xfId="0" applyFont="1" applyBorder="1" applyAlignment="1">
      <alignment horizontal="center" vertical="center"/>
    </xf>
    <xf numFmtId="0" fontId="60" fillId="0" borderId="97" xfId="0" applyFont="1" applyBorder="1" applyAlignment="1">
      <alignment horizontal="center" vertical="center"/>
    </xf>
    <xf numFmtId="0" fontId="60" fillId="0" borderId="86" xfId="0" applyFont="1" applyBorder="1" applyAlignment="1">
      <alignment horizontal="center" vertical="center"/>
    </xf>
    <xf numFmtId="0" fontId="60" fillId="0" borderId="0" xfId="0" applyFont="1"/>
    <xf numFmtId="9" fontId="1" fillId="0" borderId="140" xfId="1" applyFont="1" applyFill="1" applyBorder="1" applyAlignment="1">
      <alignment horizontal="center" vertical="center"/>
    </xf>
    <xf numFmtId="164" fontId="1" fillId="0" borderId="123" xfId="0" applyNumberFormat="1" applyFont="1" applyBorder="1" applyAlignment="1">
      <alignment horizontal="center" vertical="center"/>
    </xf>
    <xf numFmtId="164" fontId="1" fillId="0" borderId="141" xfId="0" applyNumberFormat="1" applyFont="1" applyBorder="1" applyAlignment="1">
      <alignment horizontal="center" vertical="center"/>
    </xf>
    <xf numFmtId="164" fontId="33" fillId="0" borderId="142" xfId="0" applyNumberFormat="1" applyFont="1" applyBorder="1" applyAlignment="1">
      <alignment horizontal="center" vertical="center"/>
    </xf>
    <xf numFmtId="164" fontId="4" fillId="0" borderId="144" xfId="0" applyNumberFormat="1" applyFont="1" applyBorder="1" applyAlignment="1">
      <alignment horizontal="center" vertical="center"/>
    </xf>
    <xf numFmtId="0" fontId="60" fillId="0" borderId="76" xfId="0" applyFont="1" applyBorder="1" applyAlignment="1">
      <alignment horizontal="center" vertical="center"/>
    </xf>
    <xf numFmtId="0" fontId="37" fillId="0" borderId="139" xfId="0" applyFont="1" applyBorder="1" applyAlignment="1">
      <alignment horizontal="left" vertical="center"/>
    </xf>
    <xf numFmtId="0" fontId="24" fillId="21" borderId="71" xfId="2" applyFont="1" applyFill="1" applyBorder="1" applyAlignment="1">
      <alignment horizontal="centerContinuous" vertical="center" wrapText="1"/>
    </xf>
    <xf numFmtId="0" fontId="24" fillId="21" borderId="150" xfId="2" applyFont="1" applyFill="1" applyBorder="1" applyAlignment="1">
      <alignment horizontal="center" vertical="center" wrapText="1"/>
    </xf>
    <xf numFmtId="0" fontId="37" fillId="0" borderId="44" xfId="0" applyFont="1" applyBorder="1" applyAlignment="1">
      <alignment horizontal="left" vertical="center"/>
    </xf>
    <xf numFmtId="0" fontId="37" fillId="0" borderId="0" xfId="0" applyFont="1" applyAlignment="1">
      <alignment horizontal="center" vertical="center"/>
    </xf>
    <xf numFmtId="9" fontId="3" fillId="0" borderId="37" xfId="1" applyFont="1" applyBorder="1" applyAlignment="1">
      <alignment horizontal="center"/>
    </xf>
    <xf numFmtId="0" fontId="37" fillId="0" borderId="151" xfId="0" applyFont="1" applyBorder="1" applyAlignment="1">
      <alignment horizontal="left" vertical="center"/>
    </xf>
    <xf numFmtId="0" fontId="37" fillId="0" borderId="151" xfId="0" applyFont="1" applyBorder="1" applyAlignment="1">
      <alignment horizontal="center" vertical="center"/>
    </xf>
    <xf numFmtId="0" fontId="3" fillId="0" borderId="151" xfId="0" applyFont="1" applyBorder="1"/>
    <xf numFmtId="9" fontId="3" fillId="0" borderId="145" xfId="1" applyFont="1" applyBorder="1" applyAlignment="1">
      <alignment horizontal="center"/>
    </xf>
    <xf numFmtId="164" fontId="37" fillId="0" borderId="136" xfId="2" applyNumberFormat="1" applyFont="1" applyBorder="1" applyAlignment="1">
      <alignment horizontal="center" vertical="center"/>
    </xf>
    <xf numFmtId="164" fontId="37" fillId="0" borderId="137" xfId="2" applyNumberFormat="1" applyFont="1" applyBorder="1" applyAlignment="1">
      <alignment horizontal="center" vertical="center"/>
    </xf>
    <xf numFmtId="9" fontId="3" fillId="0" borderId="135" xfId="1" applyFont="1" applyBorder="1" applyAlignment="1">
      <alignment horizontal="center"/>
    </xf>
    <xf numFmtId="164" fontId="39" fillId="0" borderId="0" xfId="2" applyNumberFormat="1" applyFont="1" applyAlignment="1">
      <alignment horizontal="center" vertical="center"/>
    </xf>
    <xf numFmtId="9" fontId="39" fillId="0" borderId="0" xfId="1" applyFont="1" applyFill="1" applyBorder="1" applyAlignment="1">
      <alignment horizontal="center" vertical="center"/>
    </xf>
    <xf numFmtId="0" fontId="29" fillId="0" borderId="16" xfId="18" applyFont="1" applyBorder="1" applyAlignment="1">
      <alignment horizontal="centerContinuous" vertical="center" wrapText="1"/>
    </xf>
    <xf numFmtId="0" fontId="25" fillId="13" borderId="9" xfId="0" applyFont="1" applyFill="1" applyBorder="1" applyAlignment="1">
      <alignment horizontal="center"/>
    </xf>
    <xf numFmtId="0" fontId="25" fillId="0" borderId="151" xfId="0" applyFont="1" applyBorder="1" applyAlignment="1">
      <alignment horizontal="centerContinuous"/>
    </xf>
    <xf numFmtId="0" fontId="0" fillId="0" borderId="151" xfId="0" applyBorder="1" applyAlignment="1">
      <alignment horizontal="centerContinuous"/>
    </xf>
    <xf numFmtId="0" fontId="25" fillId="0" borderId="37" xfId="0" applyFont="1" applyBorder="1"/>
    <xf numFmtId="0" fontId="25" fillId="0" borderId="145" xfId="0" applyFont="1" applyBorder="1"/>
    <xf numFmtId="0" fontId="25" fillId="0" borderId="151" xfId="0" applyFont="1" applyBorder="1" applyAlignment="1">
      <alignment horizontal="center"/>
    </xf>
    <xf numFmtId="164" fontId="24" fillId="3" borderId="154" xfId="2" applyNumberFormat="1" applyFont="1" applyFill="1" applyBorder="1" applyAlignment="1">
      <alignment horizontal="center" vertical="center"/>
    </xf>
    <xf numFmtId="164" fontId="24" fillId="3" borderId="155" xfId="2" applyNumberFormat="1" applyFont="1" applyFill="1" applyBorder="1" applyAlignment="1">
      <alignment horizontal="center" vertical="center"/>
    </xf>
    <xf numFmtId="0" fontId="25" fillId="0" borderId="29" xfId="0" applyFont="1" applyBorder="1"/>
    <xf numFmtId="164" fontId="27" fillId="0" borderId="157" xfId="18" applyNumberFormat="1" applyFont="1" applyBorder="1" applyAlignment="1">
      <alignment horizontal="center" vertical="center"/>
    </xf>
    <xf numFmtId="164" fontId="27" fillId="0" borderId="158" xfId="18" applyNumberFormat="1" applyFont="1" applyBorder="1" applyAlignment="1">
      <alignment horizontal="center" vertical="center"/>
    </xf>
    <xf numFmtId="164" fontId="27" fillId="0" borderId="159" xfId="18" applyNumberFormat="1" applyFont="1" applyBorder="1" applyAlignment="1">
      <alignment horizontal="center" vertical="center"/>
    </xf>
    <xf numFmtId="164" fontId="4" fillId="0" borderId="14" xfId="18" applyNumberFormat="1" applyFont="1" applyBorder="1" applyAlignment="1">
      <alignment horizontal="center" vertical="center"/>
    </xf>
    <xf numFmtId="164" fontId="4" fillId="0" borderId="157" xfId="18" applyNumberFormat="1" applyFont="1" applyBorder="1" applyAlignment="1">
      <alignment horizontal="center" vertical="center"/>
    </xf>
    <xf numFmtId="164" fontId="4" fillId="0" borderId="158" xfId="18" applyNumberFormat="1" applyFont="1" applyBorder="1" applyAlignment="1">
      <alignment horizontal="center" vertical="center"/>
    </xf>
    <xf numFmtId="164" fontId="25" fillId="0" borderId="160" xfId="0" applyNumberFormat="1" applyFont="1" applyBorder="1" applyAlignment="1">
      <alignment horizontal="center"/>
    </xf>
    <xf numFmtId="0" fontId="0" fillId="0" borderId="44" xfId="0" applyBorder="1"/>
    <xf numFmtId="0" fontId="24" fillId="21" borderId="28" xfId="0" applyFont="1" applyFill="1" applyBorder="1" applyAlignment="1">
      <alignment horizontal="centerContinuous"/>
    </xf>
    <xf numFmtId="0" fontId="24" fillId="21" borderId="71" xfId="0" applyFont="1" applyFill="1" applyBorder="1" applyAlignment="1">
      <alignment horizontal="centerContinuous"/>
    </xf>
    <xf numFmtId="0" fontId="24" fillId="21" borderId="149" xfId="0" applyFont="1" applyFill="1" applyBorder="1" applyAlignment="1">
      <alignment horizontal="center"/>
    </xf>
    <xf numFmtId="0" fontId="24" fillId="21" borderId="150" xfId="0" applyFont="1" applyFill="1" applyBorder="1" applyAlignment="1">
      <alignment horizontal="center"/>
    </xf>
    <xf numFmtId="0" fontId="0" fillId="0" borderId="139" xfId="0" applyBorder="1"/>
    <xf numFmtId="0" fontId="0" fillId="0" borderId="151" xfId="0" applyBorder="1"/>
    <xf numFmtId="9" fontId="0" fillId="0" borderId="161" xfId="1" applyFont="1" applyBorder="1" applyAlignment="1">
      <alignment horizontal="center"/>
    </xf>
    <xf numFmtId="9" fontId="0" fillId="0" borderId="137" xfId="1" applyFont="1" applyBorder="1" applyAlignment="1">
      <alignment horizontal="center"/>
    </xf>
    <xf numFmtId="9" fontId="0" fillId="0" borderId="47" xfId="1" applyFont="1" applyBorder="1" applyAlignment="1">
      <alignment horizontal="center"/>
    </xf>
    <xf numFmtId="9" fontId="0" fillId="0" borderId="40" xfId="1" applyFont="1" applyBorder="1" applyAlignment="1">
      <alignment horizontal="center"/>
    </xf>
    <xf numFmtId="9" fontId="56" fillId="0" borderId="38" xfId="1" applyFont="1" applyFill="1" applyBorder="1" applyAlignment="1">
      <alignment horizontal="center" vertical="center"/>
    </xf>
    <xf numFmtId="9" fontId="56" fillId="0" borderId="40" xfId="1" applyFont="1" applyFill="1" applyBorder="1" applyAlignment="1">
      <alignment horizontal="center" vertical="center"/>
    </xf>
    <xf numFmtId="0" fontId="25" fillId="0" borderId="97" xfId="0" applyFont="1" applyBorder="1"/>
    <xf numFmtId="0" fontId="45" fillId="0" borderId="0" xfId="0" applyFont="1"/>
    <xf numFmtId="10" fontId="0" fillId="0" borderId="0" xfId="1" applyNumberFormat="1" applyFont="1"/>
    <xf numFmtId="10" fontId="0" fillId="0" borderId="0" xfId="0" applyNumberFormat="1"/>
    <xf numFmtId="9" fontId="4" fillId="0" borderId="0" xfId="1" applyFont="1" applyAlignment="1">
      <alignment horizontal="center" vertical="center"/>
    </xf>
    <xf numFmtId="0" fontId="61" fillId="4" borderId="103" xfId="0" applyFont="1" applyFill="1" applyBorder="1" applyAlignment="1">
      <alignment horizontal="center"/>
    </xf>
    <xf numFmtId="0" fontId="61" fillId="4" borderId="104" xfId="0" applyFont="1" applyFill="1" applyBorder="1"/>
    <xf numFmtId="9" fontId="61" fillId="4" borderId="104" xfId="1" applyFont="1" applyFill="1" applyBorder="1"/>
    <xf numFmtId="9" fontId="61" fillId="4" borderId="105" xfId="1" applyFont="1" applyFill="1" applyBorder="1"/>
    <xf numFmtId="0" fontId="55" fillId="3" borderId="106" xfId="0" applyFont="1" applyFill="1" applyBorder="1" applyAlignment="1">
      <alignment horizontal="center"/>
    </xf>
    <xf numFmtId="0" fontId="55" fillId="3" borderId="68" xfId="0" applyFont="1" applyFill="1" applyBorder="1" applyAlignment="1">
      <alignment horizontal="center"/>
    </xf>
    <xf numFmtId="164" fontId="55" fillId="3" borderId="53" xfId="1" applyNumberFormat="1" applyFont="1" applyFill="1" applyBorder="1" applyAlignment="1">
      <alignment horizontal="center"/>
    </xf>
    <xf numFmtId="164" fontId="55" fillId="3" borderId="54" xfId="1" applyNumberFormat="1" applyFont="1" applyFill="1" applyBorder="1" applyAlignment="1">
      <alignment horizontal="center"/>
    </xf>
    <xf numFmtId="0" fontId="61" fillId="3" borderId="81" xfId="0" applyFont="1" applyFill="1" applyBorder="1" applyAlignment="1">
      <alignment horizontal="center"/>
    </xf>
    <xf numFmtId="0" fontId="61" fillId="3" borderId="107" xfId="0" applyFont="1" applyFill="1" applyBorder="1"/>
    <xf numFmtId="166" fontId="61" fillId="3" borderId="82" xfId="1" applyNumberFormat="1" applyFont="1" applyFill="1" applyBorder="1" applyAlignment="1">
      <alignment horizontal="center"/>
    </xf>
    <xf numFmtId="166" fontId="61" fillId="3" borderId="83" xfId="1" applyNumberFormat="1" applyFont="1" applyFill="1" applyBorder="1" applyAlignment="1">
      <alignment horizontal="center"/>
    </xf>
    <xf numFmtId="0" fontId="56" fillId="0" borderId="29" xfId="0" applyFont="1" applyBorder="1" applyAlignment="1">
      <alignment horizontal="center" vertical="center" wrapText="1"/>
    </xf>
    <xf numFmtId="0" fontId="56" fillId="0" borderId="29" xfId="0" applyFont="1" applyBorder="1" applyAlignment="1">
      <alignment horizontal="center" vertical="center"/>
    </xf>
    <xf numFmtId="164" fontId="56" fillId="0" borderId="101" xfId="0" applyNumberFormat="1" applyFont="1" applyBorder="1" applyAlignment="1">
      <alignment horizontal="center" vertical="center"/>
    </xf>
    <xf numFmtId="164" fontId="56" fillId="0" borderId="102" xfId="0" applyNumberFormat="1" applyFont="1" applyBorder="1" applyAlignment="1">
      <alignment horizontal="center" vertical="center"/>
    </xf>
    <xf numFmtId="164" fontId="56" fillId="0" borderId="29" xfId="0" applyNumberFormat="1" applyFont="1" applyBorder="1" applyAlignment="1">
      <alignment horizontal="center" vertical="center"/>
    </xf>
    <xf numFmtId="0" fontId="56" fillId="0" borderId="29" xfId="0" applyFont="1" applyBorder="1" applyAlignment="1">
      <alignment horizontal="center"/>
    </xf>
    <xf numFmtId="0" fontId="56" fillId="0" borderId="29" xfId="0" applyFont="1" applyBorder="1"/>
    <xf numFmtId="164" fontId="56" fillId="0" borderId="29" xfId="1" applyNumberFormat="1" applyFont="1" applyBorder="1" applyAlignment="1">
      <alignment horizontal="center"/>
    </xf>
    <xf numFmtId="0" fontId="62" fillId="18" borderId="29" xfId="0" applyFont="1" applyFill="1" applyBorder="1" applyAlignment="1">
      <alignment horizontal="center"/>
    </xf>
    <xf numFmtId="0" fontId="62" fillId="18" borderId="29" xfId="0" applyFont="1" applyFill="1" applyBorder="1"/>
    <xf numFmtId="164" fontId="62" fillId="18" borderId="29" xfId="1" applyNumberFormat="1" applyFont="1" applyFill="1" applyBorder="1" applyAlignment="1">
      <alignment horizontal="center"/>
    </xf>
    <xf numFmtId="0" fontId="56" fillId="18" borderId="29" xfId="0" applyFont="1" applyFill="1" applyBorder="1" applyAlignment="1">
      <alignment horizontal="center"/>
    </xf>
    <xf numFmtId="0" fontId="56" fillId="18" borderId="29" xfId="0" applyFont="1" applyFill="1" applyBorder="1"/>
    <xf numFmtId="164" fontId="56" fillId="18" borderId="29" xfId="1" applyNumberFormat="1" applyFont="1" applyFill="1" applyBorder="1" applyAlignment="1">
      <alignment horizontal="center"/>
    </xf>
    <xf numFmtId="9" fontId="37" fillId="0" borderId="0" xfId="1" applyFont="1" applyAlignment="1">
      <alignment horizontal="center"/>
    </xf>
    <xf numFmtId="164" fontId="37" fillId="0" borderId="0" xfId="0" applyNumberFormat="1" applyFont="1" applyAlignment="1">
      <alignment horizontal="left" vertical="center"/>
    </xf>
    <xf numFmtId="164" fontId="0" fillId="0" borderId="0" xfId="0" applyNumberFormat="1"/>
    <xf numFmtId="9" fontId="4" fillId="0" borderId="0" xfId="1" applyFont="1" applyAlignment="1">
      <alignment wrapText="1"/>
    </xf>
    <xf numFmtId="164" fontId="36" fillId="0" borderId="0" xfId="2" applyNumberFormat="1" applyFont="1" applyAlignment="1">
      <alignment horizontal="center" vertical="top" wrapText="1"/>
    </xf>
    <xf numFmtId="164" fontId="36" fillId="0" borderId="0" xfId="2" applyNumberFormat="1" applyFont="1"/>
    <xf numFmtId="164" fontId="37" fillId="0" borderId="0" xfId="0" applyNumberFormat="1" applyFont="1" applyAlignment="1">
      <alignment horizontal="center" vertical="center"/>
    </xf>
    <xf numFmtId="9" fontId="3" fillId="0" borderId="0" xfId="1" applyFont="1" applyAlignment="1">
      <alignment horizontal="center"/>
    </xf>
    <xf numFmtId="9" fontId="4" fillId="0" borderId="0" xfId="1" applyFont="1" applyAlignment="1">
      <alignment horizontal="center" vertical="top" wrapText="1"/>
    </xf>
    <xf numFmtId="0" fontId="55" fillId="2" borderId="71" xfId="2" applyFont="1" applyFill="1" applyBorder="1" applyAlignment="1">
      <alignment horizontal="centerContinuous" vertical="center" wrapText="1"/>
    </xf>
    <xf numFmtId="0" fontId="55" fillId="2" borderId="36" xfId="2" applyFont="1" applyFill="1" applyBorder="1" applyAlignment="1">
      <alignment horizontal="center" vertical="center"/>
    </xf>
    <xf numFmtId="0" fontId="55" fillId="2" borderId="73" xfId="2" applyFont="1" applyFill="1" applyBorder="1" applyAlignment="1">
      <alignment horizontal="center" vertical="center"/>
    </xf>
    <xf numFmtId="0" fontId="55" fillId="4" borderId="44" xfId="2" applyFont="1" applyFill="1" applyBorder="1" applyAlignment="1">
      <alignment horizontal="centerContinuous" vertical="center"/>
    </xf>
    <xf numFmtId="0" fontId="55" fillId="4" borderId="0" xfId="2" applyFont="1" applyFill="1" applyAlignment="1">
      <alignment horizontal="centerContinuous" vertical="center"/>
    </xf>
    <xf numFmtId="9" fontId="55" fillId="4" borderId="0" xfId="1" applyFont="1" applyFill="1" applyBorder="1" applyAlignment="1">
      <alignment horizontal="centerContinuous" vertical="center"/>
    </xf>
    <xf numFmtId="0" fontId="55" fillId="4" borderId="37" xfId="2" applyFont="1" applyFill="1" applyBorder="1" applyAlignment="1">
      <alignment horizontal="centerContinuous" vertical="center"/>
    </xf>
    <xf numFmtId="0" fontId="55" fillId="3" borderId="70" xfId="0" applyFont="1" applyFill="1" applyBorder="1" applyAlignment="1">
      <alignment horizontal="center" vertical="center" wrapText="1"/>
    </xf>
    <xf numFmtId="164" fontId="55" fillId="3" borderId="41" xfId="2" applyNumberFormat="1" applyFont="1" applyFill="1" applyBorder="1" applyAlignment="1">
      <alignment horizontal="center" vertical="center"/>
    </xf>
    <xf numFmtId="0" fontId="55" fillId="3" borderId="41" xfId="2" applyFont="1" applyFill="1" applyBorder="1" applyAlignment="1">
      <alignment horizontal="center" vertical="center"/>
    </xf>
    <xf numFmtId="9" fontId="55" fillId="3" borderId="41" xfId="1" applyFont="1" applyFill="1" applyBorder="1" applyAlignment="1">
      <alignment horizontal="center" vertical="center"/>
    </xf>
    <xf numFmtId="164" fontId="55" fillId="3" borderId="80" xfId="2" applyNumberFormat="1" applyFont="1" applyFill="1" applyBorder="1" applyAlignment="1">
      <alignment horizontal="center" vertical="center"/>
    </xf>
    <xf numFmtId="0" fontId="64" fillId="3" borderId="81" xfId="2" applyFont="1" applyFill="1" applyBorder="1" applyAlignment="1">
      <alignment horizontal="center" vertical="center"/>
    </xf>
    <xf numFmtId="9" fontId="64" fillId="3" borderId="82" xfId="3" applyFont="1" applyFill="1" applyBorder="1" applyAlignment="1">
      <alignment horizontal="center" vertical="center"/>
    </xf>
    <xf numFmtId="0" fontId="64" fillId="3" borderId="82" xfId="2" applyFont="1" applyFill="1" applyBorder="1" applyAlignment="1">
      <alignment vertical="center"/>
    </xf>
    <xf numFmtId="9" fontId="64" fillId="3" borderId="83" xfId="3" applyFont="1" applyFill="1" applyBorder="1" applyAlignment="1">
      <alignment horizontal="center" vertical="center"/>
    </xf>
    <xf numFmtId="0" fontId="56" fillId="0" borderId="74" xfId="2" applyFont="1" applyBorder="1" applyAlignment="1">
      <alignment horizontal="center" vertical="center"/>
    </xf>
    <xf numFmtId="164" fontId="56" fillId="0" borderId="55" xfId="2" applyNumberFormat="1" applyFont="1" applyBorder="1" applyAlignment="1">
      <alignment horizontal="center" vertical="center"/>
    </xf>
    <xf numFmtId="0" fontId="56" fillId="0" borderId="55" xfId="2" applyFont="1" applyBorder="1" applyAlignment="1">
      <alignment horizontal="center" vertical="center"/>
    </xf>
    <xf numFmtId="9" fontId="56" fillId="0" borderId="57" xfId="1" applyFont="1" applyFill="1" applyBorder="1" applyAlignment="1">
      <alignment horizontal="center" vertical="center"/>
    </xf>
    <xf numFmtId="164" fontId="56" fillId="0" borderId="57" xfId="2" applyNumberFormat="1" applyFont="1" applyBorder="1" applyAlignment="1">
      <alignment horizontal="center" vertical="center"/>
    </xf>
    <xf numFmtId="9" fontId="56" fillId="0" borderId="58" xfId="1" applyFont="1" applyFill="1" applyBorder="1" applyAlignment="1">
      <alignment horizontal="center" vertical="center"/>
    </xf>
    <xf numFmtId="164" fontId="56" fillId="0" borderId="58" xfId="2" applyNumberFormat="1" applyFont="1" applyBorder="1" applyAlignment="1">
      <alignment horizontal="center" vertical="center"/>
    </xf>
    <xf numFmtId="0" fontId="56" fillId="0" borderId="29" xfId="2" applyFont="1" applyBorder="1" applyAlignment="1">
      <alignment horizontal="center" vertical="center"/>
    </xf>
    <xf numFmtId="164" fontId="56" fillId="0" borderId="29" xfId="2" applyNumberFormat="1" applyFont="1" applyBorder="1" applyAlignment="1">
      <alignment horizontal="center" vertical="center"/>
    </xf>
    <xf numFmtId="0" fontId="56" fillId="0" borderId="29" xfId="2" applyFont="1" applyBorder="1" applyAlignment="1">
      <alignment vertical="center"/>
    </xf>
    <xf numFmtId="164" fontId="56" fillId="0" borderId="38" xfId="2" applyNumberFormat="1" applyFont="1" applyBorder="1" applyAlignment="1">
      <alignment horizontal="center" vertical="center"/>
    </xf>
    <xf numFmtId="9" fontId="56" fillId="0" borderId="39" xfId="1" applyFont="1" applyFill="1" applyBorder="1" applyAlignment="1">
      <alignment horizontal="center" vertical="center"/>
    </xf>
    <xf numFmtId="164" fontId="56" fillId="0" borderId="39" xfId="2" applyNumberFormat="1" applyFont="1" applyBorder="1" applyAlignment="1">
      <alignment horizontal="center" vertical="center"/>
    </xf>
    <xf numFmtId="164" fontId="56" fillId="0" borderId="40" xfId="2" applyNumberFormat="1" applyFont="1" applyBorder="1" applyAlignment="1">
      <alignment horizontal="center" vertical="center"/>
    </xf>
    <xf numFmtId="0" fontId="62" fillId="0" borderId="29" xfId="2" applyFont="1" applyBorder="1" applyAlignment="1">
      <alignment horizontal="center" vertical="center"/>
    </xf>
    <xf numFmtId="164" fontId="62" fillId="0" borderId="29" xfId="2" applyNumberFormat="1" applyFont="1" applyBorder="1" applyAlignment="1">
      <alignment horizontal="center" vertical="center"/>
    </xf>
    <xf numFmtId="0" fontId="62" fillId="0" borderId="29" xfId="2" applyFont="1" applyBorder="1" applyAlignment="1">
      <alignment vertical="center"/>
    </xf>
    <xf numFmtId="164" fontId="62" fillId="0" borderId="38" xfId="2" applyNumberFormat="1" applyFont="1" applyBorder="1" applyAlignment="1">
      <alignment horizontal="center" vertical="center"/>
    </xf>
    <xf numFmtId="9" fontId="62" fillId="0" borderId="39" xfId="1" applyFont="1" applyFill="1" applyBorder="1" applyAlignment="1">
      <alignment horizontal="center" vertical="center"/>
    </xf>
    <xf numFmtId="164" fontId="62" fillId="0" borderId="39" xfId="2" applyNumberFormat="1" applyFont="1" applyBorder="1" applyAlignment="1">
      <alignment horizontal="center" vertical="center"/>
    </xf>
    <xf numFmtId="9" fontId="62" fillId="0" borderId="40" xfId="1" applyFont="1" applyFill="1" applyBorder="1" applyAlignment="1">
      <alignment horizontal="center" vertical="center"/>
    </xf>
    <xf numFmtId="164" fontId="62" fillId="0" borderId="40" xfId="2" applyNumberFormat="1" applyFont="1" applyBorder="1" applyAlignment="1">
      <alignment horizontal="center" vertical="center"/>
    </xf>
    <xf numFmtId="0" fontId="62" fillId="0" borderId="76" xfId="2" applyFont="1" applyBorder="1" applyAlignment="1">
      <alignment horizontal="center" vertical="center"/>
    </xf>
    <xf numFmtId="164" fontId="62" fillId="0" borderId="76" xfId="2" applyNumberFormat="1" applyFont="1" applyBorder="1" applyAlignment="1">
      <alignment horizontal="center" vertical="center"/>
    </xf>
    <xf numFmtId="164" fontId="62" fillId="0" borderId="77" xfId="2" applyNumberFormat="1" applyFont="1" applyBorder="1" applyAlignment="1">
      <alignment horizontal="center" vertical="center"/>
    </xf>
    <xf numFmtId="9" fontId="62" fillId="0" borderId="78" xfId="1" applyFont="1" applyFill="1" applyBorder="1" applyAlignment="1">
      <alignment horizontal="center" vertical="center"/>
    </xf>
    <xf numFmtId="164" fontId="62" fillId="0" borderId="78" xfId="2" applyNumberFormat="1" applyFont="1" applyBorder="1" applyAlignment="1">
      <alignment horizontal="center" vertical="center"/>
    </xf>
    <xf numFmtId="9" fontId="62" fillId="0" borderId="79" xfId="1" applyFont="1" applyFill="1" applyBorder="1" applyAlignment="1">
      <alignment horizontal="center" vertical="center"/>
    </xf>
    <xf numFmtId="164" fontId="62" fillId="0" borderId="79" xfId="2" applyNumberFormat="1" applyFont="1" applyBorder="1" applyAlignment="1">
      <alignment horizontal="center" vertical="center"/>
    </xf>
    <xf numFmtId="0" fontId="56" fillId="0" borderId="0" xfId="2" applyFont="1"/>
    <xf numFmtId="0" fontId="56" fillId="0" borderId="0" xfId="2" applyFont="1" applyAlignment="1">
      <alignment horizontal="center"/>
    </xf>
    <xf numFmtId="0" fontId="62" fillId="0" borderId="0" xfId="2" applyFont="1" applyAlignment="1">
      <alignment horizontal="center"/>
    </xf>
    <xf numFmtId="9" fontId="62" fillId="0" borderId="0" xfId="1" applyFont="1" applyFill="1" applyBorder="1" applyAlignment="1">
      <alignment horizontal="center"/>
    </xf>
    <xf numFmtId="9" fontId="56" fillId="0" borderId="0" xfId="1" applyFont="1" applyFill="1" applyBorder="1" applyAlignment="1">
      <alignment horizontal="center"/>
    </xf>
    <xf numFmtId="0" fontId="36" fillId="20" borderId="0" xfId="2" applyFont="1" applyFill="1" applyAlignment="1">
      <alignment horizontal="center" vertical="center" wrapText="1"/>
    </xf>
    <xf numFmtId="9" fontId="3" fillId="0" borderId="0" xfId="1" applyFont="1"/>
    <xf numFmtId="0" fontId="55" fillId="2" borderId="70" xfId="0" applyFont="1" applyFill="1" applyBorder="1" applyAlignment="1">
      <alignment horizontal="centerContinuous" vertical="center"/>
    </xf>
    <xf numFmtId="0" fontId="55" fillId="2" borderId="41" xfId="0" applyFont="1" applyFill="1" applyBorder="1" applyAlignment="1">
      <alignment horizontal="centerContinuous" vertical="center"/>
    </xf>
    <xf numFmtId="0" fontId="55" fillId="2" borderId="41" xfId="0" applyFont="1" applyFill="1" applyBorder="1" applyAlignment="1">
      <alignment horizontal="centerContinuous"/>
    </xf>
    <xf numFmtId="0" fontId="55" fillId="2" borderId="80" xfId="0" applyFont="1" applyFill="1" applyBorder="1" applyAlignment="1">
      <alignment horizontal="centerContinuous"/>
    </xf>
    <xf numFmtId="9" fontId="37" fillId="0" borderId="137" xfId="1" applyFont="1" applyBorder="1" applyAlignment="1">
      <alignment horizontal="center" vertical="center"/>
    </xf>
    <xf numFmtId="9" fontId="39" fillId="0" borderId="40" xfId="1" applyFont="1" applyBorder="1" applyAlignment="1">
      <alignment horizontal="center" vertical="center"/>
    </xf>
    <xf numFmtId="9" fontId="37" fillId="0" borderId="40" xfId="1" applyFont="1" applyBorder="1" applyAlignment="1">
      <alignment horizontal="center" vertical="center"/>
    </xf>
    <xf numFmtId="9" fontId="39" fillId="0" borderId="79" xfId="1" applyFont="1" applyBorder="1" applyAlignment="1">
      <alignment horizontal="center" vertical="center"/>
    </xf>
    <xf numFmtId="0" fontId="37" fillId="16" borderId="44" xfId="0" applyFont="1" applyFill="1" applyBorder="1" applyAlignment="1">
      <alignment horizontal="left" vertical="center"/>
    </xf>
    <xf numFmtId="0" fontId="37" fillId="16" borderId="0" xfId="0" applyFont="1" applyFill="1" applyAlignment="1">
      <alignment horizontal="left" vertical="center"/>
    </xf>
    <xf numFmtId="0" fontId="37" fillId="16" borderId="0" xfId="0" applyFont="1" applyFill="1" applyAlignment="1">
      <alignment horizontal="center" vertical="center"/>
    </xf>
    <xf numFmtId="0" fontId="3" fillId="16" borderId="0" xfId="0" applyFont="1" applyFill="1"/>
    <xf numFmtId="9" fontId="3" fillId="16" borderId="37" xfId="1" applyFont="1" applyFill="1" applyBorder="1" applyAlignment="1">
      <alignment horizontal="center"/>
    </xf>
    <xf numFmtId="164" fontId="56" fillId="16" borderId="56" xfId="2" applyNumberFormat="1" applyFont="1" applyFill="1" applyBorder="1" applyAlignment="1">
      <alignment horizontal="center" vertical="center"/>
    </xf>
    <xf numFmtId="164" fontId="56" fillId="16" borderId="75" xfId="2" applyNumberFormat="1" applyFont="1" applyFill="1" applyBorder="1" applyAlignment="1">
      <alignment horizontal="center" vertical="center"/>
    </xf>
    <xf numFmtId="0" fontId="24" fillId="21" borderId="71" xfId="2" applyFont="1" applyFill="1" applyBorder="1" applyAlignment="1">
      <alignment horizontal="left" vertical="center" wrapText="1"/>
    </xf>
    <xf numFmtId="0" fontId="24" fillId="21" borderId="35" xfId="2" applyFont="1" applyFill="1" applyBorder="1" applyAlignment="1">
      <alignment horizontal="left" vertical="center" wrapText="1"/>
    </xf>
    <xf numFmtId="0" fontId="24" fillId="21" borderId="162" xfId="2" applyFont="1" applyFill="1" applyBorder="1" applyAlignment="1">
      <alignment horizontal="center" vertical="center" wrapText="1"/>
    </xf>
    <xf numFmtId="0" fontId="55" fillId="2" borderId="84" xfId="2" applyFont="1" applyFill="1" applyBorder="1" applyAlignment="1">
      <alignment horizontal="centerContinuous" vertical="center" wrapText="1"/>
    </xf>
    <xf numFmtId="0" fontId="55" fillId="2" borderId="49" xfId="2" applyFont="1" applyFill="1" applyBorder="1" applyAlignment="1">
      <alignment horizontal="center" vertical="center"/>
    </xf>
    <xf numFmtId="0" fontId="55" fillId="2" borderId="85" xfId="2" applyFont="1" applyFill="1" applyBorder="1" applyAlignment="1">
      <alignment horizontal="center" vertical="center"/>
    </xf>
    <xf numFmtId="0" fontId="55" fillId="21" borderId="84" xfId="2" applyFont="1" applyFill="1" applyBorder="1" applyAlignment="1">
      <alignment horizontal="centerContinuous" vertical="center" wrapText="1"/>
    </xf>
    <xf numFmtId="0" fontId="55" fillId="21" borderId="28" xfId="2" applyFont="1" applyFill="1" applyBorder="1" applyAlignment="1">
      <alignment horizontal="centerContinuous" vertical="center" wrapText="1"/>
    </xf>
    <xf numFmtId="0" fontId="55" fillId="21" borderId="71" xfId="2" applyFont="1" applyFill="1" applyBorder="1" applyAlignment="1">
      <alignment horizontal="centerContinuous" vertical="center" wrapText="1"/>
    </xf>
    <xf numFmtId="0" fontId="55" fillId="21" borderId="152" xfId="0" applyFont="1" applyFill="1" applyBorder="1" applyAlignment="1">
      <alignment horizontal="center" vertical="center"/>
    </xf>
    <xf numFmtId="0" fontId="55" fillId="21" borderId="149" xfId="0" applyFont="1" applyFill="1" applyBorder="1" applyAlignment="1">
      <alignment horizontal="center" vertical="center"/>
    </xf>
    <xf numFmtId="0" fontId="55" fillId="21" borderId="149" xfId="0" applyFont="1" applyFill="1" applyBorder="1" applyAlignment="1">
      <alignment horizontal="center" vertical="center" wrapText="1"/>
    </xf>
    <xf numFmtId="0" fontId="55" fillId="21" borderId="152" xfId="2" applyFont="1" applyFill="1" applyBorder="1" applyAlignment="1">
      <alignment horizontal="center" vertical="center"/>
    </xf>
    <xf numFmtId="0" fontId="55" fillId="21" borderId="150" xfId="2" applyFont="1" applyFill="1" applyBorder="1" applyAlignment="1">
      <alignment horizontal="center" vertical="center"/>
    </xf>
    <xf numFmtId="9" fontId="55" fillId="3" borderId="70" xfId="1" applyFont="1" applyFill="1" applyBorder="1" applyAlignment="1">
      <alignment horizontal="center" vertical="center"/>
    </xf>
    <xf numFmtId="9" fontId="55" fillId="3" borderId="80" xfId="1" applyFont="1" applyFill="1" applyBorder="1" applyAlignment="1">
      <alignment horizontal="center" vertical="center"/>
    </xf>
    <xf numFmtId="0" fontId="65" fillId="0" borderId="0" xfId="0" applyFont="1"/>
    <xf numFmtId="0" fontId="56" fillId="0" borderId="0" xfId="0" applyFont="1" applyAlignment="1">
      <alignment horizontal="left" vertical="center"/>
    </xf>
    <xf numFmtId="0" fontId="56" fillId="0" borderId="134" xfId="0" applyFont="1" applyBorder="1" applyAlignment="1">
      <alignment horizontal="left" vertical="center"/>
    </xf>
    <xf numFmtId="0" fontId="56" fillId="0" borderId="153" xfId="0" applyFont="1" applyBorder="1" applyAlignment="1">
      <alignment horizontal="center" vertical="center"/>
    </xf>
    <xf numFmtId="0" fontId="56" fillId="0" borderId="44" xfId="0" applyFont="1" applyBorder="1" applyAlignment="1">
      <alignment horizontal="left" vertical="center"/>
    </xf>
    <xf numFmtId="0" fontId="56" fillId="0" borderId="0" xfId="0" applyFont="1" applyAlignment="1">
      <alignment horizontal="center" vertical="center"/>
    </xf>
    <xf numFmtId="0" fontId="56" fillId="0" borderId="151" xfId="0" applyFont="1" applyBorder="1" applyAlignment="1">
      <alignment horizontal="center" vertical="center"/>
    </xf>
    <xf numFmtId="0" fontId="56" fillId="4" borderId="44" xfId="2" applyFont="1" applyFill="1" applyBorder="1"/>
    <xf numFmtId="0" fontId="56" fillId="4" borderId="37" xfId="2" applyFont="1" applyFill="1" applyBorder="1"/>
    <xf numFmtId="0" fontId="65" fillId="0" borderId="0" xfId="0" applyFont="1" applyAlignment="1">
      <alignment vertical="center"/>
    </xf>
    <xf numFmtId="164" fontId="56" fillId="0" borderId="136" xfId="2" applyNumberFormat="1" applyFont="1" applyBorder="1" applyAlignment="1">
      <alignment horizontal="center" vertical="center"/>
    </xf>
    <xf numFmtId="164" fontId="56" fillId="0" borderId="137" xfId="2" applyNumberFormat="1" applyFont="1" applyBorder="1" applyAlignment="1">
      <alignment horizontal="center" vertical="center"/>
    </xf>
    <xf numFmtId="9" fontId="62" fillId="0" borderId="38" xfId="1" applyFont="1" applyFill="1" applyBorder="1" applyAlignment="1">
      <alignment horizontal="center" vertical="center"/>
    </xf>
    <xf numFmtId="9" fontId="62" fillId="0" borderId="77" xfId="1" applyFont="1" applyFill="1" applyBorder="1" applyAlignment="1">
      <alignment horizontal="center" vertical="center"/>
    </xf>
    <xf numFmtId="164" fontId="62" fillId="0" borderId="0" xfId="2" applyNumberFormat="1" applyFont="1" applyAlignment="1">
      <alignment horizontal="center" vertical="center"/>
    </xf>
    <xf numFmtId="9" fontId="62" fillId="0" borderId="0" xfId="1" applyFont="1" applyFill="1" applyBorder="1" applyAlignment="1">
      <alignment horizontal="center" vertical="center"/>
    </xf>
    <xf numFmtId="0" fontId="56" fillId="0" borderId="0" xfId="0" applyFont="1"/>
    <xf numFmtId="0" fontId="66" fillId="0" borderId="0" xfId="0" applyFont="1"/>
    <xf numFmtId="0" fontId="7" fillId="0" borderId="0" xfId="0" applyFont="1" applyAlignment="1">
      <alignment wrapText="1"/>
    </xf>
    <xf numFmtId="14" fontId="3" fillId="0" borderId="0" xfId="0" applyNumberFormat="1" applyFont="1"/>
    <xf numFmtId="0" fontId="12" fillId="0" borderId="0" xfId="0" applyFont="1"/>
    <xf numFmtId="167" fontId="3" fillId="0" borderId="0" xfId="0" applyNumberFormat="1" applyFont="1"/>
    <xf numFmtId="0" fontId="68" fillId="0" borderId="0" xfId="0" applyFont="1"/>
    <xf numFmtId="9" fontId="3" fillId="0" borderId="135" xfId="1" applyFont="1" applyBorder="1" applyAlignment="1">
      <alignment horizontal="center" vertical="center"/>
    </xf>
    <xf numFmtId="0" fontId="3" fillId="0" borderId="0" xfId="0" applyFont="1" applyAlignment="1">
      <alignment wrapText="1"/>
    </xf>
    <xf numFmtId="164" fontId="69" fillId="0" borderId="19" xfId="18" applyNumberFormat="1" applyFont="1" applyBorder="1" applyAlignment="1">
      <alignment horizontal="center" vertical="center"/>
    </xf>
    <xf numFmtId="164" fontId="69" fillId="0" borderId="17" xfId="18" applyNumberFormat="1" applyFont="1" applyBorder="1" applyAlignment="1">
      <alignment horizontal="center" vertical="center"/>
    </xf>
    <xf numFmtId="164" fontId="69" fillId="0" borderId="15" xfId="18" applyNumberFormat="1" applyFont="1" applyBorder="1" applyAlignment="1">
      <alignment horizontal="center" vertical="center"/>
    </xf>
    <xf numFmtId="164" fontId="33" fillId="0" borderId="13" xfId="18" applyNumberFormat="1" applyFont="1" applyBorder="1" applyAlignment="1">
      <alignment horizontal="center" vertical="center"/>
    </xf>
    <xf numFmtId="0" fontId="70" fillId="0" borderId="151" xfId="0" applyFont="1" applyBorder="1" applyAlignment="1">
      <alignment horizontal="center"/>
    </xf>
    <xf numFmtId="0" fontId="68" fillId="0" borderId="0" xfId="0" applyFont="1" applyAlignment="1">
      <alignment horizontal="center"/>
    </xf>
    <xf numFmtId="9" fontId="68" fillId="0" borderId="0" xfId="1" applyFont="1"/>
    <xf numFmtId="10" fontId="68" fillId="0" borderId="0" xfId="0" applyNumberFormat="1" applyFont="1"/>
    <xf numFmtId="164" fontId="33" fillId="17" borderId="13" xfId="18" applyNumberFormat="1" applyFont="1" applyFill="1" applyBorder="1" applyAlignment="1">
      <alignment horizontal="center" vertical="center"/>
    </xf>
    <xf numFmtId="9" fontId="71" fillId="0" borderId="47" xfId="1" applyFont="1" applyBorder="1" applyAlignment="1">
      <alignment horizontal="center"/>
    </xf>
    <xf numFmtId="9" fontId="72" fillId="0" borderId="47" xfId="1" applyFont="1" applyBorder="1" applyAlignment="1">
      <alignment horizontal="center"/>
    </xf>
    <xf numFmtId="9" fontId="67" fillId="0" borderId="47" xfId="1" applyFont="1" applyBorder="1" applyAlignment="1">
      <alignment horizontal="center"/>
    </xf>
    <xf numFmtId="0" fontId="70" fillId="0" borderId="29" xfId="0" applyFont="1" applyBorder="1"/>
    <xf numFmtId="9" fontId="68" fillId="0" borderId="47" xfId="1" applyFont="1" applyBorder="1" applyAlignment="1">
      <alignment horizontal="center"/>
    </xf>
    <xf numFmtId="9" fontId="68" fillId="0" borderId="40" xfId="1" applyFont="1" applyBorder="1" applyAlignment="1">
      <alignment horizontal="center"/>
    </xf>
    <xf numFmtId="0" fontId="70" fillId="0" borderId="76" xfId="0" applyFont="1" applyBorder="1"/>
    <xf numFmtId="9" fontId="68" fillId="0" borderId="138" xfId="1" applyFont="1" applyBorder="1" applyAlignment="1">
      <alignment horizontal="center"/>
    </xf>
    <xf numFmtId="9" fontId="68" fillId="0" borderId="79" xfId="1" applyFont="1" applyBorder="1" applyAlignment="1">
      <alignment horizontal="center"/>
    </xf>
    <xf numFmtId="0" fontId="73" fillId="0" borderId="74" xfId="2" applyFont="1" applyBorder="1" applyAlignment="1">
      <alignment horizontal="center" vertical="center"/>
    </xf>
    <xf numFmtId="164" fontId="73" fillId="0" borderId="55" xfId="2" applyNumberFormat="1" applyFont="1" applyBorder="1" applyAlignment="1">
      <alignment horizontal="center" vertical="center"/>
    </xf>
    <xf numFmtId="0" fontId="73" fillId="0" borderId="55" xfId="2" applyFont="1" applyBorder="1" applyAlignment="1">
      <alignment horizontal="center" vertical="center"/>
    </xf>
    <xf numFmtId="164" fontId="73" fillId="0" borderId="56" xfId="2" applyNumberFormat="1" applyFont="1" applyBorder="1" applyAlignment="1">
      <alignment horizontal="center" vertical="center"/>
    </xf>
    <xf numFmtId="9" fontId="73" fillId="0" borderId="57" xfId="1" applyFont="1" applyFill="1" applyBorder="1" applyAlignment="1">
      <alignment horizontal="center" vertical="center"/>
    </xf>
    <xf numFmtId="164" fontId="73" fillId="0" borderId="57" xfId="2" applyNumberFormat="1" applyFont="1" applyBorder="1" applyAlignment="1">
      <alignment horizontal="center" vertical="center"/>
    </xf>
    <xf numFmtId="9" fontId="73" fillId="0" borderId="58" xfId="1" applyFont="1" applyFill="1" applyBorder="1" applyAlignment="1">
      <alignment horizontal="center" vertical="center"/>
    </xf>
    <xf numFmtId="164" fontId="73" fillId="0" borderId="58" xfId="2" applyNumberFormat="1" applyFont="1" applyBorder="1" applyAlignment="1">
      <alignment horizontal="center" vertical="center"/>
    </xf>
    <xf numFmtId="164" fontId="73" fillId="0" borderId="75" xfId="2" applyNumberFormat="1" applyFont="1" applyBorder="1" applyAlignment="1">
      <alignment horizontal="center" vertical="center"/>
    </xf>
    <xf numFmtId="0" fontId="75" fillId="0" borderId="0" xfId="0" applyFont="1"/>
    <xf numFmtId="9" fontId="73" fillId="0" borderId="38" xfId="1" applyFont="1" applyFill="1" applyBorder="1" applyAlignment="1">
      <alignment horizontal="center" vertical="center"/>
    </xf>
    <xf numFmtId="9" fontId="73" fillId="0" borderId="40" xfId="1" applyFont="1" applyFill="1" applyBorder="1" applyAlignment="1">
      <alignment horizontal="center" vertical="center"/>
    </xf>
    <xf numFmtId="0" fontId="73" fillId="0" borderId="0" xfId="0" applyFont="1" applyAlignment="1">
      <alignment horizontal="left" vertical="center"/>
    </xf>
    <xf numFmtId="0" fontId="73" fillId="0" borderId="134" xfId="0" applyFont="1" applyBorder="1" applyAlignment="1">
      <alignment horizontal="left" vertical="center"/>
    </xf>
    <xf numFmtId="0" fontId="73" fillId="0" borderId="153" xfId="0" applyFont="1" applyBorder="1" applyAlignment="1">
      <alignment horizontal="left" vertical="center"/>
    </xf>
    <xf numFmtId="0" fontId="73" fillId="0" borderId="153" xfId="0" applyFont="1" applyBorder="1" applyAlignment="1">
      <alignment horizontal="center" vertical="center"/>
    </xf>
    <xf numFmtId="0" fontId="73" fillId="0" borderId="44" xfId="0" applyFont="1" applyBorder="1" applyAlignment="1">
      <alignment horizontal="left" vertical="center"/>
    </xf>
    <xf numFmtId="0" fontId="73" fillId="0" borderId="0" xfId="0" applyFont="1" applyAlignment="1">
      <alignment horizontal="center" vertical="center"/>
    </xf>
    <xf numFmtId="0" fontId="73" fillId="0" borderId="139" xfId="0" applyFont="1" applyBorder="1" applyAlignment="1">
      <alignment horizontal="left" vertical="center"/>
    </xf>
    <xf numFmtId="0" fontId="73" fillId="0" borderId="151" xfId="0" applyFont="1" applyBorder="1" applyAlignment="1">
      <alignment horizontal="left" vertical="center"/>
    </xf>
    <xf numFmtId="0" fontId="73" fillId="0" borderId="151" xfId="0" applyFont="1" applyBorder="1" applyAlignment="1">
      <alignment horizontal="center" vertical="center"/>
    </xf>
    <xf numFmtId="0" fontId="75" fillId="0" borderId="151" xfId="0" applyFont="1" applyBorder="1"/>
    <xf numFmtId="0" fontId="76" fillId="4" borderId="44" xfId="2" applyFont="1" applyFill="1" applyBorder="1" applyAlignment="1">
      <alignment horizontal="centerContinuous" vertical="center"/>
    </xf>
    <xf numFmtId="0" fontId="76" fillId="4" borderId="0" xfId="2" applyFont="1" applyFill="1" applyAlignment="1">
      <alignment horizontal="centerContinuous" vertical="center"/>
    </xf>
    <xf numFmtId="9" fontId="76" fillId="4" borderId="0" xfId="1" applyFont="1" applyFill="1" applyBorder="1" applyAlignment="1">
      <alignment horizontal="centerContinuous" vertical="center"/>
    </xf>
    <xf numFmtId="0" fontId="76" fillId="4" borderId="37" xfId="2" applyFont="1" applyFill="1" applyBorder="1" applyAlignment="1">
      <alignment horizontal="centerContinuous" vertical="center"/>
    </xf>
    <xf numFmtId="0" fontId="73" fillId="4" borderId="44" xfId="2" applyFont="1" applyFill="1" applyBorder="1"/>
    <xf numFmtId="0" fontId="73" fillId="4" borderId="37" xfId="2" applyFont="1" applyFill="1" applyBorder="1"/>
    <xf numFmtId="0" fontId="75" fillId="21" borderId="146" xfId="0" applyFont="1" applyFill="1" applyBorder="1"/>
    <xf numFmtId="0" fontId="75" fillId="21" borderId="148" xfId="0" applyFont="1" applyFill="1" applyBorder="1"/>
    <xf numFmtId="0" fontId="73" fillId="0" borderId="29" xfId="2" applyFont="1" applyBorder="1" applyAlignment="1">
      <alignment horizontal="center" vertical="center"/>
    </xf>
    <xf numFmtId="164" fontId="73" fillId="0" borderId="29" xfId="2" applyNumberFormat="1" applyFont="1" applyBorder="1" applyAlignment="1">
      <alignment horizontal="center" vertical="center"/>
    </xf>
    <xf numFmtId="0" fontId="73" fillId="0" borderId="29" xfId="2" applyFont="1" applyBorder="1" applyAlignment="1">
      <alignment vertical="center"/>
    </xf>
    <xf numFmtId="164" fontId="73" fillId="0" borderId="38" xfId="2" applyNumberFormat="1" applyFont="1" applyBorder="1" applyAlignment="1">
      <alignment horizontal="center" vertical="center"/>
    </xf>
    <xf numFmtId="9" fontId="73" fillId="0" borderId="39" xfId="1" applyFont="1" applyFill="1" applyBorder="1" applyAlignment="1">
      <alignment horizontal="center" vertical="center"/>
    </xf>
    <xf numFmtId="164" fontId="73" fillId="0" borderId="39" xfId="2" applyNumberFormat="1" applyFont="1" applyBorder="1" applyAlignment="1">
      <alignment horizontal="center" vertical="center"/>
    </xf>
    <xf numFmtId="164" fontId="73" fillId="0" borderId="40" xfId="2" applyNumberFormat="1" applyFont="1" applyBorder="1" applyAlignment="1">
      <alignment horizontal="center" vertical="center"/>
    </xf>
    <xf numFmtId="0" fontId="75" fillId="0" borderId="0" xfId="0" applyFont="1" applyAlignment="1">
      <alignment vertical="center"/>
    </xf>
    <xf numFmtId="164" fontId="73" fillId="0" borderId="136" xfId="2" applyNumberFormat="1" applyFont="1" applyBorder="1" applyAlignment="1">
      <alignment horizontal="center" vertical="center"/>
    </xf>
    <xf numFmtId="164" fontId="73" fillId="0" borderId="137" xfId="2" applyNumberFormat="1" applyFont="1" applyBorder="1" applyAlignment="1">
      <alignment horizontal="center" vertical="center"/>
    </xf>
    <xf numFmtId="0" fontId="74" fillId="0" borderId="29" xfId="2" applyFont="1" applyBorder="1" applyAlignment="1">
      <alignment horizontal="center" vertical="center"/>
    </xf>
    <xf numFmtId="164" fontId="74" fillId="0" borderId="29" xfId="2" applyNumberFormat="1" applyFont="1" applyBorder="1" applyAlignment="1">
      <alignment horizontal="center" vertical="center"/>
    </xf>
    <xf numFmtId="0" fontId="74" fillId="0" borderId="29" xfId="2" applyFont="1" applyBorder="1" applyAlignment="1">
      <alignment vertical="center"/>
    </xf>
    <xf numFmtId="164" fontId="74" fillId="0" borderId="38" xfId="2" applyNumberFormat="1" applyFont="1" applyBorder="1" applyAlignment="1">
      <alignment horizontal="center" vertical="center"/>
    </xf>
    <xf numFmtId="9" fontId="74" fillId="0" borderId="39" xfId="1" applyFont="1" applyFill="1" applyBorder="1" applyAlignment="1">
      <alignment horizontal="center" vertical="center"/>
    </xf>
    <xf numFmtId="164" fontId="74" fillId="0" borderId="39" xfId="2" applyNumberFormat="1" applyFont="1" applyBorder="1" applyAlignment="1">
      <alignment horizontal="center" vertical="center"/>
    </xf>
    <xf numFmtId="9" fontId="74" fillId="0" borderId="40" xfId="1" applyFont="1" applyFill="1" applyBorder="1" applyAlignment="1">
      <alignment horizontal="center" vertical="center"/>
    </xf>
    <xf numFmtId="164" fontId="74" fillId="0" borderId="40" xfId="2" applyNumberFormat="1" applyFont="1" applyBorder="1" applyAlignment="1">
      <alignment horizontal="center" vertical="center"/>
    </xf>
    <xf numFmtId="9" fontId="74" fillId="0" borderId="38" xfId="1" applyFont="1" applyFill="1" applyBorder="1" applyAlignment="1">
      <alignment horizontal="center" vertical="center"/>
    </xf>
    <xf numFmtId="0" fontId="74" fillId="0" borderId="76" xfId="2" applyFont="1" applyBorder="1" applyAlignment="1">
      <alignment horizontal="center" vertical="center"/>
    </xf>
    <xf numFmtId="164" fontId="74" fillId="0" borderId="76" xfId="2" applyNumberFormat="1" applyFont="1" applyBorder="1" applyAlignment="1">
      <alignment horizontal="center" vertical="center"/>
    </xf>
    <xf numFmtId="164" fontId="74" fillId="0" borderId="77" xfId="2" applyNumberFormat="1" applyFont="1" applyBorder="1" applyAlignment="1">
      <alignment horizontal="center" vertical="center"/>
    </xf>
    <xf numFmtId="9" fontId="74" fillId="0" borderId="78" xfId="1" applyFont="1" applyFill="1" applyBorder="1" applyAlignment="1">
      <alignment horizontal="center" vertical="center"/>
    </xf>
    <xf numFmtId="164" fontId="74" fillId="0" borderId="78" xfId="2" applyNumberFormat="1" applyFont="1" applyBorder="1" applyAlignment="1">
      <alignment horizontal="center" vertical="center"/>
    </xf>
    <xf numFmtId="9" fontId="74" fillId="0" borderId="79" xfId="1" applyFont="1" applyFill="1" applyBorder="1" applyAlignment="1">
      <alignment horizontal="center" vertical="center"/>
    </xf>
    <xf numFmtId="164" fontId="74" fillId="0" borderId="79" xfId="2" applyNumberFormat="1" applyFont="1" applyBorder="1" applyAlignment="1">
      <alignment horizontal="center" vertical="center"/>
    </xf>
    <xf numFmtId="9" fontId="74" fillId="0" borderId="77" xfId="1" applyFont="1" applyFill="1" applyBorder="1" applyAlignment="1">
      <alignment horizontal="center" vertical="center"/>
    </xf>
    <xf numFmtId="164" fontId="74" fillId="0" borderId="0" xfId="2" applyNumberFormat="1" applyFont="1" applyAlignment="1">
      <alignment horizontal="center" vertical="center"/>
    </xf>
    <xf numFmtId="9" fontId="74" fillId="0" borderId="0" xfId="1" applyFont="1" applyFill="1" applyBorder="1" applyAlignment="1">
      <alignment horizontal="center" vertical="center"/>
    </xf>
    <xf numFmtId="0" fontId="73" fillId="0" borderId="0" xfId="2" applyFont="1"/>
    <xf numFmtId="0" fontId="73" fillId="0" borderId="0" xfId="2" applyFont="1" applyAlignment="1">
      <alignment horizontal="center"/>
    </xf>
    <xf numFmtId="0" fontId="74" fillId="0" borderId="0" xfId="2" applyFont="1" applyAlignment="1">
      <alignment horizontal="center"/>
    </xf>
    <xf numFmtId="9" fontId="74" fillId="0" borderId="0" xfId="1" applyFont="1" applyFill="1" applyBorder="1" applyAlignment="1">
      <alignment horizontal="center"/>
    </xf>
    <xf numFmtId="9" fontId="73" fillId="0" borderId="0" xfId="1" applyFont="1" applyFill="1" applyBorder="1" applyAlignment="1">
      <alignment horizontal="center"/>
    </xf>
    <xf numFmtId="0" fontId="76" fillId="3" borderId="70" xfId="0" applyFont="1" applyFill="1" applyBorder="1" applyAlignment="1">
      <alignment horizontal="center" vertical="center" wrapText="1"/>
    </xf>
    <xf numFmtId="164" fontId="76" fillId="3" borderId="41" xfId="2" applyNumberFormat="1" applyFont="1" applyFill="1" applyBorder="1" applyAlignment="1">
      <alignment horizontal="center" vertical="center"/>
    </xf>
    <xf numFmtId="0" fontId="76" fillId="3" borderId="41" xfId="2" applyFont="1" applyFill="1" applyBorder="1" applyAlignment="1">
      <alignment horizontal="center" vertical="center"/>
    </xf>
    <xf numFmtId="9" fontId="76" fillId="3" borderId="41" xfId="1" applyFont="1" applyFill="1" applyBorder="1" applyAlignment="1">
      <alignment horizontal="center" vertical="center"/>
    </xf>
    <xf numFmtId="164" fontId="76" fillId="3" borderId="80" xfId="2" applyNumberFormat="1" applyFont="1" applyFill="1" applyBorder="1" applyAlignment="1">
      <alignment horizontal="center" vertical="center"/>
    </xf>
    <xf numFmtId="164" fontId="76" fillId="3" borderId="41" xfId="1" applyNumberFormat="1" applyFont="1" applyFill="1" applyBorder="1" applyAlignment="1">
      <alignment horizontal="center" vertical="center"/>
    </xf>
    <xf numFmtId="0" fontId="77" fillId="0" borderId="0" xfId="0" applyFont="1"/>
    <xf numFmtId="9" fontId="76" fillId="3" borderId="70" xfId="1" applyFont="1" applyFill="1" applyBorder="1" applyAlignment="1">
      <alignment horizontal="center" vertical="center"/>
    </xf>
    <xf numFmtId="9" fontId="76" fillId="3" borderId="80" xfId="1" applyFont="1" applyFill="1" applyBorder="1" applyAlignment="1">
      <alignment horizontal="center" vertical="center"/>
    </xf>
    <xf numFmtId="0" fontId="78" fillId="3" borderId="81" xfId="2" applyFont="1" applyFill="1" applyBorder="1" applyAlignment="1">
      <alignment horizontal="center" vertical="center"/>
    </xf>
    <xf numFmtId="9" fontId="78" fillId="3" borderId="82" xfId="3" applyFont="1" applyFill="1" applyBorder="1" applyAlignment="1">
      <alignment horizontal="center" vertical="center"/>
    </xf>
    <xf numFmtId="0" fontId="78" fillId="3" borderId="82" xfId="2" applyFont="1" applyFill="1" applyBorder="1" applyAlignment="1">
      <alignment vertical="center"/>
    </xf>
    <xf numFmtId="9" fontId="78" fillId="3" borderId="83" xfId="3" applyFont="1" applyFill="1" applyBorder="1" applyAlignment="1">
      <alignment horizontal="center" vertical="center"/>
    </xf>
    <xf numFmtId="9" fontId="78" fillId="3" borderId="81" xfId="1" applyFont="1" applyFill="1" applyBorder="1" applyAlignment="1">
      <alignment horizontal="center" vertical="center"/>
    </xf>
    <xf numFmtId="9" fontId="78" fillId="3" borderId="83" xfId="1" applyFont="1" applyFill="1" applyBorder="1" applyAlignment="1">
      <alignment horizontal="center" vertical="center"/>
    </xf>
    <xf numFmtId="164" fontId="73" fillId="0" borderId="0" xfId="0" applyNumberFormat="1" applyFont="1" applyAlignment="1">
      <alignment horizontal="left" vertical="center"/>
    </xf>
    <xf numFmtId="0" fontId="73" fillId="16" borderId="74" xfId="2" applyFont="1" applyFill="1" applyBorder="1" applyAlignment="1">
      <alignment horizontal="center" vertical="center"/>
    </xf>
    <xf numFmtId="164" fontId="73" fillId="16" borderId="55" xfId="2" applyNumberFormat="1" applyFont="1" applyFill="1" applyBorder="1" applyAlignment="1">
      <alignment horizontal="center" vertical="center"/>
    </xf>
    <xf numFmtId="0" fontId="73" fillId="16" borderId="55" xfId="2" applyFont="1" applyFill="1" applyBorder="1" applyAlignment="1">
      <alignment horizontal="center" vertical="center"/>
    </xf>
    <xf numFmtId="164" fontId="73" fillId="16" borderId="56" xfId="2" applyNumberFormat="1" applyFont="1" applyFill="1" applyBorder="1" applyAlignment="1">
      <alignment horizontal="center" vertical="center"/>
    </xf>
    <xf numFmtId="9" fontId="73" fillId="16" borderId="57" xfId="1" applyFont="1" applyFill="1" applyBorder="1" applyAlignment="1">
      <alignment horizontal="center" vertical="center"/>
    </xf>
    <xf numFmtId="164" fontId="73" fillId="16" borderId="57" xfId="2" applyNumberFormat="1" applyFont="1" applyFill="1" applyBorder="1" applyAlignment="1">
      <alignment horizontal="center" vertical="center"/>
    </xf>
    <xf numFmtId="9" fontId="73" fillId="16" borderId="58" xfId="1" applyFont="1" applyFill="1" applyBorder="1" applyAlignment="1">
      <alignment horizontal="center" vertical="center"/>
    </xf>
    <xf numFmtId="164" fontId="73" fillId="16" borderId="58" xfId="2" applyNumberFormat="1" applyFont="1" applyFill="1" applyBorder="1" applyAlignment="1">
      <alignment horizontal="center" vertical="center"/>
    </xf>
    <xf numFmtId="164" fontId="73" fillId="16" borderId="75" xfId="2" applyNumberFormat="1" applyFont="1" applyFill="1" applyBorder="1" applyAlignment="1">
      <alignment horizontal="center" vertical="center"/>
    </xf>
    <xf numFmtId="0" fontId="78" fillId="3" borderId="72" xfId="2" applyFont="1" applyFill="1" applyBorder="1" applyAlignment="1">
      <alignment horizontal="center" vertical="center"/>
    </xf>
    <xf numFmtId="9" fontId="78" fillId="3" borderId="67" xfId="3" applyFont="1" applyFill="1" applyBorder="1" applyAlignment="1">
      <alignment horizontal="center" vertical="center"/>
    </xf>
    <xf numFmtId="0" fontId="78" fillId="3" borderId="67" xfId="2" applyFont="1" applyFill="1" applyBorder="1" applyAlignment="1">
      <alignment vertical="center"/>
    </xf>
    <xf numFmtId="9" fontId="78" fillId="3" borderId="156" xfId="3" applyFont="1" applyFill="1" applyBorder="1" applyAlignment="1">
      <alignment horizontal="center" vertical="center"/>
    </xf>
    <xf numFmtId="0" fontId="76" fillId="3" borderId="49" xfId="0" applyFont="1" applyFill="1" applyBorder="1" applyAlignment="1">
      <alignment horizontal="center" vertical="center" wrapText="1"/>
    </xf>
    <xf numFmtId="164" fontId="76" fillId="3" borderId="30" xfId="2" applyNumberFormat="1" applyFont="1" applyFill="1" applyBorder="1" applyAlignment="1">
      <alignment horizontal="center" vertical="center"/>
    </xf>
    <xf numFmtId="0" fontId="76" fillId="3" borderId="30" xfId="2" applyFont="1" applyFill="1" applyBorder="1" applyAlignment="1">
      <alignment horizontal="center" vertical="center"/>
    </xf>
    <xf numFmtId="9" fontId="76" fillId="3" borderId="30" xfId="1" applyFont="1" applyFill="1" applyBorder="1" applyAlignment="1">
      <alignment horizontal="center" vertical="center"/>
    </xf>
    <xf numFmtId="164" fontId="24" fillId="3" borderId="163" xfId="1" applyNumberFormat="1" applyFont="1" applyFill="1" applyBorder="1" applyAlignment="1">
      <alignment horizontal="center" vertical="center"/>
    </xf>
    <xf numFmtId="0" fontId="55" fillId="3" borderId="164" xfId="0" applyFont="1" applyFill="1" applyBorder="1" applyAlignment="1">
      <alignment horizontal="center" vertical="center" wrapText="1"/>
    </xf>
    <xf numFmtId="164" fontId="55" fillId="3" borderId="165" xfId="2" applyNumberFormat="1" applyFont="1" applyFill="1" applyBorder="1" applyAlignment="1">
      <alignment horizontal="center" vertical="center"/>
    </xf>
    <xf numFmtId="0" fontId="55" fillId="3" borderId="165" xfId="2" applyFont="1" applyFill="1" applyBorder="1" applyAlignment="1">
      <alignment horizontal="center" vertical="center"/>
    </xf>
    <xf numFmtId="9" fontId="55" fillId="3" borderId="165" xfId="1" applyFont="1" applyFill="1" applyBorder="1" applyAlignment="1">
      <alignment horizontal="center" vertical="center"/>
    </xf>
    <xf numFmtId="164" fontId="55" fillId="3" borderId="166" xfId="2" applyNumberFormat="1" applyFont="1" applyFill="1" applyBorder="1" applyAlignment="1">
      <alignment horizontal="center" vertical="center"/>
    </xf>
    <xf numFmtId="164" fontId="56" fillId="0" borderId="168" xfId="2" applyNumberFormat="1" applyFont="1" applyBorder="1" applyAlignment="1">
      <alignment horizontal="center" vertical="center"/>
    </xf>
    <xf numFmtId="164" fontId="56" fillId="0" borderId="169" xfId="2" applyNumberFormat="1" applyFont="1" applyBorder="1" applyAlignment="1">
      <alignment horizontal="center" vertical="center"/>
    </xf>
    <xf numFmtId="9" fontId="56" fillId="0" borderId="170" xfId="1" applyFont="1" applyFill="1" applyBorder="1" applyAlignment="1">
      <alignment horizontal="center" vertical="center"/>
    </xf>
    <xf numFmtId="164" fontId="56" fillId="0" borderId="170" xfId="2" applyNumberFormat="1" applyFont="1" applyBorder="1" applyAlignment="1">
      <alignment horizontal="center" vertical="center"/>
    </xf>
    <xf numFmtId="9" fontId="56" fillId="0" borderId="171" xfId="1" applyFont="1" applyFill="1" applyBorder="1" applyAlignment="1">
      <alignment horizontal="center" vertical="center"/>
    </xf>
    <xf numFmtId="164" fontId="56" fillId="0" borderId="171" xfId="2" applyNumberFormat="1" applyFont="1" applyBorder="1" applyAlignment="1">
      <alignment horizontal="center" vertical="center"/>
    </xf>
    <xf numFmtId="0" fontId="56" fillId="0" borderId="0" xfId="0" applyFont="1" applyAlignment="1">
      <alignment wrapText="1"/>
    </xf>
    <xf numFmtId="0" fontId="56" fillId="0" borderId="37" xfId="0" applyFont="1" applyBorder="1" applyAlignment="1">
      <alignment wrapText="1"/>
    </xf>
    <xf numFmtId="164" fontId="55" fillId="3" borderId="163" xfId="1" applyNumberFormat="1" applyFont="1" applyFill="1" applyBorder="1" applyAlignment="1">
      <alignment horizontal="center" vertical="center"/>
    </xf>
    <xf numFmtId="165" fontId="3" fillId="0" borderId="0" xfId="0" applyNumberFormat="1" applyFont="1" applyAlignment="1">
      <alignment vertical="center"/>
    </xf>
    <xf numFmtId="9" fontId="3" fillId="0" borderId="148" xfId="1" applyFont="1" applyBorder="1" applyAlignment="1">
      <alignment horizontal="center" vertical="center"/>
    </xf>
    <xf numFmtId="9" fontId="3" fillId="0" borderId="37" xfId="1" applyFont="1" applyBorder="1" applyAlignment="1">
      <alignment horizontal="center" vertical="center"/>
    </xf>
    <xf numFmtId="0" fontId="37" fillId="0" borderId="0" xfId="0" applyFont="1"/>
    <xf numFmtId="0" fontId="73" fillId="0" borderId="0" xfId="0" applyFont="1"/>
    <xf numFmtId="9" fontId="37" fillId="0" borderId="135" xfId="1" applyFont="1" applyBorder="1" applyAlignment="1">
      <alignment horizontal="center" vertical="center"/>
    </xf>
    <xf numFmtId="164" fontId="56" fillId="0" borderId="134" xfId="0" applyNumberFormat="1" applyFont="1" applyBorder="1" applyAlignment="1">
      <alignment horizontal="center" vertical="center"/>
    </xf>
    <xf numFmtId="164" fontId="56" fillId="0" borderId="135" xfId="0" applyNumberFormat="1" applyFont="1" applyBorder="1" applyAlignment="1">
      <alignment horizontal="center" vertical="center"/>
    </xf>
    <xf numFmtId="164" fontId="56" fillId="0" borderId="44" xfId="0" applyNumberFormat="1" applyFont="1" applyBorder="1" applyAlignment="1">
      <alignment horizontal="centerContinuous" vertical="center"/>
    </xf>
    <xf numFmtId="164" fontId="56" fillId="0" borderId="37" xfId="0" applyNumberFormat="1" applyFont="1" applyBorder="1" applyAlignment="1">
      <alignment horizontal="centerContinuous" vertical="center"/>
    </xf>
    <xf numFmtId="164" fontId="56" fillId="0" borderId="44" xfId="0" applyNumberFormat="1" applyFont="1" applyBorder="1" applyAlignment="1">
      <alignment horizontal="center" vertical="center"/>
    </xf>
    <xf numFmtId="164" fontId="56" fillId="0" borderId="37" xfId="0" applyNumberFormat="1" applyFont="1" applyBorder="1" applyAlignment="1">
      <alignment horizontal="center" vertical="center"/>
    </xf>
    <xf numFmtId="164" fontId="56" fillId="16" borderId="44" xfId="0" applyNumberFormat="1" applyFont="1" applyFill="1" applyBorder="1" applyAlignment="1">
      <alignment horizontal="center" vertical="center"/>
    </xf>
    <xf numFmtId="164" fontId="56" fillId="16" borderId="37" xfId="0" applyNumberFormat="1" applyFont="1" applyFill="1" applyBorder="1" applyAlignment="1">
      <alignment horizontal="center" vertical="center"/>
    </xf>
    <xf numFmtId="164" fontId="56" fillId="0" borderId="139" xfId="0" applyNumberFormat="1" applyFont="1" applyBorder="1" applyAlignment="1">
      <alignment horizontal="center" vertical="center"/>
    </xf>
    <xf numFmtId="164" fontId="56" fillId="0" borderId="145" xfId="0" applyNumberFormat="1" applyFont="1" applyBorder="1" applyAlignment="1">
      <alignment horizontal="center" vertical="center"/>
    </xf>
    <xf numFmtId="0" fontId="79" fillId="2" borderId="28" xfId="2" applyFont="1" applyFill="1" applyBorder="1" applyAlignment="1">
      <alignment horizontal="centerContinuous" vertical="center" wrapText="1"/>
    </xf>
    <xf numFmtId="0" fontId="79" fillId="2" borderId="71" xfId="2" applyFont="1" applyFill="1" applyBorder="1" applyAlignment="1">
      <alignment horizontal="centerContinuous" vertical="center" wrapText="1"/>
    </xf>
    <xf numFmtId="0" fontId="79" fillId="2" borderId="36" xfId="2" applyFont="1" applyFill="1" applyBorder="1" applyAlignment="1">
      <alignment horizontal="center" vertical="center"/>
    </xf>
    <xf numFmtId="0" fontId="79" fillId="2" borderId="36" xfId="2" applyFont="1" applyFill="1" applyBorder="1" applyAlignment="1">
      <alignment horizontal="center" vertical="center" wrapText="1"/>
    </xf>
    <xf numFmtId="9" fontId="79" fillId="2" borderId="36" xfId="1" applyFont="1" applyFill="1" applyBorder="1" applyAlignment="1">
      <alignment horizontal="center" vertical="center" wrapText="1"/>
    </xf>
    <xf numFmtId="9" fontId="79" fillId="2" borderId="36" xfId="1" applyFont="1" applyFill="1" applyBorder="1" applyAlignment="1">
      <alignment horizontal="center" vertical="center"/>
    </xf>
    <xf numFmtId="0" fontId="79" fillId="2" borderId="73" xfId="2" applyFont="1" applyFill="1" applyBorder="1" applyAlignment="1">
      <alignment horizontal="center" vertical="center"/>
    </xf>
    <xf numFmtId="0" fontId="79" fillId="21" borderId="84" xfId="2" applyFont="1" applyFill="1" applyBorder="1" applyAlignment="1">
      <alignment horizontal="centerContinuous" vertical="center" wrapText="1"/>
    </xf>
    <xf numFmtId="0" fontId="79" fillId="21" borderId="71" xfId="2" applyFont="1" applyFill="1" applyBorder="1" applyAlignment="1">
      <alignment horizontal="centerContinuous" vertical="center" wrapText="1"/>
    </xf>
    <xf numFmtId="0" fontId="80" fillId="0" borderId="0" xfId="0" applyFont="1"/>
    <xf numFmtId="0" fontId="79" fillId="2" borderId="84" xfId="2" applyFont="1" applyFill="1" applyBorder="1" applyAlignment="1">
      <alignment horizontal="centerContinuous" vertical="center" wrapText="1"/>
    </xf>
    <xf numFmtId="0" fontId="81" fillId="0" borderId="0" xfId="0" applyFont="1" applyAlignment="1">
      <alignment horizontal="left" vertical="center"/>
    </xf>
    <xf numFmtId="0" fontId="79" fillId="21" borderId="28" xfId="2" applyFont="1" applyFill="1" applyBorder="1" applyAlignment="1">
      <alignment horizontal="centerContinuous" vertical="center" wrapText="1"/>
    </xf>
    <xf numFmtId="0" fontId="79" fillId="2" borderId="49" xfId="2" applyFont="1" applyFill="1" applyBorder="1" applyAlignment="1">
      <alignment horizontal="center" vertical="center"/>
    </xf>
    <xf numFmtId="0" fontId="79" fillId="2" borderId="85" xfId="2" applyFont="1" applyFill="1" applyBorder="1" applyAlignment="1">
      <alignment horizontal="center" vertical="center"/>
    </xf>
    <xf numFmtId="0" fontId="79" fillId="21" borderId="152" xfId="0" applyFont="1" applyFill="1" applyBorder="1" applyAlignment="1">
      <alignment horizontal="center" vertical="center"/>
    </xf>
    <xf numFmtId="0" fontId="82" fillId="2" borderId="71" xfId="2" applyFont="1" applyFill="1" applyBorder="1" applyAlignment="1">
      <alignment horizontal="centerContinuous" vertical="center" wrapText="1"/>
    </xf>
    <xf numFmtId="0" fontId="82" fillId="2" borderId="84" xfId="2" applyFont="1" applyFill="1" applyBorder="1" applyAlignment="1">
      <alignment horizontal="centerContinuous" vertical="center" wrapText="1"/>
    </xf>
    <xf numFmtId="0" fontId="82" fillId="21" borderId="84" xfId="2" applyFont="1" applyFill="1" applyBorder="1" applyAlignment="1">
      <alignment horizontal="centerContinuous" vertical="center" wrapText="1"/>
    </xf>
    <xf numFmtId="0" fontId="82" fillId="21" borderId="28" xfId="2" applyFont="1" applyFill="1" applyBorder="1" applyAlignment="1">
      <alignment horizontal="centerContinuous" vertical="center" wrapText="1"/>
    </xf>
    <xf numFmtId="0" fontId="82" fillId="21" borderId="71" xfId="2" applyFont="1" applyFill="1" applyBorder="1" applyAlignment="1">
      <alignment horizontal="centerContinuous" vertical="center" wrapText="1"/>
    </xf>
    <xf numFmtId="0" fontId="82" fillId="2" borderId="49" xfId="2" applyFont="1" applyFill="1" applyBorder="1" applyAlignment="1">
      <alignment horizontal="center" vertical="center"/>
    </xf>
    <xf numFmtId="0" fontId="82" fillId="2" borderId="85" xfId="2" applyFont="1" applyFill="1" applyBorder="1" applyAlignment="1">
      <alignment horizontal="center" vertical="center"/>
    </xf>
    <xf numFmtId="0" fontId="82" fillId="21" borderId="152" xfId="0" applyFont="1" applyFill="1" applyBorder="1" applyAlignment="1">
      <alignment horizontal="center" vertical="center"/>
    </xf>
    <xf numFmtId="0" fontId="82" fillId="21" borderId="149" xfId="0" applyFont="1" applyFill="1" applyBorder="1" applyAlignment="1">
      <alignment horizontal="center" vertical="center"/>
    </xf>
    <xf numFmtId="0" fontId="82" fillId="21" borderId="149" xfId="0" applyFont="1" applyFill="1" applyBorder="1" applyAlignment="1">
      <alignment horizontal="center" vertical="center" wrapText="1"/>
    </xf>
    <xf numFmtId="0" fontId="82" fillId="21" borderId="152" xfId="2" applyFont="1" applyFill="1" applyBorder="1" applyAlignment="1">
      <alignment horizontal="center" vertical="center"/>
    </xf>
    <xf numFmtId="0" fontId="82" fillId="21" borderId="150" xfId="2" applyFont="1" applyFill="1" applyBorder="1" applyAlignment="1">
      <alignment horizontal="center" vertical="center"/>
    </xf>
    <xf numFmtId="0" fontId="83" fillId="0" borderId="0" xfId="2" applyFont="1"/>
    <xf numFmtId="0" fontId="29" fillId="0" borderId="172" xfId="18" applyFont="1" applyBorder="1" applyAlignment="1">
      <alignment horizontal="centerContinuous" vertical="center" wrapText="1"/>
    </xf>
    <xf numFmtId="0" fontId="25" fillId="13" borderId="147" xfId="0" applyFont="1" applyFill="1" applyBorder="1" applyAlignment="1">
      <alignment horizontal="center"/>
    </xf>
    <xf numFmtId="0" fontId="25" fillId="13" borderId="146" xfId="0" applyFont="1" applyFill="1" applyBorder="1" applyAlignment="1">
      <alignment horizontal="center"/>
    </xf>
    <xf numFmtId="164" fontId="33" fillId="0" borderId="0" xfId="18" applyNumberFormat="1" applyFont="1" applyAlignment="1">
      <alignment horizontal="center" vertical="center"/>
    </xf>
    <xf numFmtId="0" fontId="27" fillId="0" borderId="0" xfId="18" applyFont="1" applyAlignment="1">
      <alignment horizontal="left" vertical="center"/>
    </xf>
    <xf numFmtId="168" fontId="27" fillId="0" borderId="13" xfId="1" applyNumberFormat="1" applyFont="1" applyBorder="1" applyAlignment="1">
      <alignment horizontal="center" vertical="center"/>
    </xf>
    <xf numFmtId="9" fontId="0" fillId="0" borderId="0" xfId="1" applyFont="1" applyAlignment="1">
      <alignment horizontal="center"/>
    </xf>
    <xf numFmtId="0" fontId="0" fillId="0" borderId="153" xfId="0" applyBorder="1"/>
    <xf numFmtId="9" fontId="0" fillId="0" borderId="153" xfId="1" applyFont="1" applyBorder="1" applyAlignment="1">
      <alignment horizontal="center"/>
    </xf>
    <xf numFmtId="2" fontId="25" fillId="0" borderId="0" xfId="0" applyNumberFormat="1" applyFont="1" applyAlignment="1">
      <alignment horizontal="center"/>
    </xf>
    <xf numFmtId="2" fontId="0" fillId="0" borderId="0" xfId="0" applyNumberFormat="1" applyAlignment="1">
      <alignment horizontal="center"/>
    </xf>
    <xf numFmtId="164" fontId="76" fillId="3" borderId="30" xfId="1" applyNumberFormat="1" applyFont="1" applyFill="1" applyBorder="1" applyAlignment="1">
      <alignment horizontal="center" vertical="center"/>
    </xf>
    <xf numFmtId="169" fontId="0" fillId="0" borderId="0" xfId="1" applyNumberFormat="1" applyFont="1"/>
    <xf numFmtId="0" fontId="73" fillId="0" borderId="44" xfId="2" applyFont="1" applyBorder="1"/>
    <xf numFmtId="0" fontId="73" fillId="0" borderId="37" xfId="2" applyFont="1" applyBorder="1" applyAlignment="1">
      <alignment horizontal="center"/>
    </xf>
    <xf numFmtId="164" fontId="76" fillId="3" borderId="85" xfId="1" applyNumberFormat="1" applyFont="1" applyFill="1" applyBorder="1" applyAlignment="1">
      <alignment horizontal="center" vertical="center"/>
    </xf>
    <xf numFmtId="0" fontId="84" fillId="13" borderId="0" xfId="0" applyFont="1" applyFill="1" applyAlignment="1">
      <alignment horizontal="center"/>
    </xf>
    <xf numFmtId="0" fontId="84" fillId="0" borderId="0" xfId="0" applyFont="1" applyAlignment="1">
      <alignment horizontal="center"/>
    </xf>
    <xf numFmtId="0" fontId="85" fillId="2" borderId="28" xfId="2" applyFont="1" applyFill="1" applyBorder="1" applyAlignment="1">
      <alignment horizontal="centerContinuous" vertical="center" wrapText="1"/>
    </xf>
    <xf numFmtId="0" fontId="85" fillId="2" borderId="36" xfId="2" applyFont="1" applyFill="1" applyBorder="1" applyAlignment="1">
      <alignment horizontal="center" vertical="center"/>
    </xf>
    <xf numFmtId="0" fontId="85" fillId="2" borderId="36" xfId="2" applyFont="1" applyFill="1" applyBorder="1" applyAlignment="1">
      <alignment horizontal="center" vertical="center" wrapText="1"/>
    </xf>
    <xf numFmtId="9" fontId="85" fillId="2" borderId="36" xfId="1" applyFont="1" applyFill="1" applyBorder="1" applyAlignment="1">
      <alignment horizontal="center" vertical="center" wrapText="1"/>
    </xf>
    <xf numFmtId="9" fontId="85" fillId="2" borderId="36" xfId="1" applyFont="1" applyFill="1" applyBorder="1" applyAlignment="1">
      <alignment horizontal="center" vertical="center"/>
    </xf>
    <xf numFmtId="0" fontId="85" fillId="2" borderId="73" xfId="2" applyFont="1" applyFill="1" applyBorder="1" applyAlignment="1">
      <alignment horizontal="center" vertical="center"/>
    </xf>
    <xf numFmtId="0" fontId="86" fillId="0" borderId="74" xfId="2" applyFont="1" applyBorder="1" applyAlignment="1">
      <alignment horizontal="center" vertical="center"/>
    </xf>
    <xf numFmtId="164" fontId="86" fillId="0" borderId="55" xfId="2" applyNumberFormat="1" applyFont="1" applyBorder="1" applyAlignment="1">
      <alignment horizontal="center" vertical="center"/>
    </xf>
    <xf numFmtId="0" fontId="86" fillId="0" borderId="55" xfId="2" applyFont="1" applyBorder="1" applyAlignment="1">
      <alignment horizontal="center" vertical="center"/>
    </xf>
    <xf numFmtId="164" fontId="86" fillId="0" borderId="56" xfId="2" applyNumberFormat="1" applyFont="1" applyBorder="1" applyAlignment="1">
      <alignment horizontal="center" vertical="center"/>
    </xf>
    <xf numFmtId="9" fontId="86" fillId="0" borderId="57" xfId="1" applyFont="1" applyFill="1" applyBorder="1" applyAlignment="1">
      <alignment horizontal="center" vertical="center"/>
    </xf>
    <xf numFmtId="164" fontId="86" fillId="0" borderId="57" xfId="2" applyNumberFormat="1" applyFont="1" applyBorder="1" applyAlignment="1">
      <alignment horizontal="center" vertical="center"/>
    </xf>
    <xf numFmtId="9" fontId="86" fillId="0" borderId="58" xfId="1" applyFont="1" applyFill="1" applyBorder="1" applyAlignment="1">
      <alignment horizontal="center" vertical="center"/>
    </xf>
    <xf numFmtId="164" fontId="86" fillId="0" borderId="58" xfId="2" applyNumberFormat="1" applyFont="1" applyBorder="1" applyAlignment="1">
      <alignment horizontal="center" vertical="center"/>
    </xf>
    <xf numFmtId="164" fontId="86" fillId="0" borderId="75" xfId="2" applyNumberFormat="1" applyFont="1" applyBorder="1" applyAlignment="1">
      <alignment horizontal="center" vertical="center"/>
    </xf>
    <xf numFmtId="0" fontId="85" fillId="4" borderId="44" xfId="2" applyFont="1" applyFill="1" applyBorder="1" applyAlignment="1">
      <alignment horizontal="centerContinuous" vertical="center"/>
    </xf>
    <xf numFmtId="0" fontId="85" fillId="4" borderId="0" xfId="2" applyFont="1" applyFill="1" applyAlignment="1">
      <alignment horizontal="centerContinuous" vertical="center"/>
    </xf>
    <xf numFmtId="9" fontId="85" fillId="4" borderId="0" xfId="1" applyFont="1" applyFill="1" applyBorder="1" applyAlignment="1">
      <alignment horizontal="centerContinuous" vertical="center"/>
    </xf>
    <xf numFmtId="0" fontId="85" fillId="4" borderId="37" xfId="2" applyFont="1" applyFill="1" applyBorder="1" applyAlignment="1">
      <alignment horizontal="centerContinuous" vertical="center"/>
    </xf>
    <xf numFmtId="0" fontId="86" fillId="0" borderId="29" xfId="2" applyFont="1" applyBorder="1" applyAlignment="1">
      <alignment horizontal="center" vertical="center"/>
    </xf>
    <xf numFmtId="164" fontId="86" fillId="0" borderId="29" xfId="2" applyNumberFormat="1" applyFont="1" applyBorder="1" applyAlignment="1">
      <alignment horizontal="center" vertical="center"/>
    </xf>
    <xf numFmtId="0" fontId="86" fillId="0" borderId="29" xfId="2" applyFont="1" applyBorder="1" applyAlignment="1">
      <alignment vertical="center"/>
    </xf>
    <xf numFmtId="164" fontId="86" fillId="0" borderId="38" xfId="2" applyNumberFormat="1" applyFont="1" applyBorder="1" applyAlignment="1">
      <alignment horizontal="center" vertical="center"/>
    </xf>
    <xf numFmtId="9" fontId="86" fillId="0" borderId="39" xfId="1" applyFont="1" applyFill="1" applyBorder="1" applyAlignment="1">
      <alignment horizontal="center" vertical="center"/>
    </xf>
    <xf numFmtId="164" fontId="86" fillId="0" borderId="39" xfId="2" applyNumberFormat="1" applyFont="1" applyBorder="1" applyAlignment="1">
      <alignment horizontal="center" vertical="center"/>
    </xf>
    <xf numFmtId="9" fontId="86" fillId="0" borderId="40" xfId="1" applyFont="1" applyFill="1" applyBorder="1" applyAlignment="1">
      <alignment horizontal="center" vertical="center"/>
    </xf>
    <xf numFmtId="164" fontId="86" fillId="0" borderId="40" xfId="2" applyNumberFormat="1" applyFont="1" applyBorder="1" applyAlignment="1">
      <alignment horizontal="center" vertical="center"/>
    </xf>
    <xf numFmtId="0" fontId="87" fillId="0" borderId="29" xfId="2" applyFont="1" applyBorder="1" applyAlignment="1">
      <alignment horizontal="center" vertical="center"/>
    </xf>
    <xf numFmtId="164" fontId="87" fillId="0" borderId="29" xfId="2" applyNumberFormat="1" applyFont="1" applyBorder="1" applyAlignment="1">
      <alignment horizontal="center" vertical="center"/>
    </xf>
    <xf numFmtId="0" fontId="87" fillId="0" borderId="29" xfId="2" applyFont="1" applyBorder="1" applyAlignment="1">
      <alignment vertical="center"/>
    </xf>
    <xf numFmtId="164" fontId="87" fillId="0" borderId="38" xfId="2" applyNumberFormat="1" applyFont="1" applyBorder="1" applyAlignment="1">
      <alignment horizontal="center" vertical="center"/>
    </xf>
    <xf numFmtId="9" fontId="87" fillId="0" borderId="39" xfId="1" applyFont="1" applyFill="1" applyBorder="1" applyAlignment="1">
      <alignment horizontal="center" vertical="center"/>
    </xf>
    <xf numFmtId="164" fontId="87" fillId="0" borderId="39" xfId="2" applyNumberFormat="1" applyFont="1" applyBorder="1" applyAlignment="1">
      <alignment horizontal="center" vertical="center"/>
    </xf>
    <xf numFmtId="9" fontId="87" fillId="0" borderId="40" xfId="1" applyFont="1" applyFill="1" applyBorder="1" applyAlignment="1">
      <alignment horizontal="center" vertical="center"/>
    </xf>
    <xf numFmtId="164" fontId="87" fillId="0" borderId="40" xfId="2" applyNumberFormat="1" applyFont="1" applyBorder="1" applyAlignment="1">
      <alignment horizontal="center" vertical="center"/>
    </xf>
    <xf numFmtId="0" fontId="87" fillId="0" borderId="76" xfId="2" applyFont="1" applyBorder="1" applyAlignment="1">
      <alignment horizontal="center" vertical="center"/>
    </xf>
    <xf numFmtId="164" fontId="87" fillId="0" borderId="76" xfId="2" applyNumberFormat="1" applyFont="1" applyBorder="1" applyAlignment="1">
      <alignment horizontal="center" vertical="center"/>
    </xf>
    <xf numFmtId="164" fontId="87" fillId="0" borderId="77" xfId="2" applyNumberFormat="1" applyFont="1" applyBorder="1" applyAlignment="1">
      <alignment horizontal="center" vertical="center"/>
    </xf>
    <xf numFmtId="9" fontId="87" fillId="0" borderId="78" xfId="1" applyFont="1" applyFill="1" applyBorder="1" applyAlignment="1">
      <alignment horizontal="center" vertical="center"/>
    </xf>
    <xf numFmtId="164" fontId="87" fillId="0" borderId="78" xfId="2" applyNumberFormat="1" applyFont="1" applyBorder="1" applyAlignment="1">
      <alignment horizontal="center" vertical="center"/>
    </xf>
    <xf numFmtId="9" fontId="87" fillId="0" borderId="79" xfId="1" applyFont="1" applyFill="1" applyBorder="1" applyAlignment="1">
      <alignment horizontal="center" vertical="center"/>
    </xf>
    <xf numFmtId="164" fontId="87" fillId="0" borderId="79" xfId="2" applyNumberFormat="1" applyFont="1" applyBorder="1" applyAlignment="1">
      <alignment horizontal="center" vertical="center"/>
    </xf>
    <xf numFmtId="0" fontId="86" fillId="0" borderId="0" xfId="2" applyFont="1"/>
    <xf numFmtId="0" fontId="86" fillId="0" borderId="0" xfId="2" applyFont="1" applyAlignment="1">
      <alignment horizontal="center"/>
    </xf>
    <xf numFmtId="0" fontId="87" fillId="0" borderId="0" xfId="2" applyFont="1" applyAlignment="1">
      <alignment horizontal="center"/>
    </xf>
    <xf numFmtId="9" fontId="87" fillId="0" borderId="0" xfId="1" applyFont="1" applyFill="1" applyBorder="1" applyAlignment="1">
      <alignment horizontal="center"/>
    </xf>
    <xf numFmtId="9" fontId="86" fillId="0" borderId="0" xfId="1" applyFont="1" applyFill="1" applyBorder="1" applyAlignment="1">
      <alignment horizontal="center"/>
    </xf>
    <xf numFmtId="0" fontId="85" fillId="3" borderId="70" xfId="0" applyFont="1" applyFill="1" applyBorder="1" applyAlignment="1">
      <alignment horizontal="center" vertical="center" wrapText="1"/>
    </xf>
    <xf numFmtId="164" fontId="85" fillId="3" borderId="41" xfId="2" applyNumberFormat="1" applyFont="1" applyFill="1" applyBorder="1" applyAlignment="1">
      <alignment horizontal="center" vertical="center"/>
    </xf>
    <xf numFmtId="0" fontId="85" fillId="3" borderId="41" xfId="2" applyFont="1" applyFill="1" applyBorder="1" applyAlignment="1">
      <alignment horizontal="center" vertical="center"/>
    </xf>
    <xf numFmtId="9" fontId="85" fillId="3" borderId="41" xfId="1" applyFont="1" applyFill="1" applyBorder="1" applyAlignment="1">
      <alignment horizontal="center" vertical="center"/>
    </xf>
    <xf numFmtId="164" fontId="85" fillId="3" borderId="41" xfId="1" applyNumberFormat="1" applyFont="1" applyFill="1" applyBorder="1" applyAlignment="1">
      <alignment horizontal="center" vertical="center"/>
    </xf>
    <xf numFmtId="164" fontId="85" fillId="3" borderId="80" xfId="2" applyNumberFormat="1" applyFont="1" applyFill="1" applyBorder="1" applyAlignment="1">
      <alignment horizontal="center" vertical="center"/>
    </xf>
    <xf numFmtId="0" fontId="88" fillId="3" borderId="81" xfId="2" applyFont="1" applyFill="1" applyBorder="1" applyAlignment="1">
      <alignment horizontal="center" vertical="center"/>
    </xf>
    <xf numFmtId="9" fontId="88" fillId="3" borderId="82" xfId="3" applyFont="1" applyFill="1" applyBorder="1" applyAlignment="1">
      <alignment horizontal="center" vertical="center"/>
    </xf>
    <xf numFmtId="0" fontId="88" fillId="3" borderId="82" xfId="2" applyFont="1" applyFill="1" applyBorder="1" applyAlignment="1">
      <alignment vertical="center"/>
    </xf>
    <xf numFmtId="9" fontId="88" fillId="3" borderId="83" xfId="3" applyFont="1" applyFill="1" applyBorder="1" applyAlignment="1">
      <alignment horizontal="center" vertical="center"/>
    </xf>
    <xf numFmtId="165" fontId="77" fillId="0" borderId="0" xfId="0" applyNumberFormat="1" applyFont="1"/>
    <xf numFmtId="164" fontId="73" fillId="0" borderId="101" xfId="2" applyNumberFormat="1" applyFont="1" applyBorder="1" applyAlignment="1">
      <alignment horizontal="center" vertical="center"/>
    </xf>
    <xf numFmtId="164" fontId="73" fillId="0" borderId="47" xfId="2" applyNumberFormat="1" applyFont="1" applyBorder="1" applyAlignment="1">
      <alignment horizontal="center" vertical="center"/>
    </xf>
    <xf numFmtId="164" fontId="74" fillId="0" borderId="47" xfId="2" applyNumberFormat="1" applyFont="1" applyBorder="1" applyAlignment="1">
      <alignment horizontal="center" vertical="center"/>
    </xf>
    <xf numFmtId="164" fontId="74" fillId="0" borderId="138" xfId="2" applyNumberFormat="1" applyFont="1" applyBorder="1" applyAlignment="1">
      <alignment horizontal="center" vertical="center"/>
    </xf>
    <xf numFmtId="164" fontId="86" fillId="0" borderId="47" xfId="2" applyNumberFormat="1" applyFont="1" applyBorder="1" applyAlignment="1">
      <alignment horizontal="center" vertical="center"/>
    </xf>
    <xf numFmtId="164" fontId="87" fillId="0" borderId="47" xfId="2" applyNumberFormat="1" applyFont="1" applyBorder="1" applyAlignment="1">
      <alignment horizontal="center" vertical="center"/>
    </xf>
    <xf numFmtId="164" fontId="87" fillId="0" borderId="138" xfId="2" applyNumberFormat="1" applyFont="1" applyBorder="1" applyAlignment="1">
      <alignment horizontal="center" vertical="center"/>
    </xf>
    <xf numFmtId="0" fontId="75" fillId="0" borderId="174" xfId="0" applyFont="1" applyBorder="1"/>
    <xf numFmtId="9" fontId="78" fillId="3" borderId="72" xfId="1" applyFont="1" applyFill="1" applyBorder="1" applyAlignment="1">
      <alignment horizontal="center" vertical="center"/>
    </xf>
    <xf numFmtId="9" fontId="78" fillId="3" borderId="156" xfId="1" applyFont="1" applyFill="1" applyBorder="1" applyAlignment="1">
      <alignment horizontal="center" vertical="center"/>
    </xf>
    <xf numFmtId="0" fontId="73" fillId="0" borderId="174" xfId="0" applyFont="1" applyBorder="1" applyAlignment="1">
      <alignment horizontal="left" vertical="center"/>
    </xf>
    <xf numFmtId="0" fontId="75" fillId="0" borderId="175" xfId="0" applyFont="1" applyBorder="1"/>
    <xf numFmtId="9" fontId="76" fillId="3" borderId="49" xfId="1" applyFont="1" applyFill="1" applyBorder="1" applyAlignment="1">
      <alignment horizontal="center" vertical="center"/>
    </xf>
    <xf numFmtId="9" fontId="76" fillId="3" borderId="85" xfId="1" applyFont="1" applyFill="1" applyBorder="1" applyAlignment="1">
      <alignment horizontal="center" vertical="center"/>
    </xf>
    <xf numFmtId="0" fontId="73" fillId="0" borderId="175" xfId="0" applyFont="1" applyBorder="1" applyAlignment="1">
      <alignment horizontal="left" vertical="center"/>
    </xf>
    <xf numFmtId="164" fontId="76" fillId="3" borderId="163" xfId="1" applyNumberFormat="1" applyFont="1" applyFill="1" applyBorder="1" applyAlignment="1">
      <alignment horizontal="center" vertical="center"/>
    </xf>
    <xf numFmtId="9" fontId="78" fillId="3" borderId="176" xfId="3" applyFont="1" applyFill="1" applyBorder="1" applyAlignment="1">
      <alignment horizontal="center" vertical="center"/>
    </xf>
    <xf numFmtId="164" fontId="76" fillId="3" borderId="50" xfId="1" applyNumberFormat="1" applyFont="1" applyFill="1" applyBorder="1" applyAlignment="1">
      <alignment horizontal="center" vertical="center"/>
    </xf>
    <xf numFmtId="164" fontId="76" fillId="3" borderId="85" xfId="2" applyNumberFormat="1" applyFont="1" applyFill="1" applyBorder="1" applyAlignment="1">
      <alignment horizontal="center" vertical="center"/>
    </xf>
    <xf numFmtId="0" fontId="55" fillId="21" borderId="71" xfId="2" applyFont="1" applyFill="1" applyBorder="1" applyAlignment="1">
      <alignment horizontal="left" vertical="center" wrapText="1"/>
    </xf>
    <xf numFmtId="0" fontId="55" fillId="21" borderId="150" xfId="2" applyFont="1" applyFill="1" applyBorder="1" applyAlignment="1">
      <alignment horizontal="center" vertical="center" wrapText="1"/>
    </xf>
    <xf numFmtId="9" fontId="65" fillId="0" borderId="135" xfId="1" applyFont="1" applyBorder="1" applyAlignment="1">
      <alignment horizontal="center"/>
    </xf>
    <xf numFmtId="9" fontId="65" fillId="0" borderId="37" xfId="1" applyFont="1" applyBorder="1" applyAlignment="1">
      <alignment horizontal="center"/>
    </xf>
    <xf numFmtId="0" fontId="3" fillId="0" borderId="0" xfId="0" applyFont="1" applyAlignment="1">
      <alignment vertical="center" wrapText="1"/>
    </xf>
    <xf numFmtId="0" fontId="56" fillId="16" borderId="74" xfId="2" applyFont="1" applyFill="1" applyBorder="1" applyAlignment="1">
      <alignment horizontal="center" vertical="center" wrapText="1"/>
    </xf>
    <xf numFmtId="0" fontId="56" fillId="0" borderId="74" xfId="2" applyFont="1" applyBorder="1" applyAlignment="1">
      <alignment horizontal="center" vertical="center" wrapText="1"/>
    </xf>
    <xf numFmtId="0" fontId="56" fillId="0" borderId="167" xfId="2" applyFont="1" applyBorder="1" applyAlignment="1">
      <alignment horizontal="center" vertical="center" wrapText="1"/>
    </xf>
    <xf numFmtId="0" fontId="56" fillId="16" borderId="74" xfId="2" applyFont="1" applyFill="1" applyBorder="1" applyAlignment="1">
      <alignment horizontal="left" vertical="center" wrapText="1"/>
    </xf>
    <xf numFmtId="0" fontId="56" fillId="0" borderId="74" xfId="2" applyFont="1" applyBorder="1" applyAlignment="1">
      <alignment horizontal="left" vertical="center" wrapText="1"/>
    </xf>
    <xf numFmtId="0" fontId="56" fillId="0" borderId="167" xfId="2" applyFont="1" applyBorder="1" applyAlignment="1">
      <alignment horizontal="left" vertical="center" wrapText="1"/>
    </xf>
    <xf numFmtId="0" fontId="83" fillId="0" borderId="74" xfId="2" applyFont="1" applyBorder="1" applyAlignment="1">
      <alignment horizontal="center" vertical="center" wrapText="1"/>
    </xf>
    <xf numFmtId="0" fontId="7" fillId="0" borderId="0" xfId="0" applyFont="1" applyAlignment="1">
      <alignment vertical="center" wrapText="1"/>
    </xf>
    <xf numFmtId="0" fontId="7" fillId="0" borderId="0" xfId="0" applyFont="1" applyAlignment="1">
      <alignment vertical="center"/>
    </xf>
    <xf numFmtId="0" fontId="21" fillId="0" borderId="0" xfId="0" applyFont="1" applyAlignment="1">
      <alignment horizontal="center" vertical="top" wrapText="1"/>
    </xf>
    <xf numFmtId="0" fontId="0" fillId="0" borderId="0" xfId="0" applyAlignment="1">
      <alignment horizontal="center" wrapText="1"/>
    </xf>
    <xf numFmtId="0" fontId="36" fillId="0" borderId="0" xfId="2" applyFont="1" applyAlignment="1">
      <alignment wrapText="1"/>
    </xf>
    <xf numFmtId="0" fontId="56" fillId="0" borderId="55" xfId="2" applyFont="1" applyBorder="1" applyAlignment="1">
      <alignment horizontal="center" vertical="center" wrapText="1"/>
    </xf>
    <xf numFmtId="0" fontId="56" fillId="0" borderId="168" xfId="2" applyFont="1" applyBorder="1" applyAlignment="1">
      <alignment horizontal="center" vertical="center" wrapText="1"/>
    </xf>
    <xf numFmtId="0" fontId="55" fillId="4" borderId="0" xfId="2" applyFont="1" applyFill="1" applyAlignment="1">
      <alignment horizontal="centerContinuous" vertical="center" wrapText="1"/>
    </xf>
    <xf numFmtId="0" fontId="56" fillId="0" borderId="29" xfId="2" applyFont="1" applyBorder="1" applyAlignment="1">
      <alignment vertical="center" wrapText="1"/>
    </xf>
    <xf numFmtId="0" fontId="62" fillId="0" borderId="29" xfId="2" applyFont="1" applyBorder="1" applyAlignment="1">
      <alignment vertical="center" wrapText="1"/>
    </xf>
    <xf numFmtId="0" fontId="62" fillId="0" borderId="76" xfId="2" applyFont="1" applyBorder="1" applyAlignment="1">
      <alignment horizontal="center" vertical="center" wrapText="1"/>
    </xf>
    <xf numFmtId="0" fontId="56" fillId="0" borderId="0" xfId="2" applyFont="1" applyAlignment="1">
      <alignment wrapText="1"/>
    </xf>
    <xf numFmtId="0" fontId="55" fillId="3" borderId="165" xfId="2" applyFont="1" applyFill="1" applyBorder="1" applyAlignment="1">
      <alignment horizontal="center" vertical="center" wrapText="1"/>
    </xf>
    <xf numFmtId="0" fontId="64" fillId="3" borderId="82" xfId="2" applyFont="1" applyFill="1" applyBorder="1" applyAlignment="1">
      <alignment vertical="center" wrapText="1"/>
    </xf>
    <xf numFmtId="0" fontId="37" fillId="0" borderId="0" xfId="2" applyFont="1" applyAlignment="1">
      <alignment wrapText="1"/>
    </xf>
    <xf numFmtId="0" fontId="7" fillId="0" borderId="0" xfId="2" applyFont="1" applyAlignment="1">
      <alignment vertical="center" wrapText="1"/>
    </xf>
    <xf numFmtId="0" fontId="27" fillId="0" borderId="0" xfId="2" applyFont="1" applyAlignment="1">
      <alignment horizontal="left" vertical="center" wrapText="1"/>
    </xf>
    <xf numFmtId="164" fontId="33" fillId="0" borderId="45" xfId="0" quotePrefix="1" applyNumberFormat="1" applyFont="1" applyBorder="1" applyAlignment="1">
      <alignment horizontal="center" vertical="center"/>
    </xf>
    <xf numFmtId="164" fontId="33" fillId="0" borderId="47" xfId="0" quotePrefix="1" applyNumberFormat="1" applyFont="1" applyBorder="1" applyAlignment="1">
      <alignment horizontal="center" vertical="center"/>
    </xf>
    <xf numFmtId="164" fontId="89" fillId="0" borderId="132" xfId="0" applyNumberFormat="1" applyFont="1" applyBorder="1" applyAlignment="1">
      <alignment horizontal="center" vertical="center"/>
    </xf>
    <xf numFmtId="0" fontId="1" fillId="0" borderId="177" xfId="0" applyFont="1" applyBorder="1" applyAlignment="1">
      <alignment horizontal="left" vertical="center"/>
    </xf>
    <xf numFmtId="164" fontId="4" fillId="0" borderId="143" xfId="0" applyNumberFormat="1" applyFont="1" applyBorder="1" applyAlignment="1">
      <alignment horizontal="center" vertical="center"/>
    </xf>
    <xf numFmtId="0" fontId="90" fillId="0" borderId="29" xfId="0" applyFont="1" applyBorder="1" applyAlignment="1">
      <alignment horizontal="center" vertical="center"/>
    </xf>
    <xf numFmtId="0" fontId="90" fillId="0" borderId="86" xfId="0" applyFont="1" applyBorder="1" applyAlignment="1">
      <alignment horizontal="center" vertical="center"/>
    </xf>
    <xf numFmtId="14" fontId="90" fillId="0" borderId="29" xfId="0" applyNumberFormat="1" applyFont="1" applyBorder="1" applyAlignment="1">
      <alignment horizontal="center" vertical="center"/>
    </xf>
    <xf numFmtId="0" fontId="33" fillId="0" borderId="97" xfId="0" quotePrefix="1" applyFont="1" applyBorder="1" applyAlignment="1">
      <alignment horizontal="center" vertical="center"/>
    </xf>
    <xf numFmtId="0" fontId="1" fillId="0" borderId="86" xfId="0" quotePrefix="1" applyFont="1" applyBorder="1" applyAlignment="1">
      <alignment horizontal="center" vertical="center"/>
    </xf>
    <xf numFmtId="0" fontId="44" fillId="0" borderId="29" xfId="0" quotePrefix="1" applyFont="1" applyBorder="1" applyAlignment="1">
      <alignment horizontal="center" vertical="center"/>
    </xf>
    <xf numFmtId="0" fontId="33" fillId="0" borderId="134" xfId="0" quotePrefix="1" applyFont="1" applyBorder="1" applyAlignment="1">
      <alignment horizontal="center" vertical="center"/>
    </xf>
    <xf numFmtId="0" fontId="33" fillId="0" borderId="44" xfId="0" applyFont="1" applyBorder="1" applyAlignment="1">
      <alignment horizontal="left" vertical="center" wrapText="1"/>
    </xf>
    <xf numFmtId="164" fontId="33" fillId="0" borderId="178" xfId="0" applyNumberFormat="1" applyFont="1" applyBorder="1" applyAlignment="1">
      <alignment horizontal="center" vertical="center"/>
    </xf>
    <xf numFmtId="164" fontId="1" fillId="0" borderId="179" xfId="0" applyNumberFormat="1" applyFont="1" applyBorder="1" applyAlignment="1">
      <alignment horizontal="center" vertical="center"/>
    </xf>
    <xf numFmtId="164" fontId="90" fillId="0" borderId="39" xfId="0" applyNumberFormat="1" applyFont="1" applyBorder="1" applyAlignment="1">
      <alignment horizontal="center" vertical="center"/>
    </xf>
    <xf numFmtId="164" fontId="90" fillId="0" borderId="48" xfId="0" applyNumberFormat="1" applyFont="1" applyBorder="1" applyAlignment="1">
      <alignment horizontal="center" vertical="center"/>
    </xf>
    <xf numFmtId="164" fontId="33" fillId="0" borderId="180" xfId="0" applyNumberFormat="1" applyFont="1" applyBorder="1" applyAlignment="1">
      <alignment horizontal="center" vertical="center"/>
    </xf>
    <xf numFmtId="164" fontId="1" fillId="0" borderId="181" xfId="0" applyNumberFormat="1" applyFont="1" applyBorder="1" applyAlignment="1">
      <alignment horizontal="center" vertical="center"/>
    </xf>
    <xf numFmtId="164" fontId="33" fillId="0" borderId="161" xfId="0" applyNumberFormat="1" applyFont="1" applyBorder="1" applyAlignment="1">
      <alignment horizontal="center" vertical="center"/>
    </xf>
    <xf numFmtId="164" fontId="90" fillId="0" borderId="47" xfId="0" applyNumberFormat="1" applyFont="1" applyBorder="1" applyAlignment="1">
      <alignment horizontal="center" vertical="center"/>
    </xf>
    <xf numFmtId="164" fontId="90" fillId="0" borderId="46" xfId="0" applyNumberFormat="1" applyFont="1" applyBorder="1" applyAlignment="1">
      <alignment horizontal="center" vertical="center"/>
    </xf>
    <xf numFmtId="9" fontId="33" fillId="0" borderId="180" xfId="1" applyFont="1" applyFill="1" applyBorder="1" applyAlignment="1">
      <alignment horizontal="center" vertical="center"/>
    </xf>
    <xf numFmtId="164" fontId="33" fillId="0" borderId="179" xfId="0" applyNumberFormat="1" applyFont="1" applyBorder="1" applyAlignment="1">
      <alignment horizontal="center" vertical="center"/>
    </xf>
    <xf numFmtId="167" fontId="33" fillId="0" borderId="39" xfId="0" applyNumberFormat="1" applyFont="1" applyBorder="1" applyAlignment="1">
      <alignment horizontal="center" vertical="center"/>
    </xf>
    <xf numFmtId="164" fontId="59" fillId="16" borderId="123" xfId="0" applyNumberFormat="1" applyFont="1" applyFill="1" applyBorder="1" applyAlignment="1">
      <alignment horizontal="center"/>
    </xf>
    <xf numFmtId="164" fontId="59" fillId="16" borderId="78" xfId="0" applyNumberFormat="1" applyFont="1" applyFill="1" applyBorder="1" applyAlignment="1">
      <alignment horizontal="center"/>
    </xf>
    <xf numFmtId="164" fontId="33" fillId="0" borderId="182" xfId="0" applyNumberFormat="1" applyFont="1" applyBorder="1" applyAlignment="1">
      <alignment horizontal="center" vertical="center"/>
    </xf>
    <xf numFmtId="164" fontId="33" fillId="0" borderId="183" xfId="0" applyNumberFormat="1" applyFont="1" applyBorder="1" applyAlignment="1">
      <alignment horizontal="center" vertical="center"/>
    </xf>
    <xf numFmtId="164" fontId="33" fillId="0" borderId="184" xfId="0" applyNumberFormat="1" applyFont="1" applyBorder="1" applyAlignment="1">
      <alignment horizontal="center" vertical="center"/>
    </xf>
    <xf numFmtId="164" fontId="33" fillId="0" borderId="185" xfId="0" applyNumberFormat="1" applyFont="1" applyBorder="1" applyAlignment="1">
      <alignment horizontal="center" vertical="center"/>
    </xf>
    <xf numFmtId="164" fontId="90" fillId="0" borderId="132" xfId="0" applyNumberFormat="1" applyFont="1" applyBorder="1" applyAlignment="1">
      <alignment horizontal="center" vertical="center"/>
    </xf>
    <xf numFmtId="0" fontId="33" fillId="0" borderId="135" xfId="0" applyFont="1" applyBorder="1" applyAlignment="1">
      <alignment horizontal="left" vertical="center"/>
    </xf>
    <xf numFmtId="0" fontId="4" fillId="0" borderId="37" xfId="0" applyFont="1" applyBorder="1" applyAlignment="1">
      <alignment horizontal="left" vertical="center"/>
    </xf>
    <xf numFmtId="0" fontId="16" fillId="22" borderId="54" xfId="0" applyFont="1" applyFill="1" applyBorder="1" applyAlignment="1">
      <alignment horizontal="center" vertical="center" wrapText="1"/>
    </xf>
    <xf numFmtId="0" fontId="60" fillId="0" borderId="37" xfId="0" applyFont="1" applyBorder="1" applyAlignment="1">
      <alignment horizontal="center" vertical="center"/>
    </xf>
    <xf numFmtId="0" fontId="60" fillId="0" borderId="96" xfId="0" applyFont="1" applyBorder="1" applyAlignment="1">
      <alignment horizontal="center" vertical="center"/>
    </xf>
    <xf numFmtId="1" fontId="25" fillId="0" borderId="0" xfId="0" applyNumberFormat="1" applyFont="1"/>
    <xf numFmtId="1" fontId="0" fillId="0" borderId="0" xfId="0" applyNumberFormat="1"/>
    <xf numFmtId="0" fontId="0" fillId="23" borderId="0" xfId="0" applyFill="1"/>
    <xf numFmtId="1" fontId="0" fillId="23" borderId="0" xfId="0" applyNumberFormat="1" applyFill="1"/>
    <xf numFmtId="164" fontId="4" fillId="0" borderId="186" xfId="18" applyNumberFormat="1" applyFont="1" applyBorder="1" applyAlignment="1">
      <alignment vertical="center"/>
    </xf>
    <xf numFmtId="164" fontId="44" fillId="0" borderId="46" xfId="0" applyNumberFormat="1" applyFont="1" applyBorder="1" applyAlignment="1">
      <alignment horizontal="center" vertical="center"/>
    </xf>
    <xf numFmtId="0" fontId="55" fillId="21" borderId="49" xfId="0" applyFont="1" applyFill="1" applyBorder="1" applyAlignment="1">
      <alignment horizontal="center" vertical="center"/>
    </xf>
    <xf numFmtId="0" fontId="55" fillId="21" borderId="30" xfId="0" applyFont="1" applyFill="1" applyBorder="1" applyAlignment="1">
      <alignment horizontal="center" vertical="center"/>
    </xf>
    <xf numFmtId="0" fontId="55" fillId="21" borderId="30" xfId="0" applyFont="1" applyFill="1" applyBorder="1" applyAlignment="1">
      <alignment horizontal="center" vertical="center" wrapText="1"/>
    </xf>
    <xf numFmtId="0" fontId="55" fillId="21" borderId="49" xfId="2" applyFont="1" applyFill="1" applyBorder="1" applyAlignment="1">
      <alignment horizontal="center" vertical="center"/>
    </xf>
    <xf numFmtId="0" fontId="55" fillId="21" borderId="85" xfId="2" applyFont="1" applyFill="1" applyBorder="1" applyAlignment="1">
      <alignment horizontal="center" vertical="center"/>
    </xf>
    <xf numFmtId="0" fontId="24" fillId="21" borderId="85" xfId="2" applyFont="1" applyFill="1" applyBorder="1" applyAlignment="1">
      <alignment horizontal="center" vertical="center" wrapText="1"/>
    </xf>
    <xf numFmtId="0" fontId="37" fillId="0" borderId="44" xfId="0" applyFont="1" applyBorder="1" applyAlignment="1">
      <alignment horizontal="center" vertical="center"/>
    </xf>
    <xf numFmtId="1" fontId="3" fillId="0" borderId="44" xfId="0" applyNumberFormat="1" applyFont="1" applyBorder="1"/>
    <xf numFmtId="9" fontId="3" fillId="0" borderId="29" xfId="1" applyFont="1" applyBorder="1" applyAlignment="1">
      <alignment horizontal="center"/>
    </xf>
    <xf numFmtId="0" fontId="37" fillId="0" borderId="139" xfId="0" applyFont="1" applyBorder="1" applyAlignment="1">
      <alignment horizontal="center" vertical="center"/>
    </xf>
    <xf numFmtId="1" fontId="3" fillId="0" borderId="139" xfId="0" applyNumberFormat="1" applyFont="1" applyBorder="1"/>
    <xf numFmtId="9" fontId="3" fillId="0" borderId="76" xfId="1" applyFont="1" applyBorder="1" applyAlignment="1">
      <alignment horizontal="center"/>
    </xf>
    <xf numFmtId="9" fontId="73" fillId="0" borderId="48" xfId="1" applyFont="1" applyFill="1" applyBorder="1" applyAlignment="1">
      <alignment horizontal="center" vertical="center"/>
    </xf>
    <xf numFmtId="0" fontId="79" fillId="21" borderId="85" xfId="2" applyFont="1" applyFill="1" applyBorder="1" applyAlignment="1">
      <alignment horizontal="center" vertical="center"/>
    </xf>
    <xf numFmtId="0" fontId="55" fillId="2" borderId="27" xfId="2" applyFont="1" applyFill="1" applyBorder="1" applyAlignment="1">
      <alignment horizontal="center" vertical="center"/>
    </xf>
    <xf numFmtId="0" fontId="56" fillId="0" borderId="29" xfId="0" applyFont="1" applyBorder="1" applyAlignment="1">
      <alignment horizontal="left" vertical="center"/>
    </xf>
    <xf numFmtId="0" fontId="73" fillId="0" borderId="29" xfId="0" applyFont="1" applyBorder="1" applyAlignment="1">
      <alignment horizontal="left" vertical="center"/>
    </xf>
    <xf numFmtId="0" fontId="73" fillId="0" borderId="37" xfId="0" applyFont="1" applyBorder="1" applyAlignment="1">
      <alignment horizontal="left" vertical="center"/>
    </xf>
    <xf numFmtId="0" fontId="73" fillId="0" borderId="29" xfId="0" applyFont="1" applyBorder="1" applyAlignment="1">
      <alignment horizontal="center" vertical="center"/>
    </xf>
    <xf numFmtId="0" fontId="73" fillId="0" borderId="76" xfId="0" applyFont="1" applyBorder="1" applyAlignment="1">
      <alignment horizontal="left" vertical="center"/>
    </xf>
    <xf numFmtId="0" fontId="73" fillId="0" borderId="145" xfId="0" applyFont="1" applyBorder="1" applyAlignment="1">
      <alignment horizontal="left" vertical="center"/>
    </xf>
    <xf numFmtId="0" fontId="73" fillId="0" borderId="76" xfId="0" applyFont="1" applyBorder="1" applyAlignment="1">
      <alignment horizontal="center" vertical="center"/>
    </xf>
    <xf numFmtId="164" fontId="56" fillId="0" borderId="76" xfId="0" applyNumberFormat="1" applyFont="1" applyBorder="1" applyAlignment="1">
      <alignment horizontal="center" vertical="center"/>
    </xf>
    <xf numFmtId="0" fontId="82" fillId="21" borderId="49" xfId="0" applyFont="1" applyFill="1" applyBorder="1" applyAlignment="1">
      <alignment horizontal="center" vertical="center"/>
    </xf>
    <xf numFmtId="164" fontId="56" fillId="0" borderId="0" xfId="0" applyNumberFormat="1" applyFont="1" applyAlignment="1">
      <alignment horizontal="center" vertical="center"/>
    </xf>
    <xf numFmtId="0" fontId="73" fillId="16" borderId="97" xfId="0" applyFont="1" applyFill="1" applyBorder="1" applyAlignment="1">
      <alignment horizontal="left" vertical="center"/>
    </xf>
    <xf numFmtId="0" fontId="73" fillId="16" borderId="29" xfId="0" applyFont="1" applyFill="1" applyBorder="1" applyAlignment="1">
      <alignment horizontal="left" vertical="center"/>
    </xf>
    <xf numFmtId="0" fontId="79" fillId="21" borderId="85" xfId="0" applyFont="1" applyFill="1" applyBorder="1" applyAlignment="1">
      <alignment horizontal="center" vertical="center"/>
    </xf>
    <xf numFmtId="0" fontId="73" fillId="16" borderId="37" xfId="0" applyFont="1" applyFill="1" applyBorder="1" applyAlignment="1">
      <alignment horizontal="left" vertical="center"/>
    </xf>
    <xf numFmtId="0" fontId="79" fillId="21" borderId="187" xfId="0" applyFont="1" applyFill="1" applyBorder="1" applyAlignment="1">
      <alignment horizontal="center" vertical="center"/>
    </xf>
    <xf numFmtId="0" fontId="73" fillId="16" borderId="29" xfId="0" applyFont="1" applyFill="1" applyBorder="1" applyAlignment="1">
      <alignment horizontal="center" vertical="center"/>
    </xf>
    <xf numFmtId="0" fontId="79" fillId="21" borderId="187" xfId="0" applyFont="1" applyFill="1" applyBorder="1" applyAlignment="1">
      <alignment horizontal="center" vertical="center" wrapText="1"/>
    </xf>
    <xf numFmtId="0" fontId="79" fillId="21" borderId="50" xfId="2" applyFont="1" applyFill="1" applyBorder="1" applyAlignment="1">
      <alignment horizontal="center" vertical="center"/>
    </xf>
    <xf numFmtId="164" fontId="56" fillId="0" borderId="29" xfId="0" applyNumberFormat="1" applyFont="1" applyBorder="1" applyAlignment="1">
      <alignment horizontal="centerContinuous" vertical="center"/>
    </xf>
    <xf numFmtId="164" fontId="56" fillId="0" borderId="76" xfId="0" applyNumberFormat="1" applyFont="1" applyBorder="1" applyAlignment="1">
      <alignment horizontal="centerContinuous" vertical="center"/>
    </xf>
    <xf numFmtId="0" fontId="82" fillId="21" borderId="30" xfId="0" applyFont="1" applyFill="1" applyBorder="1" applyAlignment="1">
      <alignment horizontal="center" vertical="center"/>
    </xf>
    <xf numFmtId="0" fontId="82" fillId="21" borderId="30" xfId="0" applyFont="1" applyFill="1" applyBorder="1" applyAlignment="1">
      <alignment horizontal="center" vertical="center" wrapText="1"/>
    </xf>
    <xf numFmtId="0" fontId="82" fillId="21" borderId="49" xfId="2" applyFont="1" applyFill="1" applyBorder="1" applyAlignment="1">
      <alignment horizontal="center" vertical="center"/>
    </xf>
    <xf numFmtId="0" fontId="82" fillId="21" borderId="85" xfId="2" applyFont="1" applyFill="1" applyBorder="1" applyAlignment="1">
      <alignment horizontal="center" vertical="center"/>
    </xf>
    <xf numFmtId="9" fontId="0" fillId="0" borderId="37" xfId="1" applyFont="1" applyBorder="1"/>
    <xf numFmtId="9" fontId="0" fillId="0" borderId="145" xfId="1" applyFont="1" applyBorder="1"/>
    <xf numFmtId="0" fontId="73" fillId="16" borderId="135" xfId="0" applyFont="1" applyFill="1" applyBorder="1" applyAlignment="1">
      <alignment horizontal="left" vertical="center"/>
    </xf>
    <xf numFmtId="0" fontId="73" fillId="16" borderId="97" xfId="0" applyFont="1" applyFill="1" applyBorder="1" applyAlignment="1">
      <alignment horizontal="center" vertical="center"/>
    </xf>
    <xf numFmtId="164" fontId="56" fillId="0" borderId="97" xfId="0" applyNumberFormat="1" applyFont="1" applyBorder="1" applyAlignment="1">
      <alignment horizontal="center" vertical="center"/>
    </xf>
    <xf numFmtId="164" fontId="1" fillId="0" borderId="188" xfId="0" applyNumberFormat="1" applyFont="1" applyBorder="1" applyAlignment="1">
      <alignment horizontal="center" vertical="center"/>
    </xf>
    <xf numFmtId="164" fontId="1" fillId="0" borderId="140" xfId="0" applyNumberFormat="1" applyFont="1" applyBorder="1" applyAlignment="1">
      <alignment horizontal="center" vertical="center"/>
    </xf>
    <xf numFmtId="164" fontId="1" fillId="0" borderId="189" xfId="0" applyNumberFormat="1" applyFont="1" applyBorder="1" applyAlignment="1">
      <alignment horizontal="center" vertical="center"/>
    </xf>
    <xf numFmtId="164" fontId="1" fillId="0" borderId="190" xfId="0" applyNumberFormat="1" applyFont="1" applyBorder="1" applyAlignment="1">
      <alignment horizontal="center" vertical="center"/>
    </xf>
    <xf numFmtId="0" fontId="84" fillId="0" borderId="44" xfId="0" applyFont="1" applyBorder="1" applyAlignment="1">
      <alignment horizontal="center"/>
    </xf>
    <xf numFmtId="0" fontId="84" fillId="13" borderId="44" xfId="0" applyFont="1" applyFill="1" applyBorder="1" applyAlignment="1">
      <alignment horizontal="center"/>
    </xf>
    <xf numFmtId="0" fontId="65" fillId="21" borderId="139" xfId="0" applyFont="1" applyFill="1" applyBorder="1"/>
    <xf numFmtId="0" fontId="65" fillId="21" borderId="145" xfId="0" applyFont="1" applyFill="1" applyBorder="1"/>
    <xf numFmtId="170" fontId="27" fillId="0" borderId="13" xfId="1" applyNumberFormat="1" applyFont="1" applyBorder="1" applyAlignment="1">
      <alignment horizontal="center" vertical="center"/>
    </xf>
    <xf numFmtId="0" fontId="73" fillId="0" borderId="97" xfId="0" applyFont="1" applyBorder="1" applyAlignment="1">
      <alignment horizontal="center" vertical="center"/>
    </xf>
    <xf numFmtId="0" fontId="73" fillId="0" borderId="97" xfId="0" applyFont="1" applyBorder="1" applyAlignment="1">
      <alignment horizontal="left" vertical="center"/>
    </xf>
    <xf numFmtId="0" fontId="51" fillId="0" borderId="9" xfId="0" applyFont="1" applyBorder="1"/>
    <xf numFmtId="0" fontId="51" fillId="0" borderId="147" xfId="0" applyFont="1" applyBorder="1" applyAlignment="1">
      <alignment horizontal="center"/>
    </xf>
    <xf numFmtId="0" fontId="51" fillId="0" borderId="148" xfId="0" applyFont="1" applyBorder="1" applyAlignment="1">
      <alignment horizontal="center"/>
    </xf>
    <xf numFmtId="0" fontId="51" fillId="0" borderId="29" xfId="0" applyFont="1" applyBorder="1"/>
    <xf numFmtId="0" fontId="91" fillId="0" borderId="0" xfId="0" applyFont="1" applyAlignment="1">
      <alignment horizontal="center"/>
    </xf>
    <xf numFmtId="0" fontId="84" fillId="0" borderId="37" xfId="0" applyFont="1" applyBorder="1" applyAlignment="1">
      <alignment horizontal="center"/>
    </xf>
    <xf numFmtId="0" fontId="51" fillId="0" borderId="76" xfId="0" applyFont="1" applyBorder="1"/>
    <xf numFmtId="0" fontId="91" fillId="0" borderId="151" xfId="0" applyFont="1" applyBorder="1" applyAlignment="1">
      <alignment horizontal="center"/>
    </xf>
    <xf numFmtId="0" fontId="84" fillId="0" borderId="151" xfId="0" applyFont="1" applyBorder="1" applyAlignment="1">
      <alignment horizontal="center"/>
    </xf>
    <xf numFmtId="0" fontId="84" fillId="0" borderId="145" xfId="0" applyFont="1" applyBorder="1" applyAlignment="1">
      <alignment horizontal="center"/>
    </xf>
    <xf numFmtId="22" fontId="0" fillId="0" borderId="0" xfId="0" applyNumberFormat="1"/>
    <xf numFmtId="0" fontId="92" fillId="0" borderId="0" xfId="0" applyFont="1"/>
    <xf numFmtId="0" fontId="56" fillId="0" borderId="76" xfId="0" applyFont="1" applyBorder="1" applyAlignment="1">
      <alignment horizontal="center" vertical="center" wrapText="1"/>
    </xf>
    <xf numFmtId="0" fontId="56" fillId="0" borderId="76" xfId="0" applyFont="1" applyBorder="1" applyAlignment="1">
      <alignment horizontal="center" vertical="center"/>
    </xf>
    <xf numFmtId="164" fontId="56" fillId="0" borderId="191" xfId="0" applyNumberFormat="1" applyFont="1" applyBorder="1" applyAlignment="1">
      <alignment horizontal="center" vertical="center"/>
    </xf>
    <xf numFmtId="164" fontId="56" fillId="0" borderId="192" xfId="0" applyNumberFormat="1" applyFont="1" applyBorder="1" applyAlignment="1">
      <alignment horizontal="center" vertical="center"/>
    </xf>
    <xf numFmtId="164" fontId="86" fillId="20" borderId="75" xfId="2" applyNumberFormat="1" applyFont="1" applyFill="1" applyBorder="1" applyAlignment="1">
      <alignment horizontal="center" vertical="center"/>
    </xf>
    <xf numFmtId="0" fontId="3" fillId="0" borderId="0" xfId="0" quotePrefix="1" applyFont="1"/>
    <xf numFmtId="0" fontId="3" fillId="20" borderId="0" xfId="0" quotePrefix="1" applyFont="1" applyFill="1"/>
    <xf numFmtId="0" fontId="36" fillId="0" borderId="0" xfId="2" quotePrefix="1" applyFont="1" applyAlignment="1">
      <alignment vertical="top" wrapText="1"/>
    </xf>
    <xf numFmtId="0" fontId="0" fillId="20" borderId="0" xfId="0" quotePrefix="1" applyFill="1"/>
    <xf numFmtId="0" fontId="37" fillId="0" borderId="0" xfId="2" quotePrefix="1" applyFont="1"/>
    <xf numFmtId="0" fontId="0" fillId="25" borderId="0" xfId="0" applyFill="1"/>
    <xf numFmtId="165" fontId="4" fillId="0" borderId="0" xfId="2" applyNumberFormat="1" applyFont="1" applyAlignment="1">
      <alignment vertical="top" wrapText="1"/>
    </xf>
    <xf numFmtId="0" fontId="0" fillId="20" borderId="0" xfId="0" applyFill="1"/>
    <xf numFmtId="0" fontId="27" fillId="0" borderId="0" xfId="19" applyFont="1" applyAlignment="1">
      <alignment horizontal="left" vertical="center"/>
    </xf>
    <xf numFmtId="1" fontId="84" fillId="0" borderId="0" xfId="0" applyNumberFormat="1" applyFont="1"/>
    <xf numFmtId="0" fontId="4" fillId="0" borderId="0" xfId="19" applyFont="1" applyAlignment="1">
      <alignment horizontal="left" vertical="center"/>
    </xf>
    <xf numFmtId="1" fontId="4" fillId="0" borderId="0" xfId="19" applyNumberFormat="1" applyFont="1" applyAlignment="1">
      <alignment horizontal="left" vertical="center"/>
    </xf>
    <xf numFmtId="1" fontId="3" fillId="0" borderId="134" xfId="0" applyNumberFormat="1" applyFont="1" applyBorder="1"/>
    <xf numFmtId="0" fontId="3" fillId="0" borderId="44" xfId="0" applyFont="1" applyBorder="1"/>
    <xf numFmtId="0" fontId="3" fillId="0" borderId="139" xfId="0" applyFont="1" applyBorder="1"/>
    <xf numFmtId="1" fontId="3" fillId="0" borderId="135" xfId="0" applyNumberFormat="1" applyFont="1" applyBorder="1"/>
    <xf numFmtId="1" fontId="3" fillId="0" borderId="37" xfId="0" applyNumberFormat="1" applyFont="1" applyBorder="1"/>
    <xf numFmtId="0" fontId="3" fillId="0" borderId="37" xfId="0" applyFont="1" applyBorder="1"/>
    <xf numFmtId="0" fontId="3" fillId="0" borderId="145" xfId="0" applyFont="1" applyBorder="1"/>
    <xf numFmtId="0" fontId="93" fillId="21" borderId="146" xfId="0" applyFont="1" applyFill="1" applyBorder="1"/>
    <xf numFmtId="164" fontId="86" fillId="0" borderId="77" xfId="2" applyNumberFormat="1" applyFont="1" applyBorder="1" applyAlignment="1">
      <alignment horizontal="center" vertical="center"/>
    </xf>
    <xf numFmtId="0" fontId="25" fillId="20" borderId="0" xfId="0" applyFont="1" applyFill="1"/>
    <xf numFmtId="164" fontId="44" fillId="0" borderId="13" xfId="18" applyNumberFormat="1" applyFont="1" applyBorder="1" applyAlignment="1">
      <alignment horizontal="center" vertical="center"/>
    </xf>
    <xf numFmtId="0" fontId="37" fillId="20" borderId="0" xfId="2" applyFont="1" applyFill="1" applyAlignment="1">
      <alignment horizontal="center"/>
    </xf>
    <xf numFmtId="10" fontId="36" fillId="20" borderId="0" xfId="2" applyNumberFormat="1" applyFont="1" applyFill="1" applyAlignment="1">
      <alignment horizontal="center" vertical="top" wrapText="1"/>
    </xf>
    <xf numFmtId="0" fontId="4" fillId="20" borderId="0" xfId="2" applyFont="1" applyFill="1" applyAlignment="1">
      <alignment vertical="top" wrapText="1"/>
    </xf>
    <xf numFmtId="164" fontId="4" fillId="20" borderId="0" xfId="2" applyNumberFormat="1" applyFont="1" applyFill="1" applyAlignment="1">
      <alignment vertical="top" wrapText="1"/>
    </xf>
    <xf numFmtId="0" fontId="3" fillId="20" borderId="0" xfId="0" applyFont="1" applyFill="1"/>
    <xf numFmtId="10" fontId="3" fillId="20" borderId="0" xfId="0" applyNumberFormat="1" applyFont="1" applyFill="1"/>
    <xf numFmtId="10" fontId="37" fillId="0" borderId="0" xfId="2" applyNumberFormat="1" applyFont="1" applyAlignment="1">
      <alignment horizontal="center"/>
    </xf>
    <xf numFmtId="0" fontId="55" fillId="21" borderId="0" xfId="2" applyFont="1" applyFill="1" applyAlignment="1">
      <alignment horizontal="center" vertical="center"/>
    </xf>
    <xf numFmtId="171" fontId="3" fillId="0" borderId="0" xfId="1" applyNumberFormat="1" applyFont="1"/>
    <xf numFmtId="9" fontId="4" fillId="0" borderId="0" xfId="1" applyFont="1" applyAlignment="1">
      <alignment vertical="top" wrapText="1"/>
    </xf>
    <xf numFmtId="164" fontId="37" fillId="0" borderId="0" xfId="2" applyNumberFormat="1" applyFont="1" applyAlignment="1">
      <alignment horizontal="center"/>
    </xf>
    <xf numFmtId="9" fontId="3" fillId="0" borderId="0" xfId="0" applyNumberFormat="1" applyFont="1"/>
    <xf numFmtId="169" fontId="3" fillId="0" borderId="0" xfId="0" applyNumberFormat="1" applyFont="1"/>
    <xf numFmtId="0" fontId="51" fillId="0" borderId="146" xfId="0" applyFont="1" applyBorder="1" applyAlignment="1">
      <alignment horizontal="center"/>
    </xf>
    <xf numFmtId="0" fontId="84" fillId="0" borderId="139" xfId="0" applyFont="1" applyBorder="1" applyAlignment="1">
      <alignment horizontal="center"/>
    </xf>
    <xf numFmtId="0" fontId="0" fillId="0" borderId="0" xfId="0" applyAlignment="1">
      <alignment horizontal="centerContinuous"/>
    </xf>
    <xf numFmtId="164" fontId="37" fillId="20" borderId="0" xfId="1" applyNumberFormat="1" applyFont="1" applyFill="1" applyAlignment="1">
      <alignment horizontal="center"/>
    </xf>
    <xf numFmtId="164" fontId="44" fillId="0" borderId="19" xfId="18" applyNumberFormat="1" applyFont="1" applyBorder="1" applyAlignment="1">
      <alignment horizontal="center" vertical="center"/>
    </xf>
    <xf numFmtId="1" fontId="84" fillId="23" borderId="0" xfId="0" applyNumberFormat="1" applyFont="1" applyFill="1"/>
    <xf numFmtId="1" fontId="51" fillId="0" borderId="0" xfId="0" applyNumberFormat="1" applyFont="1"/>
    <xf numFmtId="10" fontId="25" fillId="0" borderId="0" xfId="1" applyNumberFormat="1" applyFont="1" applyAlignment="1">
      <alignment horizontal="center"/>
    </xf>
    <xf numFmtId="164" fontId="86" fillId="0" borderId="97" xfId="0" applyNumberFormat="1" applyFont="1" applyBorder="1" applyAlignment="1">
      <alignment horizontal="centerContinuous" vertical="center"/>
    </xf>
    <xf numFmtId="164" fontId="86" fillId="0" borderId="29" xfId="0" applyNumberFormat="1" applyFont="1" applyBorder="1" applyAlignment="1">
      <alignment horizontal="centerContinuous" vertical="center"/>
    </xf>
    <xf numFmtId="0" fontId="95" fillId="0" borderId="0" xfId="0" applyFont="1"/>
    <xf numFmtId="0" fontId="95" fillId="0" borderId="151" xfId="0" applyFont="1" applyBorder="1"/>
    <xf numFmtId="0" fontId="96" fillId="21" borderId="146" xfId="0" applyFont="1" applyFill="1" applyBorder="1"/>
    <xf numFmtId="0" fontId="95" fillId="21" borderId="148" xfId="0" applyFont="1" applyFill="1" applyBorder="1"/>
    <xf numFmtId="0" fontId="85" fillId="21" borderId="84" xfId="2" applyFont="1" applyFill="1" applyBorder="1" applyAlignment="1">
      <alignment horizontal="centerContinuous" vertical="center" wrapText="1"/>
    </xf>
    <xf numFmtId="0" fontId="85" fillId="21" borderId="71" xfId="2" applyFont="1" applyFill="1" applyBorder="1" applyAlignment="1">
      <alignment horizontal="centerContinuous" vertical="center" wrapText="1"/>
    </xf>
    <xf numFmtId="0" fontId="85" fillId="21" borderId="49" xfId="2" applyFont="1" applyFill="1" applyBorder="1" applyAlignment="1">
      <alignment horizontal="center" vertical="center"/>
    </xf>
    <xf numFmtId="0" fontId="85" fillId="21" borderId="85" xfId="2" applyFont="1" applyFill="1" applyBorder="1" applyAlignment="1">
      <alignment horizontal="center" vertical="center"/>
    </xf>
    <xf numFmtId="164" fontId="86" fillId="0" borderId="29" xfId="0" applyNumberFormat="1" applyFont="1" applyBorder="1" applyAlignment="1">
      <alignment horizontal="center" vertical="center"/>
    </xf>
    <xf numFmtId="164" fontId="86" fillId="0" borderId="76" xfId="0" applyNumberFormat="1" applyFont="1" applyBorder="1" applyAlignment="1">
      <alignment horizontal="center" vertical="center"/>
    </xf>
    <xf numFmtId="14" fontId="97" fillId="0" borderId="0" xfId="0" applyNumberFormat="1" applyFont="1" applyAlignment="1">
      <alignment horizontal="center" vertical="top"/>
    </xf>
    <xf numFmtId="0" fontId="97" fillId="0" borderId="0" xfId="0" applyFont="1" applyAlignment="1">
      <alignment horizontal="center" vertical="top"/>
    </xf>
    <xf numFmtId="0" fontId="97" fillId="0" borderId="0" xfId="0" applyFont="1"/>
    <xf numFmtId="0" fontId="97" fillId="0" borderId="9" xfId="0" applyFont="1" applyBorder="1"/>
    <xf numFmtId="0" fontId="97" fillId="0" borderId="9" xfId="0" applyFont="1" applyBorder="1" applyAlignment="1">
      <alignment horizontal="center"/>
    </xf>
    <xf numFmtId="0" fontId="98" fillId="0" borderId="0" xfId="0" applyFont="1" applyAlignment="1">
      <alignment horizontal="center"/>
    </xf>
    <xf numFmtId="0" fontId="97" fillId="0" borderId="0" xfId="2" applyFont="1"/>
    <xf numFmtId="0" fontId="99" fillId="0" borderId="0" xfId="0" applyFont="1" applyAlignment="1">
      <alignment vertical="center"/>
    </xf>
    <xf numFmtId="0" fontId="100" fillId="0" borderId="0" xfId="2" applyFont="1"/>
    <xf numFmtId="0" fontId="101" fillId="0" borderId="0" xfId="2" applyFont="1"/>
    <xf numFmtId="0" fontId="98" fillId="0" borderId="0" xfId="0" applyFont="1"/>
    <xf numFmtId="0" fontId="102" fillId="0" borderId="0" xfId="2" applyFont="1" applyAlignment="1">
      <alignment horizontal="center" vertical="top" wrapText="1"/>
    </xf>
    <xf numFmtId="0" fontId="103" fillId="2" borderId="84" xfId="2" applyFont="1" applyFill="1" applyBorder="1" applyAlignment="1">
      <alignment horizontal="centerContinuous" vertical="center" wrapText="1"/>
    </xf>
    <xf numFmtId="0" fontId="103" fillId="2" borderId="71" xfId="2" applyFont="1" applyFill="1" applyBorder="1" applyAlignment="1">
      <alignment horizontal="centerContinuous" vertical="center" wrapText="1"/>
    </xf>
    <xf numFmtId="0" fontId="86" fillId="0" borderId="0" xfId="0" applyFont="1" applyAlignment="1">
      <alignment horizontal="left" vertical="center"/>
    </xf>
    <xf numFmtId="0" fontId="103" fillId="21" borderId="84" xfId="2" applyFont="1" applyFill="1" applyBorder="1" applyAlignment="1">
      <alignment horizontal="centerContinuous" vertical="center" wrapText="1"/>
    </xf>
    <xf numFmtId="0" fontId="103" fillId="21" borderId="28" xfId="2" applyFont="1" applyFill="1" applyBorder="1" applyAlignment="1">
      <alignment horizontal="centerContinuous" vertical="center" wrapText="1"/>
    </xf>
    <xf numFmtId="0" fontId="102" fillId="0" borderId="0" xfId="2" applyFont="1" applyAlignment="1">
      <alignment vertical="center"/>
    </xf>
    <xf numFmtId="0" fontId="103" fillId="2" borderId="49" xfId="2" applyFont="1" applyFill="1" applyBorder="1" applyAlignment="1">
      <alignment horizontal="center" vertical="center"/>
    </xf>
    <xf numFmtId="0" fontId="103" fillId="2" borderId="85" xfId="2" applyFont="1" applyFill="1" applyBorder="1" applyAlignment="1">
      <alignment horizontal="center" vertical="center"/>
    </xf>
    <xf numFmtId="0" fontId="103" fillId="21" borderId="49" xfId="0" applyFont="1" applyFill="1" applyBorder="1" applyAlignment="1">
      <alignment horizontal="center" vertical="center"/>
    </xf>
    <xf numFmtId="0" fontId="103" fillId="21" borderId="30" xfId="0" applyFont="1" applyFill="1" applyBorder="1" applyAlignment="1">
      <alignment horizontal="center" vertical="center"/>
    </xf>
    <xf numFmtId="0" fontId="103" fillId="21" borderId="30" xfId="0" applyFont="1" applyFill="1" applyBorder="1" applyAlignment="1">
      <alignment horizontal="center" vertical="center" wrapText="1"/>
    </xf>
    <xf numFmtId="0" fontId="85" fillId="21" borderId="152" xfId="2" applyFont="1" applyFill="1" applyBorder="1" applyAlignment="1">
      <alignment horizontal="center" vertical="center"/>
    </xf>
    <xf numFmtId="0" fontId="85" fillId="21" borderId="150" xfId="2" applyFont="1" applyFill="1" applyBorder="1" applyAlignment="1">
      <alignment horizontal="center" vertical="center"/>
    </xf>
    <xf numFmtId="0" fontId="101" fillId="0" borderId="0" xfId="0" applyFont="1"/>
    <xf numFmtId="0" fontId="86" fillId="0" borderId="0" xfId="0" applyFont="1"/>
    <xf numFmtId="9" fontId="86" fillId="0" borderId="38" xfId="1" applyFont="1" applyFill="1" applyBorder="1" applyAlignment="1">
      <alignment horizontal="center" vertical="center"/>
    </xf>
    <xf numFmtId="0" fontId="86" fillId="0" borderId="29" xfId="0" applyFont="1" applyBorder="1" applyAlignment="1">
      <alignment horizontal="left" vertical="center"/>
    </xf>
    <xf numFmtId="0" fontId="86" fillId="0" borderId="29" xfId="0" applyFont="1" applyBorder="1" applyAlignment="1">
      <alignment horizontal="center" vertical="center"/>
    </xf>
    <xf numFmtId="9" fontId="97" fillId="0" borderId="37" xfId="1" applyFont="1" applyBorder="1" applyAlignment="1">
      <alignment horizontal="center"/>
    </xf>
    <xf numFmtId="1" fontId="97" fillId="0" borderId="134" xfId="0" applyNumberFormat="1" applyFont="1" applyBorder="1"/>
    <xf numFmtId="1" fontId="97" fillId="0" borderId="135" xfId="0" applyNumberFormat="1" applyFont="1" applyBorder="1"/>
    <xf numFmtId="9" fontId="101" fillId="0" borderId="0" xfId="1" applyFont="1"/>
    <xf numFmtId="1" fontId="97" fillId="0" borderId="44" xfId="0" applyNumberFormat="1" applyFont="1" applyBorder="1"/>
    <xf numFmtId="1" fontId="97" fillId="0" borderId="37" xfId="0" applyNumberFormat="1" applyFont="1" applyBorder="1"/>
    <xf numFmtId="164" fontId="86" fillId="16" borderId="29" xfId="0" applyNumberFormat="1" applyFont="1" applyFill="1" applyBorder="1" applyAlignment="1">
      <alignment horizontal="center" vertical="center"/>
    </xf>
    <xf numFmtId="9" fontId="97" fillId="0" borderId="0" xfId="1" applyFont="1"/>
    <xf numFmtId="1" fontId="97" fillId="0" borderId="29" xfId="0" applyNumberFormat="1" applyFont="1" applyBorder="1"/>
    <xf numFmtId="0" fontId="86" fillId="0" borderId="76" xfId="0" applyFont="1" applyBorder="1" applyAlignment="1">
      <alignment horizontal="left" vertical="center"/>
    </xf>
    <xf numFmtId="0" fontId="86" fillId="0" borderId="76" xfId="0" applyFont="1" applyBorder="1" applyAlignment="1">
      <alignment horizontal="center" vertical="center"/>
    </xf>
    <xf numFmtId="1" fontId="97" fillId="0" borderId="76" xfId="0" applyNumberFormat="1" applyFont="1" applyBorder="1"/>
    <xf numFmtId="0" fontId="86" fillId="4" borderId="44" xfId="2" applyFont="1" applyFill="1" applyBorder="1"/>
    <xf numFmtId="0" fontId="86" fillId="4" borderId="37" xfId="2" applyFont="1" applyFill="1" applyBorder="1"/>
    <xf numFmtId="0" fontId="105" fillId="21" borderId="146" xfId="0" applyFont="1" applyFill="1" applyBorder="1"/>
    <xf numFmtId="0" fontId="97" fillId="0" borderId="0" xfId="0" applyFont="1" applyAlignment="1">
      <alignment vertical="center"/>
    </xf>
    <xf numFmtId="0" fontId="95" fillId="0" borderId="0" xfId="0" applyFont="1" applyAlignment="1">
      <alignment vertical="center"/>
    </xf>
    <xf numFmtId="9" fontId="87" fillId="0" borderId="38" xfId="1" applyFont="1" applyFill="1" applyBorder="1" applyAlignment="1">
      <alignment horizontal="center" vertical="center"/>
    </xf>
    <xf numFmtId="9" fontId="87" fillId="0" borderId="77" xfId="1" applyFont="1" applyFill="1" applyBorder="1" applyAlignment="1">
      <alignment horizontal="center" vertical="center"/>
    </xf>
    <xf numFmtId="9" fontId="87" fillId="0" borderId="0" xfId="1" applyFont="1" applyFill="1" applyBorder="1" applyAlignment="1">
      <alignment horizontal="center" vertical="center"/>
    </xf>
    <xf numFmtId="165" fontId="97" fillId="0" borderId="0" xfId="0" applyNumberFormat="1" applyFont="1" applyAlignment="1">
      <alignment vertical="center"/>
    </xf>
    <xf numFmtId="0" fontId="107" fillId="0" borderId="0" xfId="0" applyFont="1"/>
    <xf numFmtId="9" fontId="85" fillId="3" borderId="70" xfId="1" applyFont="1" applyFill="1" applyBorder="1" applyAlignment="1">
      <alignment horizontal="center" vertical="center"/>
    </xf>
    <xf numFmtId="9" fontId="85" fillId="3" borderId="80" xfId="1" applyFont="1" applyFill="1" applyBorder="1" applyAlignment="1">
      <alignment horizontal="center" vertical="center"/>
    </xf>
    <xf numFmtId="0" fontId="102" fillId="0" borderId="0" xfId="2" applyFont="1" applyAlignment="1">
      <alignment vertical="top"/>
    </xf>
    <xf numFmtId="9" fontId="88" fillId="3" borderId="81" xfId="1" applyFont="1" applyFill="1" applyBorder="1" applyAlignment="1">
      <alignment horizontal="center" vertical="center"/>
    </xf>
    <xf numFmtId="9" fontId="88" fillId="3" borderId="83" xfId="1" applyFont="1" applyFill="1" applyBorder="1" applyAlignment="1">
      <alignment horizontal="center" vertical="center"/>
    </xf>
    <xf numFmtId="0" fontId="108" fillId="0" borderId="0" xfId="2" applyFont="1"/>
    <xf numFmtId="0" fontId="101" fillId="0" borderId="0" xfId="2" applyFont="1" applyAlignment="1">
      <alignment horizontal="center"/>
    </xf>
    <xf numFmtId="0" fontId="101" fillId="20" borderId="0" xfId="2" applyFont="1" applyFill="1" applyAlignment="1">
      <alignment horizontal="center"/>
    </xf>
    <xf numFmtId="9" fontId="101" fillId="0" borderId="0" xfId="1" applyFont="1" applyAlignment="1">
      <alignment horizontal="center"/>
    </xf>
    <xf numFmtId="0" fontId="101" fillId="0" borderId="0" xfId="0" applyFont="1" applyAlignment="1">
      <alignment horizontal="left" vertical="center"/>
    </xf>
    <xf numFmtId="0" fontId="101" fillId="0" borderId="0" xfId="2" applyFont="1" applyAlignment="1">
      <alignment vertical="top" wrapText="1"/>
    </xf>
    <xf numFmtId="0" fontId="101" fillId="20" borderId="0" xfId="2" quotePrefix="1" applyFont="1" applyFill="1" applyAlignment="1">
      <alignment vertical="top" wrapText="1"/>
    </xf>
    <xf numFmtId="0" fontId="97" fillId="20" borderId="0" xfId="2" applyFont="1" applyFill="1" applyAlignment="1">
      <alignment vertical="top" wrapText="1"/>
    </xf>
    <xf numFmtId="164" fontId="101" fillId="0" borderId="0" xfId="2" applyNumberFormat="1" applyFont="1" applyAlignment="1">
      <alignment horizontal="center" vertical="top" wrapText="1"/>
    </xf>
    <xf numFmtId="0" fontId="97" fillId="0" borderId="0" xfId="2" applyFont="1" applyAlignment="1">
      <alignment vertical="top" wrapText="1"/>
    </xf>
    <xf numFmtId="0" fontId="97" fillId="20" borderId="0" xfId="0" applyFont="1" applyFill="1"/>
    <xf numFmtId="9" fontId="97" fillId="0" borderId="0" xfId="1" applyFont="1" applyAlignment="1">
      <alignment vertical="top" wrapText="1"/>
    </xf>
    <xf numFmtId="0" fontId="97" fillId="0" borderId="0" xfId="2" applyFont="1" applyAlignment="1">
      <alignment wrapText="1"/>
    </xf>
    <xf numFmtId="0" fontId="109" fillId="14" borderId="0" xfId="2" applyFont="1" applyFill="1" applyAlignment="1">
      <alignment vertical="top" wrapText="1"/>
    </xf>
    <xf numFmtId="0" fontId="110" fillId="14" borderId="0" xfId="2" applyFont="1" applyFill="1" applyAlignment="1">
      <alignment vertical="top"/>
    </xf>
    <xf numFmtId="0" fontId="97" fillId="14" borderId="0" xfId="2" applyFont="1" applyFill="1" applyAlignment="1">
      <alignment vertical="top" wrapText="1"/>
    </xf>
    <xf numFmtId="0" fontId="97" fillId="14" borderId="0" xfId="2" applyFont="1" applyFill="1" applyAlignment="1">
      <alignment wrapText="1"/>
    </xf>
    <xf numFmtId="0" fontId="97" fillId="14" borderId="0" xfId="0" applyFont="1" applyFill="1"/>
    <xf numFmtId="0" fontId="107" fillId="0" borderId="0" xfId="2" applyFont="1" applyAlignment="1">
      <alignment vertical="top" wrapText="1"/>
    </xf>
    <xf numFmtId="0" fontId="107" fillId="0" borderId="0" xfId="2" applyFont="1" applyAlignment="1">
      <alignment horizontal="left" vertical="center"/>
    </xf>
    <xf numFmtId="0" fontId="111" fillId="0" borderId="0" xfId="2" applyFont="1" applyAlignment="1">
      <alignment horizontal="center" vertical="center" wrapText="1"/>
    </xf>
    <xf numFmtId="0" fontId="112" fillId="0" borderId="0" xfId="2" applyFont="1" applyAlignment="1">
      <alignment horizontal="center" vertical="center"/>
    </xf>
    <xf numFmtId="0" fontId="101" fillId="0" borderId="0" xfId="2" applyFont="1" applyAlignment="1">
      <alignment horizontal="center" vertical="center" wrapText="1"/>
    </xf>
    <xf numFmtId="0" fontId="97" fillId="0" borderId="0" xfId="2" applyFont="1" applyAlignment="1">
      <alignment horizontal="center" vertical="center" wrapText="1"/>
    </xf>
    <xf numFmtId="164" fontId="101" fillId="0" borderId="97" xfId="2" applyNumberFormat="1" applyFont="1" applyBorder="1" applyAlignment="1">
      <alignment horizontal="center" vertical="center"/>
    </xf>
    <xf numFmtId="164" fontId="97" fillId="0" borderId="0" xfId="2" applyNumberFormat="1" applyFont="1" applyAlignment="1">
      <alignment vertical="top" wrapText="1"/>
    </xf>
    <xf numFmtId="164" fontId="97" fillId="0" borderId="0" xfId="0" applyNumberFormat="1" applyFont="1"/>
    <xf numFmtId="164" fontId="101" fillId="0" borderId="29" xfId="2" applyNumberFormat="1" applyFont="1" applyBorder="1" applyAlignment="1">
      <alignment horizontal="center" vertical="center"/>
    </xf>
    <xf numFmtId="164" fontId="107" fillId="0" borderId="0" xfId="2" applyNumberFormat="1" applyFont="1" applyAlignment="1">
      <alignment horizontal="center" vertical="center"/>
    </xf>
    <xf numFmtId="0" fontId="107" fillId="0" borderId="0" xfId="2" applyFont="1" applyAlignment="1">
      <alignment vertical="center"/>
    </xf>
    <xf numFmtId="164" fontId="107" fillId="0" borderId="0" xfId="1" applyNumberFormat="1" applyFont="1" applyFill="1" applyBorder="1" applyAlignment="1">
      <alignment horizontal="center" vertical="center"/>
    </xf>
    <xf numFmtId="164" fontId="97" fillId="0" borderId="0" xfId="0" applyNumberFormat="1" applyFont="1" applyAlignment="1">
      <alignment vertical="center"/>
    </xf>
    <xf numFmtId="164" fontId="113" fillId="0" borderId="0" xfId="2" applyNumberFormat="1" applyFont="1" applyAlignment="1">
      <alignment horizontal="center" vertical="center"/>
    </xf>
    <xf numFmtId="164" fontId="113" fillId="0" borderId="0" xfId="1" applyNumberFormat="1" applyFont="1" applyFill="1" applyBorder="1" applyAlignment="1">
      <alignment horizontal="center" vertical="center"/>
    </xf>
    <xf numFmtId="9" fontId="97" fillId="0" borderId="0" xfId="2" applyNumberFormat="1" applyFont="1" applyAlignment="1">
      <alignment horizontal="center" vertical="center"/>
    </xf>
    <xf numFmtId="164" fontId="97" fillId="0" borderId="0" xfId="1" applyNumberFormat="1" applyFont="1" applyFill="1" applyBorder="1" applyAlignment="1">
      <alignment horizontal="center"/>
    </xf>
    <xf numFmtId="164" fontId="101" fillId="0" borderId="76" xfId="2" applyNumberFormat="1" applyFont="1" applyBorder="1" applyAlignment="1">
      <alignment horizontal="center" vertical="center"/>
    </xf>
    <xf numFmtId="0" fontId="104" fillId="4" borderId="0" xfId="2" applyFont="1" applyFill="1" applyAlignment="1">
      <alignment horizontal="centerContinuous" vertical="center"/>
    </xf>
    <xf numFmtId="164" fontId="106" fillId="0" borderId="29" xfId="2" applyNumberFormat="1" applyFont="1" applyBorder="1" applyAlignment="1">
      <alignment horizontal="center" vertical="center"/>
    </xf>
    <xf numFmtId="164" fontId="106" fillId="0" borderId="76" xfId="2" applyNumberFormat="1" applyFont="1" applyBorder="1" applyAlignment="1">
      <alignment horizontal="center" vertical="center"/>
    </xf>
    <xf numFmtId="9" fontId="94" fillId="0" borderId="38" xfId="1" applyFont="1" applyFill="1" applyBorder="1" applyAlignment="1">
      <alignment horizontal="center" vertical="center"/>
    </xf>
    <xf numFmtId="9" fontId="94" fillId="0" borderId="40" xfId="1" applyFont="1" applyFill="1" applyBorder="1" applyAlignment="1">
      <alignment horizontal="center" vertical="center"/>
    </xf>
    <xf numFmtId="9" fontId="114" fillId="3" borderId="81" xfId="1" applyFont="1" applyFill="1" applyBorder="1" applyAlignment="1">
      <alignment horizontal="center" vertical="center"/>
    </xf>
    <xf numFmtId="9" fontId="114" fillId="3" borderId="83" xfId="1" applyFont="1" applyFill="1" applyBorder="1" applyAlignment="1">
      <alignment horizontal="center" vertical="center"/>
    </xf>
    <xf numFmtId="9" fontId="45" fillId="3" borderId="81" xfId="1" applyFont="1" applyFill="1" applyBorder="1" applyAlignment="1">
      <alignment horizontal="center" vertical="center"/>
    </xf>
    <xf numFmtId="9" fontId="45" fillId="3" borderId="83" xfId="1" applyFont="1" applyFill="1" applyBorder="1" applyAlignment="1">
      <alignment horizontal="center" vertical="center"/>
    </xf>
    <xf numFmtId="9" fontId="37" fillId="0" borderId="0" xfId="2" applyNumberFormat="1" applyFont="1"/>
    <xf numFmtId="164" fontId="86" fillId="0" borderId="168" xfId="2" applyNumberFormat="1" applyFont="1" applyBorder="1" applyAlignment="1">
      <alignment horizontal="center" vertical="center"/>
    </xf>
    <xf numFmtId="164" fontId="86" fillId="0" borderId="169" xfId="2" applyNumberFormat="1" applyFont="1" applyBorder="1" applyAlignment="1">
      <alignment horizontal="center" vertical="center"/>
    </xf>
    <xf numFmtId="9" fontId="86" fillId="0" borderId="170" xfId="1" applyFont="1" applyFill="1" applyBorder="1" applyAlignment="1">
      <alignment horizontal="center" vertical="center"/>
    </xf>
    <xf numFmtId="0" fontId="85" fillId="3" borderId="164" xfId="0" applyFont="1" applyFill="1" applyBorder="1" applyAlignment="1">
      <alignment horizontal="center" vertical="center" wrapText="1"/>
    </xf>
    <xf numFmtId="164" fontId="85" fillId="3" borderId="165" xfId="2" applyNumberFormat="1" applyFont="1" applyFill="1" applyBorder="1" applyAlignment="1">
      <alignment horizontal="center" vertical="center"/>
    </xf>
    <xf numFmtId="0" fontId="85" fillId="3" borderId="165" xfId="2" applyFont="1" applyFill="1" applyBorder="1" applyAlignment="1">
      <alignment horizontal="center" vertical="center"/>
    </xf>
    <xf numFmtId="9" fontId="85" fillId="3" borderId="165" xfId="1" applyFont="1" applyFill="1" applyBorder="1" applyAlignment="1">
      <alignment horizontal="center" vertical="center"/>
    </xf>
    <xf numFmtId="164" fontId="85" fillId="3" borderId="166" xfId="2" applyNumberFormat="1" applyFont="1" applyFill="1" applyBorder="1" applyAlignment="1">
      <alignment horizontal="center" vertical="center"/>
    </xf>
    <xf numFmtId="164" fontId="73" fillId="0" borderId="77" xfId="2" applyNumberFormat="1" applyFont="1" applyBorder="1" applyAlignment="1">
      <alignment horizontal="center" vertical="center"/>
    </xf>
    <xf numFmtId="0" fontId="101" fillId="0" borderId="0" xfId="1" applyNumberFormat="1" applyFont="1"/>
    <xf numFmtId="9" fontId="55" fillId="2" borderId="36" xfId="1" applyFont="1" applyFill="1" applyBorder="1" applyAlignment="1">
      <alignment horizontal="center" vertical="center"/>
    </xf>
    <xf numFmtId="0" fontId="55" fillId="2" borderId="36" xfId="2" applyFont="1" applyFill="1" applyBorder="1" applyAlignment="1">
      <alignment horizontal="center" vertical="center" wrapText="1"/>
    </xf>
    <xf numFmtId="164" fontId="4" fillId="0" borderId="153" xfId="2" applyNumberFormat="1" applyFont="1" applyBorder="1" applyAlignment="1">
      <alignment vertical="top" wrapText="1"/>
    </xf>
    <xf numFmtId="0" fontId="86" fillId="16" borderId="44" xfId="2" applyFont="1" applyFill="1" applyBorder="1" applyAlignment="1">
      <alignment horizontal="center" vertical="center"/>
    </xf>
    <xf numFmtId="164" fontId="86" fillId="16" borderId="194" xfId="2" applyNumberFormat="1" applyFont="1" applyFill="1" applyBorder="1" applyAlignment="1">
      <alignment horizontal="center" vertical="center"/>
    </xf>
    <xf numFmtId="164" fontId="86" fillId="16" borderId="55" xfId="2" applyNumberFormat="1" applyFont="1" applyFill="1" applyBorder="1" applyAlignment="1">
      <alignment horizontal="center" vertical="center"/>
    </xf>
    <xf numFmtId="0" fontId="86" fillId="16" borderId="55" xfId="2" applyFont="1" applyFill="1" applyBorder="1" applyAlignment="1">
      <alignment horizontal="center" vertical="center"/>
    </xf>
    <xf numFmtId="164" fontId="86" fillId="16" borderId="56" xfId="2" applyNumberFormat="1" applyFont="1" applyFill="1" applyBorder="1" applyAlignment="1">
      <alignment horizontal="center" vertical="center"/>
    </xf>
    <xf numFmtId="9" fontId="86" fillId="16" borderId="57" xfId="1" applyFont="1" applyFill="1" applyBorder="1" applyAlignment="1">
      <alignment horizontal="center" vertical="center"/>
    </xf>
    <xf numFmtId="164" fontId="86" fillId="16" borderId="57" xfId="2" applyNumberFormat="1" applyFont="1" applyFill="1" applyBorder="1" applyAlignment="1">
      <alignment horizontal="center" vertical="center"/>
    </xf>
    <xf numFmtId="9" fontId="86" fillId="16" borderId="58" xfId="1" applyFont="1" applyFill="1" applyBorder="1" applyAlignment="1">
      <alignment horizontal="center" vertical="center"/>
    </xf>
    <xf numFmtId="164" fontId="86" fillId="16" borderId="58" xfId="2" applyNumberFormat="1" applyFont="1" applyFill="1" applyBorder="1" applyAlignment="1">
      <alignment horizontal="center" vertical="center"/>
    </xf>
    <xf numFmtId="164" fontId="86" fillId="16" borderId="75" xfId="2" applyNumberFormat="1" applyFont="1" applyFill="1" applyBorder="1" applyAlignment="1">
      <alignment horizontal="center" vertical="center"/>
    </xf>
    <xf numFmtId="0" fontId="16" fillId="2" borderId="41" xfId="2" applyFont="1" applyFill="1" applyBorder="1" applyAlignment="1">
      <alignment horizontal="center" vertical="center" wrapText="1"/>
    </xf>
    <xf numFmtId="0" fontId="16" fillId="2" borderId="67" xfId="2" applyFont="1" applyFill="1" applyBorder="1" applyAlignment="1">
      <alignment horizontal="center" vertical="center" wrapText="1"/>
    </xf>
    <xf numFmtId="0" fontId="16" fillId="2" borderId="70" xfId="2" applyFont="1" applyFill="1" applyBorder="1" applyAlignment="1">
      <alignment horizontal="center" vertical="center"/>
    </xf>
    <xf numFmtId="0" fontId="16" fillId="2" borderId="72" xfId="2" applyFont="1" applyFill="1" applyBorder="1" applyAlignment="1">
      <alignment horizontal="center" vertical="center"/>
    </xf>
    <xf numFmtId="0" fontId="16" fillId="2" borderId="41" xfId="2" applyFont="1" applyFill="1" applyBorder="1" applyAlignment="1">
      <alignment horizontal="center" vertical="center"/>
    </xf>
    <xf numFmtId="0" fontId="16" fillId="2" borderId="67" xfId="2" applyFont="1" applyFill="1" applyBorder="1" applyAlignment="1">
      <alignment horizontal="center" vertical="center"/>
    </xf>
    <xf numFmtId="0" fontId="55" fillId="21" borderId="193" xfId="2" applyFont="1" applyFill="1" applyBorder="1" applyAlignment="1">
      <alignment horizontal="center" vertical="center" wrapText="1"/>
    </xf>
    <xf numFmtId="0" fontId="55" fillId="21" borderId="174" xfId="2" applyFont="1" applyFill="1" applyBorder="1" applyAlignment="1">
      <alignment horizontal="center" vertical="center" wrapText="1"/>
    </xf>
    <xf numFmtId="9" fontId="85" fillId="2" borderId="28" xfId="1" applyFont="1" applyFill="1" applyBorder="1" applyAlignment="1">
      <alignment horizontal="center" vertical="center"/>
    </xf>
    <xf numFmtId="9" fontId="85" fillId="2" borderId="36" xfId="1" applyFont="1" applyFill="1" applyBorder="1" applyAlignment="1">
      <alignment horizontal="center" vertical="center"/>
    </xf>
    <xf numFmtId="0" fontId="85" fillId="2" borderId="28" xfId="2" applyFont="1" applyFill="1" applyBorder="1" applyAlignment="1">
      <alignment horizontal="center" vertical="center" wrapText="1"/>
    </xf>
    <xf numFmtId="0" fontId="85" fillId="2" borderId="36" xfId="2" applyFont="1" applyFill="1" applyBorder="1" applyAlignment="1">
      <alignment horizontal="center" vertical="center" wrapText="1"/>
    </xf>
    <xf numFmtId="0" fontId="85" fillId="2" borderId="71" xfId="2" applyFont="1" applyFill="1" applyBorder="1" applyAlignment="1">
      <alignment horizontal="center" vertical="center" wrapText="1"/>
    </xf>
    <xf numFmtId="0" fontId="85" fillId="2" borderId="41" xfId="2" applyFont="1" applyFill="1" applyBorder="1" applyAlignment="1">
      <alignment horizontal="center" vertical="center" wrapText="1"/>
    </xf>
    <xf numFmtId="0" fontId="85" fillId="2" borderId="67" xfId="2" applyFont="1" applyFill="1" applyBorder="1" applyAlignment="1">
      <alignment horizontal="center" vertical="center" wrapText="1"/>
    </xf>
    <xf numFmtId="0" fontId="85" fillId="2" borderId="70" xfId="2" applyFont="1" applyFill="1" applyBorder="1" applyAlignment="1">
      <alignment horizontal="center" vertical="center"/>
    </xf>
    <xf numFmtId="0" fontId="85" fillId="2" borderId="72" xfId="2" applyFont="1" applyFill="1" applyBorder="1" applyAlignment="1">
      <alignment horizontal="center" vertical="center"/>
    </xf>
    <xf numFmtId="0" fontId="85" fillId="2" borderId="41" xfId="2" applyFont="1" applyFill="1" applyBorder="1" applyAlignment="1">
      <alignment horizontal="center" vertical="center"/>
    </xf>
    <xf numFmtId="0" fontId="85" fillId="2" borderId="67" xfId="2" applyFont="1" applyFill="1" applyBorder="1" applyAlignment="1">
      <alignment horizontal="center" vertical="center"/>
    </xf>
    <xf numFmtId="0" fontId="79" fillId="2" borderId="70" xfId="2" applyFont="1" applyFill="1" applyBorder="1" applyAlignment="1">
      <alignment horizontal="center" vertical="center"/>
    </xf>
    <xf numFmtId="0" fontId="79" fillId="2" borderId="72" xfId="2" applyFont="1" applyFill="1" applyBorder="1" applyAlignment="1">
      <alignment horizontal="center" vertical="center"/>
    </xf>
    <xf numFmtId="0" fontId="79" fillId="2" borderId="41" xfId="2" applyFont="1" applyFill="1" applyBorder="1" applyAlignment="1">
      <alignment horizontal="center" vertical="center"/>
    </xf>
    <xf numFmtId="0" fontId="79" fillId="2" borderId="67" xfId="2" applyFont="1" applyFill="1" applyBorder="1" applyAlignment="1">
      <alignment horizontal="center" vertical="center"/>
    </xf>
    <xf numFmtId="0" fontId="79" fillId="2" borderId="41" xfId="2" applyFont="1" applyFill="1" applyBorder="1" applyAlignment="1">
      <alignment horizontal="center" vertical="center" wrapText="1"/>
    </xf>
    <xf numFmtId="0" fontId="79" fillId="2" borderId="67" xfId="2" applyFont="1" applyFill="1" applyBorder="1" applyAlignment="1">
      <alignment horizontal="center" vertical="center" wrapText="1"/>
    </xf>
    <xf numFmtId="9" fontId="55" fillId="2" borderId="28" xfId="1" applyFont="1" applyFill="1" applyBorder="1" applyAlignment="1">
      <alignment horizontal="center" vertical="center"/>
    </xf>
    <xf numFmtId="9" fontId="55" fillId="2" borderId="36" xfId="1" applyFont="1" applyFill="1" applyBorder="1" applyAlignment="1">
      <alignment horizontal="center" vertical="center"/>
    </xf>
    <xf numFmtId="0" fontId="55" fillId="2" borderId="28" xfId="2" applyFont="1" applyFill="1" applyBorder="1" applyAlignment="1">
      <alignment horizontal="center" vertical="center" wrapText="1"/>
    </xf>
    <xf numFmtId="0" fontId="55" fillId="2" borderId="36" xfId="2" applyFont="1" applyFill="1" applyBorder="1" applyAlignment="1">
      <alignment horizontal="center" vertical="center" wrapText="1"/>
    </xf>
    <xf numFmtId="0" fontId="55" fillId="2" borderId="71" xfId="2" applyFont="1" applyFill="1" applyBorder="1" applyAlignment="1">
      <alignment horizontal="center" vertical="center" wrapText="1"/>
    </xf>
    <xf numFmtId="0" fontId="82" fillId="2" borderId="41" xfId="2" applyFont="1" applyFill="1" applyBorder="1" applyAlignment="1">
      <alignment horizontal="center" vertical="center" wrapText="1"/>
    </xf>
    <xf numFmtId="0" fontId="82" fillId="2" borderId="67" xfId="2" applyFont="1" applyFill="1" applyBorder="1" applyAlignment="1">
      <alignment horizontal="center" vertical="center" wrapText="1"/>
    </xf>
    <xf numFmtId="9" fontId="79" fillId="2" borderId="28" xfId="1" applyFont="1" applyFill="1" applyBorder="1" applyAlignment="1">
      <alignment horizontal="center" vertical="center"/>
    </xf>
    <xf numFmtId="9" fontId="79" fillId="2" borderId="36" xfId="1" applyFont="1" applyFill="1" applyBorder="1" applyAlignment="1">
      <alignment horizontal="center" vertical="center"/>
    </xf>
    <xf numFmtId="0" fontId="79" fillId="2" borderId="28" xfId="2" applyFont="1" applyFill="1" applyBorder="1" applyAlignment="1">
      <alignment horizontal="center" vertical="center" wrapText="1"/>
    </xf>
    <xf numFmtId="0" fontId="79" fillId="2" borderId="36" xfId="2" applyFont="1" applyFill="1" applyBorder="1" applyAlignment="1">
      <alignment horizontal="center" vertical="center" wrapText="1"/>
    </xf>
    <xf numFmtId="0" fontId="79" fillId="2" borderId="71" xfId="2" applyFont="1" applyFill="1" applyBorder="1" applyAlignment="1">
      <alignment horizontal="center" vertical="center" wrapText="1"/>
    </xf>
    <xf numFmtId="0" fontId="85" fillId="21" borderId="193" xfId="2" applyFont="1" applyFill="1" applyBorder="1" applyAlignment="1">
      <alignment horizontal="center" vertical="center" wrapText="1"/>
    </xf>
    <xf numFmtId="0" fontId="85" fillId="21" borderId="174" xfId="2" applyFont="1" applyFill="1" applyBorder="1" applyAlignment="1">
      <alignment horizontal="center" vertical="center" wrapText="1"/>
    </xf>
    <xf numFmtId="0" fontId="73" fillId="0" borderId="1" xfId="0" applyFont="1" applyBorder="1" applyAlignment="1">
      <alignment horizontal="center" vertical="center" wrapText="1"/>
    </xf>
    <xf numFmtId="0" fontId="73" fillId="0" borderId="2" xfId="0" applyFont="1" applyBorder="1" applyAlignment="1">
      <alignment horizontal="center" vertical="center" wrapText="1"/>
    </xf>
    <xf numFmtId="0" fontId="73" fillId="0" borderId="3" xfId="0" applyFont="1" applyBorder="1" applyAlignment="1">
      <alignment horizontal="center" vertical="center" wrapText="1"/>
    </xf>
    <xf numFmtId="0" fontId="73" fillId="0" borderId="4" xfId="0" applyFont="1" applyBorder="1" applyAlignment="1">
      <alignment horizontal="center" vertical="center" wrapText="1"/>
    </xf>
    <xf numFmtId="0" fontId="73" fillId="0" borderId="5" xfId="0" applyFont="1" applyBorder="1" applyAlignment="1">
      <alignment horizontal="center" vertical="center" wrapText="1"/>
    </xf>
    <xf numFmtId="0" fontId="73" fillId="0" borderId="6" xfId="0" applyFont="1" applyBorder="1" applyAlignment="1">
      <alignment horizontal="center" vertical="center" wrapText="1"/>
    </xf>
    <xf numFmtId="0" fontId="3" fillId="0" borderId="0" xfId="0" applyFont="1" applyAlignment="1">
      <alignment horizontal="center" wrapText="1"/>
    </xf>
    <xf numFmtId="0" fontId="24" fillId="21" borderId="84" xfId="0" applyFont="1" applyFill="1" applyBorder="1" applyAlignment="1">
      <alignment horizontal="center" vertical="center" wrapText="1"/>
    </xf>
    <xf numFmtId="0" fontId="24" fillId="21" borderId="152" xfId="0" applyFont="1" applyFill="1" applyBorder="1" applyAlignment="1">
      <alignment horizontal="center" vertical="center" wrapText="1"/>
    </xf>
    <xf numFmtId="0" fontId="24" fillId="21" borderId="41" xfId="0" applyFont="1" applyFill="1" applyBorder="1" applyAlignment="1">
      <alignment horizontal="center" vertical="center" wrapText="1"/>
    </xf>
    <xf numFmtId="0" fontId="24" fillId="21" borderId="82" xfId="0" applyFont="1" applyFill="1" applyBorder="1" applyAlignment="1">
      <alignment horizontal="center" vertical="center" wrapText="1"/>
    </xf>
    <xf numFmtId="0" fontId="0" fillId="17" borderId="108" xfId="0" applyFill="1" applyBorder="1" applyAlignment="1">
      <alignment horizontal="center" vertical="center" wrapText="1"/>
    </xf>
    <xf numFmtId="0" fontId="0" fillId="16" borderId="108" xfId="0" applyFill="1" applyBorder="1" applyAlignment="1">
      <alignment horizontal="center" vertical="center" wrapText="1"/>
    </xf>
    <xf numFmtId="0" fontId="62" fillId="24" borderId="134" xfId="0" applyFont="1" applyFill="1" applyBorder="1" applyAlignment="1">
      <alignment horizontal="center"/>
    </xf>
    <xf numFmtId="0" fontId="62" fillId="24" borderId="153" xfId="0" applyFont="1" applyFill="1" applyBorder="1" applyAlignment="1">
      <alignment horizontal="center"/>
    </xf>
    <xf numFmtId="0" fontId="62" fillId="24" borderId="135" xfId="0" applyFont="1" applyFill="1" applyBorder="1" applyAlignment="1">
      <alignment horizontal="center"/>
    </xf>
    <xf numFmtId="0" fontId="55" fillId="2" borderId="71" xfId="0" applyFont="1" applyFill="1" applyBorder="1" applyAlignment="1">
      <alignment horizontal="center" vertical="center" wrapText="1"/>
    </xf>
    <xf numFmtId="0" fontId="55" fillId="2" borderId="85" xfId="0" applyFont="1" applyFill="1" applyBorder="1" applyAlignment="1">
      <alignment horizontal="center" vertical="center" wrapText="1"/>
    </xf>
    <xf numFmtId="0" fontId="55" fillId="2" borderId="84" xfId="0" applyFont="1" applyFill="1" applyBorder="1" applyAlignment="1">
      <alignment horizontal="center" vertical="center"/>
    </xf>
    <xf numFmtId="0" fontId="55" fillId="2" borderId="49" xfId="0" applyFont="1" applyFill="1" applyBorder="1" applyAlignment="1">
      <alignment horizontal="center" vertical="center"/>
    </xf>
    <xf numFmtId="0" fontId="55" fillId="2" borderId="28" xfId="0" applyFont="1" applyFill="1" applyBorder="1" applyAlignment="1">
      <alignment horizontal="center" vertical="center"/>
    </xf>
    <xf numFmtId="0" fontId="55" fillId="2" borderId="30" xfId="0" applyFont="1" applyFill="1" applyBorder="1" applyAlignment="1">
      <alignment horizontal="center" vertical="center"/>
    </xf>
    <xf numFmtId="0" fontId="55" fillId="2" borderId="28" xfId="0" applyFont="1" applyFill="1" applyBorder="1" applyAlignment="1">
      <alignment horizontal="center" vertical="center" wrapText="1"/>
    </xf>
    <xf numFmtId="0" fontId="55" fillId="2" borderId="30" xfId="0" applyFont="1" applyFill="1" applyBorder="1" applyAlignment="1">
      <alignment horizontal="center" vertical="center" wrapText="1"/>
    </xf>
    <xf numFmtId="0" fontId="14" fillId="2" borderId="68" xfId="0" applyFont="1" applyFill="1" applyBorder="1" applyAlignment="1">
      <alignment horizontal="center" vertical="center" wrapText="1"/>
    </xf>
    <xf numFmtId="0" fontId="56" fillId="16" borderId="167" xfId="2" applyFont="1" applyFill="1" applyBorder="1" applyAlignment="1">
      <alignment horizontal="center" vertical="center" wrapText="1"/>
    </xf>
    <xf numFmtId="164" fontId="56" fillId="16" borderId="168" xfId="2" applyNumberFormat="1" applyFont="1" applyFill="1" applyBorder="1" applyAlignment="1">
      <alignment horizontal="center" vertical="center"/>
    </xf>
    <xf numFmtId="0" fontId="56" fillId="16" borderId="168" xfId="2" applyFont="1" applyFill="1" applyBorder="1" applyAlignment="1">
      <alignment horizontal="center" vertical="center" wrapText="1"/>
    </xf>
    <xf numFmtId="164" fontId="56" fillId="16" borderId="169" xfId="2" applyNumberFormat="1" applyFont="1" applyFill="1" applyBorder="1" applyAlignment="1">
      <alignment horizontal="center" vertical="center"/>
    </xf>
    <xf numFmtId="9" fontId="56" fillId="16" borderId="170" xfId="1" applyFont="1" applyFill="1" applyBorder="1" applyAlignment="1">
      <alignment horizontal="center" vertical="center"/>
    </xf>
    <xf numFmtId="164" fontId="56" fillId="16" borderId="170" xfId="2" applyNumberFormat="1" applyFont="1" applyFill="1" applyBorder="1" applyAlignment="1">
      <alignment horizontal="center" vertical="center"/>
    </xf>
    <xf numFmtId="9" fontId="56" fillId="16" borderId="171" xfId="1" applyFont="1" applyFill="1" applyBorder="1" applyAlignment="1">
      <alignment horizontal="center" vertical="center"/>
    </xf>
    <xf numFmtId="164" fontId="56" fillId="16" borderId="171" xfId="2" applyNumberFormat="1" applyFont="1" applyFill="1" applyBorder="1" applyAlignment="1">
      <alignment horizontal="center" vertical="center"/>
    </xf>
    <xf numFmtId="164" fontId="56" fillId="16" borderId="195" xfId="2" applyNumberFormat="1" applyFont="1" applyFill="1" applyBorder="1" applyAlignment="1">
      <alignment horizontal="center" vertical="center"/>
    </xf>
    <xf numFmtId="164" fontId="56" fillId="0" borderId="195" xfId="2" applyNumberFormat="1" applyFont="1" applyBorder="1" applyAlignment="1">
      <alignment horizontal="center" vertical="center"/>
    </xf>
    <xf numFmtId="164" fontId="37" fillId="0" borderId="169" xfId="2" applyNumberFormat="1" applyFont="1" applyBorder="1" applyAlignment="1">
      <alignment horizontal="center" vertical="center"/>
    </xf>
    <xf numFmtId="164" fontId="37" fillId="0" borderId="195" xfId="2" applyNumberFormat="1" applyFont="1" applyBorder="1" applyAlignment="1">
      <alignment horizontal="center" vertical="center"/>
    </xf>
    <xf numFmtId="0" fontId="55" fillId="3" borderId="154" xfId="0" applyFont="1" applyFill="1" applyBorder="1" applyAlignment="1">
      <alignment horizontal="center" vertical="center" wrapText="1"/>
    </xf>
    <xf numFmtId="164" fontId="55" fillId="3" borderId="196" xfId="2" applyNumberFormat="1" applyFont="1" applyFill="1" applyBorder="1" applyAlignment="1">
      <alignment horizontal="center" vertical="center"/>
    </xf>
    <xf numFmtId="0" fontId="55" fillId="3" borderId="196" xfId="2" applyFont="1" applyFill="1" applyBorder="1" applyAlignment="1">
      <alignment horizontal="center" vertical="center" wrapText="1"/>
    </xf>
    <xf numFmtId="0" fontId="55" fillId="3" borderId="196" xfId="2" applyFont="1" applyFill="1" applyBorder="1" applyAlignment="1">
      <alignment horizontal="center" vertical="center"/>
    </xf>
    <xf numFmtId="9" fontId="55" fillId="3" borderId="196" xfId="1" applyFont="1" applyFill="1" applyBorder="1" applyAlignment="1">
      <alignment horizontal="center" vertical="center"/>
    </xf>
    <xf numFmtId="164" fontId="55" fillId="3" borderId="197" xfId="2" applyNumberFormat="1" applyFont="1" applyFill="1" applyBorder="1" applyAlignment="1">
      <alignment horizontal="center" vertical="center"/>
    </xf>
    <xf numFmtId="164" fontId="24" fillId="3" borderId="198" xfId="1" applyNumberFormat="1" applyFont="1" applyFill="1" applyBorder="1" applyAlignment="1">
      <alignment horizontal="center" vertical="center"/>
    </xf>
    <xf numFmtId="164" fontId="24" fillId="3" borderId="196" xfId="2" applyNumberFormat="1" applyFont="1" applyFill="1" applyBorder="1" applyAlignment="1">
      <alignment horizontal="center" vertical="center"/>
    </xf>
    <xf numFmtId="0" fontId="55" fillId="2" borderId="70" xfId="2" applyFont="1" applyFill="1" applyBorder="1" applyAlignment="1">
      <alignment horizontal="center" vertical="center"/>
    </xf>
    <xf numFmtId="0" fontId="55" fillId="2" borderId="41" xfId="2" applyFont="1" applyFill="1" applyBorder="1" applyAlignment="1">
      <alignment horizontal="center" vertical="center"/>
    </xf>
    <xf numFmtId="0" fontId="55" fillId="2" borderId="41" xfId="2" applyFont="1" applyFill="1" applyBorder="1" applyAlignment="1">
      <alignment horizontal="center" vertical="center" wrapText="1"/>
    </xf>
    <xf numFmtId="0" fontId="55" fillId="2" borderId="28" xfId="2" applyFont="1" applyFill="1" applyBorder="1" applyAlignment="1">
      <alignment horizontal="centerContinuous" vertical="center" wrapText="1"/>
    </xf>
    <xf numFmtId="0" fontId="55" fillId="2" borderId="72" xfId="2" applyFont="1" applyFill="1" applyBorder="1" applyAlignment="1">
      <alignment horizontal="center" vertical="center"/>
    </xf>
    <xf numFmtId="0" fontId="55" fillId="2" borderId="67" xfId="2" applyFont="1" applyFill="1" applyBorder="1" applyAlignment="1">
      <alignment horizontal="center" vertical="center"/>
    </xf>
    <xf numFmtId="0" fontId="55" fillId="2" borderId="67" xfId="2" applyFont="1" applyFill="1" applyBorder="1" applyAlignment="1">
      <alignment horizontal="center" vertical="center" wrapText="1"/>
    </xf>
    <xf numFmtId="9" fontId="55" fillId="2" borderId="36" xfId="1" applyFont="1" applyFill="1" applyBorder="1" applyAlignment="1">
      <alignment horizontal="center" vertical="center" wrapText="1"/>
    </xf>
    <xf numFmtId="0" fontId="85" fillId="2" borderId="71" xfId="2" applyFont="1" applyFill="1" applyBorder="1" applyAlignment="1">
      <alignment horizontal="centerContinuous" vertical="center" wrapText="1"/>
    </xf>
    <xf numFmtId="0" fontId="115" fillId="0" borderId="0" xfId="0" applyFont="1"/>
    <xf numFmtId="0" fontId="85" fillId="2" borderId="106" xfId="2" applyFont="1" applyFill="1" applyBorder="1" applyAlignment="1">
      <alignment horizontal="center" vertical="center"/>
    </xf>
    <xf numFmtId="0" fontId="85" fillId="2" borderId="73" xfId="2" applyFont="1" applyFill="1" applyBorder="1" applyAlignment="1">
      <alignment horizontal="center" vertical="center" wrapText="1"/>
    </xf>
    <xf numFmtId="0" fontId="116" fillId="0" borderId="0" xfId="0" applyFont="1" applyAlignment="1">
      <alignment horizontal="left" vertical="center"/>
    </xf>
    <xf numFmtId="9" fontId="79" fillId="2" borderId="33" xfId="1" applyFont="1" applyFill="1" applyBorder="1" applyAlignment="1">
      <alignment horizontal="center" vertical="center"/>
    </xf>
    <xf numFmtId="9" fontId="79" fillId="2" borderId="173" xfId="1" applyFont="1" applyFill="1" applyBorder="1" applyAlignment="1">
      <alignment horizontal="center" vertical="center"/>
    </xf>
    <xf numFmtId="0" fontId="104" fillId="21" borderId="35" xfId="2" applyFont="1" applyFill="1" applyBorder="1" applyAlignment="1">
      <alignment horizontal="left" vertical="center" wrapText="1"/>
    </xf>
    <xf numFmtId="0" fontId="104" fillId="21" borderId="199" xfId="2" applyFont="1" applyFill="1" applyBorder="1" applyAlignment="1">
      <alignment horizontal="center" vertical="center" wrapText="1"/>
    </xf>
    <xf numFmtId="9" fontId="97" fillId="0" borderId="145" xfId="1" applyFont="1" applyBorder="1" applyAlignment="1">
      <alignment horizontal="center"/>
    </xf>
    <xf numFmtId="9" fontId="101" fillId="0" borderId="135" xfId="1" applyFont="1" applyBorder="1" applyAlignment="1">
      <alignment horizontal="center" vertical="center"/>
    </xf>
    <xf numFmtId="9" fontId="106" fillId="0" borderId="37" xfId="1" applyFont="1" applyBorder="1" applyAlignment="1">
      <alignment horizontal="center" vertical="center"/>
    </xf>
    <xf numFmtId="9" fontId="101" fillId="0" borderId="37" xfId="1" applyFont="1" applyBorder="1" applyAlignment="1">
      <alignment horizontal="center" vertical="center"/>
    </xf>
    <xf numFmtId="9" fontId="106" fillId="0" borderId="145" xfId="1" applyFont="1" applyBorder="1" applyAlignment="1">
      <alignment horizontal="center" vertical="center"/>
    </xf>
    <xf numFmtId="164" fontId="86" fillId="0" borderId="76" xfId="2" applyNumberFormat="1" applyFont="1" applyBorder="1" applyAlignment="1">
      <alignment horizontal="center" vertical="center"/>
    </xf>
    <xf numFmtId="9" fontId="39" fillId="0" borderId="37" xfId="1" applyFont="1" applyBorder="1" applyAlignment="1">
      <alignment horizontal="center" vertical="center"/>
    </xf>
    <xf numFmtId="9" fontId="37" fillId="0" borderId="37" xfId="1" applyFont="1" applyBorder="1" applyAlignment="1">
      <alignment horizontal="center" vertical="center"/>
    </xf>
    <xf numFmtId="9" fontId="39" fillId="0" borderId="145" xfId="1" applyFont="1" applyBorder="1" applyAlignment="1">
      <alignment horizontal="center" vertical="center"/>
    </xf>
    <xf numFmtId="164" fontId="86" fillId="0" borderId="136" xfId="2" applyNumberFormat="1" applyFont="1" applyBorder="1" applyAlignment="1">
      <alignment horizontal="center" vertical="center"/>
    </xf>
    <xf numFmtId="164" fontId="86" fillId="0" borderId="97" xfId="2" applyNumberFormat="1" applyFont="1" applyBorder="1" applyAlignment="1">
      <alignment horizontal="center" vertical="center"/>
    </xf>
    <xf numFmtId="0" fontId="55" fillId="21" borderId="34" xfId="2" applyFont="1" applyFill="1" applyBorder="1" applyAlignment="1">
      <alignment horizontal="centerContinuous" vertical="center" wrapText="1"/>
    </xf>
    <xf numFmtId="0" fontId="55" fillId="21" borderId="27" xfId="0" applyFont="1" applyFill="1" applyBorder="1" applyAlignment="1">
      <alignment horizontal="center" vertical="center"/>
    </xf>
    <xf numFmtId="164" fontId="86" fillId="0" borderId="44" xfId="2" applyNumberFormat="1" applyFont="1" applyBorder="1" applyAlignment="1">
      <alignment horizontal="center" vertical="center"/>
    </xf>
    <xf numFmtId="0" fontId="95" fillId="0" borderId="44" xfId="0" applyFont="1" applyBorder="1"/>
    <xf numFmtId="0" fontId="95" fillId="0" borderId="37" xfId="0" applyFont="1" applyBorder="1"/>
    <xf numFmtId="0" fontId="95" fillId="0" borderId="139" xfId="0" applyFont="1" applyBorder="1"/>
    <xf numFmtId="0" fontId="95" fillId="0" borderId="145" xfId="0" applyFont="1" applyBorder="1"/>
    <xf numFmtId="164" fontId="74" fillId="17" borderId="0" xfId="2" applyNumberFormat="1" applyFont="1" applyFill="1" applyAlignment="1">
      <alignment horizontal="center" vertical="center"/>
    </xf>
    <xf numFmtId="0" fontId="3" fillId="17" borderId="0" xfId="0" applyFont="1" applyFill="1" applyAlignment="1">
      <alignment vertical="center"/>
    </xf>
    <xf numFmtId="0" fontId="104" fillId="21" borderId="146" xfId="0" applyFont="1" applyFill="1" applyBorder="1" applyAlignment="1">
      <alignment horizontal="center" vertical="center"/>
    </xf>
    <xf numFmtId="0" fontId="104" fillId="21" borderId="148" xfId="0" applyFont="1" applyFill="1" applyBorder="1" applyAlignment="1">
      <alignment horizontal="center" vertical="center"/>
    </xf>
  </cellXfs>
  <cellStyles count="20">
    <cellStyle name="Comma 2" xfId="4" xr:uid="{00000000-0005-0000-0000-000000000000}"/>
    <cellStyle name="Comma 3" xfId="5" xr:uid="{00000000-0005-0000-0000-000001000000}"/>
    <cellStyle name="Currency 2" xfId="6" xr:uid="{00000000-0005-0000-0000-000003000000}"/>
    <cellStyle name="Currency 2 2" xfId="7" xr:uid="{00000000-0005-0000-0000-000004000000}"/>
    <cellStyle name="Normal" xfId="0" builtinId="0"/>
    <cellStyle name="Normal 2" xfId="2" xr:uid="{00000000-0005-0000-0000-000006000000}"/>
    <cellStyle name="Normal 3" xfId="8" xr:uid="{00000000-0005-0000-0000-000007000000}"/>
    <cellStyle name="Normal 3 2" xfId="9" xr:uid="{00000000-0005-0000-0000-000008000000}"/>
    <cellStyle name="Normal 4" xfId="10" xr:uid="{00000000-0005-0000-0000-000009000000}"/>
    <cellStyle name="Normal_Survey Analysis - For Participants" xfId="19" xr:uid="{00000000-0005-0000-0000-00000A000000}"/>
    <cellStyle name="Normal_surveyfinal" xfId="18" xr:uid="{00000000-0005-0000-0000-00000B000000}"/>
    <cellStyle name="Percent" xfId="1" builtinId="5"/>
    <cellStyle name="Percent 2" xfId="3" xr:uid="{00000000-0005-0000-0000-00000D000000}"/>
    <cellStyle name="Percent 3" xfId="11" xr:uid="{00000000-0005-0000-0000-00000E000000}"/>
    <cellStyle name="Percent 3 2" xfId="12" xr:uid="{00000000-0005-0000-0000-00000F000000}"/>
    <cellStyle name="Percent 4" xfId="13" xr:uid="{00000000-0005-0000-0000-000010000000}"/>
    <cellStyle name="Percent 5" xfId="14" xr:uid="{00000000-0005-0000-0000-000011000000}"/>
    <cellStyle name="Style 30" xfId="15" xr:uid="{00000000-0005-0000-0000-000012000000}"/>
    <cellStyle name="TextNormal" xfId="16" xr:uid="{00000000-0005-0000-0000-000013000000}"/>
    <cellStyle name="TextNormal 2" xfId="17" xr:uid="{00000000-0005-0000-0000-000014000000}"/>
  </cellStyles>
  <dxfs count="215">
    <dxf>
      <fill>
        <patternFill>
          <bgColor theme="0" tint="-4.9989318521683403E-2"/>
        </patternFill>
      </fill>
    </dxf>
    <dxf>
      <fill>
        <patternFill>
          <bgColor rgb="FFD9D9D9"/>
        </patternFill>
      </fill>
    </dxf>
    <dxf>
      <fill>
        <patternFill>
          <bgColor rgb="FFD9D9D9"/>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9C0006"/>
      </font>
      <fill>
        <patternFill patternType="solid">
          <fgColor indexed="64"/>
          <bgColor rgb="FFF4CCCC"/>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9C0006"/>
      </font>
      <fill>
        <patternFill patternType="solid">
          <fgColor indexed="64"/>
          <bgColor rgb="FFF4CCCC"/>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9C0006"/>
      </font>
      <fill>
        <patternFill patternType="solid">
          <fgColor indexed="64"/>
          <bgColor rgb="FFF4CCCC"/>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00B050"/>
      </font>
    </dxf>
    <dxf>
      <font>
        <color rgb="FF00B050"/>
      </font>
    </dxf>
    <dxf>
      <fill>
        <patternFill>
          <bgColor rgb="FFF2F2F2"/>
        </patternFill>
      </fill>
    </dxf>
    <dxf>
      <fill>
        <patternFill>
          <bgColor theme="0" tint="-4.9989318521683403E-2"/>
        </patternFill>
      </fill>
    </dxf>
    <dxf>
      <fill>
        <patternFill>
          <bgColor theme="0" tint="-4.9989318521683403E-2"/>
        </patternFill>
      </fill>
    </dxf>
  </dxfs>
  <tableStyles count="0" defaultTableStyle="TableStyleMedium9" defaultPivotStyle="PivotStyleLight16"/>
  <colors>
    <mruColors>
      <color rgb="FF5F6269"/>
      <color rgb="FFB88C00"/>
      <color rgb="FF006600"/>
      <color rgb="FFF0531E"/>
      <color rgb="FF002957"/>
      <color rgb="FF0055B8"/>
      <color rgb="FFF37A4F"/>
      <color rgb="FFAFABAB"/>
      <color rgb="FF003366"/>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styles" Target="styles.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11.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12.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13.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14.xml.rels><?xml version="1.0" encoding="UTF-8" standalone="yes"?>
<Relationships xmlns="http://schemas.openxmlformats.org/package/2006/relationships"><Relationship Id="rId1" Type="http://schemas.openxmlformats.org/officeDocument/2006/relationships/themeOverride" Target="../theme/themeOverride13.xml"/></Relationships>
</file>

<file path=xl/charts/_rels/chart1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2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2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2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2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2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3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3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3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3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3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36.xml.rels><?xml version="1.0" encoding="UTF-8" standalone="yes"?>
<Relationships xmlns="http://schemas.openxmlformats.org/package/2006/relationships"><Relationship Id="rId1" Type="http://schemas.openxmlformats.org/officeDocument/2006/relationships/themeOverride" Target="../theme/themeOverride14.xml"/></Relationships>
</file>

<file path=xl/charts/_rels/chart37.xml.rels><?xml version="1.0" encoding="UTF-8" standalone="yes"?>
<Relationships xmlns="http://schemas.openxmlformats.org/package/2006/relationships"><Relationship Id="rId1" Type="http://schemas.openxmlformats.org/officeDocument/2006/relationships/themeOverride" Target="../theme/themeOverride15.xml"/></Relationships>
</file>

<file path=xl/charts/_rels/chart38.xml.rels><?xml version="1.0" encoding="UTF-8" standalone="yes"?>
<Relationships xmlns="http://schemas.openxmlformats.org/package/2006/relationships"><Relationship Id="rId1" Type="http://schemas.openxmlformats.org/officeDocument/2006/relationships/themeOverride" Target="../theme/themeOverride16.xml"/></Relationships>
</file>

<file path=xl/charts/_rels/chart39.xml.rels><?xml version="1.0" encoding="UTF-8" standalone="yes"?>
<Relationships xmlns="http://schemas.openxmlformats.org/package/2006/relationships"><Relationship Id="rId1" Type="http://schemas.openxmlformats.org/officeDocument/2006/relationships/themeOverride" Target="../theme/themeOverride17.xml"/></Relationships>
</file>

<file path=xl/charts/_rels/chart40.xml.rels><?xml version="1.0" encoding="UTF-8" standalone="yes"?>
<Relationships xmlns="http://schemas.openxmlformats.org/package/2006/relationships"><Relationship Id="rId1" Type="http://schemas.openxmlformats.org/officeDocument/2006/relationships/themeOverride" Target="../theme/themeOverride18.xml"/></Relationships>
</file>

<file path=xl/charts/_rels/chart41.xml.rels><?xml version="1.0" encoding="UTF-8" standalone="yes"?>
<Relationships xmlns="http://schemas.openxmlformats.org/package/2006/relationships"><Relationship Id="rId1" Type="http://schemas.openxmlformats.org/officeDocument/2006/relationships/themeOverride" Target="../theme/themeOverrid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'Master - Charts'!$B$13</c:f>
              <c:strCache>
                <c:ptCount val="1"/>
                <c:pt idx="0">
                  <c:v>25th</c:v>
                </c:pt>
              </c:strCache>
            </c:strRef>
          </c:tx>
          <c:spPr>
            <a:noFill/>
          </c:spPr>
          <c:invertIfNegative val="0"/>
          <c:cat>
            <c:strRef>
              <c:f>'Master - Charts'!$C$4:$E$4</c:f>
              <c:strCache>
                <c:ptCount val="3"/>
                <c:pt idx="0">
                  <c:v>Base Salary</c:v>
                </c:pt>
                <c:pt idx="1">
                  <c:v>Target TCC</c:v>
                </c:pt>
                <c:pt idx="2">
                  <c:v>Target TDC</c:v>
                </c:pt>
              </c:strCache>
            </c:strRef>
          </c:cat>
          <c:val>
            <c:numRef>
              <c:f>'Master - Charts'!$C$13:$E$13</c:f>
              <c:numCache>
                <c:formatCode>"$"#,##0</c:formatCode>
                <c:ptCount val="3"/>
                <c:pt idx="0">
                  <c:v>0</c:v>
                </c:pt>
                <c:pt idx="1">
                  <c:v>0</c:v>
                </c:pt>
                <c:pt idx="2">
                  <c:v>0</c:v>
                </c:pt>
              </c:numCache>
            </c:numRef>
          </c:val>
          <c:extLst>
            <c:ext xmlns:c16="http://schemas.microsoft.com/office/drawing/2014/chart" uri="{C3380CC4-5D6E-409C-BE32-E72D297353CC}">
              <c16:uniqueId val="{00000000-BC20-436F-8485-E62A5F90F63E}"/>
            </c:ext>
          </c:extLst>
        </c:ser>
        <c:ser>
          <c:idx val="1"/>
          <c:order val="1"/>
          <c:tx>
            <c:strRef>
              <c:f>'Master - Charts'!$B$14</c:f>
              <c:strCache>
                <c:ptCount val="1"/>
                <c:pt idx="0">
                  <c:v>50th</c:v>
                </c:pt>
              </c:strCache>
            </c:strRef>
          </c:tx>
          <c:spPr>
            <a:solidFill>
              <a:srgbClr val="002957"/>
            </a:solidFill>
          </c:spPr>
          <c:invertIfNegative val="0"/>
          <c:cat>
            <c:strRef>
              <c:f>'Master - Charts'!$C$4:$E$4</c:f>
              <c:strCache>
                <c:ptCount val="3"/>
                <c:pt idx="0">
                  <c:v>Base Salary</c:v>
                </c:pt>
                <c:pt idx="1">
                  <c:v>Target TCC</c:v>
                </c:pt>
                <c:pt idx="2">
                  <c:v>Target TDC</c:v>
                </c:pt>
              </c:strCache>
            </c:strRef>
          </c:cat>
          <c:val>
            <c:numRef>
              <c:f>'Master - Charts'!$C$14:$E$14</c:f>
              <c:numCache>
                <c:formatCode>"$"#,##0</c:formatCode>
                <c:ptCount val="3"/>
                <c:pt idx="0">
                  <c:v>0</c:v>
                </c:pt>
                <c:pt idx="1">
                  <c:v>0</c:v>
                </c:pt>
                <c:pt idx="2">
                  <c:v>0</c:v>
                </c:pt>
              </c:numCache>
            </c:numRef>
          </c:val>
          <c:extLst>
            <c:ext xmlns:c16="http://schemas.microsoft.com/office/drawing/2014/chart" uri="{C3380CC4-5D6E-409C-BE32-E72D297353CC}">
              <c16:uniqueId val="{00000001-BC20-436F-8485-E62A5F90F63E}"/>
            </c:ext>
          </c:extLst>
        </c:ser>
        <c:ser>
          <c:idx val="2"/>
          <c:order val="2"/>
          <c:tx>
            <c:strRef>
              <c:f>'Master - Charts'!$B$15</c:f>
              <c:strCache>
                <c:ptCount val="1"/>
                <c:pt idx="0">
                  <c:v>75th</c:v>
                </c:pt>
              </c:strCache>
            </c:strRef>
          </c:tx>
          <c:spPr>
            <a:solidFill>
              <a:srgbClr val="AFABAB"/>
            </a:solidFill>
          </c:spPr>
          <c:invertIfNegative val="0"/>
          <c:cat>
            <c:strRef>
              <c:f>'Master - Charts'!$C$4:$E$4</c:f>
              <c:strCache>
                <c:ptCount val="3"/>
                <c:pt idx="0">
                  <c:v>Base Salary</c:v>
                </c:pt>
                <c:pt idx="1">
                  <c:v>Target TCC</c:v>
                </c:pt>
                <c:pt idx="2">
                  <c:v>Target TDC</c:v>
                </c:pt>
              </c:strCache>
            </c:strRef>
          </c:cat>
          <c:val>
            <c:numRef>
              <c:f>'Master - Charts'!$C$15:$E$15</c:f>
              <c:numCache>
                <c:formatCode>"$"#,##0</c:formatCode>
                <c:ptCount val="3"/>
                <c:pt idx="0">
                  <c:v>0</c:v>
                </c:pt>
                <c:pt idx="1">
                  <c:v>0</c:v>
                </c:pt>
                <c:pt idx="2">
                  <c:v>0</c:v>
                </c:pt>
              </c:numCache>
            </c:numRef>
          </c:val>
          <c:extLst>
            <c:ext xmlns:c16="http://schemas.microsoft.com/office/drawing/2014/chart" uri="{C3380CC4-5D6E-409C-BE32-E72D297353CC}">
              <c16:uniqueId val="{00000002-BC20-436F-8485-E62A5F90F63E}"/>
            </c:ext>
          </c:extLst>
        </c:ser>
        <c:dLbls>
          <c:showLegendKey val="0"/>
          <c:showVal val="0"/>
          <c:showCatName val="0"/>
          <c:showSerName val="0"/>
          <c:showPercent val="0"/>
          <c:showBubbleSize val="0"/>
        </c:dLbls>
        <c:gapWidth val="150"/>
        <c:overlap val="100"/>
        <c:axId val="721418768"/>
        <c:axId val="721418376"/>
      </c:barChart>
      <c:scatterChart>
        <c:scatterStyle val="lineMarker"/>
        <c:varyColors val="0"/>
        <c:ser>
          <c:idx val="3"/>
          <c:order val="3"/>
          <c:tx>
            <c:strRef>
              <c:f>'Master - Charts'!$B$17</c:f>
              <c:strCache>
                <c:ptCount val="1"/>
                <c:pt idx="0">
                  <c:v>-</c:v>
                </c:pt>
              </c:strCache>
            </c:strRef>
          </c:tx>
          <c:spPr>
            <a:ln w="28575">
              <a:noFill/>
            </a:ln>
          </c:spPr>
          <c:marker>
            <c:symbol val="square"/>
            <c:size val="10"/>
            <c:spPr>
              <a:solidFill>
                <a:srgbClr val="F0531E"/>
              </a:solidFill>
              <a:ln>
                <a:solidFill>
                  <a:sysClr val="windowText" lastClr="000000"/>
                </a:solidFill>
              </a:ln>
            </c:spPr>
          </c:marker>
          <c:yVal>
            <c:numRef>
              <c:f>'Master - Charts'!$C$17:$E$17</c:f>
              <c:numCache>
                <c:formatCode>"$"#,##0</c:formatCode>
                <c:ptCount val="3"/>
                <c:pt idx="0">
                  <c:v>0</c:v>
                </c:pt>
                <c:pt idx="1">
                  <c:v>0</c:v>
                </c:pt>
                <c:pt idx="2">
                  <c:v>0</c:v>
                </c:pt>
              </c:numCache>
            </c:numRef>
          </c:yVal>
          <c:smooth val="0"/>
          <c:extLst>
            <c:ext xmlns:c16="http://schemas.microsoft.com/office/drawing/2014/chart" uri="{C3380CC4-5D6E-409C-BE32-E72D297353CC}">
              <c16:uniqueId val="{00000003-BC20-436F-8485-E62A5F90F63E}"/>
            </c:ext>
          </c:extLst>
        </c:ser>
        <c:ser>
          <c:idx val="4"/>
          <c:order val="4"/>
          <c:tx>
            <c:strRef>
              <c:f>'Master - Charts'!$B$16</c:f>
              <c:strCache>
                <c:ptCount val="1"/>
                <c:pt idx="0">
                  <c:v>Average</c:v>
                </c:pt>
              </c:strCache>
            </c:strRef>
          </c:tx>
          <c:spPr>
            <a:ln w="28575">
              <a:noFill/>
            </a:ln>
          </c:spPr>
          <c:marker>
            <c:symbol val="dash"/>
            <c:size val="15"/>
            <c:spPr>
              <a:solidFill>
                <a:srgbClr val="5F6269"/>
              </a:solidFill>
              <a:ln>
                <a:solidFill>
                  <a:schemeClr val="tx1"/>
                </a:solidFill>
              </a:ln>
            </c:spPr>
          </c:marker>
          <c:yVal>
            <c:numRef>
              <c:f>'Master - Charts'!$C$16:$E$16</c:f>
              <c:numCache>
                <c:formatCode>"$"#,##0</c:formatCode>
                <c:ptCount val="3"/>
                <c:pt idx="0">
                  <c:v>0</c:v>
                </c:pt>
                <c:pt idx="1">
                  <c:v>0</c:v>
                </c:pt>
                <c:pt idx="2">
                  <c:v>0</c:v>
                </c:pt>
              </c:numCache>
            </c:numRef>
          </c:yVal>
          <c:smooth val="0"/>
          <c:extLst>
            <c:ext xmlns:c16="http://schemas.microsoft.com/office/drawing/2014/chart" uri="{C3380CC4-5D6E-409C-BE32-E72D297353CC}">
              <c16:uniqueId val="{00000004-BC20-436F-8485-E62A5F90F63E}"/>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numFmt formatCode="General" sourceLinked="1"/>
        <c:majorTickMark val="out"/>
        <c:minorTickMark val="none"/>
        <c:tickLblPos val="nextTo"/>
        <c:txPr>
          <a:bodyPr/>
          <a:lstStyle/>
          <a:p>
            <a:pPr>
              <a:defRPr sz="1100">
                <a:latin typeface="Tahoma" pitchFamily="34" charset="0"/>
                <a:ea typeface="Tahoma" pitchFamily="34" charset="0"/>
                <a:cs typeface="Tahoma" pitchFamily="34" charset="0"/>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noFill/>
            </a:ln>
          </c:spPr>
        </c:majorGridlines>
        <c:numFmt formatCode="&quot;$&quot;#,##0" sourceLinked="1"/>
        <c:majorTickMark val="out"/>
        <c:minorTickMark val="none"/>
        <c:tickLblPos val="nextTo"/>
        <c:txPr>
          <a:bodyPr/>
          <a:lstStyle/>
          <a:p>
            <a:pPr>
              <a:defRPr sz="1100">
                <a:latin typeface="Tahoma" pitchFamily="34" charset="0"/>
                <a:ea typeface="Tahoma" pitchFamily="34" charset="0"/>
                <a:cs typeface="Tahoma"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1"/>
          <c:tx>
            <c:strRef>
              <c:f>'TC Chart'!$B$37</c:f>
              <c:strCache>
                <c:ptCount val="1"/>
                <c:pt idx="0">
                  <c:v>25th</c:v>
                </c:pt>
              </c:strCache>
            </c:strRef>
          </c:tx>
          <c:spPr>
            <a:noFill/>
          </c:spPr>
          <c:invertIfNegative val="0"/>
          <c:cat>
            <c:multiLvlStrRef>
              <c:f>'TC Chart'!$C$25:$N$26</c:f>
              <c:multiLvlStrCache>
                <c:ptCount val="12"/>
                <c:lvl>
                  <c:pt idx="0">
                    <c:v>TDC</c:v>
                  </c:pt>
                  <c:pt idx="1">
                    <c:v>TC</c:v>
                  </c:pt>
                  <c:pt idx="2">
                    <c:v>TDC</c:v>
                  </c:pt>
                  <c:pt idx="3">
                    <c:v>TC</c:v>
                  </c:pt>
                  <c:pt idx="4">
                    <c:v>TDC</c:v>
                  </c:pt>
                  <c:pt idx="5">
                    <c:v>TC</c:v>
                  </c:pt>
                  <c:pt idx="6">
                    <c:v>TDC</c:v>
                  </c:pt>
                  <c:pt idx="7">
                    <c:v>TC</c:v>
                  </c:pt>
                  <c:pt idx="8">
                    <c:v>TDC</c:v>
                  </c:pt>
                  <c:pt idx="9">
                    <c:v>TC</c:v>
                  </c:pt>
                  <c:pt idx="10">
                    <c:v>TDC</c:v>
                  </c:pt>
                  <c:pt idx="11">
                    <c:v>TC</c:v>
                  </c:pt>
                </c:lvl>
                <c:lvl>
                  <c:pt idx="0">
                    <c:v>CEO (Kukielski)</c:v>
                  </c:pt>
                  <c:pt idx="2">
                    <c:v>CFO (Lei)</c:v>
                  </c:pt>
                  <c:pt idx="4">
                    <c:v>COO (Lauzon)</c:v>
                  </c:pt>
                  <c:pt idx="6">
                    <c:v>Legal (Donnelly)</c:v>
                  </c:pt>
                  <c:pt idx="8">
                    <c:v>NEO4 (Del Rio)</c:v>
                  </c:pt>
                  <c:pt idx="10">
                    <c:v>Tech (Tavchandjian)</c:v>
                  </c:pt>
                </c:lvl>
              </c:multiLvlStrCache>
            </c:multiLvlStrRef>
          </c:cat>
          <c:val>
            <c:numRef>
              <c:f>'TC Chart'!$C$37:$N$37</c:f>
              <c:numCache>
                <c:formatCode>"$"#,##0</c:formatCode>
                <c:ptCount val="12"/>
                <c:pt idx="0">
                  <c:v>4956.1421462659609</c:v>
                </c:pt>
                <c:pt idx="1">
                  <c:v>5241.8386083500009</c:v>
                </c:pt>
                <c:pt idx="2">
                  <c:v>1941.3970102723999</c:v>
                </c:pt>
                <c:pt idx="3">
                  <c:v>2065.5736307724001</c:v>
                </c:pt>
                <c:pt idx="4">
                  <c:v>2378.0617531284747</c:v>
                </c:pt>
                <c:pt idx="5">
                  <c:v>2478.6460000000002</c:v>
                </c:pt>
                <c:pt idx="6">
                  <c:v>1523.875</c:v>
                </c:pt>
                <c:pt idx="7">
                  <c:v>1651.6320000000001</c:v>
                </c:pt>
                <c:pt idx="8">
                  <c:v>1542.8112500000002</c:v>
                </c:pt>
                <c:pt idx="9">
                  <c:v>1642.5171855100168</c:v>
                </c:pt>
                <c:pt idx="10">
                  <c:v>0</c:v>
                </c:pt>
                <c:pt idx="11">
                  <c:v>0</c:v>
                </c:pt>
              </c:numCache>
            </c:numRef>
          </c:val>
          <c:extLst>
            <c:ext xmlns:c16="http://schemas.microsoft.com/office/drawing/2014/chart" uri="{C3380CC4-5D6E-409C-BE32-E72D297353CC}">
              <c16:uniqueId val="{00000000-5529-49B2-985D-C1E7D31CAC80}"/>
            </c:ext>
          </c:extLst>
        </c:ser>
        <c:ser>
          <c:idx val="1"/>
          <c:order val="2"/>
          <c:tx>
            <c:strRef>
              <c:f>'TC Chart'!$B$38</c:f>
              <c:strCache>
                <c:ptCount val="1"/>
                <c:pt idx="0">
                  <c:v>50th</c:v>
                </c:pt>
              </c:strCache>
            </c:strRef>
          </c:tx>
          <c:spPr>
            <a:solidFill>
              <a:srgbClr val="002957"/>
            </a:solidFill>
          </c:spPr>
          <c:invertIfNegative val="0"/>
          <c:dPt>
            <c:idx val="1"/>
            <c:invertIfNegative val="0"/>
            <c:bubble3D val="0"/>
            <c:spPr>
              <a:solidFill>
                <a:srgbClr val="632523"/>
              </a:solidFill>
            </c:spPr>
            <c:extLst>
              <c:ext xmlns:c16="http://schemas.microsoft.com/office/drawing/2014/chart" uri="{C3380CC4-5D6E-409C-BE32-E72D297353CC}">
                <c16:uniqueId val="{00000002-5529-49B2-985D-C1E7D31CAC80}"/>
              </c:ext>
            </c:extLst>
          </c:dPt>
          <c:dPt>
            <c:idx val="3"/>
            <c:invertIfNegative val="0"/>
            <c:bubble3D val="0"/>
            <c:spPr>
              <a:solidFill>
                <a:srgbClr val="632523"/>
              </a:solidFill>
            </c:spPr>
            <c:extLst>
              <c:ext xmlns:c16="http://schemas.microsoft.com/office/drawing/2014/chart" uri="{C3380CC4-5D6E-409C-BE32-E72D297353CC}">
                <c16:uniqueId val="{00000004-5529-49B2-985D-C1E7D31CAC80}"/>
              </c:ext>
            </c:extLst>
          </c:dPt>
          <c:dPt>
            <c:idx val="5"/>
            <c:invertIfNegative val="0"/>
            <c:bubble3D val="0"/>
            <c:spPr>
              <a:solidFill>
                <a:srgbClr val="632523"/>
              </a:solidFill>
            </c:spPr>
            <c:extLst>
              <c:ext xmlns:c16="http://schemas.microsoft.com/office/drawing/2014/chart" uri="{C3380CC4-5D6E-409C-BE32-E72D297353CC}">
                <c16:uniqueId val="{00000006-5529-49B2-985D-C1E7D31CAC80}"/>
              </c:ext>
            </c:extLst>
          </c:dPt>
          <c:dPt>
            <c:idx val="7"/>
            <c:invertIfNegative val="0"/>
            <c:bubble3D val="0"/>
            <c:spPr>
              <a:solidFill>
                <a:srgbClr val="632523"/>
              </a:solidFill>
            </c:spPr>
            <c:extLst>
              <c:ext xmlns:c16="http://schemas.microsoft.com/office/drawing/2014/chart" uri="{C3380CC4-5D6E-409C-BE32-E72D297353CC}">
                <c16:uniqueId val="{00000008-5529-49B2-985D-C1E7D31CAC80}"/>
              </c:ext>
            </c:extLst>
          </c:dPt>
          <c:dPt>
            <c:idx val="9"/>
            <c:invertIfNegative val="0"/>
            <c:bubble3D val="0"/>
            <c:spPr>
              <a:solidFill>
                <a:srgbClr val="632523"/>
              </a:solidFill>
            </c:spPr>
            <c:extLst>
              <c:ext xmlns:c16="http://schemas.microsoft.com/office/drawing/2014/chart" uri="{C3380CC4-5D6E-409C-BE32-E72D297353CC}">
                <c16:uniqueId val="{0000000A-5529-49B2-985D-C1E7D31CAC80}"/>
              </c:ext>
            </c:extLst>
          </c:dPt>
          <c:dPt>
            <c:idx val="11"/>
            <c:invertIfNegative val="0"/>
            <c:bubble3D val="0"/>
            <c:spPr>
              <a:solidFill>
                <a:srgbClr val="632523"/>
              </a:solidFill>
            </c:spPr>
            <c:extLst>
              <c:ext xmlns:c16="http://schemas.microsoft.com/office/drawing/2014/chart" uri="{C3380CC4-5D6E-409C-BE32-E72D297353CC}">
                <c16:uniqueId val="{0000000C-5529-49B2-985D-C1E7D31CAC80}"/>
              </c:ext>
            </c:extLst>
          </c:dPt>
          <c:cat>
            <c:multiLvlStrRef>
              <c:f>'TC Chart'!$C$25:$N$26</c:f>
              <c:multiLvlStrCache>
                <c:ptCount val="12"/>
                <c:lvl>
                  <c:pt idx="0">
                    <c:v>TDC</c:v>
                  </c:pt>
                  <c:pt idx="1">
                    <c:v>TC</c:v>
                  </c:pt>
                  <c:pt idx="2">
                    <c:v>TDC</c:v>
                  </c:pt>
                  <c:pt idx="3">
                    <c:v>TC</c:v>
                  </c:pt>
                  <c:pt idx="4">
                    <c:v>TDC</c:v>
                  </c:pt>
                  <c:pt idx="5">
                    <c:v>TC</c:v>
                  </c:pt>
                  <c:pt idx="6">
                    <c:v>TDC</c:v>
                  </c:pt>
                  <c:pt idx="7">
                    <c:v>TC</c:v>
                  </c:pt>
                  <c:pt idx="8">
                    <c:v>TDC</c:v>
                  </c:pt>
                  <c:pt idx="9">
                    <c:v>TC</c:v>
                  </c:pt>
                  <c:pt idx="10">
                    <c:v>TDC</c:v>
                  </c:pt>
                  <c:pt idx="11">
                    <c:v>TC</c:v>
                  </c:pt>
                </c:lvl>
                <c:lvl>
                  <c:pt idx="0">
                    <c:v>CEO (Kukielski)</c:v>
                  </c:pt>
                  <c:pt idx="2">
                    <c:v>CFO (Lei)</c:v>
                  </c:pt>
                  <c:pt idx="4">
                    <c:v>COO (Lauzon)</c:v>
                  </c:pt>
                  <c:pt idx="6">
                    <c:v>Legal (Donnelly)</c:v>
                  </c:pt>
                  <c:pt idx="8">
                    <c:v>NEO4 (Del Rio)</c:v>
                  </c:pt>
                  <c:pt idx="10">
                    <c:v>Tech (Tavchandjian)</c:v>
                  </c:pt>
                </c:lvl>
              </c:multiLvlStrCache>
            </c:multiLvlStrRef>
          </c:cat>
          <c:val>
            <c:numRef>
              <c:f>'TC Chart'!$C$38:$N$38</c:f>
              <c:numCache>
                <c:formatCode>"$"#,##0</c:formatCode>
                <c:ptCount val="12"/>
                <c:pt idx="0">
                  <c:v>777.65596242969059</c:v>
                </c:pt>
                <c:pt idx="1">
                  <c:v>645.02643698192151</c:v>
                </c:pt>
                <c:pt idx="2">
                  <c:v>349.96825117964477</c:v>
                </c:pt>
                <c:pt idx="3">
                  <c:v>241.98667872964461</c:v>
                </c:pt>
                <c:pt idx="4">
                  <c:v>481.92677243952539</c:v>
                </c:pt>
                <c:pt idx="5">
                  <c:v>542.58779689999983</c:v>
                </c:pt>
                <c:pt idx="6">
                  <c:v>100.38499999999999</c:v>
                </c:pt>
                <c:pt idx="7">
                  <c:v>241.15723493865221</c:v>
                </c:pt>
                <c:pt idx="8">
                  <c:v>576.23220484218245</c:v>
                </c:pt>
                <c:pt idx="9">
                  <c:v>511.44854483216591</c:v>
                </c:pt>
                <c:pt idx="10">
                  <c:v>1879.0632111479731</c:v>
                </c:pt>
                <c:pt idx="11">
                  <c:v>2004.7019491201936</c:v>
                </c:pt>
              </c:numCache>
            </c:numRef>
          </c:val>
          <c:extLst>
            <c:ext xmlns:c16="http://schemas.microsoft.com/office/drawing/2014/chart" uri="{C3380CC4-5D6E-409C-BE32-E72D297353CC}">
              <c16:uniqueId val="{0000000D-5529-49B2-985D-C1E7D31CAC80}"/>
            </c:ext>
          </c:extLst>
        </c:ser>
        <c:ser>
          <c:idx val="2"/>
          <c:order val="3"/>
          <c:tx>
            <c:strRef>
              <c:f>'TC Chart'!$B$39</c:f>
              <c:strCache>
                <c:ptCount val="1"/>
                <c:pt idx="0">
                  <c:v>75th</c:v>
                </c:pt>
              </c:strCache>
            </c:strRef>
          </c:tx>
          <c:spPr>
            <a:solidFill>
              <a:schemeClr val="tx2">
                <a:lumMod val="20000"/>
                <a:lumOff val="80000"/>
              </a:schemeClr>
            </a:solidFill>
          </c:spPr>
          <c:invertIfNegative val="0"/>
          <c:dPt>
            <c:idx val="1"/>
            <c:invertIfNegative val="0"/>
            <c:bubble3D val="0"/>
            <c:spPr>
              <a:solidFill>
                <a:srgbClr val="E6B9B8"/>
              </a:solidFill>
            </c:spPr>
            <c:extLst>
              <c:ext xmlns:c16="http://schemas.microsoft.com/office/drawing/2014/chart" uri="{C3380CC4-5D6E-409C-BE32-E72D297353CC}">
                <c16:uniqueId val="{0000000F-5529-49B2-985D-C1E7D31CAC80}"/>
              </c:ext>
            </c:extLst>
          </c:dPt>
          <c:dPt>
            <c:idx val="3"/>
            <c:invertIfNegative val="0"/>
            <c:bubble3D val="0"/>
            <c:spPr>
              <a:solidFill>
                <a:srgbClr val="E6B9B8"/>
              </a:solidFill>
            </c:spPr>
            <c:extLst>
              <c:ext xmlns:c16="http://schemas.microsoft.com/office/drawing/2014/chart" uri="{C3380CC4-5D6E-409C-BE32-E72D297353CC}">
                <c16:uniqueId val="{00000011-5529-49B2-985D-C1E7D31CAC80}"/>
              </c:ext>
            </c:extLst>
          </c:dPt>
          <c:dPt>
            <c:idx val="5"/>
            <c:invertIfNegative val="0"/>
            <c:bubble3D val="0"/>
            <c:spPr>
              <a:solidFill>
                <a:srgbClr val="E6B9B8"/>
              </a:solidFill>
            </c:spPr>
            <c:extLst>
              <c:ext xmlns:c16="http://schemas.microsoft.com/office/drawing/2014/chart" uri="{C3380CC4-5D6E-409C-BE32-E72D297353CC}">
                <c16:uniqueId val="{00000013-5529-49B2-985D-C1E7D31CAC80}"/>
              </c:ext>
            </c:extLst>
          </c:dPt>
          <c:dPt>
            <c:idx val="7"/>
            <c:invertIfNegative val="0"/>
            <c:bubble3D val="0"/>
            <c:spPr>
              <a:solidFill>
                <a:srgbClr val="E6B9B8"/>
              </a:solidFill>
            </c:spPr>
            <c:extLst>
              <c:ext xmlns:c16="http://schemas.microsoft.com/office/drawing/2014/chart" uri="{C3380CC4-5D6E-409C-BE32-E72D297353CC}">
                <c16:uniqueId val="{00000015-5529-49B2-985D-C1E7D31CAC80}"/>
              </c:ext>
            </c:extLst>
          </c:dPt>
          <c:dPt>
            <c:idx val="9"/>
            <c:invertIfNegative val="0"/>
            <c:bubble3D val="0"/>
            <c:spPr>
              <a:solidFill>
                <a:srgbClr val="E6B9B8"/>
              </a:solidFill>
            </c:spPr>
            <c:extLst>
              <c:ext xmlns:c16="http://schemas.microsoft.com/office/drawing/2014/chart" uri="{C3380CC4-5D6E-409C-BE32-E72D297353CC}">
                <c16:uniqueId val="{00000017-5529-49B2-985D-C1E7D31CAC80}"/>
              </c:ext>
            </c:extLst>
          </c:dPt>
          <c:dPt>
            <c:idx val="11"/>
            <c:invertIfNegative val="0"/>
            <c:bubble3D val="0"/>
            <c:spPr>
              <a:solidFill>
                <a:srgbClr val="E6B9B8"/>
              </a:solidFill>
            </c:spPr>
            <c:extLst>
              <c:ext xmlns:c16="http://schemas.microsoft.com/office/drawing/2014/chart" uri="{C3380CC4-5D6E-409C-BE32-E72D297353CC}">
                <c16:uniqueId val="{00000019-5529-49B2-985D-C1E7D31CAC80}"/>
              </c:ext>
            </c:extLst>
          </c:dPt>
          <c:dLbls>
            <c:dLbl>
              <c:idx val="0"/>
              <c:layout>
                <c:manualLayout>
                  <c:x val="0"/>
                  <c:y val="-0.12685532879168343"/>
                </c:manualLayout>
              </c:layout>
              <c:tx>
                <c:rich>
                  <a:bodyPr/>
                  <a:lstStyle/>
                  <a:p>
                    <a:r>
                      <a:rPr lang="en-US"/>
                      <a:t>P30</a:t>
                    </a:r>
                  </a:p>
                </c:rich>
              </c:tx>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A-5529-49B2-985D-C1E7D31CAC80}"/>
                </c:ext>
              </c:extLst>
            </c:dLbl>
            <c:dLbl>
              <c:idx val="1"/>
              <c:layout>
                <c:manualLayout>
                  <c:x val="2.9809953735851693E-17"/>
                  <c:y val="-0.11941788331056465"/>
                </c:manualLayout>
              </c:layout>
              <c:tx>
                <c:rich>
                  <a:bodyPr wrap="square" lIns="38100" tIns="19050" rIns="38100" bIns="19050" anchor="ctr">
                    <a:spAutoFit/>
                  </a:bodyPr>
                  <a:lstStyle/>
                  <a:p>
                    <a:pPr>
                      <a:defRPr i="1">
                        <a:solidFill>
                          <a:srgbClr val="5F6269"/>
                        </a:solidFill>
                      </a:defRPr>
                    </a:pPr>
                    <a:r>
                      <a:rPr lang="en-US">
                        <a:solidFill>
                          <a:srgbClr val="5F6269"/>
                        </a:solidFill>
                      </a:rPr>
                      <a:t>P26</a:t>
                    </a:r>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F-5529-49B2-985D-C1E7D31CAC80}"/>
                </c:ext>
              </c:extLst>
            </c:dLbl>
            <c:dLbl>
              <c:idx val="2"/>
              <c:layout>
                <c:manualLayout>
                  <c:x val="0"/>
                  <c:y val="-5.0353781019490791E-2"/>
                </c:manualLayout>
              </c:layout>
              <c:tx>
                <c:rich>
                  <a:bodyPr/>
                  <a:lstStyle/>
                  <a:p>
                    <a:r>
                      <a:rPr lang="en-US"/>
                      <a:t>P32</a:t>
                    </a:r>
                  </a:p>
                </c:rich>
              </c:tx>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B-5529-49B2-985D-C1E7D31CAC80}"/>
                </c:ext>
              </c:extLst>
            </c:dLbl>
            <c:dLbl>
              <c:idx val="3"/>
              <c:layout>
                <c:manualLayout>
                  <c:x val="-1.6260162601626016E-3"/>
                  <c:y val="-5.4197645480148854E-2"/>
                </c:manualLayout>
              </c:layout>
              <c:tx>
                <c:rich>
                  <a:bodyPr wrap="square" lIns="38100" tIns="19050" rIns="38100" bIns="19050" anchor="ctr">
                    <a:spAutoFit/>
                  </a:bodyPr>
                  <a:lstStyle/>
                  <a:p>
                    <a:pPr>
                      <a:defRPr i="1">
                        <a:solidFill>
                          <a:srgbClr val="5F6269"/>
                        </a:solidFill>
                      </a:defRPr>
                    </a:pPr>
                    <a:r>
                      <a:rPr lang="en-US">
                        <a:solidFill>
                          <a:srgbClr val="5F6269"/>
                        </a:solidFill>
                      </a:rPr>
                      <a:t>P43</a:t>
                    </a:r>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1-5529-49B2-985D-C1E7D31CAC80}"/>
                </c:ext>
              </c:extLst>
            </c:dLbl>
            <c:dLbl>
              <c:idx val="4"/>
              <c:layout>
                <c:manualLayout>
                  <c:x val="0"/>
                  <c:y val="-3.3738924641490586E-2"/>
                </c:manualLayout>
              </c:layout>
              <c:tx>
                <c:rich>
                  <a:bodyPr/>
                  <a:lstStyle/>
                  <a:p>
                    <a:r>
                      <a:rPr lang="en-US"/>
                      <a:t>P31</a:t>
                    </a:r>
                  </a:p>
                </c:rich>
              </c:tx>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C-5529-49B2-985D-C1E7D31CAC80}"/>
                </c:ext>
              </c:extLst>
            </c:dLbl>
            <c:dLbl>
              <c:idx val="5"/>
              <c:layout>
                <c:manualLayout>
                  <c:x val="0"/>
                  <c:y val="-4.1941558500433199E-2"/>
                </c:manualLayout>
              </c:layout>
              <c:tx>
                <c:rich>
                  <a:bodyPr wrap="square" lIns="38100" tIns="19050" rIns="38100" bIns="19050" anchor="ctr">
                    <a:spAutoFit/>
                  </a:bodyPr>
                  <a:lstStyle/>
                  <a:p>
                    <a:pPr>
                      <a:defRPr i="1">
                        <a:solidFill>
                          <a:srgbClr val="5F6269"/>
                        </a:solidFill>
                      </a:defRPr>
                    </a:pPr>
                    <a:r>
                      <a:rPr lang="en-US">
                        <a:solidFill>
                          <a:srgbClr val="5F6269"/>
                        </a:solidFill>
                      </a:rPr>
                      <a:t>P28</a:t>
                    </a:r>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3-5529-49B2-985D-C1E7D31CAC80}"/>
                </c:ext>
              </c:extLst>
            </c:dLbl>
            <c:dLbl>
              <c:idx val="6"/>
              <c:layout>
                <c:manualLayout>
                  <c:x val="-1.6260162601626016E-3"/>
                  <c:y val="-4.3969550183516587E-2"/>
                </c:manualLayout>
              </c:layout>
              <c:tx>
                <c:rich>
                  <a:bodyPr/>
                  <a:lstStyle/>
                  <a:p>
                    <a:r>
                      <a:rPr lang="en-US"/>
                      <a:t>P14</a:t>
                    </a:r>
                  </a:p>
                </c:rich>
              </c:tx>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D-5529-49B2-985D-C1E7D31CAC80}"/>
                </c:ext>
              </c:extLst>
            </c:dLbl>
            <c:dLbl>
              <c:idx val="7"/>
              <c:layout>
                <c:manualLayout>
                  <c:x val="-1.6260162601626016E-3"/>
                  <c:y val="-5.0704852567872348E-2"/>
                </c:manualLayout>
              </c:layout>
              <c:tx>
                <c:rich>
                  <a:bodyPr wrap="square" lIns="38100" tIns="19050" rIns="38100" bIns="19050" anchor="ctr">
                    <a:spAutoFit/>
                  </a:bodyPr>
                  <a:lstStyle/>
                  <a:p>
                    <a:pPr>
                      <a:defRPr i="1">
                        <a:solidFill>
                          <a:srgbClr val="5F6269"/>
                        </a:solidFill>
                      </a:defRPr>
                    </a:pPr>
                    <a:r>
                      <a:rPr lang="en-US">
                        <a:solidFill>
                          <a:srgbClr val="5F6269"/>
                        </a:solidFill>
                      </a:rPr>
                      <a:t>P39</a:t>
                    </a:r>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5-5529-49B2-985D-C1E7D31CAC80}"/>
                </c:ext>
              </c:extLst>
            </c:dLbl>
            <c:dLbl>
              <c:idx val="8"/>
              <c:layout>
                <c:manualLayout>
                  <c:x val="0"/>
                  <c:y val="-5.600930118206749E-2"/>
                </c:manualLayout>
              </c:layout>
              <c:tx>
                <c:rich>
                  <a:bodyPr/>
                  <a:lstStyle/>
                  <a:p>
                    <a:r>
                      <a:rPr lang="en-US"/>
                      <a:t>P39</a:t>
                    </a:r>
                  </a:p>
                </c:rich>
              </c:tx>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E-5529-49B2-985D-C1E7D31CAC80}"/>
                </c:ext>
              </c:extLst>
            </c:dLbl>
            <c:dLbl>
              <c:idx val="9"/>
              <c:layout>
                <c:manualLayout>
                  <c:x val="-1.1923981494340677E-16"/>
                  <c:y val="-5.9223556247249676E-2"/>
                </c:manualLayout>
              </c:layout>
              <c:tx>
                <c:rich>
                  <a:bodyPr wrap="square" lIns="38100" tIns="19050" rIns="38100" bIns="19050" anchor="ctr">
                    <a:spAutoFit/>
                  </a:bodyPr>
                  <a:lstStyle/>
                  <a:p>
                    <a:pPr>
                      <a:defRPr i="1">
                        <a:solidFill>
                          <a:srgbClr val="5F6269"/>
                        </a:solidFill>
                      </a:defRPr>
                    </a:pPr>
                    <a:r>
                      <a:rPr lang="en-US">
                        <a:solidFill>
                          <a:srgbClr val="5F6269"/>
                        </a:solidFill>
                      </a:rPr>
                      <a:t>P34</a:t>
                    </a:r>
                  </a:p>
                </c:rich>
              </c:tx>
              <c:spPr>
                <a:noFill/>
                <a:ln>
                  <a:noFill/>
                </a:ln>
                <a:effectLst/>
              </c:spPr>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7-5529-49B2-985D-C1E7D31CAC80}"/>
                </c:ext>
              </c:extLst>
            </c:dLbl>
            <c:dLbl>
              <c:idx val="10"/>
              <c:layout>
                <c:manualLayout>
                  <c:x val="0"/>
                  <c:y val="-4.4807061408844953E-2"/>
                </c:manualLayout>
              </c:layout>
              <c:tx>
                <c:rich>
                  <a:bodyPr/>
                  <a:lstStyle/>
                  <a:p>
                    <a:r>
                      <a:rPr lang="en-US"/>
                      <a:t>P01</a:t>
                    </a:r>
                  </a:p>
                </c:rich>
              </c:tx>
              <c:dLblPos val="ct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1F-5529-49B2-985D-C1E7D31CAC80}"/>
                </c:ext>
              </c:extLst>
            </c:dLbl>
            <c:dLbl>
              <c:idx val="11"/>
              <c:layout>
                <c:manualLayout>
                  <c:x val="6.0086166077360293E-8"/>
                  <c:y val="-6.1995107512086395E-2"/>
                </c:manualLayout>
              </c:layout>
              <c:tx>
                <c:rich>
                  <a:bodyPr wrap="square" lIns="38100" tIns="19050" rIns="38100" bIns="19050" anchor="ctr">
                    <a:noAutofit/>
                  </a:bodyPr>
                  <a:lstStyle/>
                  <a:p>
                    <a:pPr>
                      <a:defRPr>
                        <a:solidFill>
                          <a:srgbClr val="5F6269"/>
                        </a:solidFill>
                      </a:defRPr>
                    </a:pPr>
                    <a:fld id="{50D709F8-8F60-4D73-BBF8-500D2C385FD8}" type="CELLRANGE">
                      <a:rPr lang="en-US"/>
                      <a:pPr>
                        <a:defRPr>
                          <a:solidFill>
                            <a:srgbClr val="5F6269"/>
                          </a:solidFill>
                        </a:defRPr>
                      </a:pPr>
                      <a:t>[CELLRANGE]</a:t>
                    </a:fld>
                    <a:endParaRPr lang="en-CA"/>
                  </a:p>
                </c:rich>
              </c:tx>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5.3245476142607537E-2"/>
                      <c:h val="4.5681932961891519E-2"/>
                    </c:manualLayout>
                  </c15:layout>
                  <c15:dlblFieldTable/>
                  <c15:showDataLabelsRange val="1"/>
                </c:ext>
                <c:ext xmlns:c16="http://schemas.microsoft.com/office/drawing/2014/chart" uri="{C3380CC4-5D6E-409C-BE32-E72D297353CC}">
                  <c16:uniqueId val="{00000019-5529-49B2-985D-C1E7D31CAC80}"/>
                </c:ext>
              </c:extLst>
            </c:dLbl>
            <c:spPr>
              <a:noFill/>
              <a:ln>
                <a:noFill/>
              </a:ln>
              <a:effectLst/>
            </c:spPr>
            <c:txPr>
              <a:bodyPr wrap="square" lIns="38100" tIns="19050" rIns="38100" bIns="19050" anchor="ctr">
                <a:spAutoFit/>
              </a:bodyPr>
              <a:lstStyle/>
              <a:p>
                <a:pPr>
                  <a:defRPr>
                    <a:solidFill>
                      <a:srgbClr val="5F6269"/>
                    </a:solidFill>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multiLvlStrRef>
              <c:f>'TC Chart'!$C$25:$N$26</c:f>
              <c:multiLvlStrCache>
                <c:ptCount val="12"/>
                <c:lvl>
                  <c:pt idx="0">
                    <c:v>TDC</c:v>
                  </c:pt>
                  <c:pt idx="1">
                    <c:v>TC</c:v>
                  </c:pt>
                  <c:pt idx="2">
                    <c:v>TDC</c:v>
                  </c:pt>
                  <c:pt idx="3">
                    <c:v>TC</c:v>
                  </c:pt>
                  <c:pt idx="4">
                    <c:v>TDC</c:v>
                  </c:pt>
                  <c:pt idx="5">
                    <c:v>TC</c:v>
                  </c:pt>
                  <c:pt idx="6">
                    <c:v>TDC</c:v>
                  </c:pt>
                  <c:pt idx="7">
                    <c:v>TC</c:v>
                  </c:pt>
                  <c:pt idx="8">
                    <c:v>TDC</c:v>
                  </c:pt>
                  <c:pt idx="9">
                    <c:v>TC</c:v>
                  </c:pt>
                  <c:pt idx="10">
                    <c:v>TDC</c:v>
                  </c:pt>
                  <c:pt idx="11">
                    <c:v>TC</c:v>
                  </c:pt>
                </c:lvl>
                <c:lvl>
                  <c:pt idx="0">
                    <c:v>CEO (Kukielski)</c:v>
                  </c:pt>
                  <c:pt idx="2">
                    <c:v>CFO (Lei)</c:v>
                  </c:pt>
                  <c:pt idx="4">
                    <c:v>COO (Lauzon)</c:v>
                  </c:pt>
                  <c:pt idx="6">
                    <c:v>Legal (Donnelly)</c:v>
                  </c:pt>
                  <c:pt idx="8">
                    <c:v>NEO4 (Del Rio)</c:v>
                  </c:pt>
                  <c:pt idx="10">
                    <c:v>Tech (Tavchandjian)</c:v>
                  </c:pt>
                </c:lvl>
              </c:multiLvlStrCache>
            </c:multiLvlStrRef>
          </c:cat>
          <c:val>
            <c:numRef>
              <c:f>'TC Chart'!$C$39:$N$39</c:f>
              <c:numCache>
                <c:formatCode>"$"#,##0</c:formatCode>
                <c:ptCount val="12"/>
                <c:pt idx="0">
                  <c:v>1705.0029225543485</c:v>
                </c:pt>
                <c:pt idx="1">
                  <c:v>1694.0220640305779</c:v>
                </c:pt>
                <c:pt idx="2">
                  <c:v>586.50833229795535</c:v>
                </c:pt>
                <c:pt idx="3">
                  <c:v>730.94256108704258</c:v>
                </c:pt>
                <c:pt idx="4">
                  <c:v>211.39369621533342</c:v>
                </c:pt>
                <c:pt idx="5">
                  <c:v>140.3957086180003</c:v>
                </c:pt>
                <c:pt idx="6">
                  <c:v>710.65540374320813</c:v>
                </c:pt>
                <c:pt idx="7">
                  <c:v>561.02400970455597</c:v>
                </c:pt>
                <c:pt idx="8">
                  <c:v>622.89073734531712</c:v>
                </c:pt>
                <c:pt idx="9">
                  <c:v>700.69097847031753</c:v>
                </c:pt>
                <c:pt idx="10">
                  <c:v>-380.27513148291655</c:v>
                </c:pt>
                <c:pt idx="11">
                  <c:v>-322.12110636518514</c:v>
                </c:pt>
              </c:numCache>
            </c:numRef>
          </c:val>
          <c:extLst>
            <c:ext xmlns:c15="http://schemas.microsoft.com/office/drawing/2012/chart" uri="{02D57815-91ED-43cb-92C2-25804820EDAC}">
              <c15:datalabelsRange>
                <c15:f>'TC Chart'!$C$42:$N$42</c15:f>
                <c15:dlblRangeCache>
                  <c:ptCount val="12"/>
                  <c:pt idx="0">
                    <c:v>P29</c:v>
                  </c:pt>
                  <c:pt idx="1">
                    <c:v>P25</c:v>
                  </c:pt>
                  <c:pt idx="2">
                    <c:v>P48</c:v>
                  </c:pt>
                  <c:pt idx="3">
                    <c:v>P51</c:v>
                  </c:pt>
                  <c:pt idx="4">
                    <c:v>P46</c:v>
                  </c:pt>
                  <c:pt idx="5">
                    <c:v>P38</c:v>
                  </c:pt>
                  <c:pt idx="6">
                    <c:v>P51</c:v>
                  </c:pt>
                  <c:pt idx="7">
                    <c:v>P42</c:v>
                  </c:pt>
                  <c:pt idx="8">
                    <c:v>P00</c:v>
                  </c:pt>
                  <c:pt idx="9">
                    <c:v>P00</c:v>
                  </c:pt>
                  <c:pt idx="10">
                    <c:v>P02</c:v>
                  </c:pt>
                  <c:pt idx="11">
                    <c:v>P00</c:v>
                  </c:pt>
                </c15:dlblRangeCache>
              </c15:datalabelsRange>
            </c:ext>
            <c:ext xmlns:c16="http://schemas.microsoft.com/office/drawing/2014/chart" uri="{C3380CC4-5D6E-409C-BE32-E72D297353CC}">
              <c16:uniqueId val="{00000020-5529-49B2-985D-C1E7D31CAC80}"/>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4"/>
          <c:order val="0"/>
          <c:tx>
            <c:strRef>
              <c:f>'TC Chart'!$B$40</c:f>
              <c:strCache>
                <c:ptCount val="1"/>
                <c:pt idx="0">
                  <c:v>Average</c:v>
                </c:pt>
              </c:strCache>
            </c:strRef>
          </c:tx>
          <c:spPr>
            <a:ln w="28575">
              <a:noFill/>
            </a:ln>
          </c:spPr>
          <c:marker>
            <c:symbol val="dash"/>
            <c:size val="15"/>
            <c:spPr>
              <a:solidFill>
                <a:srgbClr val="AFABAB"/>
              </a:solidFill>
              <a:ln>
                <a:solidFill>
                  <a:srgbClr val="AFABAB"/>
                </a:solidFill>
              </a:ln>
            </c:spPr>
          </c:marker>
          <c:yVal>
            <c:numRef>
              <c:f>'TC Chart'!$C$40:$N$40</c:f>
              <c:numCache>
                <c:formatCode>"$"#,##0</c:formatCode>
                <c:ptCount val="12"/>
                <c:pt idx="0">
                  <c:v>6074.7685150935913</c:v>
                </c:pt>
                <c:pt idx="1">
                  <c:v>6401.6904658185904</c:v>
                </c:pt>
                <c:pt idx="2">
                  <c:v>2409.0228119974167</c:v>
                </c:pt>
                <c:pt idx="3">
                  <c:v>2521.0677364574167</c:v>
                </c:pt>
                <c:pt idx="4">
                  <c:v>2733.9997915670779</c:v>
                </c:pt>
                <c:pt idx="5">
                  <c:v>2872.1962434093857</c:v>
                </c:pt>
                <c:pt idx="6">
                  <c:v>1924.9596691144</c:v>
                </c:pt>
                <c:pt idx="7">
                  <c:v>2059.5029586628762</c:v>
                </c:pt>
                <c:pt idx="8">
                  <c:v>2095.3517551975506</c:v>
                </c:pt>
                <c:pt idx="9">
                  <c:v>2222.887028606433</c:v>
                </c:pt>
                <c:pt idx="10">
                  <c:v>2206.413979256637</c:v>
                </c:pt>
                <c:pt idx="11">
                  <c:v>0</c:v>
                </c:pt>
              </c:numCache>
            </c:numRef>
          </c:yVal>
          <c:smooth val="0"/>
          <c:extLst>
            <c:ext xmlns:c16="http://schemas.microsoft.com/office/drawing/2014/chart" uri="{C3380CC4-5D6E-409C-BE32-E72D297353CC}">
              <c16:uniqueId val="{00000028-5529-49B2-985D-C1E7D31CAC80}"/>
            </c:ext>
          </c:extLst>
        </c:ser>
        <c:ser>
          <c:idx val="3"/>
          <c:order val="4"/>
          <c:tx>
            <c:strRef>
              <c:f>'TC Chart'!$B$41</c:f>
              <c:strCache>
                <c:ptCount val="1"/>
                <c:pt idx="0">
                  <c:v>Hudbay Minerals Inc.</c:v>
                </c:pt>
              </c:strCache>
            </c:strRef>
          </c:tx>
          <c:spPr>
            <a:ln w="28575">
              <a:noFill/>
            </a:ln>
          </c:spPr>
          <c:marker>
            <c:symbol val="diamond"/>
            <c:size val="10"/>
            <c:spPr>
              <a:solidFill>
                <a:srgbClr val="F0531E"/>
              </a:solidFill>
              <a:ln>
                <a:solidFill>
                  <a:srgbClr val="F0531E"/>
                </a:solidFill>
              </a:ln>
            </c:spPr>
          </c:marker>
          <c:dPt>
            <c:idx val="1"/>
            <c:marker>
              <c:spPr>
                <a:solidFill>
                  <a:sysClr val="window" lastClr="FFFFFF"/>
                </a:solidFill>
                <a:ln>
                  <a:solidFill>
                    <a:srgbClr val="F0531E"/>
                  </a:solidFill>
                </a:ln>
              </c:spPr>
            </c:marker>
            <c:bubble3D val="0"/>
            <c:extLst>
              <c:ext xmlns:c16="http://schemas.microsoft.com/office/drawing/2014/chart" uri="{C3380CC4-5D6E-409C-BE32-E72D297353CC}">
                <c16:uniqueId val="{00000021-5529-49B2-985D-C1E7D31CAC80}"/>
              </c:ext>
            </c:extLst>
          </c:dPt>
          <c:dPt>
            <c:idx val="3"/>
            <c:marker>
              <c:spPr>
                <a:solidFill>
                  <a:sysClr val="window" lastClr="FFFFFF"/>
                </a:solidFill>
                <a:ln>
                  <a:solidFill>
                    <a:srgbClr val="F0531E"/>
                  </a:solidFill>
                </a:ln>
              </c:spPr>
            </c:marker>
            <c:bubble3D val="0"/>
            <c:extLst>
              <c:ext xmlns:c16="http://schemas.microsoft.com/office/drawing/2014/chart" uri="{C3380CC4-5D6E-409C-BE32-E72D297353CC}">
                <c16:uniqueId val="{00000022-5529-49B2-985D-C1E7D31CAC80}"/>
              </c:ext>
            </c:extLst>
          </c:dPt>
          <c:dPt>
            <c:idx val="5"/>
            <c:marker>
              <c:spPr>
                <a:solidFill>
                  <a:sysClr val="window" lastClr="FFFFFF"/>
                </a:solidFill>
                <a:ln>
                  <a:solidFill>
                    <a:srgbClr val="F0531E"/>
                  </a:solidFill>
                </a:ln>
              </c:spPr>
            </c:marker>
            <c:bubble3D val="0"/>
            <c:extLst>
              <c:ext xmlns:c16="http://schemas.microsoft.com/office/drawing/2014/chart" uri="{C3380CC4-5D6E-409C-BE32-E72D297353CC}">
                <c16:uniqueId val="{00000023-5529-49B2-985D-C1E7D31CAC80}"/>
              </c:ext>
            </c:extLst>
          </c:dPt>
          <c:dPt>
            <c:idx val="7"/>
            <c:marker>
              <c:spPr>
                <a:solidFill>
                  <a:sysClr val="window" lastClr="FFFFFF"/>
                </a:solidFill>
                <a:ln>
                  <a:solidFill>
                    <a:srgbClr val="F0531E"/>
                  </a:solidFill>
                </a:ln>
              </c:spPr>
            </c:marker>
            <c:bubble3D val="0"/>
            <c:extLst>
              <c:ext xmlns:c16="http://schemas.microsoft.com/office/drawing/2014/chart" uri="{C3380CC4-5D6E-409C-BE32-E72D297353CC}">
                <c16:uniqueId val="{00000024-5529-49B2-985D-C1E7D31CAC80}"/>
              </c:ext>
            </c:extLst>
          </c:dPt>
          <c:dPt>
            <c:idx val="9"/>
            <c:marker>
              <c:spPr>
                <a:solidFill>
                  <a:sysClr val="window" lastClr="FFFFFF"/>
                </a:solidFill>
                <a:ln>
                  <a:solidFill>
                    <a:srgbClr val="F0531E"/>
                  </a:solidFill>
                </a:ln>
              </c:spPr>
            </c:marker>
            <c:bubble3D val="0"/>
            <c:extLst>
              <c:ext xmlns:c16="http://schemas.microsoft.com/office/drawing/2014/chart" uri="{C3380CC4-5D6E-409C-BE32-E72D297353CC}">
                <c16:uniqueId val="{00000025-5529-49B2-985D-C1E7D31CAC80}"/>
              </c:ext>
            </c:extLst>
          </c:dPt>
          <c:dPt>
            <c:idx val="11"/>
            <c:marker>
              <c:spPr>
                <a:solidFill>
                  <a:sysClr val="window" lastClr="FFFFFF"/>
                </a:solidFill>
                <a:ln>
                  <a:solidFill>
                    <a:srgbClr val="F0531E"/>
                  </a:solidFill>
                </a:ln>
              </c:spPr>
            </c:marker>
            <c:bubble3D val="0"/>
            <c:extLst>
              <c:ext xmlns:c16="http://schemas.microsoft.com/office/drawing/2014/chart" uri="{C3380CC4-5D6E-409C-BE32-E72D297353CC}">
                <c16:uniqueId val="{00000026-5529-49B2-985D-C1E7D31CAC80}"/>
              </c:ext>
            </c:extLst>
          </c:dPt>
          <c:yVal>
            <c:numRef>
              <c:f>'TC Chart'!$C$41:$N$41</c:f>
              <c:numCache>
                <c:formatCode>"$"#,##0</c:formatCode>
                <c:ptCount val="12"/>
                <c:pt idx="0">
                  <c:v>5334.5198499999997</c:v>
                </c:pt>
                <c:pt idx="1">
                  <c:v>5426.4128499999997</c:v>
                </c:pt>
                <c:pt idx="2">
                  <c:v>2313.6544000000004</c:v>
                </c:pt>
                <c:pt idx="3">
                  <c:v>2452.6354000000006</c:v>
                </c:pt>
                <c:pt idx="4">
                  <c:v>2577.3090000000002</c:v>
                </c:pt>
                <c:pt idx="5">
                  <c:v>2621.6190000000001</c:v>
                </c:pt>
                <c:pt idx="6">
                  <c:v>1711.9147499999999</c:v>
                </c:pt>
                <c:pt idx="7">
                  <c:v>1803.8497500000001</c:v>
                </c:pt>
                <c:pt idx="8">
                  <c:v>-0.15446094514685604</c:v>
                </c:pt>
                <c:pt idx="9">
                  <c:v>0</c:v>
                </c:pt>
                <c:pt idx="10">
                  <c:v>1356.5551999999998</c:v>
                </c:pt>
                <c:pt idx="11">
                  <c:v>0</c:v>
                </c:pt>
              </c:numCache>
            </c:numRef>
          </c:yVal>
          <c:smooth val="0"/>
          <c:extLst>
            <c:ext xmlns:c16="http://schemas.microsoft.com/office/drawing/2014/chart" uri="{C3380CC4-5D6E-409C-BE32-E72D297353CC}">
              <c16:uniqueId val="{00000027-5529-49B2-985D-C1E7D31CAC80}"/>
            </c:ext>
          </c:extLst>
        </c:ser>
        <c:dLbls>
          <c:showLegendKey val="0"/>
          <c:showVal val="0"/>
          <c:showCatName val="0"/>
          <c:showSerName val="0"/>
          <c:showPercent val="0"/>
          <c:showBubbleSize val="0"/>
        </c:dLbls>
        <c:axId val="721418768"/>
        <c:axId val="721418376"/>
        <c:extLst>
          <c:ext xmlns:c15="http://schemas.microsoft.com/office/drawing/2012/chart" uri="{02D57815-91ED-43cb-92C2-25804820EDAC}">
            <c15:filteredScatterSeries>
              <c15:ser>
                <c:idx val="5"/>
                <c:order val="5"/>
                <c:tx>
                  <c:strRef>
                    <c:extLst>
                      <c:ext uri="{02D57815-91ED-43cb-92C2-25804820EDAC}">
                        <c15:formulaRef>
                          <c15:sqref>'TC Chart'!$B$49</c15:sqref>
                        </c15:formulaRef>
                      </c:ext>
                    </c:extLst>
                    <c:strCache>
                      <c:ptCount val="1"/>
                      <c:pt idx="0">
                        <c:v>-</c:v>
                      </c:pt>
                    </c:strCache>
                  </c:strRef>
                </c:tx>
                <c:spPr>
                  <a:ln w="28575">
                    <a:noFill/>
                  </a:ln>
                </c:spPr>
                <c:xVal>
                  <c:strRef>
                    <c:extLst>
                      <c:ext uri="{02D57815-91ED-43cb-92C2-25804820EDAC}">
                        <c15:formulaRef>
                          <c15:sqref>'TC Chart'!$C$26:$N$26</c15:sqref>
                        </c15:formulaRef>
                      </c:ext>
                    </c:extLst>
                    <c:strCache>
                      <c:ptCount val="12"/>
                      <c:pt idx="0">
                        <c:v>TDC</c:v>
                      </c:pt>
                      <c:pt idx="1">
                        <c:v>TC</c:v>
                      </c:pt>
                      <c:pt idx="2">
                        <c:v>TDC</c:v>
                      </c:pt>
                      <c:pt idx="3">
                        <c:v>TC</c:v>
                      </c:pt>
                      <c:pt idx="4">
                        <c:v>TDC</c:v>
                      </c:pt>
                      <c:pt idx="5">
                        <c:v>TC</c:v>
                      </c:pt>
                      <c:pt idx="6">
                        <c:v>TDC</c:v>
                      </c:pt>
                      <c:pt idx="7">
                        <c:v>TC</c:v>
                      </c:pt>
                      <c:pt idx="8">
                        <c:v>TDC</c:v>
                      </c:pt>
                      <c:pt idx="9">
                        <c:v>TC</c:v>
                      </c:pt>
                      <c:pt idx="10">
                        <c:v>TDC</c:v>
                      </c:pt>
                      <c:pt idx="11">
                        <c:v>TC</c:v>
                      </c:pt>
                    </c:strCache>
                  </c:strRef>
                </c:xVal>
                <c:yVal>
                  <c:numRef>
                    <c:extLst>
                      <c:ext uri="{02D57815-91ED-43cb-92C2-25804820EDAC}">
                        <c15:formulaRef>
                          <c15:sqref>'TC Chart'!$C$49:$N$49</c15:sqref>
                        </c15:formulaRef>
                      </c:ext>
                    </c:extLst>
                    <c:numCache>
                      <c:formatCode>General</c:formatCode>
                      <c:ptCount val="12"/>
                      <c:pt idx="10" formatCode="0.00">
                        <c:v>10.8</c:v>
                      </c:pt>
                      <c:pt idx="11" formatCode="0.00">
                        <c:v>11.8</c:v>
                      </c:pt>
                    </c:numCache>
                  </c:numRef>
                </c:yVal>
                <c:smooth val="0"/>
                <c:extLst>
                  <c:ext xmlns:c16="http://schemas.microsoft.com/office/drawing/2014/chart" uri="{C3380CC4-5D6E-409C-BE32-E72D297353CC}">
                    <c16:uniqueId val="{00000039-5529-49B2-985D-C1E7D31CAC80}"/>
                  </c:ext>
                </c:extLst>
              </c15:ser>
            </c15:filteredScatterSeries>
            <c15:filteredScatterSeries>
              <c15:ser>
                <c:idx val="6"/>
                <c:order val="6"/>
                <c:tx>
                  <c:strRef>
                    <c:extLst xmlns:c15="http://schemas.microsoft.com/office/drawing/2012/chart">
                      <c:ext xmlns:c15="http://schemas.microsoft.com/office/drawing/2012/chart" uri="{02D57815-91ED-43cb-92C2-25804820EDAC}">
                        <c15:formulaRef>
                          <c15:sqref>'TC Chart'!$B$50</c15:sqref>
                        </c15:formulaRef>
                      </c:ext>
                    </c:extLst>
                    <c:strCache>
                      <c:ptCount val="1"/>
                      <c:pt idx="0">
                        <c:v>SVP, Exploration &amp; Technical Services</c:v>
                      </c:pt>
                    </c:strCache>
                  </c:strRef>
                </c:tx>
                <c:spPr>
                  <a:ln w="28575">
                    <a:noFill/>
                  </a:ln>
                </c:spPr>
                <c:xVal>
                  <c:strRef>
                    <c:extLst xmlns:c15="http://schemas.microsoft.com/office/drawing/2012/chart">
                      <c:ext xmlns:c15="http://schemas.microsoft.com/office/drawing/2012/chart" uri="{02D57815-91ED-43cb-92C2-25804820EDAC}">
                        <c15:formulaRef>
                          <c15:sqref>'TC Chart'!$C$26:$N$26</c15:sqref>
                        </c15:formulaRef>
                      </c:ext>
                    </c:extLst>
                    <c:strCache>
                      <c:ptCount val="12"/>
                      <c:pt idx="0">
                        <c:v>TDC</c:v>
                      </c:pt>
                      <c:pt idx="1">
                        <c:v>TC</c:v>
                      </c:pt>
                      <c:pt idx="2">
                        <c:v>TDC</c:v>
                      </c:pt>
                      <c:pt idx="3">
                        <c:v>TC</c:v>
                      </c:pt>
                      <c:pt idx="4">
                        <c:v>TDC</c:v>
                      </c:pt>
                      <c:pt idx="5">
                        <c:v>TC</c:v>
                      </c:pt>
                      <c:pt idx="6">
                        <c:v>TDC</c:v>
                      </c:pt>
                      <c:pt idx="7">
                        <c:v>TC</c:v>
                      </c:pt>
                      <c:pt idx="8">
                        <c:v>TDC</c:v>
                      </c:pt>
                      <c:pt idx="9">
                        <c:v>TC</c:v>
                      </c:pt>
                      <c:pt idx="10">
                        <c:v>TDC</c:v>
                      </c:pt>
                      <c:pt idx="11">
                        <c:v>TC</c:v>
                      </c:pt>
                    </c:strCache>
                  </c:strRef>
                </c:xVal>
                <c:yVal>
                  <c:numRef>
                    <c:extLst xmlns:c15="http://schemas.microsoft.com/office/drawing/2012/chart">
                      <c:ext xmlns:c15="http://schemas.microsoft.com/office/drawing/2012/chart" uri="{02D57815-91ED-43cb-92C2-25804820EDAC}">
                        <c15:formulaRef>
                          <c15:sqref>'TC Chart'!$C$50:$N$50</c15:sqref>
                        </c15:formulaRef>
                      </c:ext>
                    </c:extLst>
                    <c:numCache>
                      <c:formatCode>"$"#,##0</c:formatCode>
                      <c:ptCount val="12"/>
                      <c:pt idx="10" formatCode="0.00">
                        <c:v>11.2</c:v>
                      </c:pt>
                      <c:pt idx="11" formatCode="0.00">
                        <c:v>12.2</c:v>
                      </c:pt>
                    </c:numCache>
                  </c:numRef>
                </c:yVal>
                <c:smooth val="0"/>
                <c:extLst xmlns:c15="http://schemas.microsoft.com/office/drawing/2012/chart">
                  <c:ext xmlns:c16="http://schemas.microsoft.com/office/drawing/2014/chart" uri="{C3380CC4-5D6E-409C-BE32-E72D297353CC}">
                    <c16:uniqueId val="{0000003A-5529-49B2-985D-C1E7D31CAC80}"/>
                  </c:ext>
                </c:extLst>
              </c15:ser>
            </c15:filteredScatterSeries>
            <c15:filteredScatterSeries>
              <c15:ser>
                <c:idx val="8"/>
                <c:order val="7"/>
                <c:tx>
                  <c:strRef>
                    <c:extLst xmlns:c15="http://schemas.microsoft.com/office/drawing/2012/chart">
                      <c:ext xmlns:c15="http://schemas.microsoft.com/office/drawing/2012/chart" uri="{02D57815-91ED-43cb-92C2-25804820EDAC}">
                        <c15:formulaRef>
                          <c15:sqref>'TC Chart'!$B$52</c15:sqref>
                        </c15:formulaRef>
                      </c:ext>
                    </c:extLst>
                    <c:strCache>
                      <c:ptCount val="1"/>
                      <c:pt idx="0">
                        <c:v>Company 4</c:v>
                      </c:pt>
                    </c:strCache>
                  </c:strRef>
                </c:tx>
                <c:spPr>
                  <a:ln w="28575">
                    <a:noFill/>
                  </a:ln>
                </c:spPr>
                <c:xVal>
                  <c:strRef>
                    <c:extLst xmlns:c15="http://schemas.microsoft.com/office/drawing/2012/chart">
                      <c:ext xmlns:c15="http://schemas.microsoft.com/office/drawing/2012/chart" uri="{02D57815-91ED-43cb-92C2-25804820EDAC}">
                        <c15:formulaRef>
                          <c15:sqref>'TC Chart'!$C$26:$N$26</c15:sqref>
                        </c15:formulaRef>
                      </c:ext>
                    </c:extLst>
                    <c:strCache>
                      <c:ptCount val="12"/>
                      <c:pt idx="0">
                        <c:v>TDC</c:v>
                      </c:pt>
                      <c:pt idx="1">
                        <c:v>TC</c:v>
                      </c:pt>
                      <c:pt idx="2">
                        <c:v>TDC</c:v>
                      </c:pt>
                      <c:pt idx="3">
                        <c:v>TC</c:v>
                      </c:pt>
                      <c:pt idx="4">
                        <c:v>TDC</c:v>
                      </c:pt>
                      <c:pt idx="5">
                        <c:v>TC</c:v>
                      </c:pt>
                      <c:pt idx="6">
                        <c:v>TDC</c:v>
                      </c:pt>
                      <c:pt idx="7">
                        <c:v>TC</c:v>
                      </c:pt>
                      <c:pt idx="8">
                        <c:v>TDC</c:v>
                      </c:pt>
                      <c:pt idx="9">
                        <c:v>TC</c:v>
                      </c:pt>
                      <c:pt idx="10">
                        <c:v>TDC</c:v>
                      </c:pt>
                      <c:pt idx="11">
                        <c:v>TC</c:v>
                      </c:pt>
                    </c:strCache>
                  </c:strRef>
                </c:xVal>
                <c:yVal>
                  <c:numRef>
                    <c:extLst xmlns:c15="http://schemas.microsoft.com/office/drawing/2012/chart">
                      <c:ext xmlns:c15="http://schemas.microsoft.com/office/drawing/2012/chart" uri="{02D57815-91ED-43cb-92C2-25804820EDAC}">
                        <c15:formulaRef>
                          <c15:sqref>'TC Chart'!$C$52:$N$52</c15:sqref>
                        </c15:formulaRef>
                      </c:ext>
                    </c:extLst>
                    <c:numCache>
                      <c:formatCode>General</c:formatCode>
                      <c:ptCount val="12"/>
                    </c:numCache>
                  </c:numRef>
                </c:yVal>
                <c:smooth val="0"/>
                <c:extLst xmlns:c15="http://schemas.microsoft.com/office/drawing/2012/chart">
                  <c:ext xmlns:c16="http://schemas.microsoft.com/office/drawing/2014/chart" uri="{C3380CC4-5D6E-409C-BE32-E72D297353CC}">
                    <c16:uniqueId val="{0000002A-5529-49B2-985D-C1E7D31CAC80}"/>
                  </c:ext>
                </c:extLst>
              </c15:ser>
            </c15:filteredScatterSeries>
            <c15:filteredScatterSeries>
              <c15:ser>
                <c:idx val="9"/>
                <c:order val="8"/>
                <c:tx>
                  <c:strRef>
                    <c:extLst xmlns:c15="http://schemas.microsoft.com/office/drawing/2012/chart">
                      <c:ext xmlns:c15="http://schemas.microsoft.com/office/drawing/2012/chart" uri="{02D57815-91ED-43cb-92C2-25804820EDAC}">
                        <c15:formulaRef>
                          <c15:sqref>'TC Chart'!$B$33</c15:sqref>
                        </c15:formulaRef>
                      </c:ext>
                    </c:extLst>
                    <c:strCache>
                      <c:ptCount val="1"/>
                      <c:pt idx="0">
                        <c:v>-</c:v>
                      </c:pt>
                    </c:strCache>
                  </c:strRef>
                </c:tx>
                <c:spPr>
                  <a:ln w="28575">
                    <a:noFill/>
                  </a:ln>
                </c:spPr>
                <c:marker>
                  <c:symbol val="diamond"/>
                  <c:size val="11"/>
                  <c:spPr>
                    <a:ln>
                      <a:noFill/>
                    </a:ln>
                  </c:spPr>
                </c:marker>
                <c:dLbls>
                  <c:dLbl>
                    <c:idx val="0"/>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5529-49B2-985D-C1E7D31CAC80}"/>
                      </c:ext>
                    </c:extLst>
                  </c:dLbl>
                  <c:dLbl>
                    <c:idx val="1"/>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5529-49B2-985D-C1E7D31CAC80}"/>
                      </c:ext>
                    </c:extLst>
                  </c:dLbl>
                  <c:dLbl>
                    <c:idx val="2"/>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5529-49B2-985D-C1E7D31CAC80}"/>
                      </c:ext>
                    </c:extLst>
                  </c:dLbl>
                  <c:dLbl>
                    <c:idx val="3"/>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5529-49B2-985D-C1E7D31CAC80}"/>
                      </c:ext>
                    </c:extLst>
                  </c:dLbl>
                  <c:dLbl>
                    <c:idx val="4"/>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5529-49B2-985D-C1E7D31CAC80}"/>
                      </c:ext>
                    </c:extLst>
                  </c:dLbl>
                  <c:dLbl>
                    <c:idx val="5"/>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5529-49B2-985D-C1E7D31CAC80}"/>
                      </c:ext>
                    </c:extLst>
                  </c:dLbl>
                  <c:dLbl>
                    <c:idx val="6"/>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5529-49B2-985D-C1E7D31CAC80}"/>
                      </c:ext>
                    </c:extLst>
                  </c:dLbl>
                  <c:dLbl>
                    <c:idx val="7"/>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5529-49B2-985D-C1E7D31CAC80}"/>
                      </c:ext>
                    </c:extLst>
                  </c:dLbl>
                  <c:dLbl>
                    <c:idx val="8"/>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5529-49B2-985D-C1E7D31CAC80}"/>
                      </c:ext>
                    </c:extLst>
                  </c:dLbl>
                  <c:dLbl>
                    <c:idx val="9"/>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5529-49B2-985D-C1E7D31CAC80}"/>
                      </c:ext>
                    </c:extLst>
                  </c:dLbl>
                  <c:dLbl>
                    <c:idx val="10"/>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5529-49B2-985D-C1E7D31CAC80}"/>
                      </c:ext>
                    </c:extLst>
                  </c:dLbl>
                  <c:dLbl>
                    <c:idx val="11"/>
                    <c:tx>
                      <c:rich>
                        <a:bodyPr/>
                        <a:lstStyle/>
                        <a:p>
                          <a:endParaRPr lang="en-CA"/>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5529-49B2-985D-C1E7D31CAC80}"/>
                      </c:ext>
                    </c:extLst>
                  </c:dLbl>
                  <c:spPr>
                    <a:noFill/>
                    <a:ln>
                      <a:noFill/>
                    </a:ln>
                    <a:effectLst/>
                  </c:spPr>
                  <c:showLegendKey val="0"/>
                  <c:showVal val="0"/>
                  <c:showCatName val="0"/>
                  <c:showSerName val="0"/>
                  <c:showPercent val="0"/>
                  <c:showBubbleSize val="0"/>
                  <c:showLeaderLines val="0"/>
                  <c:extLst xmlns:c15="http://schemas.microsoft.com/office/drawing/2012/chart">
                    <c:ext xmlns:c15="http://schemas.microsoft.com/office/drawing/2012/chart" uri="{CE6537A1-D6FC-4f65-9D91-7224C49458BB}">
                      <c15:showDataLabelsRange val="1"/>
                      <c15:showLeaderLines val="0"/>
                    </c:ext>
                  </c:extLst>
                </c:dLbls>
                <c:xVal>
                  <c:numRef>
                    <c:extLst xmlns:c15="http://schemas.microsoft.com/office/drawing/2012/chart">
                      <c:ext xmlns:c15="http://schemas.microsoft.com/office/drawing/2012/chart" uri="{02D57815-91ED-43cb-92C2-25804820EDAC}">
                        <c15:formulaRef>
                          <c15:sqref>'TC Chart'!$C$49:$N$49</c15:sqref>
                        </c15:formulaRef>
                      </c:ext>
                    </c:extLst>
                    <c:numCache>
                      <c:formatCode>General</c:formatCode>
                      <c:ptCount val="12"/>
                      <c:pt idx="10" formatCode="0.00">
                        <c:v>10.8</c:v>
                      </c:pt>
                      <c:pt idx="11" formatCode="0.00">
                        <c:v>11.8</c:v>
                      </c:pt>
                    </c:numCache>
                  </c:numRef>
                </c:xVal>
                <c:yVal>
                  <c:numRef>
                    <c:extLst xmlns:c15="http://schemas.microsoft.com/office/drawing/2012/chart">
                      <c:ext xmlns:c15="http://schemas.microsoft.com/office/drawing/2012/chart" uri="{02D57815-91ED-43cb-92C2-25804820EDAC}">
                        <c15:formulaRef>
                          <c15:sqref>'TC Chart'!$C$33:$N$33</c15:sqref>
                        </c15:formulaRef>
                      </c:ext>
                    </c:extLst>
                    <c:numCache>
                      <c:formatCode>"$"#,##0</c:formatCode>
                      <c:ptCount val="12"/>
                    </c:numCache>
                  </c:numRef>
                </c:yVal>
                <c:smooth val="0"/>
                <c:extLst xmlns:c15="http://schemas.microsoft.com/office/drawing/2012/chart">
                  <c:ext xmlns:c15="http://schemas.microsoft.com/office/drawing/2012/chart" uri="{02D57815-91ED-43cb-92C2-25804820EDAC}">
                    <c15:datalabelsRange>
                      <c15:f>'TC Chart'!$M$43</c15:f>
                      <c15:dlblRangeCache>
                        <c:ptCount val="1"/>
                        <c:pt idx="0">
                          <c:v>-P27</c:v>
                        </c:pt>
                      </c15:dlblRangeCache>
                    </c15:datalabelsRange>
                  </c:ext>
                  <c:ext xmlns:c16="http://schemas.microsoft.com/office/drawing/2014/chart" uri="{C3380CC4-5D6E-409C-BE32-E72D297353CC}">
                    <c16:uniqueId val="{00000037-5529-49B2-985D-C1E7D31CAC80}"/>
                  </c:ext>
                </c:extLst>
              </c15:ser>
            </c15:filteredScatterSeries>
            <c15:filteredScatterSeries>
              <c15:ser>
                <c:idx val="10"/>
                <c:order val="9"/>
                <c:tx>
                  <c:strRef>
                    <c:extLst xmlns:c15="http://schemas.microsoft.com/office/drawing/2012/chart">
                      <c:ext xmlns:c15="http://schemas.microsoft.com/office/drawing/2012/chart" uri="{02D57815-91ED-43cb-92C2-25804820EDAC}">
                        <c15:formulaRef>
                          <c15:sqref>'TC Chart'!$B$34</c15:sqref>
                        </c15:formulaRef>
                      </c:ext>
                    </c:extLst>
                    <c:strCache>
                      <c:ptCount val="1"/>
                      <c:pt idx="0">
                        <c:v>SVP, Exploration &amp; Technical Services</c:v>
                      </c:pt>
                    </c:strCache>
                  </c:strRef>
                </c:tx>
                <c:spPr>
                  <a:ln w="28575">
                    <a:noFill/>
                  </a:ln>
                </c:spPr>
                <c:marker>
                  <c:symbol val="diamond"/>
                  <c:size val="11"/>
                  <c:spPr>
                    <a:ln>
                      <a:noFill/>
                    </a:ln>
                  </c:spPr>
                </c:marker>
                <c:xVal>
                  <c:numRef>
                    <c:extLst xmlns:c15="http://schemas.microsoft.com/office/drawing/2012/chart">
                      <c:ext xmlns:c15="http://schemas.microsoft.com/office/drawing/2012/chart" uri="{02D57815-91ED-43cb-92C2-25804820EDAC}">
                        <c15:formulaRef>
                          <c15:sqref>'TC Chart'!$C$50:$N$50</c15:sqref>
                        </c15:formulaRef>
                      </c:ext>
                    </c:extLst>
                    <c:numCache>
                      <c:formatCode>"$"#,##0</c:formatCode>
                      <c:ptCount val="12"/>
                      <c:pt idx="10" formatCode="0.00">
                        <c:v>11.2</c:v>
                      </c:pt>
                      <c:pt idx="11" formatCode="0.00">
                        <c:v>12.2</c:v>
                      </c:pt>
                    </c:numCache>
                  </c:numRef>
                </c:xVal>
                <c:yVal>
                  <c:numRef>
                    <c:extLst xmlns:c15="http://schemas.microsoft.com/office/drawing/2012/chart">
                      <c:ext xmlns:c15="http://schemas.microsoft.com/office/drawing/2012/chart" uri="{02D57815-91ED-43cb-92C2-25804820EDAC}">
                        <c15:formulaRef>
                          <c15:sqref>'TC Chart'!$C$34:$N$34</c15:sqref>
                        </c15:formulaRef>
                      </c:ext>
                    </c:extLst>
                    <c:numCache>
                      <c:formatCode>"$"#,##0</c:formatCode>
                      <c:ptCount val="12"/>
                    </c:numCache>
                  </c:numRef>
                </c:yVal>
                <c:smooth val="0"/>
                <c:extLst xmlns:c15="http://schemas.microsoft.com/office/drawing/2012/chart">
                  <c:ext xmlns:c16="http://schemas.microsoft.com/office/drawing/2014/chart" uri="{C3380CC4-5D6E-409C-BE32-E72D297353CC}">
                    <c16:uniqueId val="{00000038-5529-49B2-985D-C1E7D31CAC80}"/>
                  </c:ext>
                </c:extLst>
              </c15:ser>
            </c15:filteredScatterSeries>
          </c:ext>
        </c:extLst>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'CEO - YoY'!$B$21</c:f>
              <c:strCache>
                <c:ptCount val="1"/>
                <c:pt idx="0">
                  <c:v>25th</c:v>
                </c:pt>
              </c:strCache>
            </c:strRef>
          </c:tx>
          <c:spPr>
            <a:noFill/>
          </c:spPr>
          <c:invertIfNegative val="0"/>
          <c:cat>
            <c:strRef>
              <c:f>'CEO - YoY'!$C$12:$E$12</c:f>
              <c:strCache>
                <c:ptCount val="3"/>
                <c:pt idx="0">
                  <c:v>2024 Target TDC</c:v>
                </c:pt>
                <c:pt idx="1">
                  <c:v>2025 Target TDC</c:v>
                </c:pt>
                <c:pt idx="2">
                  <c:v>2026E Target TDC</c:v>
                </c:pt>
              </c:strCache>
            </c:strRef>
          </c:cat>
          <c:val>
            <c:numRef>
              <c:f>'CEO - YoY'!$C$21:$E$21</c:f>
              <c:numCache>
                <c:formatCode>"$"#,##0</c:formatCode>
                <c:ptCount val="3"/>
                <c:pt idx="0">
                  <c:v>4314.703125</c:v>
                </c:pt>
                <c:pt idx="1">
                  <c:v>4956.1421462659609</c:v>
                </c:pt>
                <c:pt idx="2">
                  <c:v>5086.6236106539409</c:v>
                </c:pt>
              </c:numCache>
            </c:numRef>
          </c:val>
          <c:extLst>
            <c:ext xmlns:c16="http://schemas.microsoft.com/office/drawing/2014/chart" uri="{C3380CC4-5D6E-409C-BE32-E72D297353CC}">
              <c16:uniqueId val="{00000000-9448-4D7D-BC4D-DF222B8B4DDC}"/>
            </c:ext>
          </c:extLst>
        </c:ser>
        <c:ser>
          <c:idx val="1"/>
          <c:order val="1"/>
          <c:tx>
            <c:strRef>
              <c:f>'CEO - YoY'!$B$22</c:f>
              <c:strCache>
                <c:ptCount val="1"/>
                <c:pt idx="0">
                  <c:v>50th</c:v>
                </c:pt>
              </c:strCache>
            </c:strRef>
          </c:tx>
          <c:spPr>
            <a:solidFill>
              <a:srgbClr val="002957"/>
            </a:solidFill>
          </c:spPr>
          <c:invertIfNegative val="0"/>
          <c:cat>
            <c:strRef>
              <c:f>'CEO - YoY'!$C$12:$E$12</c:f>
              <c:strCache>
                <c:ptCount val="3"/>
                <c:pt idx="0">
                  <c:v>2024 Target TDC</c:v>
                </c:pt>
                <c:pt idx="1">
                  <c:v>2025 Target TDC</c:v>
                </c:pt>
                <c:pt idx="2">
                  <c:v>2026E Target TDC</c:v>
                </c:pt>
              </c:strCache>
            </c:strRef>
          </c:cat>
          <c:val>
            <c:numRef>
              <c:f>'CEO - YoY'!$C$22:$E$22</c:f>
              <c:numCache>
                <c:formatCode>"$"#,##0</c:formatCode>
                <c:ptCount val="3"/>
                <c:pt idx="0">
                  <c:v>706.55687500000022</c:v>
                </c:pt>
                <c:pt idx="1">
                  <c:v>777.65596242969059</c:v>
                </c:pt>
                <c:pt idx="2">
                  <c:v>733.66450130258181</c:v>
                </c:pt>
              </c:numCache>
            </c:numRef>
          </c:val>
          <c:extLst>
            <c:ext xmlns:c16="http://schemas.microsoft.com/office/drawing/2014/chart" uri="{C3380CC4-5D6E-409C-BE32-E72D297353CC}">
              <c16:uniqueId val="{00000001-9448-4D7D-BC4D-DF222B8B4DDC}"/>
            </c:ext>
          </c:extLst>
        </c:ser>
        <c:ser>
          <c:idx val="2"/>
          <c:order val="2"/>
          <c:tx>
            <c:strRef>
              <c:f>'CEO - YoY'!$B$23</c:f>
              <c:strCache>
                <c:ptCount val="1"/>
                <c:pt idx="0">
                  <c:v>75th</c:v>
                </c:pt>
              </c:strCache>
            </c:strRef>
          </c:tx>
          <c:spPr>
            <a:solidFill>
              <a:schemeClr val="tx2">
                <a:lumMod val="20000"/>
                <a:lumOff val="80000"/>
              </a:schemeClr>
            </a:solidFill>
          </c:spPr>
          <c:invertIfNegative val="0"/>
          <c:cat>
            <c:strRef>
              <c:f>'CEO - YoY'!$C$12:$E$12</c:f>
              <c:strCache>
                <c:ptCount val="3"/>
                <c:pt idx="0">
                  <c:v>2024 Target TDC</c:v>
                </c:pt>
                <c:pt idx="1">
                  <c:v>2025 Target TDC</c:v>
                </c:pt>
                <c:pt idx="2">
                  <c:v>2026E Target TDC</c:v>
                </c:pt>
              </c:strCache>
            </c:strRef>
          </c:cat>
          <c:val>
            <c:numRef>
              <c:f>'CEO - YoY'!$C$23:$E$23</c:f>
              <c:numCache>
                <c:formatCode>"$"#,##0</c:formatCode>
                <c:ptCount val="3"/>
                <c:pt idx="0">
                  <c:v>2074.1849833333299</c:v>
                </c:pt>
                <c:pt idx="1">
                  <c:v>1705.0029225543485</c:v>
                </c:pt>
                <c:pt idx="2">
                  <c:v>1846.1313221059772</c:v>
                </c:pt>
              </c:numCache>
            </c:numRef>
          </c:val>
          <c:extLst>
            <c:ext xmlns:c16="http://schemas.microsoft.com/office/drawing/2014/chart" uri="{C3380CC4-5D6E-409C-BE32-E72D297353CC}">
              <c16:uniqueId val="{00000002-9448-4D7D-BC4D-DF222B8B4DDC}"/>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'CEO - YoY'!$B$25</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'CEO - YoY'!$C$25:$E$25</c:f>
              <c:numCache>
                <c:formatCode>"$"#,##0</c:formatCode>
                <c:ptCount val="3"/>
                <c:pt idx="0">
                  <c:v>5080.4962500000001</c:v>
                </c:pt>
                <c:pt idx="1">
                  <c:v>5334.5198499999997</c:v>
                </c:pt>
                <c:pt idx="2">
                  <c:v>5334.5198499999997</c:v>
                </c:pt>
              </c:numCache>
            </c:numRef>
          </c:yVal>
          <c:smooth val="0"/>
          <c:extLst>
            <c:ext xmlns:c16="http://schemas.microsoft.com/office/drawing/2014/chart" uri="{C3380CC4-5D6E-409C-BE32-E72D297353CC}">
              <c16:uniqueId val="{00000003-9448-4D7D-BC4D-DF222B8B4DDC}"/>
            </c:ext>
          </c:extLst>
        </c:ser>
        <c:ser>
          <c:idx val="4"/>
          <c:order val="4"/>
          <c:tx>
            <c:strRef>
              <c:f>'CEO - YoY'!$B$24</c:f>
              <c:strCache>
                <c:ptCount val="1"/>
                <c:pt idx="0">
                  <c:v>Average</c:v>
                </c:pt>
              </c:strCache>
            </c:strRef>
          </c:tx>
          <c:spPr>
            <a:ln w="28575">
              <a:noFill/>
            </a:ln>
          </c:spPr>
          <c:marker>
            <c:symbol val="dash"/>
            <c:size val="15"/>
            <c:spPr>
              <a:solidFill>
                <a:srgbClr val="AFABAB"/>
              </a:solidFill>
              <a:ln>
                <a:solidFill>
                  <a:srgbClr val="AFABAB"/>
                </a:solidFill>
              </a:ln>
            </c:spPr>
          </c:marker>
          <c:yVal>
            <c:numRef>
              <c:f>'CEO - YoY'!$C$24:$E$24</c:f>
              <c:numCache>
                <c:formatCode>"$"#,##0</c:formatCode>
                <c:ptCount val="3"/>
                <c:pt idx="0">
                  <c:v>5578.1621173485619</c:v>
                </c:pt>
                <c:pt idx="1">
                  <c:v>6074.7685150935913</c:v>
                </c:pt>
                <c:pt idx="2">
                  <c:v>6185.7470850106838</c:v>
                </c:pt>
              </c:numCache>
            </c:numRef>
          </c:yVal>
          <c:smooth val="0"/>
          <c:extLst>
            <c:ext xmlns:c16="http://schemas.microsoft.com/office/drawing/2014/chart" uri="{C3380CC4-5D6E-409C-BE32-E72D297353CC}">
              <c16:uniqueId val="{00000004-9448-4D7D-BC4D-DF222B8B4DDC}"/>
            </c:ext>
          </c:extLst>
        </c:ser>
        <c:ser>
          <c:idx val="5"/>
          <c:order val="5"/>
          <c:tx>
            <c:strRef>
              <c:f>'CEO - YoY'!$B$30</c:f>
              <c:strCache>
                <c:ptCount val="1"/>
                <c:pt idx="0">
                  <c:v>Company 1</c:v>
                </c:pt>
              </c:strCache>
            </c:strRef>
          </c:tx>
          <c:spPr>
            <a:ln w="28575">
              <a:noFill/>
            </a:ln>
          </c:spPr>
          <c:xVal>
            <c:strRef>
              <c:f>'CEO - YoY'!$C$12:$E$12</c:f>
              <c:strCache>
                <c:ptCount val="3"/>
                <c:pt idx="0">
                  <c:v>2024 Target TDC</c:v>
                </c:pt>
                <c:pt idx="1">
                  <c:v>2025 Target TDC</c:v>
                </c:pt>
                <c:pt idx="2">
                  <c:v>2026E Target TDC</c:v>
                </c:pt>
              </c:strCache>
            </c:strRef>
          </c:xVal>
          <c:yVal>
            <c:numRef>
              <c:f>'CEO - YoY'!$C$30:$E$30</c:f>
              <c:numCache>
                <c:formatCode>General</c:formatCode>
                <c:ptCount val="3"/>
              </c:numCache>
            </c:numRef>
          </c:yVal>
          <c:smooth val="0"/>
          <c:extLst>
            <c:ext xmlns:c16="http://schemas.microsoft.com/office/drawing/2014/chart" uri="{C3380CC4-5D6E-409C-BE32-E72D297353CC}">
              <c16:uniqueId val="{00000005-9448-4D7D-BC4D-DF222B8B4DDC}"/>
            </c:ext>
          </c:extLst>
        </c:ser>
        <c:ser>
          <c:idx val="6"/>
          <c:order val="6"/>
          <c:tx>
            <c:strRef>
              <c:f>'CEO - YoY'!$B$31</c:f>
              <c:strCache>
                <c:ptCount val="1"/>
                <c:pt idx="0">
                  <c:v>Company 2</c:v>
                </c:pt>
              </c:strCache>
            </c:strRef>
          </c:tx>
          <c:spPr>
            <a:ln w="28575">
              <a:noFill/>
            </a:ln>
          </c:spPr>
          <c:xVal>
            <c:strRef>
              <c:f>'CEO - YoY'!$C$12:$E$12</c:f>
              <c:strCache>
                <c:ptCount val="3"/>
                <c:pt idx="0">
                  <c:v>2024 Target TDC</c:v>
                </c:pt>
                <c:pt idx="1">
                  <c:v>2025 Target TDC</c:v>
                </c:pt>
                <c:pt idx="2">
                  <c:v>2026E Target TDC</c:v>
                </c:pt>
              </c:strCache>
            </c:strRef>
          </c:xVal>
          <c:yVal>
            <c:numRef>
              <c:f>'CEO - YoY'!$C$31:$E$31</c:f>
              <c:numCache>
                <c:formatCode>General</c:formatCode>
                <c:ptCount val="3"/>
              </c:numCache>
            </c:numRef>
          </c:yVal>
          <c:smooth val="0"/>
          <c:extLst>
            <c:ext xmlns:c16="http://schemas.microsoft.com/office/drawing/2014/chart" uri="{C3380CC4-5D6E-409C-BE32-E72D297353CC}">
              <c16:uniqueId val="{00000006-9448-4D7D-BC4D-DF222B8B4DDC}"/>
            </c:ext>
          </c:extLst>
        </c:ser>
        <c:ser>
          <c:idx val="7"/>
          <c:order val="7"/>
          <c:tx>
            <c:strRef>
              <c:f>'CEO - YoY'!$B$32</c:f>
              <c:strCache>
                <c:ptCount val="1"/>
                <c:pt idx="0">
                  <c:v>Company 3</c:v>
                </c:pt>
              </c:strCache>
            </c:strRef>
          </c:tx>
          <c:spPr>
            <a:ln w="28575">
              <a:noFill/>
            </a:ln>
          </c:spPr>
          <c:xVal>
            <c:strRef>
              <c:f>'CEO - YoY'!$C$12:$E$12</c:f>
              <c:strCache>
                <c:ptCount val="3"/>
                <c:pt idx="0">
                  <c:v>2024 Target TDC</c:v>
                </c:pt>
                <c:pt idx="1">
                  <c:v>2025 Target TDC</c:v>
                </c:pt>
                <c:pt idx="2">
                  <c:v>2026E Target TDC</c:v>
                </c:pt>
              </c:strCache>
            </c:strRef>
          </c:xVal>
          <c:yVal>
            <c:numRef>
              <c:f>'CEO - YoY'!$C$32:$E$32</c:f>
              <c:numCache>
                <c:formatCode>General</c:formatCode>
                <c:ptCount val="3"/>
              </c:numCache>
            </c:numRef>
          </c:yVal>
          <c:smooth val="0"/>
          <c:extLst>
            <c:ext xmlns:c16="http://schemas.microsoft.com/office/drawing/2014/chart" uri="{C3380CC4-5D6E-409C-BE32-E72D297353CC}">
              <c16:uniqueId val="{00000007-9448-4D7D-BC4D-DF222B8B4DDC}"/>
            </c:ext>
          </c:extLst>
        </c:ser>
        <c:ser>
          <c:idx val="8"/>
          <c:order val="8"/>
          <c:tx>
            <c:strRef>
              <c:f>'CEO - YoY'!$B$33</c:f>
              <c:strCache>
                <c:ptCount val="1"/>
                <c:pt idx="0">
                  <c:v>Company 4</c:v>
                </c:pt>
              </c:strCache>
            </c:strRef>
          </c:tx>
          <c:spPr>
            <a:ln w="28575">
              <a:noFill/>
            </a:ln>
          </c:spPr>
          <c:xVal>
            <c:strRef>
              <c:f>'CEO - YoY'!$C$12:$E$12</c:f>
              <c:strCache>
                <c:ptCount val="3"/>
                <c:pt idx="0">
                  <c:v>2024 Target TDC</c:v>
                </c:pt>
                <c:pt idx="1">
                  <c:v>2025 Target TDC</c:v>
                </c:pt>
                <c:pt idx="2">
                  <c:v>2026E Target TDC</c:v>
                </c:pt>
              </c:strCache>
            </c:strRef>
          </c:xVal>
          <c:yVal>
            <c:numRef>
              <c:f>'CEO - YoY'!$C$33:$E$33</c:f>
              <c:numCache>
                <c:formatCode>General</c:formatCode>
                <c:ptCount val="3"/>
              </c:numCache>
            </c:numRef>
          </c:yVal>
          <c:smooth val="0"/>
          <c:extLst>
            <c:ext xmlns:c16="http://schemas.microsoft.com/office/drawing/2014/chart" uri="{C3380CC4-5D6E-409C-BE32-E72D297353CC}">
              <c16:uniqueId val="{00000008-9448-4D7D-BC4D-DF222B8B4DDC}"/>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'CEO - YoY'!$B$48</c:f>
              <c:strCache>
                <c:ptCount val="1"/>
                <c:pt idx="0">
                  <c:v>25th</c:v>
                </c:pt>
              </c:strCache>
            </c:strRef>
          </c:tx>
          <c:spPr>
            <a:noFill/>
          </c:spPr>
          <c:invertIfNegative val="0"/>
          <c:cat>
            <c:strRef>
              <c:f>'CEO - YoY'!$C$40:$D$40</c:f>
              <c:strCache>
                <c:ptCount val="2"/>
                <c:pt idx="0">
                  <c:v>2024 Target TDC</c:v>
                </c:pt>
                <c:pt idx="1">
                  <c:v>2025 Target TDC</c:v>
                </c:pt>
              </c:strCache>
            </c:strRef>
          </c:cat>
          <c:val>
            <c:numRef>
              <c:f>'CEO - YoY'!$C$48:$D$48</c:f>
              <c:numCache>
                <c:formatCode>"$"#,##0</c:formatCode>
                <c:ptCount val="2"/>
                <c:pt idx="0">
                  <c:v>4419</c:v>
                </c:pt>
                <c:pt idx="1">
                  <c:v>4749.0259375000005</c:v>
                </c:pt>
              </c:numCache>
            </c:numRef>
          </c:val>
          <c:extLst>
            <c:ext xmlns:c16="http://schemas.microsoft.com/office/drawing/2014/chart" uri="{C3380CC4-5D6E-409C-BE32-E72D297353CC}">
              <c16:uniqueId val="{00000000-1E41-4561-8DC3-C231BAECEBA0}"/>
            </c:ext>
          </c:extLst>
        </c:ser>
        <c:ser>
          <c:idx val="1"/>
          <c:order val="1"/>
          <c:tx>
            <c:strRef>
              <c:f>'CEO - YoY'!$B$49</c:f>
              <c:strCache>
                <c:ptCount val="1"/>
                <c:pt idx="0">
                  <c:v>50th</c:v>
                </c:pt>
              </c:strCache>
            </c:strRef>
          </c:tx>
          <c:spPr>
            <a:solidFill>
              <a:srgbClr val="002957"/>
            </a:solidFill>
          </c:spPr>
          <c:invertIfNegative val="0"/>
          <c:cat>
            <c:strRef>
              <c:f>'CEO - YoY'!$C$40:$D$40</c:f>
              <c:strCache>
                <c:ptCount val="2"/>
                <c:pt idx="0">
                  <c:v>2024 Target TDC</c:v>
                </c:pt>
                <c:pt idx="1">
                  <c:v>2025 Target TDC</c:v>
                </c:pt>
              </c:strCache>
            </c:strRef>
          </c:cat>
          <c:val>
            <c:numRef>
              <c:f>'CEO - YoY'!$C$49:$D$49</c:f>
              <c:numCache>
                <c:formatCode>"$"#,##0</c:formatCode>
                <c:ptCount val="2"/>
                <c:pt idx="0">
                  <c:v>984.82926280440552</c:v>
                </c:pt>
                <c:pt idx="1">
                  <c:v>736.77206249999927</c:v>
                </c:pt>
              </c:numCache>
            </c:numRef>
          </c:val>
          <c:extLst>
            <c:ext xmlns:c16="http://schemas.microsoft.com/office/drawing/2014/chart" uri="{C3380CC4-5D6E-409C-BE32-E72D297353CC}">
              <c16:uniqueId val="{00000001-1E41-4561-8DC3-C231BAECEBA0}"/>
            </c:ext>
          </c:extLst>
        </c:ser>
        <c:ser>
          <c:idx val="2"/>
          <c:order val="2"/>
          <c:tx>
            <c:strRef>
              <c:f>'CEO - YoY'!$B$50</c:f>
              <c:strCache>
                <c:ptCount val="1"/>
                <c:pt idx="0">
                  <c:v>75th</c:v>
                </c:pt>
              </c:strCache>
            </c:strRef>
          </c:tx>
          <c:spPr>
            <a:solidFill>
              <a:schemeClr val="tx2">
                <a:lumMod val="20000"/>
                <a:lumOff val="80000"/>
              </a:schemeClr>
            </a:solidFill>
          </c:spPr>
          <c:invertIfNegative val="0"/>
          <c:cat>
            <c:strRef>
              <c:f>'CEO - YoY'!$C$40:$D$40</c:f>
              <c:strCache>
                <c:ptCount val="2"/>
                <c:pt idx="0">
                  <c:v>2024 Target TDC</c:v>
                </c:pt>
                <c:pt idx="1">
                  <c:v>2025 Target TDC</c:v>
                </c:pt>
              </c:strCache>
            </c:strRef>
          </c:cat>
          <c:val>
            <c:numRef>
              <c:f>'CEO - YoY'!$C$50:$D$50</c:f>
              <c:numCache>
                <c:formatCode>"$"#,##0</c:formatCode>
                <c:ptCount val="2"/>
                <c:pt idx="0">
                  <c:v>1882.1549861539279</c:v>
                </c:pt>
                <c:pt idx="1">
                  <c:v>1047.1443084588127</c:v>
                </c:pt>
              </c:numCache>
            </c:numRef>
          </c:val>
          <c:extLst>
            <c:ext xmlns:c16="http://schemas.microsoft.com/office/drawing/2014/chart" uri="{C3380CC4-5D6E-409C-BE32-E72D297353CC}">
              <c16:uniqueId val="{00000002-1E41-4561-8DC3-C231BAECEBA0}"/>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'CEO - YoY'!$B$52</c:f>
              <c:strCache>
                <c:ptCount val="1"/>
                <c:pt idx="0">
                  <c:v>Hudbay Minerals</c:v>
                </c:pt>
              </c:strCache>
            </c:strRef>
          </c:tx>
          <c:spPr>
            <a:ln w="28575">
              <a:noFill/>
            </a:ln>
          </c:spPr>
          <c:marker>
            <c:symbol val="diamond"/>
            <c:size val="10"/>
            <c:spPr>
              <a:solidFill>
                <a:srgbClr val="F0531E"/>
              </a:solidFill>
              <a:ln>
                <a:solidFill>
                  <a:srgbClr val="F0531E"/>
                </a:solidFill>
              </a:ln>
            </c:spPr>
          </c:marker>
          <c:xVal>
            <c:strRef>
              <c:f>'CEO - YoY'!$C$40:$D$40</c:f>
              <c:strCache>
                <c:ptCount val="2"/>
                <c:pt idx="0">
                  <c:v>2024 Target TDC</c:v>
                </c:pt>
                <c:pt idx="1">
                  <c:v>2025 Target TDC</c:v>
                </c:pt>
              </c:strCache>
            </c:strRef>
          </c:xVal>
          <c:yVal>
            <c:numRef>
              <c:f>'CEO - YoY'!$C$52:$D$52</c:f>
              <c:numCache>
                <c:formatCode>"$"#,##0</c:formatCode>
                <c:ptCount val="2"/>
                <c:pt idx="0">
                  <c:v>5080.4962500000001</c:v>
                </c:pt>
                <c:pt idx="1">
                  <c:v>5334.5198499999997</c:v>
                </c:pt>
              </c:numCache>
            </c:numRef>
          </c:yVal>
          <c:smooth val="0"/>
          <c:extLst>
            <c:ext xmlns:c16="http://schemas.microsoft.com/office/drawing/2014/chart" uri="{C3380CC4-5D6E-409C-BE32-E72D297353CC}">
              <c16:uniqueId val="{00000003-1E41-4561-8DC3-C231BAECEBA0}"/>
            </c:ext>
          </c:extLst>
        </c:ser>
        <c:ser>
          <c:idx val="4"/>
          <c:order val="4"/>
          <c:tx>
            <c:strRef>
              <c:f>'CEO - YoY'!$B$51</c:f>
              <c:strCache>
                <c:ptCount val="1"/>
                <c:pt idx="0">
                  <c:v>Average</c:v>
                </c:pt>
              </c:strCache>
            </c:strRef>
          </c:tx>
          <c:spPr>
            <a:ln w="28575">
              <a:noFill/>
            </a:ln>
          </c:spPr>
          <c:marker>
            <c:symbol val="dash"/>
            <c:size val="15"/>
            <c:spPr>
              <a:solidFill>
                <a:srgbClr val="AFABAB"/>
              </a:solidFill>
              <a:ln>
                <a:solidFill>
                  <a:srgbClr val="AFABAB"/>
                </a:solidFill>
              </a:ln>
            </c:spPr>
          </c:marker>
          <c:xVal>
            <c:strRef>
              <c:f>'CEO - YoY'!$C$40:$D$40</c:f>
              <c:strCache>
                <c:ptCount val="2"/>
                <c:pt idx="0">
                  <c:v>2024 Target TDC</c:v>
                </c:pt>
                <c:pt idx="1">
                  <c:v>2025 Target TDC</c:v>
                </c:pt>
              </c:strCache>
            </c:strRef>
          </c:xVal>
          <c:yVal>
            <c:numRef>
              <c:f>'CEO - YoY'!$C$51:$D$51</c:f>
              <c:numCache>
                <c:formatCode>"$"#,##0</c:formatCode>
                <c:ptCount val="2"/>
                <c:pt idx="0">
                  <c:v>5838.685833603352</c:v>
                </c:pt>
                <c:pt idx="1">
                  <c:v>5894.4481321925223</c:v>
                </c:pt>
              </c:numCache>
            </c:numRef>
          </c:yVal>
          <c:smooth val="0"/>
          <c:extLst>
            <c:ext xmlns:c16="http://schemas.microsoft.com/office/drawing/2014/chart" uri="{C3380CC4-5D6E-409C-BE32-E72D297353CC}">
              <c16:uniqueId val="{00000004-1E41-4561-8DC3-C231BAECEBA0}"/>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'CFO - YoY'!$B$21</c:f>
              <c:strCache>
                <c:ptCount val="1"/>
                <c:pt idx="0">
                  <c:v>25th</c:v>
                </c:pt>
              </c:strCache>
            </c:strRef>
          </c:tx>
          <c:spPr>
            <a:noFill/>
          </c:spPr>
          <c:invertIfNegative val="0"/>
          <c:cat>
            <c:strRef>
              <c:f>'CFO - YoY'!$C$12:$E$12</c:f>
              <c:strCache>
                <c:ptCount val="3"/>
                <c:pt idx="0">
                  <c:v>2024 Target TDC</c:v>
                </c:pt>
                <c:pt idx="1">
                  <c:v>2025 Target TDC</c:v>
                </c:pt>
                <c:pt idx="2">
                  <c:v>2026E Target TDC</c:v>
                </c:pt>
              </c:strCache>
            </c:strRef>
          </c:cat>
          <c:val>
            <c:numRef>
              <c:f>'CFO - YoY'!$C$21:$E$21</c:f>
              <c:numCache>
                <c:formatCode>"$"#,##0</c:formatCode>
                <c:ptCount val="3"/>
                <c:pt idx="0">
                  <c:v>1781.652112491556</c:v>
                </c:pt>
                <c:pt idx="1">
                  <c:v>1941.3970102723999</c:v>
                </c:pt>
                <c:pt idx="2">
                  <c:v>1999.6389205805719</c:v>
                </c:pt>
              </c:numCache>
            </c:numRef>
          </c:val>
          <c:extLst>
            <c:ext xmlns:c16="http://schemas.microsoft.com/office/drawing/2014/chart" uri="{C3380CC4-5D6E-409C-BE32-E72D297353CC}">
              <c16:uniqueId val="{00000000-BB8A-4825-8357-2688FD358BDC}"/>
            </c:ext>
          </c:extLst>
        </c:ser>
        <c:ser>
          <c:idx val="1"/>
          <c:order val="1"/>
          <c:tx>
            <c:strRef>
              <c:f>'CFO - YoY'!$B$22</c:f>
              <c:strCache>
                <c:ptCount val="1"/>
                <c:pt idx="0">
                  <c:v>50th</c:v>
                </c:pt>
              </c:strCache>
            </c:strRef>
          </c:tx>
          <c:spPr>
            <a:solidFill>
              <a:srgbClr val="002957"/>
            </a:solidFill>
          </c:spPr>
          <c:invertIfNegative val="0"/>
          <c:cat>
            <c:strRef>
              <c:f>'CFO - YoY'!$C$12:$E$12</c:f>
              <c:strCache>
                <c:ptCount val="3"/>
                <c:pt idx="0">
                  <c:v>2024 Target TDC</c:v>
                </c:pt>
                <c:pt idx="1">
                  <c:v>2025 Target TDC</c:v>
                </c:pt>
                <c:pt idx="2">
                  <c:v>2026E Target TDC</c:v>
                </c:pt>
              </c:strCache>
            </c:strRef>
          </c:cat>
          <c:val>
            <c:numRef>
              <c:f>'CFO - YoY'!$C$22:$E$22</c:f>
              <c:numCache>
                <c:formatCode>"$"#,##0</c:formatCode>
                <c:ptCount val="3"/>
                <c:pt idx="0">
                  <c:v>165.5499625084442</c:v>
                </c:pt>
                <c:pt idx="1">
                  <c:v>349.96825117964477</c:v>
                </c:pt>
                <c:pt idx="2">
                  <c:v>360.46729871503453</c:v>
                </c:pt>
              </c:numCache>
            </c:numRef>
          </c:val>
          <c:extLst>
            <c:ext xmlns:c16="http://schemas.microsoft.com/office/drawing/2014/chart" uri="{C3380CC4-5D6E-409C-BE32-E72D297353CC}">
              <c16:uniqueId val="{00000001-BB8A-4825-8357-2688FD358BDC}"/>
            </c:ext>
          </c:extLst>
        </c:ser>
        <c:ser>
          <c:idx val="2"/>
          <c:order val="2"/>
          <c:tx>
            <c:strRef>
              <c:f>'CFO - YoY'!$B$23</c:f>
              <c:strCache>
                <c:ptCount val="1"/>
                <c:pt idx="0">
                  <c:v>75th</c:v>
                </c:pt>
              </c:strCache>
            </c:strRef>
          </c:tx>
          <c:spPr>
            <a:solidFill>
              <a:schemeClr val="tx2">
                <a:lumMod val="20000"/>
                <a:lumOff val="80000"/>
              </a:schemeClr>
            </a:solidFill>
          </c:spPr>
          <c:invertIfNegative val="0"/>
          <c:cat>
            <c:strRef>
              <c:f>'CFO - YoY'!$C$12:$E$12</c:f>
              <c:strCache>
                <c:ptCount val="3"/>
                <c:pt idx="0">
                  <c:v>2024 Target TDC</c:v>
                </c:pt>
                <c:pt idx="1">
                  <c:v>2025 Target TDC</c:v>
                </c:pt>
                <c:pt idx="2">
                  <c:v>2026E Target TDC</c:v>
                </c:pt>
              </c:strCache>
            </c:strRef>
          </c:cat>
          <c:val>
            <c:numRef>
              <c:f>'CFO - YoY'!$C$23:$E$23</c:f>
              <c:numCache>
                <c:formatCode>"$"#,##0</c:formatCode>
                <c:ptCount val="3"/>
                <c:pt idx="0">
                  <c:v>496.85235556653788</c:v>
                </c:pt>
                <c:pt idx="1">
                  <c:v>586.50833229795535</c:v>
                </c:pt>
                <c:pt idx="2">
                  <c:v>604.10358226689323</c:v>
                </c:pt>
              </c:numCache>
            </c:numRef>
          </c:val>
          <c:extLst>
            <c:ext xmlns:c16="http://schemas.microsoft.com/office/drawing/2014/chart" uri="{C3380CC4-5D6E-409C-BE32-E72D297353CC}">
              <c16:uniqueId val="{00000002-BB8A-4825-8357-2688FD358BDC}"/>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'CFO - YoY'!$B$25</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'CFO - YoY'!$C$25:$E$25</c:f>
              <c:numCache>
                <c:formatCode>"$"#,##0</c:formatCode>
                <c:ptCount val="3"/>
                <c:pt idx="0">
                  <c:v>2122.6197000000002</c:v>
                </c:pt>
                <c:pt idx="1">
                  <c:v>2313.6544000000004</c:v>
                </c:pt>
                <c:pt idx="2">
                  <c:v>2313.654</c:v>
                </c:pt>
              </c:numCache>
            </c:numRef>
          </c:yVal>
          <c:smooth val="0"/>
          <c:extLst>
            <c:ext xmlns:c16="http://schemas.microsoft.com/office/drawing/2014/chart" uri="{C3380CC4-5D6E-409C-BE32-E72D297353CC}">
              <c16:uniqueId val="{00000003-BB8A-4825-8357-2688FD358BDC}"/>
            </c:ext>
          </c:extLst>
        </c:ser>
        <c:ser>
          <c:idx val="4"/>
          <c:order val="4"/>
          <c:tx>
            <c:strRef>
              <c:f>'CFO - YoY'!$B$24</c:f>
              <c:strCache>
                <c:ptCount val="1"/>
                <c:pt idx="0">
                  <c:v>Average</c:v>
                </c:pt>
              </c:strCache>
            </c:strRef>
          </c:tx>
          <c:spPr>
            <a:ln w="28575">
              <a:noFill/>
            </a:ln>
          </c:spPr>
          <c:marker>
            <c:symbol val="dash"/>
            <c:size val="15"/>
            <c:spPr>
              <a:solidFill>
                <a:srgbClr val="AFABAB"/>
              </a:solidFill>
              <a:ln>
                <a:solidFill>
                  <a:srgbClr val="AFABAB"/>
                </a:solidFill>
              </a:ln>
            </c:spPr>
          </c:marker>
          <c:yVal>
            <c:numRef>
              <c:f>'CFO - YoY'!$C$24:$E$24</c:f>
              <c:numCache>
                <c:formatCode>"$"#,##0</c:formatCode>
                <c:ptCount val="3"/>
                <c:pt idx="0">
                  <c:v>2080.8100143840697</c:v>
                </c:pt>
                <c:pt idx="1">
                  <c:v>2409.0228119974167</c:v>
                </c:pt>
                <c:pt idx="2">
                  <c:v>2485.1007393049817</c:v>
                </c:pt>
              </c:numCache>
            </c:numRef>
          </c:yVal>
          <c:smooth val="0"/>
          <c:extLst>
            <c:ext xmlns:c16="http://schemas.microsoft.com/office/drawing/2014/chart" uri="{C3380CC4-5D6E-409C-BE32-E72D297353CC}">
              <c16:uniqueId val="{00000004-BB8A-4825-8357-2688FD358BDC}"/>
            </c:ext>
          </c:extLst>
        </c:ser>
        <c:ser>
          <c:idx val="5"/>
          <c:order val="5"/>
          <c:tx>
            <c:strRef>
              <c:f>'CFO - YoY'!$B$30</c:f>
              <c:strCache>
                <c:ptCount val="1"/>
                <c:pt idx="0">
                  <c:v>Company 1</c:v>
                </c:pt>
              </c:strCache>
            </c:strRef>
          </c:tx>
          <c:spPr>
            <a:ln w="28575">
              <a:noFill/>
            </a:ln>
          </c:spPr>
          <c:xVal>
            <c:strRef>
              <c:f>'CFO - YoY'!$C$12:$E$12</c:f>
              <c:strCache>
                <c:ptCount val="3"/>
                <c:pt idx="0">
                  <c:v>2024 Target TDC</c:v>
                </c:pt>
                <c:pt idx="1">
                  <c:v>2025 Target TDC</c:v>
                </c:pt>
                <c:pt idx="2">
                  <c:v>2026E Target TDC</c:v>
                </c:pt>
              </c:strCache>
            </c:strRef>
          </c:xVal>
          <c:yVal>
            <c:numRef>
              <c:f>'CFO - YoY'!$C$30:$E$30</c:f>
              <c:numCache>
                <c:formatCode>General</c:formatCode>
                <c:ptCount val="3"/>
              </c:numCache>
            </c:numRef>
          </c:yVal>
          <c:smooth val="0"/>
          <c:extLst>
            <c:ext xmlns:c16="http://schemas.microsoft.com/office/drawing/2014/chart" uri="{C3380CC4-5D6E-409C-BE32-E72D297353CC}">
              <c16:uniqueId val="{00000005-BB8A-4825-8357-2688FD358BDC}"/>
            </c:ext>
          </c:extLst>
        </c:ser>
        <c:ser>
          <c:idx val="6"/>
          <c:order val="6"/>
          <c:tx>
            <c:strRef>
              <c:f>'CFO - YoY'!$B$31</c:f>
              <c:strCache>
                <c:ptCount val="1"/>
                <c:pt idx="0">
                  <c:v>Company 2</c:v>
                </c:pt>
              </c:strCache>
            </c:strRef>
          </c:tx>
          <c:spPr>
            <a:ln w="28575">
              <a:noFill/>
            </a:ln>
          </c:spPr>
          <c:xVal>
            <c:strRef>
              <c:f>'CFO - YoY'!$C$12:$E$12</c:f>
              <c:strCache>
                <c:ptCount val="3"/>
                <c:pt idx="0">
                  <c:v>2024 Target TDC</c:v>
                </c:pt>
                <c:pt idx="1">
                  <c:v>2025 Target TDC</c:v>
                </c:pt>
                <c:pt idx="2">
                  <c:v>2026E Target TDC</c:v>
                </c:pt>
              </c:strCache>
            </c:strRef>
          </c:xVal>
          <c:yVal>
            <c:numRef>
              <c:f>'CFO - YoY'!$C$31:$E$31</c:f>
              <c:numCache>
                <c:formatCode>General</c:formatCode>
                <c:ptCount val="3"/>
              </c:numCache>
            </c:numRef>
          </c:yVal>
          <c:smooth val="0"/>
          <c:extLst>
            <c:ext xmlns:c16="http://schemas.microsoft.com/office/drawing/2014/chart" uri="{C3380CC4-5D6E-409C-BE32-E72D297353CC}">
              <c16:uniqueId val="{00000006-BB8A-4825-8357-2688FD358BDC}"/>
            </c:ext>
          </c:extLst>
        </c:ser>
        <c:ser>
          <c:idx val="7"/>
          <c:order val="7"/>
          <c:tx>
            <c:strRef>
              <c:f>'CFO - YoY'!$B$32</c:f>
              <c:strCache>
                <c:ptCount val="1"/>
                <c:pt idx="0">
                  <c:v>Company 3</c:v>
                </c:pt>
              </c:strCache>
            </c:strRef>
          </c:tx>
          <c:spPr>
            <a:ln w="28575">
              <a:noFill/>
            </a:ln>
          </c:spPr>
          <c:xVal>
            <c:strRef>
              <c:f>'CFO - YoY'!$C$12:$E$12</c:f>
              <c:strCache>
                <c:ptCount val="3"/>
                <c:pt idx="0">
                  <c:v>2024 Target TDC</c:v>
                </c:pt>
                <c:pt idx="1">
                  <c:v>2025 Target TDC</c:v>
                </c:pt>
                <c:pt idx="2">
                  <c:v>2026E Target TDC</c:v>
                </c:pt>
              </c:strCache>
            </c:strRef>
          </c:xVal>
          <c:yVal>
            <c:numRef>
              <c:f>'CFO - YoY'!$C$32:$E$32</c:f>
              <c:numCache>
                <c:formatCode>General</c:formatCode>
                <c:ptCount val="3"/>
              </c:numCache>
            </c:numRef>
          </c:yVal>
          <c:smooth val="0"/>
          <c:extLst>
            <c:ext xmlns:c16="http://schemas.microsoft.com/office/drawing/2014/chart" uri="{C3380CC4-5D6E-409C-BE32-E72D297353CC}">
              <c16:uniqueId val="{00000007-BB8A-4825-8357-2688FD358BDC}"/>
            </c:ext>
          </c:extLst>
        </c:ser>
        <c:ser>
          <c:idx val="8"/>
          <c:order val="8"/>
          <c:tx>
            <c:strRef>
              <c:f>'CFO - YoY'!$B$33</c:f>
              <c:strCache>
                <c:ptCount val="1"/>
                <c:pt idx="0">
                  <c:v>Company 4</c:v>
                </c:pt>
              </c:strCache>
            </c:strRef>
          </c:tx>
          <c:spPr>
            <a:ln w="28575">
              <a:noFill/>
            </a:ln>
          </c:spPr>
          <c:xVal>
            <c:strRef>
              <c:f>'CFO - YoY'!$C$12:$E$12</c:f>
              <c:strCache>
                <c:ptCount val="3"/>
                <c:pt idx="0">
                  <c:v>2024 Target TDC</c:v>
                </c:pt>
                <c:pt idx="1">
                  <c:v>2025 Target TDC</c:v>
                </c:pt>
                <c:pt idx="2">
                  <c:v>2026E Target TDC</c:v>
                </c:pt>
              </c:strCache>
            </c:strRef>
          </c:xVal>
          <c:yVal>
            <c:numRef>
              <c:f>'CFO - YoY'!$C$33:$E$33</c:f>
              <c:numCache>
                <c:formatCode>General</c:formatCode>
                <c:ptCount val="3"/>
              </c:numCache>
            </c:numRef>
          </c:yVal>
          <c:smooth val="0"/>
          <c:extLst>
            <c:ext xmlns:c16="http://schemas.microsoft.com/office/drawing/2014/chart" uri="{C3380CC4-5D6E-409C-BE32-E72D297353CC}">
              <c16:uniqueId val="{00000008-BB8A-4825-8357-2688FD358BDC}"/>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'CFO - YoY'!$B$48</c:f>
              <c:strCache>
                <c:ptCount val="1"/>
                <c:pt idx="0">
                  <c:v>25th</c:v>
                </c:pt>
              </c:strCache>
            </c:strRef>
          </c:tx>
          <c:spPr>
            <a:noFill/>
          </c:spPr>
          <c:invertIfNegative val="0"/>
          <c:cat>
            <c:strRef>
              <c:f>'CEO - YoY'!$C$40:$D$40</c:f>
              <c:strCache>
                <c:ptCount val="2"/>
                <c:pt idx="0">
                  <c:v>2024 Target TDC</c:v>
                </c:pt>
                <c:pt idx="1">
                  <c:v>2025 Target TDC</c:v>
                </c:pt>
              </c:strCache>
            </c:strRef>
          </c:cat>
          <c:val>
            <c:numRef>
              <c:f>'CFO - YoY'!$C$48:$D$48</c:f>
              <c:numCache>
                <c:formatCode>"$"#,##0</c:formatCode>
                <c:ptCount val="2"/>
                <c:pt idx="0">
                  <c:v>1821.0081250000001</c:v>
                </c:pt>
                <c:pt idx="1">
                  <c:v>1982.4485051361999</c:v>
                </c:pt>
              </c:numCache>
            </c:numRef>
          </c:val>
          <c:extLst>
            <c:ext xmlns:c16="http://schemas.microsoft.com/office/drawing/2014/chart" uri="{C3380CC4-5D6E-409C-BE32-E72D297353CC}">
              <c16:uniqueId val="{00000000-C01C-4F81-8393-E20F60A2672E}"/>
            </c:ext>
          </c:extLst>
        </c:ser>
        <c:ser>
          <c:idx val="1"/>
          <c:order val="1"/>
          <c:tx>
            <c:strRef>
              <c:f>'CFO - YoY'!$B$49</c:f>
              <c:strCache>
                <c:ptCount val="1"/>
                <c:pt idx="0">
                  <c:v>50th</c:v>
                </c:pt>
              </c:strCache>
            </c:strRef>
          </c:tx>
          <c:spPr>
            <a:solidFill>
              <a:srgbClr val="002957"/>
            </a:solidFill>
          </c:spPr>
          <c:invertIfNegative val="0"/>
          <c:cat>
            <c:strRef>
              <c:f>'CEO - YoY'!$C$40:$D$40</c:f>
              <c:strCache>
                <c:ptCount val="2"/>
                <c:pt idx="0">
                  <c:v>2024 Target TDC</c:v>
                </c:pt>
                <c:pt idx="1">
                  <c:v>2025 Target TDC</c:v>
                </c:pt>
              </c:strCache>
            </c:strRef>
          </c:cat>
          <c:val>
            <c:numRef>
              <c:f>'CFO - YoY'!$C$49:$D$49</c:f>
              <c:numCache>
                <c:formatCode>"$"#,##0</c:formatCode>
                <c:ptCount val="2"/>
                <c:pt idx="0">
                  <c:v>238.19395000000009</c:v>
                </c:pt>
                <c:pt idx="1">
                  <c:v>242.24020683982235</c:v>
                </c:pt>
              </c:numCache>
            </c:numRef>
          </c:val>
          <c:extLst>
            <c:ext xmlns:c16="http://schemas.microsoft.com/office/drawing/2014/chart" uri="{C3380CC4-5D6E-409C-BE32-E72D297353CC}">
              <c16:uniqueId val="{00000001-C01C-4F81-8393-E20F60A2672E}"/>
            </c:ext>
          </c:extLst>
        </c:ser>
        <c:ser>
          <c:idx val="2"/>
          <c:order val="2"/>
          <c:tx>
            <c:strRef>
              <c:f>'CFO - YoY'!$B$50</c:f>
              <c:strCache>
                <c:ptCount val="1"/>
                <c:pt idx="0">
                  <c:v>75th</c:v>
                </c:pt>
              </c:strCache>
            </c:strRef>
          </c:tx>
          <c:spPr>
            <a:solidFill>
              <a:schemeClr val="tx2">
                <a:lumMod val="20000"/>
                <a:lumOff val="80000"/>
              </a:schemeClr>
            </a:solidFill>
          </c:spPr>
          <c:invertIfNegative val="0"/>
          <c:cat>
            <c:strRef>
              <c:f>'CEO - YoY'!$C$40:$D$40</c:f>
              <c:strCache>
                <c:ptCount val="2"/>
                <c:pt idx="0">
                  <c:v>2024 Target TDC</c:v>
                </c:pt>
                <c:pt idx="1">
                  <c:v>2025 Target TDC</c:v>
                </c:pt>
              </c:strCache>
            </c:strRef>
          </c:cat>
          <c:val>
            <c:numRef>
              <c:f>'CFO - YoY'!$C$50:$D$50</c:f>
              <c:numCache>
                <c:formatCode>"$"#,##0</c:formatCode>
                <c:ptCount val="2"/>
                <c:pt idx="0">
                  <c:v>417.50014333605577</c:v>
                </c:pt>
                <c:pt idx="1">
                  <c:v>581.05408172614989</c:v>
                </c:pt>
              </c:numCache>
            </c:numRef>
          </c:val>
          <c:extLst>
            <c:ext xmlns:c16="http://schemas.microsoft.com/office/drawing/2014/chart" uri="{C3380CC4-5D6E-409C-BE32-E72D297353CC}">
              <c16:uniqueId val="{00000002-C01C-4F81-8393-E20F60A2672E}"/>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'CFO - YoY'!$B$52</c:f>
              <c:strCache>
                <c:ptCount val="1"/>
                <c:pt idx="0">
                  <c:v>Hudbay Minerals</c:v>
                </c:pt>
              </c:strCache>
            </c:strRef>
          </c:tx>
          <c:spPr>
            <a:ln w="28575">
              <a:noFill/>
            </a:ln>
          </c:spPr>
          <c:marker>
            <c:symbol val="diamond"/>
            <c:size val="10"/>
            <c:spPr>
              <a:solidFill>
                <a:srgbClr val="F0531E"/>
              </a:solidFill>
              <a:ln>
                <a:solidFill>
                  <a:srgbClr val="F0531E"/>
                </a:solidFill>
              </a:ln>
            </c:spPr>
          </c:marker>
          <c:xVal>
            <c:strRef>
              <c:f>'CFO - YoY'!$C$40:$D$40</c:f>
              <c:strCache>
                <c:ptCount val="2"/>
                <c:pt idx="0">
                  <c:v>2024 Target TDC</c:v>
                </c:pt>
                <c:pt idx="1">
                  <c:v>2025 Target TDC</c:v>
                </c:pt>
              </c:strCache>
            </c:strRef>
          </c:xVal>
          <c:yVal>
            <c:numRef>
              <c:f>'CFO - YoY'!$C$52:$D$52</c:f>
              <c:numCache>
                <c:formatCode>"$"#,##0</c:formatCode>
                <c:ptCount val="2"/>
                <c:pt idx="0">
                  <c:v>2122.6197000000002</c:v>
                </c:pt>
                <c:pt idx="1">
                  <c:v>2313.6544000000004</c:v>
                </c:pt>
              </c:numCache>
            </c:numRef>
          </c:yVal>
          <c:smooth val="0"/>
          <c:extLst>
            <c:ext xmlns:c16="http://schemas.microsoft.com/office/drawing/2014/chart" uri="{C3380CC4-5D6E-409C-BE32-E72D297353CC}">
              <c16:uniqueId val="{00000003-C01C-4F81-8393-E20F60A2672E}"/>
            </c:ext>
          </c:extLst>
        </c:ser>
        <c:ser>
          <c:idx val="4"/>
          <c:order val="4"/>
          <c:tx>
            <c:strRef>
              <c:f>'CFO - YoY'!$B$51</c:f>
              <c:strCache>
                <c:ptCount val="1"/>
                <c:pt idx="0">
                  <c:v>Average</c:v>
                </c:pt>
              </c:strCache>
            </c:strRef>
          </c:tx>
          <c:spPr>
            <a:ln w="28575">
              <a:noFill/>
            </a:ln>
          </c:spPr>
          <c:marker>
            <c:symbol val="dash"/>
            <c:size val="15"/>
            <c:spPr>
              <a:solidFill>
                <a:srgbClr val="AFABAB"/>
              </a:solidFill>
              <a:ln>
                <a:solidFill>
                  <a:srgbClr val="AFABAB"/>
                </a:solidFill>
              </a:ln>
            </c:spPr>
          </c:marker>
          <c:xVal>
            <c:strRef>
              <c:f>'CFO - YoY'!$C$40:$D$40</c:f>
              <c:strCache>
                <c:ptCount val="2"/>
                <c:pt idx="0">
                  <c:v>2024 Target TDC</c:v>
                </c:pt>
                <c:pt idx="1">
                  <c:v>2025 Target TDC</c:v>
                </c:pt>
              </c:strCache>
            </c:strRef>
          </c:xVal>
          <c:yVal>
            <c:numRef>
              <c:f>'CFO - YoY'!$C$51:$D$51</c:f>
              <c:numCache>
                <c:formatCode>"$"#,##0</c:formatCode>
                <c:ptCount val="2"/>
                <c:pt idx="0">
                  <c:v>2160.7276459508962</c:v>
                </c:pt>
                <c:pt idx="1">
                  <c:v>2361.6764035384372</c:v>
                </c:pt>
              </c:numCache>
            </c:numRef>
          </c:yVal>
          <c:smooth val="0"/>
          <c:extLst>
            <c:ext xmlns:c16="http://schemas.microsoft.com/office/drawing/2014/chart" uri="{C3380CC4-5D6E-409C-BE32-E72D297353CC}">
              <c16:uniqueId val="{00000004-C01C-4F81-8393-E20F60A2672E}"/>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'COO - YoY'!$B$21</c:f>
              <c:strCache>
                <c:ptCount val="1"/>
                <c:pt idx="0">
                  <c:v>25th</c:v>
                </c:pt>
              </c:strCache>
            </c:strRef>
          </c:tx>
          <c:spPr>
            <a:noFill/>
          </c:spPr>
          <c:invertIfNegative val="0"/>
          <c:cat>
            <c:strRef>
              <c:f>'COO - YoY'!$C$12:$E$12</c:f>
              <c:strCache>
                <c:ptCount val="3"/>
                <c:pt idx="0">
                  <c:v>2024 Target TDC</c:v>
                </c:pt>
                <c:pt idx="1">
                  <c:v>2025 Target TDC</c:v>
                </c:pt>
                <c:pt idx="2">
                  <c:v>2026E Target TDC</c:v>
                </c:pt>
              </c:strCache>
            </c:strRef>
          </c:cat>
          <c:val>
            <c:numRef>
              <c:f>'COO - YoY'!$C$21:$E$21</c:f>
              <c:numCache>
                <c:formatCode>"$"#,##0</c:formatCode>
                <c:ptCount val="3"/>
                <c:pt idx="0">
                  <c:v>2127.4594999999999</c:v>
                </c:pt>
                <c:pt idx="1">
                  <c:v>2378.0617531284747</c:v>
                </c:pt>
                <c:pt idx="2">
                  <c:v>2315.9972951805821</c:v>
                </c:pt>
              </c:numCache>
            </c:numRef>
          </c:val>
          <c:extLst>
            <c:ext xmlns:c16="http://schemas.microsoft.com/office/drawing/2014/chart" uri="{C3380CC4-5D6E-409C-BE32-E72D297353CC}">
              <c16:uniqueId val="{00000000-7D3B-4E1E-8112-705EBB62C4AF}"/>
            </c:ext>
          </c:extLst>
        </c:ser>
        <c:ser>
          <c:idx val="1"/>
          <c:order val="1"/>
          <c:tx>
            <c:strRef>
              <c:f>'COO - YoY'!$B$22</c:f>
              <c:strCache>
                <c:ptCount val="1"/>
                <c:pt idx="0">
                  <c:v>50th</c:v>
                </c:pt>
              </c:strCache>
            </c:strRef>
          </c:tx>
          <c:spPr>
            <a:solidFill>
              <a:srgbClr val="002957"/>
            </a:solidFill>
          </c:spPr>
          <c:invertIfNegative val="0"/>
          <c:cat>
            <c:strRef>
              <c:f>'COO - YoY'!$C$12:$E$12</c:f>
              <c:strCache>
                <c:ptCount val="3"/>
                <c:pt idx="0">
                  <c:v>2024 Target TDC</c:v>
                </c:pt>
                <c:pt idx="1">
                  <c:v>2025 Target TDC</c:v>
                </c:pt>
                <c:pt idx="2">
                  <c:v>2026E Target TDC</c:v>
                </c:pt>
              </c:strCache>
            </c:strRef>
          </c:cat>
          <c:val>
            <c:numRef>
              <c:f>'COO - YoY'!$C$22:$E$22</c:f>
              <c:numCache>
                <c:formatCode>"$"#,##0</c:formatCode>
                <c:ptCount val="3"/>
                <c:pt idx="0">
                  <c:v>343.94806240906064</c:v>
                </c:pt>
                <c:pt idx="1">
                  <c:v>481.92677243952539</c:v>
                </c:pt>
                <c:pt idx="2">
                  <c:v>446.04442048693818</c:v>
                </c:pt>
              </c:numCache>
            </c:numRef>
          </c:val>
          <c:extLst>
            <c:ext xmlns:c16="http://schemas.microsoft.com/office/drawing/2014/chart" uri="{C3380CC4-5D6E-409C-BE32-E72D297353CC}">
              <c16:uniqueId val="{00000001-7D3B-4E1E-8112-705EBB62C4AF}"/>
            </c:ext>
          </c:extLst>
        </c:ser>
        <c:ser>
          <c:idx val="2"/>
          <c:order val="2"/>
          <c:tx>
            <c:strRef>
              <c:f>'COO - YoY'!$B$23</c:f>
              <c:strCache>
                <c:ptCount val="1"/>
                <c:pt idx="0">
                  <c:v>75th</c:v>
                </c:pt>
              </c:strCache>
            </c:strRef>
          </c:tx>
          <c:spPr>
            <a:solidFill>
              <a:schemeClr val="tx2">
                <a:lumMod val="20000"/>
                <a:lumOff val="80000"/>
              </a:schemeClr>
            </a:solidFill>
          </c:spPr>
          <c:invertIfNegative val="0"/>
          <c:cat>
            <c:strRef>
              <c:f>'COO - YoY'!$C$12:$E$12</c:f>
              <c:strCache>
                <c:ptCount val="3"/>
                <c:pt idx="0">
                  <c:v>2024 Target TDC</c:v>
                </c:pt>
                <c:pt idx="1">
                  <c:v>2025 Target TDC</c:v>
                </c:pt>
                <c:pt idx="2">
                  <c:v>2026E Target TDC</c:v>
                </c:pt>
              </c:strCache>
            </c:strRef>
          </c:cat>
          <c:val>
            <c:numRef>
              <c:f>'COO - YoY'!$C$23:$E$23</c:f>
              <c:numCache>
                <c:formatCode>"$"#,##0</c:formatCode>
                <c:ptCount val="3"/>
                <c:pt idx="0">
                  <c:v>228.29730590093959</c:v>
                </c:pt>
                <c:pt idx="1">
                  <c:v>211.39369621533342</c:v>
                </c:pt>
                <c:pt idx="2">
                  <c:v>393.40105066010483</c:v>
                </c:pt>
              </c:numCache>
            </c:numRef>
          </c:val>
          <c:extLst>
            <c:ext xmlns:c16="http://schemas.microsoft.com/office/drawing/2014/chart" uri="{C3380CC4-5D6E-409C-BE32-E72D297353CC}">
              <c16:uniqueId val="{00000002-7D3B-4E1E-8112-705EBB62C4AF}"/>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4"/>
          <c:order val="4"/>
          <c:tx>
            <c:strRef>
              <c:f>'COO - YoY'!$B$24</c:f>
              <c:strCache>
                <c:ptCount val="1"/>
                <c:pt idx="0">
                  <c:v>Average</c:v>
                </c:pt>
              </c:strCache>
            </c:strRef>
          </c:tx>
          <c:spPr>
            <a:ln w="28575">
              <a:noFill/>
            </a:ln>
          </c:spPr>
          <c:marker>
            <c:symbol val="dash"/>
            <c:size val="15"/>
            <c:spPr>
              <a:solidFill>
                <a:srgbClr val="AFABAB"/>
              </a:solidFill>
              <a:ln>
                <a:solidFill>
                  <a:srgbClr val="AFABAB"/>
                </a:solidFill>
              </a:ln>
            </c:spPr>
          </c:marker>
          <c:yVal>
            <c:numRef>
              <c:f>'COO - YoY'!$C$24:$E$24</c:f>
              <c:numCache>
                <c:formatCode>"$"#,##0</c:formatCode>
                <c:ptCount val="3"/>
                <c:pt idx="0">
                  <c:v>2426.1705153423964</c:v>
                </c:pt>
                <c:pt idx="1">
                  <c:v>2733.9997915670779</c:v>
                </c:pt>
                <c:pt idx="2">
                  <c:v>2712.4672940915334</c:v>
                </c:pt>
              </c:numCache>
            </c:numRef>
          </c:yVal>
          <c:smooth val="0"/>
          <c:extLst>
            <c:ext xmlns:c16="http://schemas.microsoft.com/office/drawing/2014/chart" uri="{C3380CC4-5D6E-409C-BE32-E72D297353CC}">
              <c16:uniqueId val="{00000004-7D3B-4E1E-8112-705EBB62C4AF}"/>
            </c:ext>
          </c:extLst>
        </c:ser>
        <c:ser>
          <c:idx val="5"/>
          <c:order val="5"/>
          <c:tx>
            <c:strRef>
              <c:f>'COO - YoY'!$B$30</c:f>
              <c:strCache>
                <c:ptCount val="1"/>
                <c:pt idx="0">
                  <c:v>Company 1</c:v>
                </c:pt>
              </c:strCache>
            </c:strRef>
          </c:tx>
          <c:spPr>
            <a:ln w="28575">
              <a:noFill/>
            </a:ln>
          </c:spPr>
          <c:xVal>
            <c:strRef>
              <c:f>'COO - YoY'!$C$12:$E$12</c:f>
              <c:strCache>
                <c:ptCount val="3"/>
                <c:pt idx="0">
                  <c:v>2024 Target TDC</c:v>
                </c:pt>
                <c:pt idx="1">
                  <c:v>2025 Target TDC</c:v>
                </c:pt>
                <c:pt idx="2">
                  <c:v>2026E Target TDC</c:v>
                </c:pt>
              </c:strCache>
            </c:strRef>
          </c:xVal>
          <c:yVal>
            <c:numRef>
              <c:f>'COO - YoY'!$C$30:$E$30</c:f>
              <c:numCache>
                <c:formatCode>General</c:formatCode>
                <c:ptCount val="3"/>
              </c:numCache>
            </c:numRef>
          </c:yVal>
          <c:smooth val="0"/>
          <c:extLst>
            <c:ext xmlns:c16="http://schemas.microsoft.com/office/drawing/2014/chart" uri="{C3380CC4-5D6E-409C-BE32-E72D297353CC}">
              <c16:uniqueId val="{00000005-7D3B-4E1E-8112-705EBB62C4AF}"/>
            </c:ext>
          </c:extLst>
        </c:ser>
        <c:ser>
          <c:idx val="6"/>
          <c:order val="6"/>
          <c:tx>
            <c:strRef>
              <c:f>'COO - YoY'!$B$31</c:f>
              <c:strCache>
                <c:ptCount val="1"/>
                <c:pt idx="0">
                  <c:v>Company 2</c:v>
                </c:pt>
              </c:strCache>
            </c:strRef>
          </c:tx>
          <c:spPr>
            <a:ln w="28575">
              <a:noFill/>
            </a:ln>
          </c:spPr>
          <c:xVal>
            <c:strRef>
              <c:f>'COO - YoY'!$C$12:$E$12</c:f>
              <c:strCache>
                <c:ptCount val="3"/>
                <c:pt idx="0">
                  <c:v>2024 Target TDC</c:v>
                </c:pt>
                <c:pt idx="1">
                  <c:v>2025 Target TDC</c:v>
                </c:pt>
                <c:pt idx="2">
                  <c:v>2026E Target TDC</c:v>
                </c:pt>
              </c:strCache>
            </c:strRef>
          </c:xVal>
          <c:yVal>
            <c:numRef>
              <c:f>'COO - YoY'!$C$31:$E$31</c:f>
              <c:numCache>
                <c:formatCode>General</c:formatCode>
                <c:ptCount val="3"/>
              </c:numCache>
            </c:numRef>
          </c:yVal>
          <c:smooth val="0"/>
          <c:extLst>
            <c:ext xmlns:c16="http://schemas.microsoft.com/office/drawing/2014/chart" uri="{C3380CC4-5D6E-409C-BE32-E72D297353CC}">
              <c16:uniqueId val="{00000006-7D3B-4E1E-8112-705EBB62C4AF}"/>
            </c:ext>
          </c:extLst>
        </c:ser>
        <c:ser>
          <c:idx val="7"/>
          <c:order val="7"/>
          <c:tx>
            <c:strRef>
              <c:f>'COO - YoY'!$B$32</c:f>
              <c:strCache>
                <c:ptCount val="1"/>
                <c:pt idx="0">
                  <c:v>Company 3</c:v>
                </c:pt>
              </c:strCache>
            </c:strRef>
          </c:tx>
          <c:spPr>
            <a:ln w="28575">
              <a:noFill/>
            </a:ln>
          </c:spPr>
          <c:xVal>
            <c:strRef>
              <c:f>'COO - YoY'!$C$12:$E$12</c:f>
              <c:strCache>
                <c:ptCount val="3"/>
                <c:pt idx="0">
                  <c:v>2024 Target TDC</c:v>
                </c:pt>
                <c:pt idx="1">
                  <c:v>2025 Target TDC</c:v>
                </c:pt>
                <c:pt idx="2">
                  <c:v>2026E Target TDC</c:v>
                </c:pt>
              </c:strCache>
            </c:strRef>
          </c:xVal>
          <c:yVal>
            <c:numRef>
              <c:f>'COO - YoY'!$C$32:$E$32</c:f>
              <c:numCache>
                <c:formatCode>General</c:formatCode>
                <c:ptCount val="3"/>
              </c:numCache>
            </c:numRef>
          </c:yVal>
          <c:smooth val="0"/>
          <c:extLst>
            <c:ext xmlns:c16="http://schemas.microsoft.com/office/drawing/2014/chart" uri="{C3380CC4-5D6E-409C-BE32-E72D297353CC}">
              <c16:uniqueId val="{00000007-7D3B-4E1E-8112-705EBB62C4AF}"/>
            </c:ext>
          </c:extLst>
        </c:ser>
        <c:ser>
          <c:idx val="8"/>
          <c:order val="8"/>
          <c:tx>
            <c:strRef>
              <c:f>'COO - YoY'!$B$33</c:f>
              <c:strCache>
                <c:ptCount val="1"/>
                <c:pt idx="0">
                  <c:v>Company 4</c:v>
                </c:pt>
              </c:strCache>
            </c:strRef>
          </c:tx>
          <c:spPr>
            <a:ln w="28575">
              <a:noFill/>
            </a:ln>
          </c:spPr>
          <c:xVal>
            <c:strRef>
              <c:f>'COO - YoY'!$C$12:$E$12</c:f>
              <c:strCache>
                <c:ptCount val="3"/>
                <c:pt idx="0">
                  <c:v>2024 Target TDC</c:v>
                </c:pt>
                <c:pt idx="1">
                  <c:v>2025 Target TDC</c:v>
                </c:pt>
                <c:pt idx="2">
                  <c:v>2026E Target TDC</c:v>
                </c:pt>
              </c:strCache>
            </c:strRef>
          </c:xVal>
          <c:yVal>
            <c:numRef>
              <c:f>'COO - YoY'!$C$33:$E$33</c:f>
              <c:numCache>
                <c:formatCode>General</c:formatCode>
                <c:ptCount val="3"/>
              </c:numCache>
            </c:numRef>
          </c:yVal>
          <c:smooth val="0"/>
          <c:extLst>
            <c:ext xmlns:c16="http://schemas.microsoft.com/office/drawing/2014/chart" uri="{C3380CC4-5D6E-409C-BE32-E72D297353CC}">
              <c16:uniqueId val="{00000008-7D3B-4E1E-8112-705EBB62C4AF}"/>
            </c:ext>
          </c:extLst>
        </c:ser>
        <c:dLbls>
          <c:showLegendKey val="0"/>
          <c:showVal val="0"/>
          <c:showCatName val="0"/>
          <c:showSerName val="0"/>
          <c:showPercent val="0"/>
          <c:showBubbleSize val="0"/>
        </c:dLbls>
        <c:axId val="721418768"/>
        <c:axId val="721418376"/>
        <c:extLst>
          <c:ext xmlns:c15="http://schemas.microsoft.com/office/drawing/2012/chart" uri="{02D57815-91ED-43cb-92C2-25804820EDAC}">
            <c15:filteredScatterSeries>
              <c15:ser>
                <c:idx val="3"/>
                <c:order val="3"/>
                <c:tx>
                  <c:strRef>
                    <c:extLst>
                      <c:ext uri="{02D57815-91ED-43cb-92C2-25804820EDAC}">
                        <c15:formulaRef>
                          <c15:sqref>'COO - YoY'!$B$25</c15:sqref>
                        </c15:formulaRef>
                      </c:ext>
                    </c:extLst>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extLst>
                      <c:ext uri="{02D57815-91ED-43cb-92C2-25804820EDAC}">
                        <c15:formulaRef>
                          <c15:sqref>'COO - YoY'!$C$25:$E$25</c15:sqref>
                        </c15:formulaRef>
                      </c:ext>
                    </c:extLst>
                    <c:numCache>
                      <c:formatCode>"$"#,##0</c:formatCode>
                      <c:ptCount val="3"/>
                      <c:pt idx="0">
                        <c:v>2408.6999999999998</c:v>
                      </c:pt>
                      <c:pt idx="1">
                        <c:v>2577.3090000000002</c:v>
                      </c:pt>
                      <c:pt idx="2">
                        <c:v>2577.3090000000002</c:v>
                      </c:pt>
                    </c:numCache>
                  </c:numRef>
                </c:yVal>
                <c:smooth val="0"/>
                <c:extLst>
                  <c:ext xmlns:c16="http://schemas.microsoft.com/office/drawing/2014/chart" uri="{C3380CC4-5D6E-409C-BE32-E72D297353CC}">
                    <c16:uniqueId val="{00000003-7D3B-4E1E-8112-705EBB62C4AF}"/>
                  </c:ext>
                </c:extLst>
              </c15:ser>
            </c15:filteredScatterSeries>
          </c:ext>
        </c:extLst>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'COO - YoY'!$B$48</c:f>
              <c:strCache>
                <c:ptCount val="1"/>
                <c:pt idx="0">
                  <c:v>25th</c:v>
                </c:pt>
              </c:strCache>
            </c:strRef>
          </c:tx>
          <c:spPr>
            <a:noFill/>
          </c:spPr>
          <c:invertIfNegative val="0"/>
          <c:cat>
            <c:strRef>
              <c:f>'CEO - YoY'!$C$40:$D$40</c:f>
              <c:strCache>
                <c:ptCount val="2"/>
                <c:pt idx="0">
                  <c:v>2024 Target TDC</c:v>
                </c:pt>
                <c:pt idx="1">
                  <c:v>2025 Target TDC</c:v>
                </c:pt>
              </c:strCache>
            </c:strRef>
          </c:cat>
          <c:val>
            <c:numRef>
              <c:f>'COO - YoY'!$C$48:$D$48</c:f>
              <c:numCache>
                <c:formatCode>"$"#,##0</c:formatCode>
                <c:ptCount val="2"/>
                <c:pt idx="0">
                  <c:v>2307.5</c:v>
                </c:pt>
                <c:pt idx="1">
                  <c:v>2291.7146265642373</c:v>
                </c:pt>
              </c:numCache>
            </c:numRef>
          </c:val>
          <c:extLst>
            <c:ext xmlns:c16="http://schemas.microsoft.com/office/drawing/2014/chart" uri="{C3380CC4-5D6E-409C-BE32-E72D297353CC}">
              <c16:uniqueId val="{00000000-76D6-4419-8962-6C164EDE22F5}"/>
            </c:ext>
          </c:extLst>
        </c:ser>
        <c:ser>
          <c:idx val="1"/>
          <c:order val="1"/>
          <c:tx>
            <c:strRef>
              <c:f>'COO - YoY'!$B$49</c:f>
              <c:strCache>
                <c:ptCount val="1"/>
                <c:pt idx="0">
                  <c:v>50th</c:v>
                </c:pt>
              </c:strCache>
            </c:strRef>
          </c:tx>
          <c:spPr>
            <a:solidFill>
              <a:srgbClr val="002957"/>
            </a:solidFill>
          </c:spPr>
          <c:invertIfNegative val="0"/>
          <c:cat>
            <c:strRef>
              <c:f>'CEO - YoY'!$C$40:$D$40</c:f>
              <c:strCache>
                <c:ptCount val="2"/>
                <c:pt idx="0">
                  <c:v>2024 Target TDC</c:v>
                </c:pt>
                <c:pt idx="1">
                  <c:v>2025 Target TDC</c:v>
                </c:pt>
              </c:strCache>
            </c:strRef>
          </c:cat>
          <c:val>
            <c:numRef>
              <c:f>'COO - YoY'!$C$49:$D$49</c:f>
              <c:numCache>
                <c:formatCode>"$"#,##0</c:formatCode>
                <c:ptCount val="2"/>
                <c:pt idx="0">
                  <c:v>201.71512481812124</c:v>
                </c:pt>
                <c:pt idx="1">
                  <c:v>568.27389900376284</c:v>
                </c:pt>
              </c:numCache>
            </c:numRef>
          </c:val>
          <c:extLst>
            <c:ext xmlns:c16="http://schemas.microsoft.com/office/drawing/2014/chart" uri="{C3380CC4-5D6E-409C-BE32-E72D297353CC}">
              <c16:uniqueId val="{00000001-76D6-4419-8962-6C164EDE22F5}"/>
            </c:ext>
          </c:extLst>
        </c:ser>
        <c:ser>
          <c:idx val="2"/>
          <c:order val="2"/>
          <c:tx>
            <c:strRef>
              <c:f>'COO - YoY'!$B$50</c:f>
              <c:strCache>
                <c:ptCount val="1"/>
                <c:pt idx="0">
                  <c:v>75th</c:v>
                </c:pt>
              </c:strCache>
            </c:strRef>
          </c:tx>
          <c:spPr>
            <a:solidFill>
              <a:schemeClr val="tx2">
                <a:lumMod val="20000"/>
                <a:lumOff val="80000"/>
              </a:schemeClr>
            </a:solidFill>
          </c:spPr>
          <c:invertIfNegative val="0"/>
          <c:cat>
            <c:strRef>
              <c:f>'CEO - YoY'!$C$40:$D$40</c:f>
              <c:strCache>
                <c:ptCount val="2"/>
                <c:pt idx="0">
                  <c:v>2024 Target TDC</c:v>
                </c:pt>
                <c:pt idx="1">
                  <c:v>2025 Target TDC</c:v>
                </c:pt>
              </c:strCache>
            </c:strRef>
          </c:cat>
          <c:val>
            <c:numRef>
              <c:f>'COO - YoY'!$C$50:$D$50</c:f>
              <c:numCache>
                <c:formatCode>"$"#,##0</c:formatCode>
                <c:ptCount val="2"/>
                <c:pt idx="0">
                  <c:v>368.14187518187919</c:v>
                </c:pt>
                <c:pt idx="1">
                  <c:v>195.70258532366643</c:v>
                </c:pt>
              </c:numCache>
            </c:numRef>
          </c:val>
          <c:extLst>
            <c:ext xmlns:c16="http://schemas.microsoft.com/office/drawing/2014/chart" uri="{C3380CC4-5D6E-409C-BE32-E72D297353CC}">
              <c16:uniqueId val="{00000002-76D6-4419-8962-6C164EDE22F5}"/>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'COO - YoY'!$B$52</c:f>
              <c:strCache>
                <c:ptCount val="1"/>
                <c:pt idx="0">
                  <c:v>Hudbay Minerals</c:v>
                </c:pt>
              </c:strCache>
            </c:strRef>
          </c:tx>
          <c:spPr>
            <a:ln w="28575">
              <a:noFill/>
            </a:ln>
          </c:spPr>
          <c:marker>
            <c:symbol val="diamond"/>
            <c:size val="10"/>
            <c:spPr>
              <a:solidFill>
                <a:srgbClr val="F0531E"/>
              </a:solidFill>
              <a:ln>
                <a:solidFill>
                  <a:srgbClr val="F0531E"/>
                </a:solidFill>
              </a:ln>
            </c:spPr>
          </c:marker>
          <c:xVal>
            <c:strRef>
              <c:f>'COO - YoY'!$C$40:$D$40</c:f>
              <c:strCache>
                <c:ptCount val="2"/>
                <c:pt idx="0">
                  <c:v>2024 Target TDC</c:v>
                </c:pt>
                <c:pt idx="1">
                  <c:v>2025 Target TDC</c:v>
                </c:pt>
              </c:strCache>
            </c:strRef>
          </c:xVal>
          <c:yVal>
            <c:numRef>
              <c:f>'COO - YoY'!$C$52:$D$52</c:f>
              <c:numCache>
                <c:formatCode>"$"#,##0</c:formatCode>
                <c:ptCount val="2"/>
                <c:pt idx="0">
                  <c:v>2408.6999999999998</c:v>
                </c:pt>
                <c:pt idx="1">
                  <c:v>2577.3090000000002</c:v>
                </c:pt>
              </c:numCache>
            </c:numRef>
          </c:yVal>
          <c:smooth val="0"/>
          <c:extLst>
            <c:ext xmlns:c16="http://schemas.microsoft.com/office/drawing/2014/chart" uri="{C3380CC4-5D6E-409C-BE32-E72D297353CC}">
              <c16:uniqueId val="{00000003-76D6-4419-8962-6C164EDE22F5}"/>
            </c:ext>
          </c:extLst>
        </c:ser>
        <c:ser>
          <c:idx val="4"/>
          <c:order val="4"/>
          <c:tx>
            <c:strRef>
              <c:f>'COO - YoY'!$B$51</c:f>
              <c:strCache>
                <c:ptCount val="1"/>
                <c:pt idx="0">
                  <c:v>Average</c:v>
                </c:pt>
              </c:strCache>
            </c:strRef>
          </c:tx>
          <c:spPr>
            <a:ln w="28575">
              <a:noFill/>
            </a:ln>
          </c:spPr>
          <c:marker>
            <c:symbol val="dash"/>
            <c:size val="15"/>
            <c:spPr>
              <a:solidFill>
                <a:srgbClr val="AFABAB"/>
              </a:solidFill>
              <a:ln>
                <a:solidFill>
                  <a:srgbClr val="AFABAB"/>
                </a:solidFill>
              </a:ln>
            </c:spPr>
          </c:marker>
          <c:xVal>
            <c:strRef>
              <c:f>'COO - YoY'!$C$40:$D$40</c:f>
              <c:strCache>
                <c:ptCount val="2"/>
                <c:pt idx="0">
                  <c:v>2024 Target TDC</c:v>
                </c:pt>
                <c:pt idx="1">
                  <c:v>2025 Target TDC</c:v>
                </c:pt>
              </c:strCache>
            </c:strRef>
          </c:xVal>
          <c:yVal>
            <c:numRef>
              <c:f>'COO - YoY'!$C$51:$D$51</c:f>
              <c:numCache>
                <c:formatCode>"$"#,##0</c:formatCode>
                <c:ptCount val="2"/>
                <c:pt idx="0">
                  <c:v>2522.989854780973</c:v>
                </c:pt>
                <c:pt idx="1">
                  <c:v>2732.6982534774561</c:v>
                </c:pt>
              </c:numCache>
            </c:numRef>
          </c:yVal>
          <c:smooth val="0"/>
          <c:extLst>
            <c:ext xmlns:c16="http://schemas.microsoft.com/office/drawing/2014/chart" uri="{C3380CC4-5D6E-409C-BE32-E72D297353CC}">
              <c16:uniqueId val="{00000004-76D6-4419-8962-6C164EDE22F5}"/>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'Legal+NEO5 - YoY'!$B$21</c:f>
              <c:strCache>
                <c:ptCount val="1"/>
                <c:pt idx="0">
                  <c:v>25th</c:v>
                </c:pt>
              </c:strCache>
            </c:strRef>
          </c:tx>
          <c:spPr>
            <a:noFill/>
          </c:spPr>
          <c:invertIfNegative val="0"/>
          <c:cat>
            <c:strRef>
              <c:f>'Legal+NEO5 - YoY'!$C$12:$H$12</c:f>
              <c:strCache>
                <c:ptCount val="6"/>
                <c:pt idx="0">
                  <c:v>2024 Target TDC</c:v>
                </c:pt>
                <c:pt idx="1">
                  <c:v>2025 Target TDC</c:v>
                </c:pt>
                <c:pt idx="2">
                  <c:v>2026E Target TDC</c:v>
                </c:pt>
                <c:pt idx="3">
                  <c:v>2024 Target TDC</c:v>
                </c:pt>
                <c:pt idx="4">
                  <c:v>2025 Target TDC</c:v>
                </c:pt>
                <c:pt idx="5">
                  <c:v>2026E Target TDC</c:v>
                </c:pt>
              </c:strCache>
            </c:strRef>
          </c:cat>
          <c:val>
            <c:numRef>
              <c:f>'Legal+NEO5 - YoY'!$C$21:$H$21</c:f>
              <c:numCache>
                <c:formatCode>"$"#,##0</c:formatCode>
                <c:ptCount val="6"/>
                <c:pt idx="0">
                  <c:v>1462.2595000000001</c:v>
                </c:pt>
                <c:pt idx="1">
                  <c:v>1523.875</c:v>
                </c:pt>
                <c:pt idx="2">
                  <c:v>1569.5912499999999</c:v>
                </c:pt>
                <c:pt idx="3">
                  <c:v>1415.0239999999999</c:v>
                </c:pt>
                <c:pt idx="4">
                  <c:v>1339.8463686937503</c:v>
                </c:pt>
                <c:pt idx="5">
                  <c:v>1349.9298966937502</c:v>
                </c:pt>
              </c:numCache>
            </c:numRef>
          </c:val>
          <c:extLst>
            <c:ext xmlns:c16="http://schemas.microsoft.com/office/drawing/2014/chart" uri="{C3380CC4-5D6E-409C-BE32-E72D297353CC}">
              <c16:uniqueId val="{00000000-60D5-4733-B9B3-6F3044F9CA27}"/>
            </c:ext>
          </c:extLst>
        </c:ser>
        <c:ser>
          <c:idx val="1"/>
          <c:order val="1"/>
          <c:tx>
            <c:strRef>
              <c:f>'Legal+NEO5 - YoY'!$B$22</c:f>
              <c:strCache>
                <c:ptCount val="1"/>
                <c:pt idx="0">
                  <c:v>50th</c:v>
                </c:pt>
              </c:strCache>
            </c:strRef>
          </c:tx>
          <c:spPr>
            <a:solidFill>
              <a:srgbClr val="002957"/>
            </a:solidFill>
          </c:spPr>
          <c:invertIfNegative val="0"/>
          <c:cat>
            <c:strRef>
              <c:f>'Legal+NEO5 - YoY'!$C$12:$H$12</c:f>
              <c:strCache>
                <c:ptCount val="6"/>
                <c:pt idx="0">
                  <c:v>2024 Target TDC</c:v>
                </c:pt>
                <c:pt idx="1">
                  <c:v>2025 Target TDC</c:v>
                </c:pt>
                <c:pt idx="2">
                  <c:v>2026E Target TDC</c:v>
                </c:pt>
                <c:pt idx="3">
                  <c:v>2024 Target TDC</c:v>
                </c:pt>
                <c:pt idx="4">
                  <c:v>2025 Target TDC</c:v>
                </c:pt>
                <c:pt idx="5">
                  <c:v>2026E Target TDC</c:v>
                </c:pt>
              </c:strCache>
            </c:strRef>
          </c:cat>
          <c:val>
            <c:numRef>
              <c:f>'Legal+NEO5 - YoY'!$C$22:$H$22</c:f>
              <c:numCache>
                <c:formatCode>"$"#,##0</c:formatCode>
                <c:ptCount val="6"/>
                <c:pt idx="0">
                  <c:v>212.06494726313394</c:v>
                </c:pt>
                <c:pt idx="1">
                  <c:v>100.38499999999999</c:v>
                </c:pt>
                <c:pt idx="2">
                  <c:v>103.39655000000016</c:v>
                </c:pt>
                <c:pt idx="3">
                  <c:v>130.23386449018108</c:v>
                </c:pt>
                <c:pt idx="4">
                  <c:v>222.78040617557599</c:v>
                </c:pt>
                <c:pt idx="5">
                  <c:v>259.57568142165587</c:v>
                </c:pt>
              </c:numCache>
            </c:numRef>
          </c:val>
          <c:extLst>
            <c:ext xmlns:c16="http://schemas.microsoft.com/office/drawing/2014/chart" uri="{C3380CC4-5D6E-409C-BE32-E72D297353CC}">
              <c16:uniqueId val="{00000001-60D5-4733-B9B3-6F3044F9CA27}"/>
            </c:ext>
          </c:extLst>
        </c:ser>
        <c:ser>
          <c:idx val="2"/>
          <c:order val="2"/>
          <c:tx>
            <c:strRef>
              <c:f>'Legal+NEO5 - YoY'!$B$23</c:f>
              <c:strCache>
                <c:ptCount val="1"/>
                <c:pt idx="0">
                  <c:v>75th</c:v>
                </c:pt>
              </c:strCache>
            </c:strRef>
          </c:tx>
          <c:spPr>
            <a:solidFill>
              <a:schemeClr val="tx2">
                <a:lumMod val="20000"/>
                <a:lumOff val="80000"/>
              </a:schemeClr>
            </a:solidFill>
          </c:spPr>
          <c:invertIfNegative val="0"/>
          <c:cat>
            <c:strRef>
              <c:f>'Legal+NEO5 - YoY'!$C$12:$H$12</c:f>
              <c:strCache>
                <c:ptCount val="6"/>
                <c:pt idx="0">
                  <c:v>2024 Target TDC</c:v>
                </c:pt>
                <c:pt idx="1">
                  <c:v>2025 Target TDC</c:v>
                </c:pt>
                <c:pt idx="2">
                  <c:v>2026E Target TDC</c:v>
                </c:pt>
                <c:pt idx="3">
                  <c:v>2024 Target TDC</c:v>
                </c:pt>
                <c:pt idx="4">
                  <c:v>2025 Target TDC</c:v>
                </c:pt>
                <c:pt idx="5">
                  <c:v>2026E Target TDC</c:v>
                </c:pt>
              </c:strCache>
            </c:strRef>
          </c:cat>
          <c:val>
            <c:numRef>
              <c:f>'Legal+NEO5 - YoY'!$C$23:$H$23</c:f>
              <c:numCache>
                <c:formatCode>"$"#,##0</c:formatCode>
                <c:ptCount val="6"/>
                <c:pt idx="0">
                  <c:v>425.43132107432029</c:v>
                </c:pt>
                <c:pt idx="1">
                  <c:v>710.65540374320813</c:v>
                </c:pt>
                <c:pt idx="2">
                  <c:v>699.78976468070755</c:v>
                </c:pt>
                <c:pt idx="3">
                  <c:v>389.97081576102346</c:v>
                </c:pt>
                <c:pt idx="4">
                  <c:v>384.71980013067378</c:v>
                </c:pt>
                <c:pt idx="5">
                  <c:v>351.61286663459396</c:v>
                </c:pt>
              </c:numCache>
            </c:numRef>
          </c:val>
          <c:extLst>
            <c:ext xmlns:c16="http://schemas.microsoft.com/office/drawing/2014/chart" uri="{C3380CC4-5D6E-409C-BE32-E72D297353CC}">
              <c16:uniqueId val="{00000002-60D5-4733-B9B3-6F3044F9CA27}"/>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'Legal+NEO5 - YoY'!$B$25</c:f>
              <c:strCache>
                <c:ptCount val="1"/>
                <c:pt idx="0">
                  <c:v>Hudbay Minerals Inc.</c:v>
                </c:pt>
              </c:strCache>
            </c:strRef>
          </c:tx>
          <c:spPr>
            <a:ln w="28575">
              <a:noFill/>
            </a:ln>
          </c:spPr>
          <c:marker>
            <c:symbol val="diamond"/>
            <c:size val="10"/>
            <c:spPr>
              <a:solidFill>
                <a:srgbClr val="F0531E"/>
              </a:solidFill>
              <a:ln>
                <a:solidFill>
                  <a:srgbClr val="F0531E"/>
                </a:solidFill>
              </a:ln>
            </c:spPr>
          </c:marker>
          <c:xVal>
            <c:strRef>
              <c:f>'Legal+NEO5 - YoY'!$C$12:$H$12</c:f>
              <c:strCache>
                <c:ptCount val="6"/>
                <c:pt idx="0">
                  <c:v>2024 Target TDC</c:v>
                </c:pt>
                <c:pt idx="1">
                  <c:v>2025 Target TDC</c:v>
                </c:pt>
                <c:pt idx="2">
                  <c:v>2026E Target TDC</c:v>
                </c:pt>
                <c:pt idx="3">
                  <c:v>2024 Target TDC</c:v>
                </c:pt>
                <c:pt idx="4">
                  <c:v>2025 Target TDC</c:v>
                </c:pt>
                <c:pt idx="5">
                  <c:v>2026E Target TDC</c:v>
                </c:pt>
              </c:strCache>
            </c:strRef>
          </c:xVal>
          <c:yVal>
            <c:numRef>
              <c:f>'Legal+NEO5 - YoY'!$C$25:$H$25</c:f>
              <c:numCache>
                <c:formatCode>"$"#,##0</c:formatCode>
                <c:ptCount val="6"/>
                <c:pt idx="0">
                  <c:v>1630.39175</c:v>
                </c:pt>
                <c:pt idx="1">
                  <c:v>1711.9147499999999</c:v>
                </c:pt>
                <c:pt idx="2">
                  <c:v>1711.9147499999999</c:v>
                </c:pt>
                <c:pt idx="3">
                  <c:v>1630.39175</c:v>
                </c:pt>
                <c:pt idx="4">
                  <c:v>1711.9147499999999</c:v>
                </c:pt>
                <c:pt idx="5">
                  <c:v>1711.9147499999999</c:v>
                </c:pt>
              </c:numCache>
            </c:numRef>
          </c:yVal>
          <c:smooth val="0"/>
          <c:extLst>
            <c:ext xmlns:c16="http://schemas.microsoft.com/office/drawing/2014/chart" uri="{C3380CC4-5D6E-409C-BE32-E72D297353CC}">
              <c16:uniqueId val="{00000003-60D5-4733-B9B3-6F3044F9CA27}"/>
            </c:ext>
          </c:extLst>
        </c:ser>
        <c:ser>
          <c:idx val="4"/>
          <c:order val="4"/>
          <c:tx>
            <c:strRef>
              <c:f>'Legal+NEO5 - YoY'!$B$24</c:f>
              <c:strCache>
                <c:ptCount val="1"/>
                <c:pt idx="0">
                  <c:v>Average</c:v>
                </c:pt>
              </c:strCache>
            </c:strRef>
          </c:tx>
          <c:spPr>
            <a:ln w="28575">
              <a:noFill/>
            </a:ln>
          </c:spPr>
          <c:marker>
            <c:symbol val="dash"/>
            <c:size val="15"/>
            <c:spPr>
              <a:solidFill>
                <a:srgbClr val="AFABAB"/>
              </a:solidFill>
              <a:ln>
                <a:solidFill>
                  <a:srgbClr val="AFABAB"/>
                </a:solidFill>
              </a:ln>
            </c:spPr>
          </c:marker>
          <c:xVal>
            <c:strRef>
              <c:f>'Legal+NEO5 - YoY'!$C$12:$H$12</c:f>
              <c:strCache>
                <c:ptCount val="6"/>
                <c:pt idx="0">
                  <c:v>2024 Target TDC</c:v>
                </c:pt>
                <c:pt idx="1">
                  <c:v>2025 Target TDC</c:v>
                </c:pt>
                <c:pt idx="2">
                  <c:v>2026E Target TDC</c:v>
                </c:pt>
                <c:pt idx="3">
                  <c:v>2024 Target TDC</c:v>
                </c:pt>
                <c:pt idx="4">
                  <c:v>2025 Target TDC</c:v>
                </c:pt>
                <c:pt idx="5">
                  <c:v>2026E Target TDC</c:v>
                </c:pt>
              </c:strCache>
            </c:strRef>
          </c:xVal>
          <c:yVal>
            <c:numRef>
              <c:f>'Legal+NEO5 - YoY'!$C$24:$H$24</c:f>
              <c:numCache>
                <c:formatCode>"$"#,##0</c:formatCode>
                <c:ptCount val="6"/>
                <c:pt idx="0">
                  <c:v>1858.9752553086805</c:v>
                </c:pt>
                <c:pt idx="1">
                  <c:v>1924.9596691144</c:v>
                </c:pt>
                <c:pt idx="2">
                  <c:v>1971.4446435196876</c:v>
                </c:pt>
                <c:pt idx="3">
                  <c:v>1702.093364541762</c:v>
                </c:pt>
                <c:pt idx="4">
                  <c:v>1699.521855072961</c:v>
                </c:pt>
                <c:pt idx="5">
                  <c:v>1741.8253356050659</c:v>
                </c:pt>
              </c:numCache>
            </c:numRef>
          </c:yVal>
          <c:smooth val="0"/>
          <c:extLst>
            <c:ext xmlns:c16="http://schemas.microsoft.com/office/drawing/2014/chart" uri="{C3380CC4-5D6E-409C-BE32-E72D297353CC}">
              <c16:uniqueId val="{00000004-60D5-4733-B9B3-6F3044F9CA27}"/>
            </c:ext>
          </c:extLst>
        </c:ser>
        <c:ser>
          <c:idx val="5"/>
          <c:order val="5"/>
          <c:tx>
            <c:strRef>
              <c:f>'Legal+NEO5 - YoY'!$B$30</c:f>
              <c:strCache>
                <c:ptCount val="1"/>
                <c:pt idx="0">
                  <c:v>Company 1</c:v>
                </c:pt>
              </c:strCache>
            </c:strRef>
          </c:tx>
          <c:spPr>
            <a:ln w="28575">
              <a:noFill/>
            </a:ln>
          </c:spPr>
          <c:xVal>
            <c:strRef>
              <c:f>'Legal+NEO5 - YoY'!$C$12:$H$12</c:f>
              <c:strCache>
                <c:ptCount val="6"/>
                <c:pt idx="0">
                  <c:v>2024 Target TDC</c:v>
                </c:pt>
                <c:pt idx="1">
                  <c:v>2025 Target TDC</c:v>
                </c:pt>
                <c:pt idx="2">
                  <c:v>2026E Target TDC</c:v>
                </c:pt>
                <c:pt idx="3">
                  <c:v>2024 Target TDC</c:v>
                </c:pt>
                <c:pt idx="4">
                  <c:v>2025 Target TDC</c:v>
                </c:pt>
                <c:pt idx="5">
                  <c:v>2026E Target TDC</c:v>
                </c:pt>
              </c:strCache>
            </c:strRef>
          </c:xVal>
          <c:yVal>
            <c:numRef>
              <c:f>'Legal+NEO5 - YoY'!$C$30:$H$30</c:f>
              <c:numCache>
                <c:formatCode>General</c:formatCode>
                <c:ptCount val="6"/>
              </c:numCache>
            </c:numRef>
          </c:yVal>
          <c:smooth val="0"/>
          <c:extLst>
            <c:ext xmlns:c16="http://schemas.microsoft.com/office/drawing/2014/chart" uri="{C3380CC4-5D6E-409C-BE32-E72D297353CC}">
              <c16:uniqueId val="{00000005-60D5-4733-B9B3-6F3044F9CA27}"/>
            </c:ext>
          </c:extLst>
        </c:ser>
        <c:ser>
          <c:idx val="6"/>
          <c:order val="6"/>
          <c:tx>
            <c:strRef>
              <c:f>'Legal+NEO5 - YoY'!$B$31</c:f>
              <c:strCache>
                <c:ptCount val="1"/>
                <c:pt idx="0">
                  <c:v>Company 2</c:v>
                </c:pt>
              </c:strCache>
            </c:strRef>
          </c:tx>
          <c:spPr>
            <a:ln w="28575">
              <a:noFill/>
            </a:ln>
          </c:spPr>
          <c:xVal>
            <c:strRef>
              <c:f>'Legal+NEO5 - YoY'!$C$12:$H$12</c:f>
              <c:strCache>
                <c:ptCount val="6"/>
                <c:pt idx="0">
                  <c:v>2024 Target TDC</c:v>
                </c:pt>
                <c:pt idx="1">
                  <c:v>2025 Target TDC</c:v>
                </c:pt>
                <c:pt idx="2">
                  <c:v>2026E Target TDC</c:v>
                </c:pt>
                <c:pt idx="3">
                  <c:v>2024 Target TDC</c:v>
                </c:pt>
                <c:pt idx="4">
                  <c:v>2025 Target TDC</c:v>
                </c:pt>
                <c:pt idx="5">
                  <c:v>2026E Target TDC</c:v>
                </c:pt>
              </c:strCache>
            </c:strRef>
          </c:xVal>
          <c:yVal>
            <c:numRef>
              <c:f>'Legal+NEO5 - YoY'!$C$31:$H$31</c:f>
              <c:numCache>
                <c:formatCode>General</c:formatCode>
                <c:ptCount val="6"/>
              </c:numCache>
            </c:numRef>
          </c:yVal>
          <c:smooth val="0"/>
          <c:extLst>
            <c:ext xmlns:c16="http://schemas.microsoft.com/office/drawing/2014/chart" uri="{C3380CC4-5D6E-409C-BE32-E72D297353CC}">
              <c16:uniqueId val="{00000006-60D5-4733-B9B3-6F3044F9CA27}"/>
            </c:ext>
          </c:extLst>
        </c:ser>
        <c:ser>
          <c:idx val="7"/>
          <c:order val="7"/>
          <c:tx>
            <c:strRef>
              <c:f>'Legal+NEO5 - YoY'!$B$32</c:f>
              <c:strCache>
                <c:ptCount val="1"/>
                <c:pt idx="0">
                  <c:v>Company 3</c:v>
                </c:pt>
              </c:strCache>
            </c:strRef>
          </c:tx>
          <c:spPr>
            <a:ln w="28575">
              <a:noFill/>
            </a:ln>
          </c:spPr>
          <c:xVal>
            <c:strRef>
              <c:f>'Legal+NEO5 - YoY'!$C$12:$H$12</c:f>
              <c:strCache>
                <c:ptCount val="6"/>
                <c:pt idx="0">
                  <c:v>2024 Target TDC</c:v>
                </c:pt>
                <c:pt idx="1">
                  <c:v>2025 Target TDC</c:v>
                </c:pt>
                <c:pt idx="2">
                  <c:v>2026E Target TDC</c:v>
                </c:pt>
                <c:pt idx="3">
                  <c:v>2024 Target TDC</c:v>
                </c:pt>
                <c:pt idx="4">
                  <c:v>2025 Target TDC</c:v>
                </c:pt>
                <c:pt idx="5">
                  <c:v>2026E Target TDC</c:v>
                </c:pt>
              </c:strCache>
            </c:strRef>
          </c:xVal>
          <c:yVal>
            <c:numRef>
              <c:f>'Legal+NEO5 - YoY'!$C$32:$H$32</c:f>
              <c:numCache>
                <c:formatCode>General</c:formatCode>
                <c:ptCount val="6"/>
              </c:numCache>
            </c:numRef>
          </c:yVal>
          <c:smooth val="0"/>
          <c:extLst>
            <c:ext xmlns:c16="http://schemas.microsoft.com/office/drawing/2014/chart" uri="{C3380CC4-5D6E-409C-BE32-E72D297353CC}">
              <c16:uniqueId val="{00000007-60D5-4733-B9B3-6F3044F9CA27}"/>
            </c:ext>
          </c:extLst>
        </c:ser>
        <c:ser>
          <c:idx val="8"/>
          <c:order val="8"/>
          <c:tx>
            <c:strRef>
              <c:f>'Legal+NEO5 - YoY'!$B$33</c:f>
              <c:strCache>
                <c:ptCount val="1"/>
                <c:pt idx="0">
                  <c:v>Company 4</c:v>
                </c:pt>
              </c:strCache>
            </c:strRef>
          </c:tx>
          <c:spPr>
            <a:ln w="28575">
              <a:noFill/>
            </a:ln>
          </c:spPr>
          <c:xVal>
            <c:strRef>
              <c:f>'Legal+NEO5 - YoY'!$C$12:$H$12</c:f>
              <c:strCache>
                <c:ptCount val="6"/>
                <c:pt idx="0">
                  <c:v>2024 Target TDC</c:v>
                </c:pt>
                <c:pt idx="1">
                  <c:v>2025 Target TDC</c:v>
                </c:pt>
                <c:pt idx="2">
                  <c:v>2026E Target TDC</c:v>
                </c:pt>
                <c:pt idx="3">
                  <c:v>2024 Target TDC</c:v>
                </c:pt>
                <c:pt idx="4">
                  <c:v>2025 Target TDC</c:v>
                </c:pt>
                <c:pt idx="5">
                  <c:v>2026E Target TDC</c:v>
                </c:pt>
              </c:strCache>
            </c:strRef>
          </c:xVal>
          <c:yVal>
            <c:numRef>
              <c:f>'Legal+NEO5 - YoY'!$C$33:$H$33</c:f>
              <c:numCache>
                <c:formatCode>General</c:formatCode>
                <c:ptCount val="6"/>
              </c:numCache>
            </c:numRef>
          </c:yVal>
          <c:smooth val="0"/>
          <c:extLst>
            <c:ext xmlns:c16="http://schemas.microsoft.com/office/drawing/2014/chart" uri="{C3380CC4-5D6E-409C-BE32-E72D297353CC}">
              <c16:uniqueId val="{00000008-60D5-4733-B9B3-6F3044F9CA27}"/>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txPr>
          <a:bodyPr/>
          <a:lstStyle/>
          <a:p>
            <a:pPr>
              <a:defRPr>
                <a:solidFill>
                  <a:srgbClr val="5F6269"/>
                </a:solidFill>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5642679540680979"/>
          <c:y val="3.6476510067114096E-2"/>
          <c:w val="0.72945233631609585"/>
          <c:h val="0.87838693139448176"/>
        </c:manualLayout>
      </c:layout>
      <c:barChart>
        <c:barDir val="col"/>
        <c:grouping val="stacked"/>
        <c:varyColors val="0"/>
        <c:ser>
          <c:idx val="0"/>
          <c:order val="0"/>
          <c:tx>
            <c:strRef>
              <c:f>'SVP US'!$B$21</c:f>
              <c:strCache>
                <c:ptCount val="1"/>
                <c:pt idx="0">
                  <c:v>25th</c:v>
                </c:pt>
              </c:strCache>
            </c:strRef>
          </c:tx>
          <c:spPr>
            <a:noFill/>
          </c:spPr>
          <c:invertIfNegative val="0"/>
          <c:cat>
            <c:strRef>
              <c:f>'SVP US'!$C$12:$E$12</c:f>
              <c:strCache>
                <c:ptCount val="3"/>
                <c:pt idx="0">
                  <c:v>2023 Target TDC</c:v>
                </c:pt>
                <c:pt idx="1">
                  <c:v>2024 Target TDC</c:v>
                </c:pt>
                <c:pt idx="2">
                  <c:v>2025E Target TDC</c:v>
                </c:pt>
              </c:strCache>
            </c:strRef>
          </c:cat>
          <c:val>
            <c:numRef>
              <c:f>'SVP US'!$C$21:$E$21</c:f>
              <c:numCache>
                <c:formatCode>"$"#,##0</c:formatCode>
                <c:ptCount val="3"/>
                <c:pt idx="0">
                  <c:v>1305.9778587325</c:v>
                </c:pt>
                <c:pt idx="1">
                  <c:v>1741.8253356050659</c:v>
                </c:pt>
                <c:pt idx="2">
                  <c:v>0.26</c:v>
                </c:pt>
              </c:numCache>
            </c:numRef>
          </c:val>
          <c:extLst>
            <c:ext xmlns:c16="http://schemas.microsoft.com/office/drawing/2014/chart" uri="{C3380CC4-5D6E-409C-BE32-E72D297353CC}">
              <c16:uniqueId val="{00000000-14DD-49CC-AA71-43A6948D87D5}"/>
            </c:ext>
          </c:extLst>
        </c:ser>
        <c:ser>
          <c:idx val="2"/>
          <c:order val="1"/>
          <c:tx>
            <c:strRef>
              <c:f>'SVP US'!$B$22</c:f>
              <c:strCache>
                <c:ptCount val="1"/>
                <c:pt idx="0">
                  <c:v>50th</c:v>
                </c:pt>
              </c:strCache>
            </c:strRef>
          </c:tx>
          <c:spPr>
            <a:solidFill>
              <a:srgbClr val="002957"/>
            </a:solidFill>
          </c:spPr>
          <c:invertIfNegative val="0"/>
          <c:cat>
            <c:strRef>
              <c:f>'SVP US'!$C$12:$E$12</c:f>
              <c:strCache>
                <c:ptCount val="3"/>
                <c:pt idx="0">
                  <c:v>2023 Target TDC</c:v>
                </c:pt>
                <c:pt idx="1">
                  <c:v>2024 Target TDC</c:v>
                </c:pt>
                <c:pt idx="2">
                  <c:v>2025E Target TDC</c:v>
                </c:pt>
              </c:strCache>
            </c:strRef>
          </c:cat>
          <c:val>
            <c:numRef>
              <c:f>'SVP US'!$C$22:$E$22</c:f>
              <c:numCache>
                <c:formatCode>"$"#,##0</c:formatCode>
                <c:ptCount val="3"/>
                <c:pt idx="0">
                  <c:v>126.90479584800005</c:v>
                </c:pt>
                <c:pt idx="1">
                  <c:v>-391.89543891131575</c:v>
                </c:pt>
                <c:pt idx="2">
                  <c:v>1356.2951999999998</c:v>
                </c:pt>
              </c:numCache>
            </c:numRef>
          </c:val>
          <c:extLst>
            <c:ext xmlns:c16="http://schemas.microsoft.com/office/drawing/2014/chart" uri="{C3380CC4-5D6E-409C-BE32-E72D297353CC}">
              <c16:uniqueId val="{00000001-14DD-49CC-AA71-43A6948D87D5}"/>
            </c:ext>
          </c:extLst>
        </c:ser>
        <c:ser>
          <c:idx val="10"/>
          <c:order val="9"/>
          <c:tx>
            <c:strRef>
              <c:f>'SVP US'!$B$23</c:f>
              <c:strCache>
                <c:ptCount val="1"/>
                <c:pt idx="0">
                  <c:v>75th</c:v>
                </c:pt>
              </c:strCache>
            </c:strRef>
          </c:tx>
          <c:spPr>
            <a:solidFill>
              <a:srgbClr val="C6D9F1"/>
            </a:solidFill>
            <a:ln w="28575">
              <a:noFill/>
            </a:ln>
          </c:spPr>
          <c:invertIfNegative val="0"/>
          <c:val>
            <c:numRef>
              <c:f>'SVP US'!$C$23:$E$23</c:f>
              <c:numCache>
                <c:formatCode>"$"#,##0</c:formatCode>
                <c:ptCount val="3"/>
                <c:pt idx="0">
                  <c:v>495.01882946759065</c:v>
                </c:pt>
                <c:pt idx="1">
                  <c:v>259.57568142165587</c:v>
                </c:pt>
                <c:pt idx="2">
                  <c:v>-1355.9261999999999</c:v>
                </c:pt>
              </c:numCache>
            </c:numRef>
          </c:val>
          <c:extLst>
            <c:ext xmlns:c16="http://schemas.microsoft.com/office/drawing/2014/chart" uri="{C3380CC4-5D6E-409C-BE32-E72D297353CC}">
              <c16:uniqueId val="{00000002-14DD-49CC-AA71-43A6948D87D5}"/>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2"/>
          <c:tx>
            <c:strRef>
              <c:f>'SVP US'!$B$25</c:f>
              <c:strCache>
                <c:ptCount val="1"/>
                <c:pt idx="0">
                  <c:v>Hudbay Minerals Inc.</c:v>
                </c:pt>
              </c:strCache>
            </c:strRef>
          </c:tx>
          <c:spPr>
            <a:ln w="28575">
              <a:noFill/>
            </a:ln>
          </c:spPr>
          <c:marker>
            <c:symbol val="diamond"/>
            <c:size val="10"/>
            <c:spPr>
              <a:solidFill>
                <a:srgbClr val="F0531E"/>
              </a:solidFill>
              <a:ln>
                <a:solidFill>
                  <a:srgbClr val="F0531E"/>
                </a:solidFill>
              </a:ln>
            </c:spPr>
          </c:marker>
          <c:dPt>
            <c:idx val="0"/>
            <c:marker>
              <c:spPr>
                <a:solidFill>
                  <a:srgbClr val="F0531E"/>
                </a:solidFill>
                <a:ln>
                  <a:noFill/>
                </a:ln>
              </c:spPr>
            </c:marker>
            <c:bubble3D val="0"/>
            <c:extLst>
              <c:ext xmlns:c16="http://schemas.microsoft.com/office/drawing/2014/chart" uri="{C3380CC4-5D6E-409C-BE32-E72D297353CC}">
                <c16:uniqueId val="{00000003-14DD-49CC-AA71-43A6948D87D5}"/>
              </c:ext>
            </c:extLst>
          </c:dPt>
          <c:yVal>
            <c:numRef>
              <c:f>'SVP US'!$C$25:$E$25</c:f>
              <c:numCache>
                <c:formatCode>"$"#,##0</c:formatCode>
                <c:ptCount val="3"/>
                <c:pt idx="0">
                  <c:v>1532</c:v>
                </c:pt>
                <c:pt idx="1">
                  <c:v>1711.9147499999999</c:v>
                </c:pt>
                <c:pt idx="2">
                  <c:v>1711.9147499999999</c:v>
                </c:pt>
              </c:numCache>
            </c:numRef>
          </c:yVal>
          <c:smooth val="0"/>
          <c:extLst>
            <c:ext xmlns:c16="http://schemas.microsoft.com/office/drawing/2014/chart" uri="{C3380CC4-5D6E-409C-BE32-E72D297353CC}">
              <c16:uniqueId val="{00000004-14DD-49CC-AA71-43A6948D87D5}"/>
            </c:ext>
          </c:extLst>
        </c:ser>
        <c:ser>
          <c:idx val="4"/>
          <c:order val="3"/>
          <c:tx>
            <c:strRef>
              <c:f>'SVP US'!$B$24</c:f>
              <c:strCache>
                <c:ptCount val="1"/>
                <c:pt idx="0">
                  <c:v>Average</c:v>
                </c:pt>
              </c:strCache>
            </c:strRef>
          </c:tx>
          <c:spPr>
            <a:ln w="28575">
              <a:noFill/>
            </a:ln>
          </c:spPr>
          <c:marker>
            <c:symbol val="dash"/>
            <c:size val="15"/>
            <c:spPr>
              <a:solidFill>
                <a:srgbClr val="AFABAB"/>
              </a:solidFill>
              <a:ln>
                <a:solidFill>
                  <a:srgbClr val="AFABAB"/>
                </a:solidFill>
              </a:ln>
            </c:spPr>
          </c:marker>
          <c:yVal>
            <c:numRef>
              <c:f>'SVP US'!$C$24:$E$24</c:f>
              <c:numCache>
                <c:formatCode>"$"#,##0</c:formatCode>
                <c:ptCount val="3"/>
                <c:pt idx="0">
                  <c:v>1626.2010226289901</c:v>
                </c:pt>
                <c:pt idx="1">
                  <c:v>0</c:v>
                </c:pt>
                <c:pt idx="2">
                  <c:v>0</c:v>
                </c:pt>
              </c:numCache>
            </c:numRef>
          </c:yVal>
          <c:smooth val="0"/>
          <c:extLst>
            <c:ext xmlns:c16="http://schemas.microsoft.com/office/drawing/2014/chart" uri="{C3380CC4-5D6E-409C-BE32-E72D297353CC}">
              <c16:uniqueId val="{00000005-14DD-49CC-AA71-43A6948D87D5}"/>
            </c:ext>
          </c:extLst>
        </c:ser>
        <c:ser>
          <c:idx val="5"/>
          <c:order val="4"/>
          <c:tx>
            <c:strRef>
              <c:f>'SVP US'!$B$30</c:f>
              <c:strCache>
                <c:ptCount val="1"/>
                <c:pt idx="0">
                  <c:v>Lundin</c:v>
                </c:pt>
              </c:strCache>
            </c:strRef>
          </c:tx>
          <c:spPr>
            <a:ln w="28575">
              <a:noFill/>
            </a:ln>
          </c:spPr>
          <c:marker>
            <c:spPr>
              <a:solidFill>
                <a:srgbClr val="00B050"/>
              </a:solidFill>
              <a:ln>
                <a:noFill/>
              </a:ln>
            </c:spPr>
          </c:marker>
          <c:dLbls>
            <c:dLbl>
              <c:idx val="2"/>
              <c:layout>
                <c:manualLayout>
                  <c:x val="0"/>
                  <c:y val="-5.9190902311707684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14DD-49CC-AA71-43A6948D87D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US'!$C$12:$E$12</c:f>
              <c:strCache>
                <c:ptCount val="3"/>
                <c:pt idx="0">
                  <c:v>2023 Target TDC</c:v>
                </c:pt>
                <c:pt idx="1">
                  <c:v>2024 Target TDC</c:v>
                </c:pt>
                <c:pt idx="2">
                  <c:v>2025E Target TDC</c:v>
                </c:pt>
              </c:strCache>
            </c:strRef>
          </c:xVal>
          <c:yVal>
            <c:numRef>
              <c:f>'SVP US'!$C$30:$E$30</c:f>
              <c:numCache>
                <c:formatCode>General</c:formatCode>
                <c:ptCount val="3"/>
                <c:pt idx="2" formatCode="&quot;$&quot;#,##0">
                  <c:v>2511.1574070000001</c:v>
                </c:pt>
              </c:numCache>
            </c:numRef>
          </c:yVal>
          <c:smooth val="0"/>
          <c:extLst>
            <c:ext xmlns:c16="http://schemas.microsoft.com/office/drawing/2014/chart" uri="{C3380CC4-5D6E-409C-BE32-E72D297353CC}">
              <c16:uniqueId val="{00000007-14DD-49CC-AA71-43A6948D87D5}"/>
            </c:ext>
          </c:extLst>
        </c:ser>
        <c:ser>
          <c:idx val="6"/>
          <c:order val="5"/>
          <c:tx>
            <c:strRef>
              <c:f>'SVP US'!$B$31</c:f>
              <c:strCache>
                <c:ptCount val="1"/>
                <c:pt idx="0">
                  <c:v>Alamos</c:v>
                </c:pt>
              </c:strCache>
            </c:strRef>
          </c:tx>
          <c:spPr>
            <a:ln w="28575">
              <a:noFill/>
            </a:ln>
          </c:spPr>
          <c:marker>
            <c:symbol val="circle"/>
            <c:size val="7"/>
            <c:spPr>
              <a:solidFill>
                <a:srgbClr val="00B050"/>
              </a:solidFill>
              <a:ln>
                <a:noFill/>
              </a:ln>
            </c:spPr>
          </c:marker>
          <c:dLbls>
            <c:dLbl>
              <c:idx val="2"/>
              <c:layout>
                <c:manualLayout>
                  <c:x val="0"/>
                  <c:y val="-1.4797725577926921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8-14DD-49CC-AA71-43A6948D87D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US'!$C$12:$E$12</c:f>
              <c:strCache>
                <c:ptCount val="3"/>
                <c:pt idx="0">
                  <c:v>2023 Target TDC</c:v>
                </c:pt>
                <c:pt idx="1">
                  <c:v>2024 Target TDC</c:v>
                </c:pt>
                <c:pt idx="2">
                  <c:v>2025E Target TDC</c:v>
                </c:pt>
              </c:strCache>
            </c:strRef>
          </c:xVal>
          <c:yVal>
            <c:numRef>
              <c:f>'SVP US'!$C$31:$E$31</c:f>
              <c:numCache>
                <c:formatCode>General</c:formatCode>
                <c:ptCount val="3"/>
                <c:pt idx="2" formatCode="&quot;$&quot;#,##0">
                  <c:v>0</c:v>
                </c:pt>
              </c:numCache>
            </c:numRef>
          </c:yVal>
          <c:smooth val="0"/>
          <c:extLst>
            <c:ext xmlns:c16="http://schemas.microsoft.com/office/drawing/2014/chart" uri="{C3380CC4-5D6E-409C-BE32-E72D297353CC}">
              <c16:uniqueId val="{00000009-14DD-49CC-AA71-43A6948D87D5}"/>
            </c:ext>
          </c:extLst>
        </c:ser>
        <c:ser>
          <c:idx val="7"/>
          <c:order val="6"/>
          <c:tx>
            <c:strRef>
              <c:f>'SVP US'!$B$32</c:f>
              <c:strCache>
                <c:ptCount val="1"/>
                <c:pt idx="0">
                  <c:v>Capstone</c:v>
                </c:pt>
              </c:strCache>
            </c:strRef>
          </c:tx>
          <c:spPr>
            <a:ln w="28575">
              <a:noFill/>
            </a:ln>
          </c:spPr>
          <c:marker>
            <c:symbol val="circle"/>
            <c:size val="7"/>
            <c:spPr>
              <a:solidFill>
                <a:srgbClr val="00B050"/>
              </a:solidFill>
              <a:ln cap="rnd">
                <a:noFill/>
              </a:ln>
            </c:spPr>
          </c:marker>
          <c:dLbls>
            <c:dLbl>
              <c:idx val="2"/>
              <c:layout>
                <c:manualLayout>
                  <c:x val="6.1819630453396768E-3"/>
                  <c:y val="-2.9595451155853842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14DD-49CC-AA71-43A6948D87D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US'!$C$12:$E$12</c:f>
              <c:strCache>
                <c:ptCount val="3"/>
                <c:pt idx="0">
                  <c:v>2023 Target TDC</c:v>
                </c:pt>
                <c:pt idx="1">
                  <c:v>2024 Target TDC</c:v>
                </c:pt>
                <c:pt idx="2">
                  <c:v>2025E Target TDC</c:v>
                </c:pt>
              </c:strCache>
            </c:strRef>
          </c:xVal>
          <c:yVal>
            <c:numRef>
              <c:f>'SVP US'!$C$32:$E$32</c:f>
              <c:numCache>
                <c:formatCode>General</c:formatCode>
                <c:ptCount val="3"/>
                <c:pt idx="2" formatCode="&quot;$&quot;#,##0">
                  <c:v>0</c:v>
                </c:pt>
              </c:numCache>
            </c:numRef>
          </c:yVal>
          <c:smooth val="0"/>
          <c:extLst>
            <c:ext xmlns:c16="http://schemas.microsoft.com/office/drawing/2014/chart" uri="{C3380CC4-5D6E-409C-BE32-E72D297353CC}">
              <c16:uniqueId val="{0000000B-14DD-49CC-AA71-43A6948D87D5}"/>
            </c:ext>
          </c:extLst>
        </c:ser>
        <c:ser>
          <c:idx val="8"/>
          <c:order val="7"/>
          <c:tx>
            <c:strRef>
              <c:f>'SVP US'!$B$33</c:f>
              <c:strCache>
                <c:ptCount val="1"/>
                <c:pt idx="0">
                  <c:v>Eldorado</c:v>
                </c:pt>
              </c:strCache>
            </c:strRef>
          </c:tx>
          <c:spPr>
            <a:ln w="28575">
              <a:noFill/>
            </a:ln>
          </c:spPr>
          <c:marker>
            <c:symbol val="circle"/>
            <c:size val="7"/>
            <c:spPr>
              <a:solidFill>
                <a:srgbClr val="00B050"/>
              </a:solidFill>
              <a:ln>
                <a:noFill/>
              </a:ln>
            </c:spPr>
          </c:marker>
          <c:dLbls>
            <c:dLbl>
              <c:idx val="2"/>
              <c:layout>
                <c:manualLayout>
                  <c:x val="0"/>
                  <c:y val="0"/>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C-14DD-49CC-AA71-43A6948D87D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US'!$C$12:$E$12</c:f>
              <c:strCache>
                <c:ptCount val="3"/>
                <c:pt idx="0">
                  <c:v>2023 Target TDC</c:v>
                </c:pt>
                <c:pt idx="1">
                  <c:v>2024 Target TDC</c:v>
                </c:pt>
                <c:pt idx="2">
                  <c:v>2025E Target TDC</c:v>
                </c:pt>
              </c:strCache>
            </c:strRef>
          </c:xVal>
          <c:yVal>
            <c:numRef>
              <c:f>'SVP US'!$C$33:$E$33</c:f>
              <c:numCache>
                <c:formatCode>General</c:formatCode>
                <c:ptCount val="3"/>
                <c:pt idx="2" formatCode="&quot;$&quot;#,##0">
                  <c:v>0</c:v>
                </c:pt>
              </c:numCache>
            </c:numRef>
          </c:yVal>
          <c:smooth val="0"/>
          <c:extLst>
            <c:ext xmlns:c16="http://schemas.microsoft.com/office/drawing/2014/chart" uri="{C3380CC4-5D6E-409C-BE32-E72D297353CC}">
              <c16:uniqueId val="{0000000D-14DD-49CC-AA71-43A6948D87D5}"/>
            </c:ext>
          </c:extLst>
        </c:ser>
        <c:ser>
          <c:idx val="9"/>
          <c:order val="8"/>
          <c:tx>
            <c:strRef>
              <c:f>'SVP US'!$B$34</c:f>
              <c:strCache>
                <c:ptCount val="1"/>
                <c:pt idx="0">
                  <c:v>OceanaGold (1)</c:v>
                </c:pt>
              </c:strCache>
            </c:strRef>
          </c:tx>
          <c:spPr>
            <a:ln w="28575">
              <a:noFill/>
            </a:ln>
          </c:spPr>
          <c:marker>
            <c:symbol val="circle"/>
            <c:size val="7"/>
            <c:spPr>
              <a:solidFill>
                <a:srgbClr val="00B050"/>
              </a:solidFill>
              <a:ln>
                <a:noFill/>
              </a:ln>
            </c:spPr>
          </c:marker>
          <c:dLbls>
            <c:dLbl>
              <c:idx val="2"/>
              <c:layout>
                <c:manualLayout>
                  <c:x val="-1.3736771181502102E-2"/>
                  <c:y val="-2.0716815809097743E-2"/>
                </c:manualLayout>
              </c:layout>
              <c:showLegendKey val="0"/>
              <c:showVal val="1"/>
              <c:showCatName val="0"/>
              <c:showSerName val="1"/>
              <c:showPercent val="0"/>
              <c:showBubbleSize val="0"/>
              <c:extLst>
                <c:ext xmlns:c15="http://schemas.microsoft.com/office/drawing/2012/chart" uri="{CE6537A1-D6FC-4f65-9D91-7224C49458BB}">
                  <c15:layout>
                    <c:manualLayout>
                      <c:w val="0.23358285278208304"/>
                      <c:h val="8.1121131618195383E-2"/>
                    </c:manualLayout>
                  </c15:layout>
                </c:ext>
                <c:ext xmlns:c16="http://schemas.microsoft.com/office/drawing/2014/chart" uri="{C3380CC4-5D6E-409C-BE32-E72D297353CC}">
                  <c16:uniqueId val="{0000000E-14DD-49CC-AA71-43A6948D87D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US'!$C$12:$E$12</c:f>
              <c:strCache>
                <c:ptCount val="3"/>
                <c:pt idx="0">
                  <c:v>2023 Target TDC</c:v>
                </c:pt>
                <c:pt idx="1">
                  <c:v>2024 Target TDC</c:v>
                </c:pt>
                <c:pt idx="2">
                  <c:v>2025E Target TDC</c:v>
                </c:pt>
              </c:strCache>
            </c:strRef>
          </c:xVal>
          <c:yVal>
            <c:numRef>
              <c:f>'SVP US'!$C$34:$E$34</c:f>
              <c:numCache>
                <c:formatCode>General</c:formatCode>
                <c:ptCount val="3"/>
                <c:pt idx="2" formatCode="&quot;$&quot;#,##0">
                  <c:v>0</c:v>
                </c:pt>
              </c:numCache>
            </c:numRef>
          </c:yVal>
          <c:smooth val="0"/>
          <c:extLst>
            <c:ext xmlns:c16="http://schemas.microsoft.com/office/drawing/2014/chart" uri="{C3380CC4-5D6E-409C-BE32-E72D297353CC}">
              <c16:uniqueId val="{0000000F-14DD-49CC-AA71-43A6948D87D5}"/>
            </c:ext>
          </c:extLst>
        </c:ser>
        <c:ser>
          <c:idx val="1"/>
          <c:order val="10"/>
          <c:tx>
            <c:strRef>
              <c:f>'SVP US'!$B$35</c:f>
              <c:strCache>
                <c:ptCount val="1"/>
                <c:pt idx="0">
                  <c:v>OceanaGold (2)</c:v>
                </c:pt>
              </c:strCache>
            </c:strRef>
          </c:tx>
          <c:spPr>
            <a:ln w="28575">
              <a:noFill/>
            </a:ln>
          </c:spPr>
          <c:marker>
            <c:symbol val="circle"/>
            <c:size val="7"/>
            <c:spPr>
              <a:solidFill>
                <a:srgbClr val="00B050"/>
              </a:solidFill>
              <a:ln>
                <a:noFill/>
              </a:ln>
            </c:spPr>
          </c:marker>
          <c:dLbls>
            <c:dLbl>
              <c:idx val="2"/>
              <c:layout>
                <c:manualLayout>
                  <c:x val="0"/>
                  <c:y val="-1.4797609060402684E-2"/>
                </c:manualLayout>
              </c:layout>
              <c:showLegendKey val="0"/>
              <c:showVal val="1"/>
              <c:showCatName val="0"/>
              <c:showSerName val="1"/>
              <c:showPercent val="0"/>
              <c:showBubbleSize val="0"/>
              <c:extLst>
                <c:ext xmlns:c15="http://schemas.microsoft.com/office/drawing/2012/chart" uri="{CE6537A1-D6FC-4f65-9D91-7224C49458BB}">
                  <c15:layout>
                    <c:manualLayout>
                      <c:w val="0.2213299682740702"/>
                      <c:h val="8.4761372110365385E-2"/>
                    </c:manualLayout>
                  </c15:layout>
                </c:ext>
                <c:ext xmlns:c16="http://schemas.microsoft.com/office/drawing/2014/chart" uri="{C3380CC4-5D6E-409C-BE32-E72D297353CC}">
                  <c16:uniqueId val="{00000010-14DD-49CC-AA71-43A6948D87D5}"/>
                </c:ext>
              </c:extLst>
            </c:dLbl>
            <c:spPr>
              <a:noFill/>
              <a:ln>
                <a:noFill/>
              </a:ln>
              <a:effectLst/>
            </c:spPr>
            <c:txPr>
              <a:bodyPr wrap="square" lIns="38100" tIns="19050" rIns="38100" bIns="19050" anchor="ctr">
                <a:spAutoFit/>
              </a:bodyPr>
              <a:lstStyle/>
              <a:p>
                <a:pPr>
                  <a:defRPr sz="105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yVal>
            <c:numRef>
              <c:f>'SVP US'!$C$35:$E$35</c:f>
              <c:numCache>
                <c:formatCode>General</c:formatCode>
                <c:ptCount val="3"/>
                <c:pt idx="2" formatCode="&quot;$&quot;#,##0">
                  <c:v>0</c:v>
                </c:pt>
              </c:numCache>
            </c:numRef>
          </c:yVal>
          <c:smooth val="0"/>
          <c:extLst>
            <c:ext xmlns:c16="http://schemas.microsoft.com/office/drawing/2014/chart" uri="{C3380CC4-5D6E-409C-BE32-E72D297353CC}">
              <c16:uniqueId val="{00000011-14DD-49CC-AA71-43A6948D87D5}"/>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5642679540680979"/>
          <c:y val="3.6476510067114096E-2"/>
          <c:w val="0.79707951751733697"/>
          <c:h val="0.87838693139448176"/>
        </c:manualLayout>
      </c:layout>
      <c:barChart>
        <c:barDir val="col"/>
        <c:grouping val="stacked"/>
        <c:varyColors val="0"/>
        <c:ser>
          <c:idx val="0"/>
          <c:order val="0"/>
          <c:tx>
            <c:strRef>
              <c:f>'SVP-Explo.'!$B$21</c:f>
              <c:strCache>
                <c:ptCount val="1"/>
                <c:pt idx="0">
                  <c:v>25th</c:v>
                </c:pt>
              </c:strCache>
            </c:strRef>
          </c:tx>
          <c:spPr>
            <a:noFill/>
          </c:spPr>
          <c:invertIfNegative val="0"/>
          <c:cat>
            <c:strRef>
              <c:f>'SVP-Explo.'!$C$12:$E$12</c:f>
              <c:strCache>
                <c:ptCount val="3"/>
                <c:pt idx="0">
                  <c:v>2023 Target TDC</c:v>
                </c:pt>
                <c:pt idx="1">
                  <c:v>2024 Target TDC</c:v>
                </c:pt>
                <c:pt idx="2">
                  <c:v>2025E Target TDC</c:v>
                </c:pt>
              </c:strCache>
            </c:strRef>
          </c:cat>
          <c:val>
            <c:numRef>
              <c:f>'SVP-Explo.'!$C$21:$E$21</c:f>
              <c:numCache>
                <c:formatCode>"$"#,##0</c:formatCode>
                <c:ptCount val="3"/>
                <c:pt idx="0">
                  <c:v>1305.9778587325</c:v>
                </c:pt>
                <c:pt idx="1">
                  <c:v>1741.8253356050659</c:v>
                </c:pt>
                <c:pt idx="2">
                  <c:v>0.26</c:v>
                </c:pt>
              </c:numCache>
            </c:numRef>
          </c:val>
          <c:extLst>
            <c:ext xmlns:c16="http://schemas.microsoft.com/office/drawing/2014/chart" uri="{C3380CC4-5D6E-409C-BE32-E72D297353CC}">
              <c16:uniqueId val="{00000000-091A-4AB5-AA20-D9D7DF8A5D75}"/>
            </c:ext>
          </c:extLst>
        </c:ser>
        <c:ser>
          <c:idx val="1"/>
          <c:order val="1"/>
          <c:tx>
            <c:strRef>
              <c:f>'SVP-Explo.'!$B$22</c:f>
              <c:strCache>
                <c:ptCount val="1"/>
                <c:pt idx="0">
                  <c:v>50th</c:v>
                </c:pt>
              </c:strCache>
            </c:strRef>
          </c:tx>
          <c:spPr>
            <a:solidFill>
              <a:srgbClr val="002957"/>
            </a:solidFill>
          </c:spPr>
          <c:invertIfNegative val="0"/>
          <c:cat>
            <c:strRef>
              <c:f>'SVP-Explo.'!$C$12:$E$12</c:f>
              <c:strCache>
                <c:ptCount val="3"/>
                <c:pt idx="0">
                  <c:v>2023 Target TDC</c:v>
                </c:pt>
                <c:pt idx="1">
                  <c:v>2024 Target TDC</c:v>
                </c:pt>
                <c:pt idx="2">
                  <c:v>2025E Target TDC</c:v>
                </c:pt>
              </c:strCache>
            </c:strRef>
          </c:cat>
          <c:val>
            <c:numRef>
              <c:f>'SVP-Explo.'!$C$22:$E$22</c:f>
              <c:numCache>
                <c:formatCode>"$"#,##0</c:formatCode>
                <c:ptCount val="3"/>
                <c:pt idx="0">
                  <c:v>126.90479584800005</c:v>
                </c:pt>
                <c:pt idx="1">
                  <c:v>-391.89543891131575</c:v>
                </c:pt>
                <c:pt idx="2">
                  <c:v>1356.2951999999998</c:v>
                </c:pt>
              </c:numCache>
            </c:numRef>
          </c:val>
          <c:extLst>
            <c:ext xmlns:c16="http://schemas.microsoft.com/office/drawing/2014/chart" uri="{C3380CC4-5D6E-409C-BE32-E72D297353CC}">
              <c16:uniqueId val="{00000001-091A-4AB5-AA20-D9D7DF8A5D75}"/>
            </c:ext>
          </c:extLst>
        </c:ser>
        <c:ser>
          <c:idx val="2"/>
          <c:order val="2"/>
          <c:tx>
            <c:strRef>
              <c:f>'SVP-Explo.'!$B$23</c:f>
              <c:strCache>
                <c:ptCount val="1"/>
                <c:pt idx="0">
                  <c:v>75th</c:v>
                </c:pt>
              </c:strCache>
            </c:strRef>
          </c:tx>
          <c:spPr>
            <a:solidFill>
              <a:schemeClr val="tx2">
                <a:lumMod val="20000"/>
                <a:lumOff val="80000"/>
              </a:schemeClr>
            </a:solidFill>
          </c:spPr>
          <c:invertIfNegative val="0"/>
          <c:cat>
            <c:strRef>
              <c:f>'SVP-Explo.'!$C$12:$E$12</c:f>
              <c:strCache>
                <c:ptCount val="3"/>
                <c:pt idx="0">
                  <c:v>2023 Target TDC</c:v>
                </c:pt>
                <c:pt idx="1">
                  <c:v>2024 Target TDC</c:v>
                </c:pt>
                <c:pt idx="2">
                  <c:v>2025E Target TDC</c:v>
                </c:pt>
              </c:strCache>
            </c:strRef>
          </c:cat>
          <c:val>
            <c:numRef>
              <c:f>'SVP-Explo.'!$C$23:$E$23</c:f>
              <c:numCache>
                <c:formatCode>"$"#,##0</c:formatCode>
                <c:ptCount val="3"/>
                <c:pt idx="0">
                  <c:v>495.01882946759065</c:v>
                </c:pt>
                <c:pt idx="1">
                  <c:v>259.57568142165587</c:v>
                </c:pt>
                <c:pt idx="2">
                  <c:v>-1355.9261999999999</c:v>
                </c:pt>
              </c:numCache>
            </c:numRef>
          </c:val>
          <c:extLst>
            <c:ext xmlns:c16="http://schemas.microsoft.com/office/drawing/2014/chart" uri="{C3380CC4-5D6E-409C-BE32-E72D297353CC}">
              <c16:uniqueId val="{00000002-091A-4AB5-AA20-D9D7DF8A5D75}"/>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'SVP-Explo.'!$B$25</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'SVP-Explo.'!$C$25:$E$25</c:f>
              <c:numCache>
                <c:formatCode>"$"#,##0</c:formatCode>
                <c:ptCount val="3"/>
                <c:pt idx="0">
                  <c:v>1101</c:v>
                </c:pt>
                <c:pt idx="1">
                  <c:v>0</c:v>
                </c:pt>
                <c:pt idx="2">
                  <c:v>0</c:v>
                </c:pt>
              </c:numCache>
            </c:numRef>
          </c:yVal>
          <c:smooth val="0"/>
          <c:extLst>
            <c:ext xmlns:c16="http://schemas.microsoft.com/office/drawing/2014/chart" uri="{C3380CC4-5D6E-409C-BE32-E72D297353CC}">
              <c16:uniqueId val="{00000003-091A-4AB5-AA20-D9D7DF8A5D75}"/>
            </c:ext>
          </c:extLst>
        </c:ser>
        <c:ser>
          <c:idx val="4"/>
          <c:order val="4"/>
          <c:tx>
            <c:strRef>
              <c:f>'SVP-Explo.'!$B$24</c:f>
              <c:strCache>
                <c:ptCount val="1"/>
                <c:pt idx="0">
                  <c:v>Average</c:v>
                </c:pt>
              </c:strCache>
            </c:strRef>
          </c:tx>
          <c:spPr>
            <a:ln w="28575">
              <a:noFill/>
            </a:ln>
          </c:spPr>
          <c:marker>
            <c:symbol val="dash"/>
            <c:size val="15"/>
            <c:spPr>
              <a:solidFill>
                <a:srgbClr val="AFABAB"/>
              </a:solidFill>
              <a:ln>
                <a:solidFill>
                  <a:srgbClr val="AFABAB"/>
                </a:solidFill>
              </a:ln>
            </c:spPr>
          </c:marker>
          <c:yVal>
            <c:numRef>
              <c:f>'SVP-Explo.'!$C$24:$E$24</c:f>
              <c:numCache>
                <c:formatCode>"$"#,##0</c:formatCode>
                <c:ptCount val="3"/>
                <c:pt idx="0">
                  <c:v>1626.2010226289901</c:v>
                </c:pt>
                <c:pt idx="1">
                  <c:v>0</c:v>
                </c:pt>
                <c:pt idx="2">
                  <c:v>0</c:v>
                </c:pt>
              </c:numCache>
            </c:numRef>
          </c:yVal>
          <c:smooth val="0"/>
          <c:extLst>
            <c:ext xmlns:c16="http://schemas.microsoft.com/office/drawing/2014/chart" uri="{C3380CC4-5D6E-409C-BE32-E72D297353CC}">
              <c16:uniqueId val="{00000004-091A-4AB5-AA20-D9D7DF8A5D75}"/>
            </c:ext>
          </c:extLst>
        </c:ser>
        <c:ser>
          <c:idx val="5"/>
          <c:order val="5"/>
          <c:tx>
            <c:strRef>
              <c:f>'SVP-Explo.'!$B$30</c:f>
              <c:strCache>
                <c:ptCount val="1"/>
                <c:pt idx="0">
                  <c:v>Kinross</c:v>
                </c:pt>
              </c:strCache>
            </c:strRef>
          </c:tx>
          <c:spPr>
            <a:ln w="28575">
              <a:noFill/>
            </a:ln>
          </c:spPr>
          <c:marker>
            <c:spPr>
              <a:solidFill>
                <a:srgbClr val="00B050"/>
              </a:solidFill>
              <a:ln>
                <a:noFill/>
              </a:ln>
            </c:spPr>
          </c:marker>
          <c:dLbls>
            <c:dLbl>
              <c:idx val="2"/>
              <c:layout>
                <c:manualLayout>
                  <c:x val="0"/>
                  <c:y val="-5.9190902311707684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D-091A-4AB5-AA20-D9D7DF8A5D7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'SVP-Explo.'!$C$12:$E$12</c:f>
              <c:strCache>
                <c:ptCount val="3"/>
                <c:pt idx="0">
                  <c:v>2023 Target TDC</c:v>
                </c:pt>
                <c:pt idx="1">
                  <c:v>2024 Target TDC</c:v>
                </c:pt>
                <c:pt idx="2">
                  <c:v>2025E Target TDC</c:v>
                </c:pt>
              </c:strCache>
            </c:strRef>
          </c:xVal>
          <c:yVal>
            <c:numRef>
              <c:f>'SVP-Explo.'!$C$30:$E$30</c:f>
              <c:numCache>
                <c:formatCode>General</c:formatCode>
                <c:ptCount val="3"/>
                <c:pt idx="2" formatCode="&quot;$&quot;#,##0">
                  <c:v>1338.3050249250002</c:v>
                </c:pt>
              </c:numCache>
            </c:numRef>
          </c:yVal>
          <c:smooth val="0"/>
          <c:extLst>
            <c:ext xmlns:c16="http://schemas.microsoft.com/office/drawing/2014/chart" uri="{C3380CC4-5D6E-409C-BE32-E72D297353CC}">
              <c16:uniqueId val="{00000005-091A-4AB5-AA20-D9D7DF8A5D75}"/>
            </c:ext>
          </c:extLst>
        </c:ser>
        <c:ser>
          <c:idx val="6"/>
          <c:order val="6"/>
          <c:tx>
            <c:strRef>
              <c:f>'SVP-Explo.'!$B$31</c:f>
              <c:strCache>
                <c:ptCount val="1"/>
                <c:pt idx="0">
                  <c:v>Alamos</c:v>
                </c:pt>
              </c:strCache>
            </c:strRef>
          </c:tx>
          <c:spPr>
            <a:ln w="28575">
              <a:noFill/>
            </a:ln>
          </c:spPr>
          <c:marker>
            <c:symbol val="circle"/>
            <c:size val="7"/>
            <c:spPr>
              <a:solidFill>
                <a:srgbClr val="00B050"/>
              </a:solidFill>
              <a:ln>
                <a:noFill/>
              </a:ln>
            </c:spPr>
          </c:marker>
          <c:dLbls>
            <c:dLbl>
              <c:idx val="2"/>
              <c:layout>
                <c:manualLayout>
                  <c:x val="-1.5574995298440122E-16"/>
                  <c:y val="2.7489589312100764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F-091A-4AB5-AA20-D9D7DF8A5D7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'SVP-Explo.'!$C$12:$E$12</c:f>
              <c:strCache>
                <c:ptCount val="3"/>
                <c:pt idx="0">
                  <c:v>2023 Target TDC</c:v>
                </c:pt>
                <c:pt idx="1">
                  <c:v>2024 Target TDC</c:v>
                </c:pt>
                <c:pt idx="2">
                  <c:v>2025E Target TDC</c:v>
                </c:pt>
              </c:strCache>
            </c:strRef>
          </c:xVal>
          <c:yVal>
            <c:numRef>
              <c:f>'SVP-Explo.'!$C$31:$E$31</c:f>
              <c:numCache>
                <c:formatCode>General</c:formatCode>
                <c:ptCount val="3"/>
                <c:pt idx="2" formatCode="&quot;$&quot;#,##0">
                  <c:v>1891.3367790000002</c:v>
                </c:pt>
              </c:numCache>
            </c:numRef>
          </c:yVal>
          <c:smooth val="0"/>
          <c:extLst>
            <c:ext xmlns:c16="http://schemas.microsoft.com/office/drawing/2014/chart" uri="{C3380CC4-5D6E-409C-BE32-E72D297353CC}">
              <c16:uniqueId val="{00000006-091A-4AB5-AA20-D9D7DF8A5D75}"/>
            </c:ext>
          </c:extLst>
        </c:ser>
        <c:ser>
          <c:idx val="7"/>
          <c:order val="7"/>
          <c:tx>
            <c:strRef>
              <c:f>'SVP-Explo.'!$B$32</c:f>
              <c:strCache>
                <c:ptCount val="1"/>
                <c:pt idx="0">
                  <c:v>B2Gold</c:v>
                </c:pt>
              </c:strCache>
            </c:strRef>
          </c:tx>
          <c:spPr>
            <a:ln w="28575">
              <a:noFill/>
            </a:ln>
          </c:spPr>
          <c:marker>
            <c:symbol val="circle"/>
            <c:size val="7"/>
            <c:spPr>
              <a:solidFill>
                <a:srgbClr val="00B050"/>
              </a:solidFill>
              <a:ln cap="rnd">
                <a:noFill/>
              </a:ln>
            </c:spPr>
          </c:marker>
          <c:dLbls>
            <c:dLbl>
              <c:idx val="0"/>
              <c:tx>
                <c:rich>
                  <a:bodyPr/>
                  <a:lstStyle/>
                  <a:p>
                    <a:endParaRPr lang="en-CA"/>
                  </a:p>
                </c:rich>
              </c:tx>
              <c:showLegendKey val="0"/>
              <c:showVal val="0"/>
              <c:showCatName val="0"/>
              <c:showSerName val="1"/>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0-18F9-4A33-9F48-55BA4877D486}"/>
                </c:ext>
              </c:extLst>
            </c:dLbl>
            <c:dLbl>
              <c:idx val="1"/>
              <c:tx>
                <c:rich>
                  <a:bodyPr/>
                  <a:lstStyle/>
                  <a:p>
                    <a:endParaRPr lang="en-CA"/>
                  </a:p>
                </c:rich>
              </c:tx>
              <c:showLegendKey val="0"/>
              <c:showVal val="0"/>
              <c:showCatName val="0"/>
              <c:showSerName val="1"/>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18F9-4A33-9F48-55BA4877D486}"/>
                </c:ext>
              </c:extLst>
            </c:dLbl>
            <c:dLbl>
              <c:idx val="2"/>
              <c:layout>
                <c:manualLayout>
                  <c:x val="6.1819630453396768E-3"/>
                  <c:y val="-2.9595451155853842E-3"/>
                </c:manualLayout>
              </c:layout>
              <c:tx>
                <c:rich>
                  <a:bodyPr/>
                  <a:lstStyle/>
                  <a:p>
                    <a:r>
                      <a:rPr lang="en-US"/>
                      <a:t>B2Gold,</a:t>
                    </a:r>
                    <a:r>
                      <a:rPr lang="en-US" baseline="0"/>
                      <a:t> $2,851</a:t>
                    </a:r>
                    <a:endParaRPr lang="en-US"/>
                  </a:p>
                </c:rich>
              </c:tx>
              <c:showLegendKey val="0"/>
              <c:showVal val="0"/>
              <c:showCatName val="0"/>
              <c:showSerName val="1"/>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C-091A-4AB5-AA20-D9D7DF8A5D75}"/>
                </c:ext>
              </c:extLst>
            </c:dLbl>
            <c:spPr>
              <a:noFill/>
              <a:ln>
                <a:noFill/>
              </a:ln>
              <a:effectLst/>
            </c:spPr>
            <c:txPr>
              <a:bodyPr wrap="square" lIns="38100" tIns="19050" rIns="38100" bIns="19050" anchor="ctr">
                <a:spAutoFit/>
              </a:bodyPr>
              <a:lstStyle/>
              <a:p>
                <a:pPr>
                  <a:defRPr sz="1000"/>
                </a:pPr>
                <a:endParaRPr lang="en-US"/>
              </a:p>
            </c:txPr>
            <c:showLegendKey val="0"/>
            <c:showVal val="0"/>
            <c:showCatName val="0"/>
            <c:showSerName val="1"/>
            <c:showPercent val="0"/>
            <c:showBubbleSize val="0"/>
            <c:showLeaderLines val="0"/>
            <c:extLst>
              <c:ext xmlns:c15="http://schemas.microsoft.com/office/drawing/2012/chart" uri="{CE6537A1-D6FC-4f65-9D91-7224C49458BB}">
                <c15:showDataLabelsRange val="1"/>
                <c15:showLeaderLines val="1"/>
              </c:ext>
            </c:extLst>
          </c:dLbls>
          <c:xVal>
            <c:strRef>
              <c:f>'SVP-Explo.'!$C$12:$E$12</c:f>
              <c:strCache>
                <c:ptCount val="3"/>
                <c:pt idx="0">
                  <c:v>2023 Target TDC</c:v>
                </c:pt>
                <c:pt idx="1">
                  <c:v>2024 Target TDC</c:v>
                </c:pt>
                <c:pt idx="2">
                  <c:v>2025E Target TDC</c:v>
                </c:pt>
              </c:strCache>
            </c:strRef>
          </c:xVal>
          <c:yVal>
            <c:numRef>
              <c:f>'SVP-Explo.'!$C$32:$E$32</c:f>
              <c:numCache>
                <c:formatCode>General</c:formatCode>
                <c:ptCount val="3"/>
                <c:pt idx="2" formatCode="&quot;$&quot;#,##0">
                  <c:v>2500</c:v>
                </c:pt>
              </c:numCache>
            </c:numRef>
          </c:yVal>
          <c:smooth val="0"/>
          <c:extLst>
            <c:ext xmlns:c15="http://schemas.microsoft.com/office/drawing/2012/chart" uri="{02D57815-91ED-43cb-92C2-25804820EDAC}">
              <c15:datalabelsRange>
                <c15:f>'SVP-Explo.'!$F$32</c15:f>
                <c15:dlblRangeCache>
                  <c:ptCount val="1"/>
                  <c:pt idx="0">
                    <c:v>-</c:v>
                  </c:pt>
                </c15:dlblRangeCache>
              </c15:datalabelsRange>
            </c:ext>
            <c:ext xmlns:c16="http://schemas.microsoft.com/office/drawing/2014/chart" uri="{C3380CC4-5D6E-409C-BE32-E72D297353CC}">
              <c16:uniqueId val="{00000007-091A-4AB5-AA20-D9D7DF8A5D75}"/>
            </c:ext>
          </c:extLst>
        </c:ser>
        <c:ser>
          <c:idx val="8"/>
          <c:order val="8"/>
          <c:tx>
            <c:strRef>
              <c:f>'SVP-Explo.'!$B$33</c:f>
              <c:strCache>
                <c:ptCount val="1"/>
                <c:pt idx="0">
                  <c:v>New Gold</c:v>
                </c:pt>
              </c:strCache>
            </c:strRef>
          </c:tx>
          <c:spPr>
            <a:ln w="28575">
              <a:noFill/>
            </a:ln>
          </c:spPr>
          <c:marker>
            <c:symbol val="circle"/>
            <c:size val="7"/>
            <c:spPr>
              <a:solidFill>
                <a:srgbClr val="00B050"/>
              </a:solidFill>
              <a:ln>
                <a:noFill/>
              </a:ln>
            </c:spPr>
          </c:marker>
          <c:dLbls>
            <c:dLbl>
              <c:idx val="2"/>
              <c:layout>
                <c:manualLayout>
                  <c:x val="2.1238875302883923E-3"/>
                  <c:y val="1.5509177280887076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091A-4AB5-AA20-D9D7DF8A5D7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'SVP-Explo.'!$C$12:$E$12</c:f>
              <c:strCache>
                <c:ptCount val="3"/>
                <c:pt idx="0">
                  <c:v>2023 Target TDC</c:v>
                </c:pt>
                <c:pt idx="1">
                  <c:v>2024 Target TDC</c:v>
                </c:pt>
                <c:pt idx="2">
                  <c:v>2025E Target TDC</c:v>
                </c:pt>
              </c:strCache>
            </c:strRef>
          </c:xVal>
          <c:yVal>
            <c:numRef>
              <c:f>'SVP-Explo.'!$C$33:$E$33</c:f>
              <c:numCache>
                <c:formatCode>General</c:formatCode>
                <c:ptCount val="3"/>
                <c:pt idx="2" formatCode="&quot;$&quot;#,##0">
                  <c:v>2468.5255524999998</c:v>
                </c:pt>
              </c:numCache>
            </c:numRef>
          </c:yVal>
          <c:smooth val="0"/>
          <c:extLst>
            <c:ext xmlns:c16="http://schemas.microsoft.com/office/drawing/2014/chart" uri="{C3380CC4-5D6E-409C-BE32-E72D297353CC}">
              <c16:uniqueId val="{00000008-091A-4AB5-AA20-D9D7DF8A5D75}"/>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ax val="2500"/>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5642679540680979"/>
          <c:y val="3.6476510067114096E-2"/>
          <c:w val="0.72945233631609585"/>
          <c:h val="0.87838693139448176"/>
        </c:manualLayout>
      </c:layout>
      <c:barChart>
        <c:barDir val="col"/>
        <c:grouping val="stacked"/>
        <c:varyColors val="0"/>
        <c:ser>
          <c:idx val="0"/>
          <c:order val="0"/>
          <c:tx>
            <c:strRef>
              <c:f>'SVP Canada'!$B$21</c:f>
              <c:strCache>
                <c:ptCount val="1"/>
                <c:pt idx="0">
                  <c:v>25th</c:v>
                </c:pt>
              </c:strCache>
            </c:strRef>
          </c:tx>
          <c:spPr>
            <a:noFill/>
          </c:spPr>
          <c:invertIfNegative val="0"/>
          <c:cat>
            <c:strRef>
              <c:f>'SVP Canada'!$C$12:$E$12</c:f>
              <c:strCache>
                <c:ptCount val="3"/>
                <c:pt idx="0">
                  <c:v>2023 Target TDC</c:v>
                </c:pt>
                <c:pt idx="1">
                  <c:v>2024 Target TDC</c:v>
                </c:pt>
                <c:pt idx="2">
                  <c:v>2025E Target TDC</c:v>
                </c:pt>
              </c:strCache>
            </c:strRef>
          </c:cat>
          <c:val>
            <c:numRef>
              <c:f>'SVP Canada'!$C$21:$E$21</c:f>
              <c:numCache>
                <c:formatCode>"$"#,##0</c:formatCode>
                <c:ptCount val="3"/>
                <c:pt idx="0">
                  <c:v>1305.9778587325</c:v>
                </c:pt>
                <c:pt idx="1">
                  <c:v>1741.8253356050659</c:v>
                </c:pt>
                <c:pt idx="2">
                  <c:v>0.26</c:v>
                </c:pt>
              </c:numCache>
            </c:numRef>
          </c:val>
          <c:extLst>
            <c:ext xmlns:c16="http://schemas.microsoft.com/office/drawing/2014/chart" uri="{C3380CC4-5D6E-409C-BE32-E72D297353CC}">
              <c16:uniqueId val="{00000000-986F-45C6-B095-8C401D995545}"/>
            </c:ext>
          </c:extLst>
        </c:ser>
        <c:ser>
          <c:idx val="2"/>
          <c:order val="1"/>
          <c:tx>
            <c:strRef>
              <c:f>'SVP Canada'!$B$22</c:f>
              <c:strCache>
                <c:ptCount val="1"/>
                <c:pt idx="0">
                  <c:v>50th</c:v>
                </c:pt>
              </c:strCache>
            </c:strRef>
          </c:tx>
          <c:spPr>
            <a:solidFill>
              <a:srgbClr val="002957"/>
            </a:solidFill>
          </c:spPr>
          <c:invertIfNegative val="0"/>
          <c:cat>
            <c:strRef>
              <c:f>'SVP Canada'!$C$12:$E$12</c:f>
              <c:strCache>
                <c:ptCount val="3"/>
                <c:pt idx="0">
                  <c:v>2023 Target TDC</c:v>
                </c:pt>
                <c:pt idx="1">
                  <c:v>2024 Target TDC</c:v>
                </c:pt>
                <c:pt idx="2">
                  <c:v>2025E Target TDC</c:v>
                </c:pt>
              </c:strCache>
            </c:strRef>
          </c:cat>
          <c:val>
            <c:numRef>
              <c:f>'SVP Canada'!$C$22:$E$22</c:f>
              <c:numCache>
                <c:formatCode>"$"#,##0</c:formatCode>
                <c:ptCount val="3"/>
                <c:pt idx="0">
                  <c:v>126.90479584800005</c:v>
                </c:pt>
                <c:pt idx="1">
                  <c:v>-391.89543891131575</c:v>
                </c:pt>
                <c:pt idx="2">
                  <c:v>1356.2951999999998</c:v>
                </c:pt>
              </c:numCache>
            </c:numRef>
          </c:val>
          <c:extLst>
            <c:ext xmlns:c16="http://schemas.microsoft.com/office/drawing/2014/chart" uri="{C3380CC4-5D6E-409C-BE32-E72D297353CC}">
              <c16:uniqueId val="{00000002-986F-45C6-B095-8C401D995545}"/>
            </c:ext>
          </c:extLst>
        </c:ser>
        <c:ser>
          <c:idx val="10"/>
          <c:order val="9"/>
          <c:tx>
            <c:strRef>
              <c:f>'SVP Canada'!$B$23</c:f>
              <c:strCache>
                <c:ptCount val="1"/>
                <c:pt idx="0">
                  <c:v>75th</c:v>
                </c:pt>
              </c:strCache>
            </c:strRef>
          </c:tx>
          <c:spPr>
            <a:solidFill>
              <a:srgbClr val="C6D9F1"/>
            </a:solidFill>
            <a:ln w="28575">
              <a:noFill/>
            </a:ln>
          </c:spPr>
          <c:invertIfNegative val="0"/>
          <c:val>
            <c:numRef>
              <c:f>'SVP Canada'!$C$23:$E$23</c:f>
              <c:numCache>
                <c:formatCode>"$"#,##0</c:formatCode>
                <c:ptCount val="3"/>
                <c:pt idx="0">
                  <c:v>495.01882946759065</c:v>
                </c:pt>
                <c:pt idx="1">
                  <c:v>259.57568142165587</c:v>
                </c:pt>
                <c:pt idx="2">
                  <c:v>-1355.9261999999999</c:v>
                </c:pt>
              </c:numCache>
            </c:numRef>
          </c:val>
          <c:extLst>
            <c:ext xmlns:c16="http://schemas.microsoft.com/office/drawing/2014/chart" uri="{C3380CC4-5D6E-409C-BE32-E72D297353CC}">
              <c16:uniqueId val="{00000001-9CB6-464F-8FB4-225B36C0B3AB}"/>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2"/>
          <c:tx>
            <c:strRef>
              <c:f>'SVP Canada'!$B$25</c:f>
              <c:strCache>
                <c:ptCount val="1"/>
                <c:pt idx="0">
                  <c:v>Hudbay Minerals Inc.</c:v>
                </c:pt>
              </c:strCache>
            </c:strRef>
          </c:tx>
          <c:spPr>
            <a:ln w="28575">
              <a:noFill/>
            </a:ln>
          </c:spPr>
          <c:marker>
            <c:symbol val="diamond"/>
            <c:size val="10"/>
            <c:spPr>
              <a:solidFill>
                <a:srgbClr val="F0531E"/>
              </a:solidFill>
              <a:ln>
                <a:solidFill>
                  <a:srgbClr val="F0531E"/>
                </a:solidFill>
              </a:ln>
            </c:spPr>
          </c:marker>
          <c:dPt>
            <c:idx val="0"/>
            <c:marker>
              <c:spPr>
                <a:solidFill>
                  <a:srgbClr val="F0531E"/>
                </a:solidFill>
                <a:ln>
                  <a:noFill/>
                </a:ln>
              </c:spPr>
            </c:marker>
            <c:bubble3D val="0"/>
            <c:extLst>
              <c:ext xmlns:c16="http://schemas.microsoft.com/office/drawing/2014/chart" uri="{C3380CC4-5D6E-409C-BE32-E72D297353CC}">
                <c16:uniqueId val="{00000000-9CB6-464F-8FB4-225B36C0B3AB}"/>
              </c:ext>
            </c:extLst>
          </c:dPt>
          <c:yVal>
            <c:numRef>
              <c:f>'SVP Canada'!$C$25:$E$25</c:f>
              <c:numCache>
                <c:formatCode>"$"#,##0</c:formatCode>
                <c:ptCount val="3"/>
                <c:pt idx="0">
                  <c:v>954</c:v>
                </c:pt>
                <c:pt idx="1">
                  <c:v>1356.5551999999998</c:v>
                </c:pt>
                <c:pt idx="2">
                  <c:v>1356.5551999999998</c:v>
                </c:pt>
              </c:numCache>
            </c:numRef>
          </c:yVal>
          <c:smooth val="0"/>
          <c:extLst>
            <c:ext xmlns:c16="http://schemas.microsoft.com/office/drawing/2014/chart" uri="{C3380CC4-5D6E-409C-BE32-E72D297353CC}">
              <c16:uniqueId val="{00000003-986F-45C6-B095-8C401D995545}"/>
            </c:ext>
          </c:extLst>
        </c:ser>
        <c:ser>
          <c:idx val="4"/>
          <c:order val="3"/>
          <c:tx>
            <c:strRef>
              <c:f>'SVP Canada'!$B$24</c:f>
              <c:strCache>
                <c:ptCount val="1"/>
                <c:pt idx="0">
                  <c:v>Average</c:v>
                </c:pt>
              </c:strCache>
            </c:strRef>
          </c:tx>
          <c:spPr>
            <a:ln w="28575">
              <a:noFill/>
            </a:ln>
          </c:spPr>
          <c:marker>
            <c:symbol val="dash"/>
            <c:size val="15"/>
            <c:spPr>
              <a:solidFill>
                <a:srgbClr val="AFABAB"/>
              </a:solidFill>
              <a:ln>
                <a:solidFill>
                  <a:srgbClr val="AFABAB"/>
                </a:solidFill>
              </a:ln>
            </c:spPr>
          </c:marker>
          <c:yVal>
            <c:numRef>
              <c:f>'SVP Canada'!$C$24:$E$24</c:f>
              <c:numCache>
                <c:formatCode>"$"#,##0</c:formatCode>
                <c:ptCount val="3"/>
                <c:pt idx="0">
                  <c:v>1626.2010226289901</c:v>
                </c:pt>
                <c:pt idx="1">
                  <c:v>0</c:v>
                </c:pt>
                <c:pt idx="2">
                  <c:v>0</c:v>
                </c:pt>
              </c:numCache>
            </c:numRef>
          </c:yVal>
          <c:smooth val="0"/>
          <c:extLst>
            <c:ext xmlns:c16="http://schemas.microsoft.com/office/drawing/2014/chart" uri="{C3380CC4-5D6E-409C-BE32-E72D297353CC}">
              <c16:uniqueId val="{00000004-986F-45C6-B095-8C401D995545}"/>
            </c:ext>
          </c:extLst>
        </c:ser>
        <c:ser>
          <c:idx val="5"/>
          <c:order val="4"/>
          <c:tx>
            <c:strRef>
              <c:f>'SVP Canada'!$B$30</c:f>
              <c:strCache>
                <c:ptCount val="1"/>
                <c:pt idx="0">
                  <c:v>Lundin</c:v>
                </c:pt>
              </c:strCache>
            </c:strRef>
          </c:tx>
          <c:spPr>
            <a:ln w="28575">
              <a:noFill/>
            </a:ln>
          </c:spPr>
          <c:marker>
            <c:spPr>
              <a:solidFill>
                <a:srgbClr val="00B050"/>
              </a:solidFill>
              <a:ln>
                <a:noFill/>
              </a:ln>
            </c:spPr>
          </c:marker>
          <c:dLbls>
            <c:dLbl>
              <c:idx val="2"/>
              <c:layout>
                <c:manualLayout>
                  <c:x val="0"/>
                  <c:y val="-5.9190902311707684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986F-45C6-B095-8C401D99554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Canada'!$C$12:$E$12</c:f>
              <c:strCache>
                <c:ptCount val="3"/>
                <c:pt idx="0">
                  <c:v>2023 Target TDC</c:v>
                </c:pt>
                <c:pt idx="1">
                  <c:v>2024 Target TDC</c:v>
                </c:pt>
                <c:pt idx="2">
                  <c:v>2025E Target TDC</c:v>
                </c:pt>
              </c:strCache>
            </c:strRef>
          </c:xVal>
          <c:yVal>
            <c:numRef>
              <c:f>'SVP Canada'!$C$30:$E$30</c:f>
              <c:numCache>
                <c:formatCode>General</c:formatCode>
                <c:ptCount val="3"/>
                <c:pt idx="2" formatCode="&quot;$&quot;#,##0">
                  <c:v>2511.1574070000001</c:v>
                </c:pt>
              </c:numCache>
            </c:numRef>
          </c:yVal>
          <c:smooth val="0"/>
          <c:extLst>
            <c:ext xmlns:c16="http://schemas.microsoft.com/office/drawing/2014/chart" uri="{C3380CC4-5D6E-409C-BE32-E72D297353CC}">
              <c16:uniqueId val="{00000006-986F-45C6-B095-8C401D995545}"/>
            </c:ext>
          </c:extLst>
        </c:ser>
        <c:ser>
          <c:idx val="6"/>
          <c:order val="5"/>
          <c:tx>
            <c:strRef>
              <c:f>'SVP Canada'!$B$31</c:f>
              <c:strCache>
                <c:ptCount val="1"/>
                <c:pt idx="0">
                  <c:v>Alamos</c:v>
                </c:pt>
              </c:strCache>
            </c:strRef>
          </c:tx>
          <c:spPr>
            <a:ln w="28575">
              <a:noFill/>
            </a:ln>
          </c:spPr>
          <c:marker>
            <c:symbol val="circle"/>
            <c:size val="7"/>
            <c:spPr>
              <a:solidFill>
                <a:srgbClr val="00B050"/>
              </a:solidFill>
              <a:ln>
                <a:noFill/>
              </a:ln>
            </c:spPr>
          </c:marker>
          <c:dLbls>
            <c:dLbl>
              <c:idx val="2"/>
              <c:layout>
                <c:manualLayout>
                  <c:x val="0"/>
                  <c:y val="-1.4797725577926921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7-986F-45C6-B095-8C401D99554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Canada'!$C$12:$E$12</c:f>
              <c:strCache>
                <c:ptCount val="3"/>
                <c:pt idx="0">
                  <c:v>2023 Target TDC</c:v>
                </c:pt>
                <c:pt idx="1">
                  <c:v>2024 Target TDC</c:v>
                </c:pt>
                <c:pt idx="2">
                  <c:v>2025E Target TDC</c:v>
                </c:pt>
              </c:strCache>
            </c:strRef>
          </c:xVal>
          <c:yVal>
            <c:numRef>
              <c:f>'SVP Canada'!$C$31:$E$31</c:f>
              <c:numCache>
                <c:formatCode>General</c:formatCode>
                <c:ptCount val="3"/>
                <c:pt idx="2" formatCode="&quot;$&quot;#,##0">
                  <c:v>0</c:v>
                </c:pt>
              </c:numCache>
            </c:numRef>
          </c:yVal>
          <c:smooth val="0"/>
          <c:extLst>
            <c:ext xmlns:c16="http://schemas.microsoft.com/office/drawing/2014/chart" uri="{C3380CC4-5D6E-409C-BE32-E72D297353CC}">
              <c16:uniqueId val="{00000008-986F-45C6-B095-8C401D995545}"/>
            </c:ext>
          </c:extLst>
        </c:ser>
        <c:ser>
          <c:idx val="7"/>
          <c:order val="6"/>
          <c:tx>
            <c:strRef>
              <c:f>'SVP Canada'!$B$32</c:f>
              <c:strCache>
                <c:ptCount val="1"/>
                <c:pt idx="0">
                  <c:v>Capstone</c:v>
                </c:pt>
              </c:strCache>
            </c:strRef>
          </c:tx>
          <c:spPr>
            <a:ln w="28575">
              <a:noFill/>
            </a:ln>
          </c:spPr>
          <c:marker>
            <c:symbol val="circle"/>
            <c:size val="7"/>
            <c:spPr>
              <a:solidFill>
                <a:srgbClr val="00B050"/>
              </a:solidFill>
              <a:ln cap="rnd">
                <a:noFill/>
              </a:ln>
            </c:spPr>
          </c:marker>
          <c:dLbls>
            <c:dLbl>
              <c:idx val="2"/>
              <c:layout>
                <c:manualLayout>
                  <c:x val="6.1819630453396768E-3"/>
                  <c:y val="-2.9595451155853842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9-986F-45C6-B095-8C401D99554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Canada'!$C$12:$E$12</c:f>
              <c:strCache>
                <c:ptCount val="3"/>
                <c:pt idx="0">
                  <c:v>2023 Target TDC</c:v>
                </c:pt>
                <c:pt idx="1">
                  <c:v>2024 Target TDC</c:v>
                </c:pt>
                <c:pt idx="2">
                  <c:v>2025E Target TDC</c:v>
                </c:pt>
              </c:strCache>
            </c:strRef>
          </c:xVal>
          <c:yVal>
            <c:numRef>
              <c:f>'SVP Canada'!$C$32:$E$32</c:f>
              <c:numCache>
                <c:formatCode>General</c:formatCode>
                <c:ptCount val="3"/>
                <c:pt idx="2" formatCode="&quot;$&quot;#,##0">
                  <c:v>0</c:v>
                </c:pt>
              </c:numCache>
            </c:numRef>
          </c:yVal>
          <c:smooth val="0"/>
          <c:extLst>
            <c:ext xmlns:c16="http://schemas.microsoft.com/office/drawing/2014/chart" uri="{C3380CC4-5D6E-409C-BE32-E72D297353CC}">
              <c16:uniqueId val="{0000000A-986F-45C6-B095-8C401D995545}"/>
            </c:ext>
          </c:extLst>
        </c:ser>
        <c:ser>
          <c:idx val="8"/>
          <c:order val="7"/>
          <c:tx>
            <c:strRef>
              <c:f>'SVP Canada'!$B$33</c:f>
              <c:strCache>
                <c:ptCount val="1"/>
                <c:pt idx="0">
                  <c:v>Eldorado</c:v>
                </c:pt>
              </c:strCache>
            </c:strRef>
          </c:tx>
          <c:spPr>
            <a:ln w="28575">
              <a:noFill/>
            </a:ln>
          </c:spPr>
          <c:marker>
            <c:symbol val="circle"/>
            <c:size val="7"/>
            <c:spPr>
              <a:solidFill>
                <a:srgbClr val="00B050"/>
              </a:solidFill>
              <a:ln>
                <a:noFill/>
              </a:ln>
            </c:spPr>
          </c:marker>
          <c:dLbls>
            <c:dLbl>
              <c:idx val="2"/>
              <c:layout>
                <c:manualLayout>
                  <c:x val="0"/>
                  <c:y val="0"/>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B-986F-45C6-B095-8C401D99554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Canada'!$C$12:$E$12</c:f>
              <c:strCache>
                <c:ptCount val="3"/>
                <c:pt idx="0">
                  <c:v>2023 Target TDC</c:v>
                </c:pt>
                <c:pt idx="1">
                  <c:v>2024 Target TDC</c:v>
                </c:pt>
                <c:pt idx="2">
                  <c:v>2025E Target TDC</c:v>
                </c:pt>
              </c:strCache>
            </c:strRef>
          </c:xVal>
          <c:yVal>
            <c:numRef>
              <c:f>'SVP Canada'!$C$33:$E$33</c:f>
              <c:numCache>
                <c:formatCode>General</c:formatCode>
                <c:ptCount val="3"/>
                <c:pt idx="2" formatCode="&quot;$&quot;#,##0">
                  <c:v>0</c:v>
                </c:pt>
              </c:numCache>
            </c:numRef>
          </c:yVal>
          <c:smooth val="0"/>
          <c:extLst>
            <c:ext xmlns:c16="http://schemas.microsoft.com/office/drawing/2014/chart" uri="{C3380CC4-5D6E-409C-BE32-E72D297353CC}">
              <c16:uniqueId val="{0000000C-986F-45C6-B095-8C401D995545}"/>
            </c:ext>
          </c:extLst>
        </c:ser>
        <c:ser>
          <c:idx val="9"/>
          <c:order val="8"/>
          <c:tx>
            <c:strRef>
              <c:f>'SVP Canada'!$B$34</c:f>
              <c:strCache>
                <c:ptCount val="1"/>
                <c:pt idx="0">
                  <c:v>OceanaGold (1)</c:v>
                </c:pt>
              </c:strCache>
            </c:strRef>
          </c:tx>
          <c:spPr>
            <a:ln w="28575">
              <a:noFill/>
            </a:ln>
          </c:spPr>
          <c:marker>
            <c:symbol val="circle"/>
            <c:size val="7"/>
            <c:spPr>
              <a:solidFill>
                <a:srgbClr val="00B050"/>
              </a:solidFill>
              <a:ln>
                <a:noFill/>
              </a:ln>
            </c:spPr>
          </c:marker>
          <c:dLbls>
            <c:dLbl>
              <c:idx val="2"/>
              <c:layout>
                <c:manualLayout>
                  <c:x val="-1.3736771181502102E-2"/>
                  <c:y val="-2.0716815809097743E-2"/>
                </c:manualLayout>
              </c:layout>
              <c:showLegendKey val="0"/>
              <c:showVal val="1"/>
              <c:showCatName val="0"/>
              <c:showSerName val="1"/>
              <c:showPercent val="0"/>
              <c:showBubbleSize val="0"/>
              <c:extLst>
                <c:ext xmlns:c15="http://schemas.microsoft.com/office/drawing/2012/chart" uri="{CE6537A1-D6FC-4f65-9D91-7224C49458BB}">
                  <c15:layout>
                    <c:manualLayout>
                      <c:w val="0.23358285278208304"/>
                      <c:h val="8.1121131618195383E-2"/>
                    </c:manualLayout>
                  </c15:layout>
                </c:ext>
                <c:ext xmlns:c16="http://schemas.microsoft.com/office/drawing/2014/chart" uri="{C3380CC4-5D6E-409C-BE32-E72D297353CC}">
                  <c16:uniqueId val="{0000000D-986F-45C6-B095-8C401D995545}"/>
                </c:ext>
              </c:extLst>
            </c:dLbl>
            <c:spPr>
              <a:noFill/>
              <a:ln>
                <a:noFill/>
              </a:ln>
              <a:effectLst/>
            </c:spPr>
            <c:txPr>
              <a:bodyPr wrap="square" lIns="38100" tIns="19050" rIns="38100" bIns="19050" anchor="ctr">
                <a:spAutoFit/>
              </a:bodyPr>
              <a:lstStyle/>
              <a:p>
                <a:pPr>
                  <a:defRPr sz="100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'SVP Canada'!$C$12:$E$12</c:f>
              <c:strCache>
                <c:ptCount val="3"/>
                <c:pt idx="0">
                  <c:v>2023 Target TDC</c:v>
                </c:pt>
                <c:pt idx="1">
                  <c:v>2024 Target TDC</c:v>
                </c:pt>
                <c:pt idx="2">
                  <c:v>2025E Target TDC</c:v>
                </c:pt>
              </c:strCache>
            </c:strRef>
          </c:xVal>
          <c:yVal>
            <c:numRef>
              <c:f>'SVP Canada'!$C$34:$E$34</c:f>
              <c:numCache>
                <c:formatCode>General</c:formatCode>
                <c:ptCount val="3"/>
                <c:pt idx="2" formatCode="&quot;$&quot;#,##0">
                  <c:v>0</c:v>
                </c:pt>
              </c:numCache>
            </c:numRef>
          </c:yVal>
          <c:smooth val="0"/>
          <c:extLst>
            <c:ext xmlns:c16="http://schemas.microsoft.com/office/drawing/2014/chart" uri="{C3380CC4-5D6E-409C-BE32-E72D297353CC}">
              <c16:uniqueId val="{0000000E-986F-45C6-B095-8C401D995545}"/>
            </c:ext>
          </c:extLst>
        </c:ser>
        <c:ser>
          <c:idx val="1"/>
          <c:order val="10"/>
          <c:tx>
            <c:strRef>
              <c:f>'SVP Canada'!$B$35</c:f>
              <c:strCache>
                <c:ptCount val="1"/>
                <c:pt idx="0">
                  <c:v>OceanaGold (2)</c:v>
                </c:pt>
              </c:strCache>
            </c:strRef>
          </c:tx>
          <c:spPr>
            <a:ln w="28575">
              <a:noFill/>
            </a:ln>
          </c:spPr>
          <c:marker>
            <c:symbol val="circle"/>
            <c:size val="7"/>
            <c:spPr>
              <a:solidFill>
                <a:srgbClr val="00B050"/>
              </a:solidFill>
              <a:ln>
                <a:noFill/>
              </a:ln>
            </c:spPr>
          </c:marker>
          <c:dLbls>
            <c:dLbl>
              <c:idx val="2"/>
              <c:layout>
                <c:manualLayout>
                  <c:x val="0"/>
                  <c:y val="-1.4797609060402684E-2"/>
                </c:manualLayout>
              </c:layout>
              <c:showLegendKey val="0"/>
              <c:showVal val="1"/>
              <c:showCatName val="0"/>
              <c:showSerName val="1"/>
              <c:showPercent val="0"/>
              <c:showBubbleSize val="0"/>
              <c:extLst>
                <c:ext xmlns:c15="http://schemas.microsoft.com/office/drawing/2012/chart" uri="{CE6537A1-D6FC-4f65-9D91-7224C49458BB}">
                  <c15:layout>
                    <c:manualLayout>
                      <c:w val="0.2213299682740702"/>
                      <c:h val="8.4761372110365385E-2"/>
                    </c:manualLayout>
                  </c15:layout>
                </c:ext>
                <c:ext xmlns:c16="http://schemas.microsoft.com/office/drawing/2014/chart" uri="{C3380CC4-5D6E-409C-BE32-E72D297353CC}">
                  <c16:uniqueId val="{00000003-9CB6-464F-8FB4-225B36C0B3AB}"/>
                </c:ext>
              </c:extLst>
            </c:dLbl>
            <c:spPr>
              <a:noFill/>
              <a:ln>
                <a:noFill/>
              </a:ln>
              <a:effectLst/>
            </c:spPr>
            <c:txPr>
              <a:bodyPr wrap="square" lIns="38100" tIns="19050" rIns="38100" bIns="19050" anchor="ctr">
                <a:spAutoFit/>
              </a:bodyPr>
              <a:lstStyle/>
              <a:p>
                <a:pPr>
                  <a:defRPr sz="1050"/>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yVal>
            <c:numRef>
              <c:f>'SVP Canada'!$C$35:$E$35</c:f>
              <c:numCache>
                <c:formatCode>General</c:formatCode>
                <c:ptCount val="3"/>
                <c:pt idx="2" formatCode="&quot;$&quot;#,##0">
                  <c:v>0</c:v>
                </c:pt>
              </c:numCache>
            </c:numRef>
          </c:yVal>
          <c:smooth val="0"/>
          <c:extLst>
            <c:ext xmlns:c16="http://schemas.microsoft.com/office/drawing/2014/chart" uri="{C3380CC4-5D6E-409C-BE32-E72D297353CC}">
              <c16:uniqueId val="{00000002-9CB6-464F-8FB4-225B36C0B3AB}"/>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a:pPr>
                <a:r>
                  <a:rPr lang="en-CA"/>
                  <a:t>Target Total Direct Compensation ($000s CAD)</a:t>
                </a:r>
              </a:p>
            </c:rich>
          </c:tx>
          <c:overlay val="0"/>
        </c:title>
        <c:numFmt formatCode="&quot;$&quot;#,##0" sourceLinked="1"/>
        <c:majorTickMark val="out"/>
        <c:minorTickMark val="none"/>
        <c:tickLblPos val="nextTo"/>
        <c:crossAx val="721418768"/>
        <c:crosses val="autoZero"/>
        <c:crossBetween val="between"/>
      </c:valAx>
      <c:spPr>
        <a:noFill/>
      </c:spPr>
    </c:plotArea>
    <c:plotVisOnly val="1"/>
    <c:dispBlanksAs val="gap"/>
    <c:showDLblsOverMax val="0"/>
  </c:chart>
  <c:spPr>
    <a:noFill/>
    <a:ln>
      <a:noFill/>
    </a:ln>
  </c:spPr>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printSettings>
    <c:headerFooter/>
    <c:pageMargins b="0.75000000000000666" l="0.70000000000000062" r="0.70000000000000062" t="0.75000000000000666"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'NEO4&amp;Regional - Charts'!$B$13</c:f>
              <c:strCache>
                <c:ptCount val="1"/>
                <c:pt idx="0">
                  <c:v>25th</c:v>
                </c:pt>
              </c:strCache>
            </c:strRef>
          </c:tx>
          <c:spPr>
            <a:noFill/>
          </c:spPr>
          <c:invertIfNegative val="0"/>
          <c:cat>
            <c:strRef>
              <c:f>'NEO4&amp;Regional - Charts'!$C$4:$E$4</c:f>
              <c:strCache>
                <c:ptCount val="3"/>
                <c:pt idx="0">
                  <c:v>2024 Target TDC</c:v>
                </c:pt>
                <c:pt idx="1">
                  <c:v>2025 Target TDC</c:v>
                </c:pt>
                <c:pt idx="2">
                  <c:v>2026E Target TDC</c:v>
                </c:pt>
              </c:strCache>
            </c:strRef>
          </c:cat>
          <c:val>
            <c:numRef>
              <c:f>'NEO4&amp;Regional - Charts'!$C$13:$E$13</c:f>
              <c:numCache>
                <c:formatCode>"$"#,##0</c:formatCode>
                <c:ptCount val="3"/>
                <c:pt idx="0">
                  <c:v>1621.8000000000002</c:v>
                </c:pt>
                <c:pt idx="1">
                  <c:v>1513.9375</c:v>
                </c:pt>
                <c:pt idx="2">
                  <c:v>1542.8112500000002</c:v>
                </c:pt>
              </c:numCache>
            </c:numRef>
          </c:val>
          <c:extLst>
            <c:ext xmlns:c16="http://schemas.microsoft.com/office/drawing/2014/chart" uri="{C3380CC4-5D6E-409C-BE32-E72D297353CC}">
              <c16:uniqueId val="{00000000-23F1-46BA-94E7-A56C4A888DC5}"/>
            </c:ext>
          </c:extLst>
        </c:ser>
        <c:ser>
          <c:idx val="1"/>
          <c:order val="1"/>
          <c:tx>
            <c:strRef>
              <c:f>'NEO4&amp;Regional - Charts'!$B$14</c:f>
              <c:strCache>
                <c:ptCount val="1"/>
                <c:pt idx="0">
                  <c:v>50th</c:v>
                </c:pt>
              </c:strCache>
            </c:strRef>
          </c:tx>
          <c:spPr>
            <a:solidFill>
              <a:srgbClr val="002957"/>
            </a:solidFill>
          </c:spPr>
          <c:invertIfNegative val="0"/>
          <c:cat>
            <c:strRef>
              <c:f>'NEO4&amp;Regional - Charts'!$C$4:$E$4</c:f>
              <c:strCache>
                <c:ptCount val="3"/>
                <c:pt idx="0">
                  <c:v>2024 Target TDC</c:v>
                </c:pt>
                <c:pt idx="1">
                  <c:v>2025 Target TDC</c:v>
                </c:pt>
                <c:pt idx="2">
                  <c:v>2026E Target TDC</c:v>
                </c:pt>
              </c:strCache>
            </c:strRef>
          </c:cat>
          <c:val>
            <c:numRef>
              <c:f>'NEO4&amp;Regional - Charts'!$C$14:$E$14</c:f>
              <c:numCache>
                <c:formatCode>"$"#,##0</c:formatCode>
                <c:ptCount val="3"/>
                <c:pt idx="0">
                  <c:v>258.56222438313398</c:v>
                </c:pt>
                <c:pt idx="1">
                  <c:v>587.56774377582133</c:v>
                </c:pt>
                <c:pt idx="2">
                  <c:v>576.23220484218245</c:v>
                </c:pt>
              </c:numCache>
            </c:numRef>
          </c:val>
          <c:extLst>
            <c:ext xmlns:c16="http://schemas.microsoft.com/office/drawing/2014/chart" uri="{C3380CC4-5D6E-409C-BE32-E72D297353CC}">
              <c16:uniqueId val="{00000001-23F1-46BA-94E7-A56C4A888DC5}"/>
            </c:ext>
          </c:extLst>
        </c:ser>
        <c:ser>
          <c:idx val="2"/>
          <c:order val="2"/>
          <c:tx>
            <c:strRef>
              <c:f>'NEO4&amp;Regional - Charts'!$B$15</c:f>
              <c:strCache>
                <c:ptCount val="1"/>
                <c:pt idx="0">
                  <c:v>75th</c:v>
                </c:pt>
              </c:strCache>
            </c:strRef>
          </c:tx>
          <c:spPr>
            <a:solidFill>
              <a:schemeClr val="tx2">
                <a:lumMod val="20000"/>
                <a:lumOff val="80000"/>
              </a:schemeClr>
            </a:solidFill>
          </c:spPr>
          <c:invertIfNegative val="0"/>
          <c:cat>
            <c:strRef>
              <c:f>'NEO4&amp;Regional - Charts'!$C$4:$E$4</c:f>
              <c:strCache>
                <c:ptCount val="3"/>
                <c:pt idx="0">
                  <c:v>2024 Target TDC</c:v>
                </c:pt>
                <c:pt idx="1">
                  <c:v>2025 Target TDC</c:v>
                </c:pt>
                <c:pt idx="2">
                  <c:v>2026E Target TDC</c:v>
                </c:pt>
              </c:strCache>
            </c:strRef>
          </c:cat>
          <c:val>
            <c:numRef>
              <c:f>'NEO4&amp;Regional - Charts'!$C$15:$E$15</c:f>
              <c:numCache>
                <c:formatCode>"$"#,##0</c:formatCode>
                <c:ptCount val="3"/>
                <c:pt idx="0">
                  <c:v>605.82929523188614</c:v>
                </c:pt>
                <c:pt idx="1">
                  <c:v>629.53077184917856</c:v>
                </c:pt>
                <c:pt idx="2">
                  <c:v>622.89073734531712</c:v>
                </c:pt>
              </c:numCache>
            </c:numRef>
          </c:val>
          <c:extLst>
            <c:ext xmlns:c16="http://schemas.microsoft.com/office/drawing/2014/chart" uri="{C3380CC4-5D6E-409C-BE32-E72D297353CC}">
              <c16:uniqueId val="{00000002-23F1-46BA-94E7-A56C4A888DC5}"/>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'NEO4&amp;Regional - Charts'!$B$17</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'NEO4&amp;Regional - Charts'!$C$17:$E$17</c:f>
              <c:numCache>
                <c:formatCode>"$"#,##0</c:formatCode>
                <c:ptCount val="3"/>
                <c:pt idx="0">
                  <c:v>1698.7123999999999</c:v>
                </c:pt>
                <c:pt idx="1">
                  <c:v>1791.7339999999999</c:v>
                </c:pt>
                <c:pt idx="2">
                  <c:v>1791.7339999999999</c:v>
                </c:pt>
              </c:numCache>
            </c:numRef>
          </c:yVal>
          <c:smooth val="0"/>
          <c:extLst>
            <c:ext xmlns:c16="http://schemas.microsoft.com/office/drawing/2014/chart" uri="{C3380CC4-5D6E-409C-BE32-E72D297353CC}">
              <c16:uniqueId val="{00000003-23F1-46BA-94E7-A56C4A888DC5}"/>
            </c:ext>
          </c:extLst>
        </c:ser>
        <c:ser>
          <c:idx val="4"/>
          <c:order val="4"/>
          <c:tx>
            <c:strRef>
              <c:f>'NEO4&amp;Regional - Charts'!$B$16</c:f>
              <c:strCache>
                <c:ptCount val="1"/>
                <c:pt idx="0">
                  <c:v>Average</c:v>
                </c:pt>
              </c:strCache>
            </c:strRef>
          </c:tx>
          <c:spPr>
            <a:ln w="28575">
              <a:noFill/>
            </a:ln>
          </c:spPr>
          <c:marker>
            <c:symbol val="dash"/>
            <c:size val="15"/>
            <c:spPr>
              <a:solidFill>
                <a:srgbClr val="AFABAB"/>
              </a:solidFill>
              <a:ln>
                <a:solidFill>
                  <a:srgbClr val="AFABAB"/>
                </a:solidFill>
              </a:ln>
            </c:spPr>
          </c:marker>
          <c:yVal>
            <c:numRef>
              <c:f>'NEO4&amp;Regional - Charts'!$C$16:$E$16</c:f>
              <c:numCache>
                <c:formatCode>"$"#,##0</c:formatCode>
                <c:ptCount val="3"/>
                <c:pt idx="0">
                  <c:v>2012.1751832934981</c:v>
                </c:pt>
                <c:pt idx="1">
                  <c:v>2103.6494885705856</c:v>
                </c:pt>
                <c:pt idx="2">
                  <c:v>2095.3517551975506</c:v>
                </c:pt>
              </c:numCache>
            </c:numRef>
          </c:yVal>
          <c:smooth val="0"/>
          <c:extLst>
            <c:ext xmlns:c16="http://schemas.microsoft.com/office/drawing/2014/chart" uri="{C3380CC4-5D6E-409C-BE32-E72D297353CC}">
              <c16:uniqueId val="{00000004-23F1-46BA-94E7-A56C4A888DC5}"/>
            </c:ext>
          </c:extLst>
        </c:ser>
        <c:ser>
          <c:idx val="5"/>
          <c:order val="5"/>
          <c:tx>
            <c:strRef>
              <c:f>'NEO4&amp;Regional - Charts'!$B$18</c:f>
              <c:strCache>
                <c:ptCount val="1"/>
                <c:pt idx="0">
                  <c:v>Eldorado</c:v>
                </c:pt>
              </c:strCache>
            </c:strRef>
          </c:tx>
          <c:spPr>
            <a:ln w="28575">
              <a:noFill/>
            </a:ln>
          </c:spPr>
          <c:marker>
            <c:symbol val="circle"/>
            <c:size val="8"/>
            <c:spPr>
              <a:solidFill>
                <a:srgbClr val="00B050"/>
              </a:solidFill>
              <a:ln>
                <a:solidFill>
                  <a:srgbClr val="00B050"/>
                </a:solidFill>
                <a:prstDash val="solid"/>
              </a:ln>
            </c:spPr>
          </c:marker>
          <c:dLbls>
            <c:dLbl>
              <c:idx val="0"/>
              <c:layout>
                <c:manualLayout>
                  <c:x val="2.5331624878128954E-3"/>
                  <c:y val="-2.3453370267774717E-2"/>
                </c:manualLayout>
              </c:layout>
              <c:tx>
                <c:rich>
                  <a:bodyPr/>
                  <a:lstStyle/>
                  <a:p>
                    <a:fld id="{B676281B-F550-4D16-8254-7B477962D59E}" type="SERIESNAME">
                      <a:rPr lang="en-US"/>
                      <a:pPr/>
                      <a:t>[SERIES NAME]</a:t>
                    </a:fld>
                    <a:r>
                      <a:rPr lang="en-US" baseline="0"/>
                      <a:t>, </a:t>
                    </a:r>
                    <a:fld id="{32CBC4AE-B9C4-4816-AA15-0D5A79520FFB}" type="YVALUE">
                      <a:rPr lang="en-US" baseline="0"/>
                      <a:pPr/>
                      <a:t>[Y VALUE]</a:t>
                    </a:fld>
                    <a:endParaRPr lang="en-US" baseline="0"/>
                  </a:p>
                </c:rich>
              </c:tx>
              <c:dLblPos val="r"/>
              <c:showLegendKey val="0"/>
              <c:showVal val="1"/>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E0D-42F3-89C0-7373BAA9FEBA}"/>
                </c:ext>
              </c:extLst>
            </c:dLbl>
            <c:dLbl>
              <c:idx val="1"/>
              <c:layout>
                <c:manualLayout>
                  <c:x val="-7.3461712146573974E-2"/>
                  <c:y val="-4.1881018335311965E-2"/>
                </c:manualLayout>
              </c:layout>
              <c:tx>
                <c:rich>
                  <a:bodyPr wrap="square" lIns="38100" tIns="19050" rIns="38100" bIns="19050" anchor="ctr">
                    <a:noAutofit/>
                  </a:bodyPr>
                  <a:lstStyle/>
                  <a:p>
                    <a:pPr>
                      <a:defRPr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fld id="{C3534ADC-EB3F-4C99-B264-ED8AF2F80C08}" type="SERIESNAME">
                      <a:rPr lang="en-US"/>
                      <a:pPr>
                        <a:defRPr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t>[SERIES NAME]</a:t>
                    </a:fld>
                    <a:r>
                      <a:rPr lang="en-US" baseline="0"/>
                      <a:t>, </a:t>
                    </a:r>
                    <a:fld id="{FF18BF3B-7F07-4F23-9DA9-7E39765EF20B}" type="YVALUE">
                      <a:rPr lang="en-US" baseline="0"/>
                      <a:pPr>
                        <a:defRPr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t>[Y VALUE]</a:t>
                    </a:fld>
                    <a:endParaRPr lang="en-US" baseline="0"/>
                  </a:p>
                </c:rich>
              </c:tx>
              <c:numFmt formatCode="&quot;$&quot;#,##0" sourceLinked="0"/>
              <c:spPr>
                <a:noFill/>
                <a:ln>
                  <a:noFill/>
                </a:ln>
                <a:effectLst/>
              </c:spPr>
              <c:dLblPos val="r"/>
              <c:showLegendKey val="0"/>
              <c:showVal val="1"/>
              <c:showCatName val="0"/>
              <c:showSerName val="1"/>
              <c:showPercent val="0"/>
              <c:showBubbleSize val="0"/>
              <c:extLst>
                <c:ext xmlns:c15="http://schemas.microsoft.com/office/drawing/2012/chart" uri="{CE6537A1-D6FC-4f65-9D91-7224C49458BB}">
                  <c15:layout>
                    <c:manualLayout>
                      <c:w val="0.18566824427505277"/>
                      <c:h val="4.7593721144967682E-2"/>
                    </c:manualLayout>
                  </c15:layout>
                  <c15:dlblFieldTable/>
                  <c15:showDataLabelsRange val="0"/>
                </c:ext>
                <c:ext xmlns:c16="http://schemas.microsoft.com/office/drawing/2014/chart" uri="{C3380CC4-5D6E-409C-BE32-E72D297353CC}">
                  <c16:uniqueId val="{00000001-EE0D-42F3-89C0-7373BAA9FEBA}"/>
                </c:ext>
              </c:extLst>
            </c:dLbl>
            <c:dLbl>
              <c:idx val="2"/>
              <c:layout>
                <c:manualLayout>
                  <c:x val="-4.0530599805006423E-2"/>
                  <c:y val="-5.0257222002374355E-2"/>
                </c:manualLayout>
              </c:layout>
              <c:tx>
                <c:rich>
                  <a:bodyPr/>
                  <a:lstStyle/>
                  <a:p>
                    <a:fld id="{206CBD5A-1FBA-44AB-A074-FBA74AB3830A}" type="SERIESNAME">
                      <a:rPr lang="en-US"/>
                      <a:pPr/>
                      <a:t>[SERIES NAME]</a:t>
                    </a:fld>
                    <a:r>
                      <a:rPr lang="en-US" baseline="0"/>
                      <a:t>, </a:t>
                    </a:r>
                    <a:fld id="{4D9E99AB-0C7D-4D17-826B-573CA3E9005C}" type="YVALUE">
                      <a:rPr lang="en-US" baseline="0"/>
                      <a:pPr/>
                      <a:t>[Y VALUE]</a:t>
                    </a:fld>
                    <a:endParaRPr lang="en-US" baseline="0"/>
                  </a:p>
                </c:rich>
              </c:tx>
              <c:dLblPos val="r"/>
              <c:showLegendKey val="0"/>
              <c:showVal val="1"/>
              <c:showCatName val="0"/>
              <c:showSerName val="1"/>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EE0D-42F3-89C0-7373BAA9FEBA}"/>
                </c:ext>
              </c:extLst>
            </c:dLbl>
            <c:numFmt formatCode="&quot;$&quot;#,##0" sourceLinked="0"/>
            <c:spPr>
              <a:noFill/>
              <a:ln>
                <a:noFill/>
              </a:ln>
              <a:effectLst/>
            </c:spPr>
            <c:txPr>
              <a:bodyPr wrap="square" lIns="38100" tIns="19050" rIns="38100" bIns="19050" anchor="ctr">
                <a:spAutoFit/>
              </a:bodyPr>
              <a:lstStyle/>
              <a:p>
                <a:pPr>
                  <a:defRPr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dLblPos val="r"/>
            <c:showLegendKey val="0"/>
            <c:showVal val="1"/>
            <c:showCatName val="0"/>
            <c:showSerName val="1"/>
            <c:showPercent val="0"/>
            <c:showBubbleSize val="0"/>
            <c:showLeaderLines val="0"/>
            <c:extLst>
              <c:ext xmlns:c15="http://schemas.microsoft.com/office/drawing/2012/chart" uri="{CE6537A1-D6FC-4f65-9D91-7224C49458BB}">
                <c15:showLeaderLines val="1"/>
              </c:ext>
            </c:extLst>
          </c:dLbls>
          <c:xVal>
            <c:strRef>
              <c:f>'NEO4&amp;Regional - Charts'!$C$4:$E$4</c:f>
              <c:strCache>
                <c:ptCount val="3"/>
                <c:pt idx="0">
                  <c:v>2024 Target TDC</c:v>
                </c:pt>
                <c:pt idx="1">
                  <c:v>2025 Target TDC</c:v>
                </c:pt>
                <c:pt idx="2">
                  <c:v>2026E Target TDC</c:v>
                </c:pt>
              </c:strCache>
            </c:strRef>
          </c:xVal>
          <c:yVal>
            <c:numRef>
              <c:f>'NEO4&amp;Regional - Charts'!$C$18:$E$18</c:f>
              <c:numCache>
                <c:formatCode>0</c:formatCode>
                <c:ptCount val="3"/>
                <c:pt idx="0">
                  <c:v>2562.1035000000002</c:v>
                </c:pt>
                <c:pt idx="1">
                  <c:v>2438.0169000000001</c:v>
                </c:pt>
                <c:pt idx="2">
                  <c:v>2511.1574070000001</c:v>
                </c:pt>
              </c:numCache>
            </c:numRef>
          </c:yVal>
          <c:smooth val="0"/>
          <c:extLst>
            <c:ext xmlns:c16="http://schemas.microsoft.com/office/drawing/2014/chart" uri="{C3380CC4-5D6E-409C-BE32-E72D297353CC}">
              <c16:uniqueId val="{00000000-E336-4F0B-9AA2-08E275BAB6DE}"/>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txPr>
          <a:bodyPr/>
          <a:lstStyle/>
          <a:p>
            <a:pPr>
              <a:defRPr sz="1000" b="1">
                <a:solidFill>
                  <a:srgbClr val="5F6269"/>
                </a:solidFill>
                <a:latin typeface="+mn-lt"/>
                <a:ea typeface="Tahoma" pitchFamily="34" charset="0"/>
                <a:cs typeface="Calibri Light" panose="020F0302020204030204" pitchFamily="34" charset="0"/>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sz="1200">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r>
                  <a:rPr lang="en-CA" sz="1200">
                    <a:solidFill>
                      <a:srgbClr val="5F6269"/>
                    </a:solidFill>
                    <a:latin typeface="Calibri Light" panose="020F0302020204030204" pitchFamily="34" charset="0"/>
                    <a:ea typeface="Calibri Light" panose="020F0302020204030204" pitchFamily="34" charset="0"/>
                    <a:cs typeface="Calibri Light" panose="020F0302020204030204" pitchFamily="34" charset="0"/>
                  </a:rPr>
                  <a:t>Target Total Direct Compensation ($000s CAD)</a:t>
                </a:r>
              </a:p>
            </c:rich>
          </c:tx>
          <c:overlay val="0"/>
        </c:title>
        <c:numFmt formatCode="&quot;$&quot;#,##0" sourceLinked="1"/>
        <c:majorTickMark val="out"/>
        <c:minorTickMark val="none"/>
        <c:tickLblPos val="nextTo"/>
        <c:txPr>
          <a:bodyPr/>
          <a:lstStyle/>
          <a:p>
            <a:pPr>
              <a:defRPr sz="10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3290442790214366"/>
          <c:y val="7.9787717885528964E-2"/>
          <c:w val="0.84645382637750488"/>
          <c:h val="0.79541469459033143"/>
        </c:manualLayout>
      </c:layout>
      <c:barChart>
        <c:barDir val="col"/>
        <c:grouping val="stacked"/>
        <c:varyColors val="0"/>
        <c:ser>
          <c:idx val="0"/>
          <c:order val="0"/>
          <c:tx>
            <c:strRef>
              <c:f>'NEO5&amp;Tech - Charts'!$B$15</c:f>
              <c:strCache>
                <c:ptCount val="1"/>
                <c:pt idx="0">
                  <c:v>25th</c:v>
                </c:pt>
              </c:strCache>
            </c:strRef>
          </c:tx>
          <c:spPr>
            <a:noFill/>
          </c:spPr>
          <c:invertIfNegative val="0"/>
          <c:cat>
            <c:strRef>
              <c:f>'NEO5&amp;Tech - Charts'!$C$4:$H$4</c:f>
              <c:strCache>
                <c:ptCount val="6"/>
                <c:pt idx="0">
                  <c:v>2024 Target TDC</c:v>
                </c:pt>
                <c:pt idx="1">
                  <c:v>2025 Target TDC</c:v>
                </c:pt>
                <c:pt idx="2">
                  <c:v>2026E Target TDC</c:v>
                </c:pt>
                <c:pt idx="3">
                  <c:v>2024 Target TDC</c:v>
                </c:pt>
                <c:pt idx="4">
                  <c:v>2025 Target TDC</c:v>
                </c:pt>
                <c:pt idx="5">
                  <c:v>2026E Target TDC</c:v>
                </c:pt>
              </c:strCache>
            </c:strRef>
          </c:cat>
          <c:val>
            <c:numRef>
              <c:f>'NEO5&amp;Tech - Charts'!$C$15:$H$15</c:f>
              <c:numCache>
                <c:formatCode>"$"#,##0</c:formatCode>
                <c:ptCount val="6"/>
                <c:pt idx="0">
                  <c:v>1415.0239999999999</c:v>
                </c:pt>
                <c:pt idx="1">
                  <c:v>1339.8463686937503</c:v>
                </c:pt>
                <c:pt idx="2">
                  <c:v>1349.9298966937502</c:v>
                </c:pt>
                <c:pt idx="3">
                  <c:v>1403.6875</c:v>
                </c:pt>
                <c:pt idx="4">
                  <c:v>1498.7880796650566</c:v>
                </c:pt>
                <c:pt idx="5">
                  <c:v>1543.7517220550085</c:v>
                </c:pt>
              </c:numCache>
            </c:numRef>
          </c:val>
          <c:extLst>
            <c:ext xmlns:c16="http://schemas.microsoft.com/office/drawing/2014/chart" uri="{C3380CC4-5D6E-409C-BE32-E72D297353CC}">
              <c16:uniqueId val="{00000000-64CB-4DDC-94F1-1875F660C631}"/>
            </c:ext>
          </c:extLst>
        </c:ser>
        <c:ser>
          <c:idx val="1"/>
          <c:order val="1"/>
          <c:tx>
            <c:strRef>
              <c:f>'NEO5&amp;Tech - Charts'!$B$16</c:f>
              <c:strCache>
                <c:ptCount val="1"/>
                <c:pt idx="0">
                  <c:v>50th</c:v>
                </c:pt>
              </c:strCache>
            </c:strRef>
          </c:tx>
          <c:spPr>
            <a:solidFill>
              <a:srgbClr val="002957"/>
            </a:solidFill>
          </c:spPr>
          <c:invertIfNegative val="0"/>
          <c:cat>
            <c:strRef>
              <c:f>'NEO5&amp;Tech - Charts'!$C$4:$H$4</c:f>
              <c:strCache>
                <c:ptCount val="6"/>
                <c:pt idx="0">
                  <c:v>2024 Target TDC</c:v>
                </c:pt>
                <c:pt idx="1">
                  <c:v>2025 Target TDC</c:v>
                </c:pt>
                <c:pt idx="2">
                  <c:v>2026E Target TDC</c:v>
                </c:pt>
                <c:pt idx="3">
                  <c:v>2024 Target TDC</c:v>
                </c:pt>
                <c:pt idx="4">
                  <c:v>2025 Target TDC</c:v>
                </c:pt>
                <c:pt idx="5">
                  <c:v>2026E Target TDC</c:v>
                </c:pt>
              </c:strCache>
            </c:strRef>
          </c:cat>
          <c:val>
            <c:numRef>
              <c:f>'NEO5&amp;Tech - Charts'!$C$16:$H$16</c:f>
              <c:numCache>
                <c:formatCode>"$"#,##0</c:formatCode>
                <c:ptCount val="6"/>
                <c:pt idx="0">
                  <c:v>130.23386449018108</c:v>
                </c:pt>
                <c:pt idx="1">
                  <c:v>222.78040617557599</c:v>
                </c:pt>
                <c:pt idx="2">
                  <c:v>259.57568142165587</c:v>
                </c:pt>
                <c:pt idx="3">
                  <c:v>259.18332382749986</c:v>
                </c:pt>
                <c:pt idx="4">
                  <c:v>296.97157033494341</c:v>
                </c:pt>
                <c:pt idx="5">
                  <c:v>305.88071744499166</c:v>
                </c:pt>
              </c:numCache>
            </c:numRef>
          </c:val>
          <c:extLst>
            <c:ext xmlns:c16="http://schemas.microsoft.com/office/drawing/2014/chart" uri="{C3380CC4-5D6E-409C-BE32-E72D297353CC}">
              <c16:uniqueId val="{00000001-64CB-4DDC-94F1-1875F660C631}"/>
            </c:ext>
          </c:extLst>
        </c:ser>
        <c:ser>
          <c:idx val="2"/>
          <c:order val="2"/>
          <c:tx>
            <c:strRef>
              <c:f>'NEO5&amp;Tech - Charts'!$B$17</c:f>
              <c:strCache>
                <c:ptCount val="1"/>
                <c:pt idx="0">
                  <c:v>75th</c:v>
                </c:pt>
              </c:strCache>
            </c:strRef>
          </c:tx>
          <c:spPr>
            <a:solidFill>
              <a:schemeClr val="tx2">
                <a:lumMod val="20000"/>
                <a:lumOff val="80000"/>
              </a:schemeClr>
            </a:solidFill>
          </c:spPr>
          <c:invertIfNegative val="0"/>
          <c:cat>
            <c:strRef>
              <c:f>'NEO5&amp;Tech - Charts'!$C$4:$H$4</c:f>
              <c:strCache>
                <c:ptCount val="6"/>
                <c:pt idx="0">
                  <c:v>2024 Target TDC</c:v>
                </c:pt>
                <c:pt idx="1">
                  <c:v>2025 Target TDC</c:v>
                </c:pt>
                <c:pt idx="2">
                  <c:v>2026E Target TDC</c:v>
                </c:pt>
                <c:pt idx="3">
                  <c:v>2024 Target TDC</c:v>
                </c:pt>
                <c:pt idx="4">
                  <c:v>2025 Target TDC</c:v>
                </c:pt>
                <c:pt idx="5">
                  <c:v>2026E Target TDC</c:v>
                </c:pt>
              </c:strCache>
            </c:strRef>
          </c:cat>
          <c:val>
            <c:numRef>
              <c:f>'NEO5&amp;Tech - Charts'!$C$17:$H$17</c:f>
              <c:numCache>
                <c:formatCode>"$"#,##0</c:formatCode>
                <c:ptCount val="6"/>
                <c:pt idx="0">
                  <c:v>389.97081576102346</c:v>
                </c:pt>
                <c:pt idx="1">
                  <c:v>384.71980013067378</c:v>
                </c:pt>
                <c:pt idx="2">
                  <c:v>351.61286663459396</c:v>
                </c:pt>
                <c:pt idx="3">
                  <c:v>438.61684395258499</c:v>
                </c:pt>
                <c:pt idx="4">
                  <c:v>346.38984442391939</c:v>
                </c:pt>
                <c:pt idx="5">
                  <c:v>356.7815397566369</c:v>
                </c:pt>
              </c:numCache>
            </c:numRef>
          </c:val>
          <c:extLst>
            <c:ext xmlns:c16="http://schemas.microsoft.com/office/drawing/2014/chart" uri="{C3380CC4-5D6E-409C-BE32-E72D297353CC}">
              <c16:uniqueId val="{00000002-64CB-4DDC-94F1-1875F660C631}"/>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'NEO5&amp;Tech - Charts'!$B$21</c:f>
              <c:strCache>
                <c:ptCount val="1"/>
                <c:pt idx="0">
                  <c:v>Candace</c:v>
                </c:pt>
              </c:strCache>
            </c:strRef>
          </c:tx>
          <c:spPr>
            <a:ln w="28575">
              <a:noFill/>
            </a:ln>
          </c:spPr>
          <c:marker>
            <c:symbol val="circle"/>
            <c:size val="8"/>
            <c:spPr>
              <a:solidFill>
                <a:srgbClr val="FFC000"/>
              </a:solidFill>
              <a:ln>
                <a:solidFill>
                  <a:srgbClr val="FFC000"/>
                </a:solidFill>
              </a:ln>
            </c:spPr>
          </c:marker>
          <c:yVal>
            <c:numRef>
              <c:f>'NEO5&amp;Tech - Charts'!$C$21:$E$21</c:f>
              <c:numCache>
                <c:formatCode>0</c:formatCode>
                <c:ptCount val="3"/>
                <c:pt idx="1">
                  <c:v>1125.3399999999999</c:v>
                </c:pt>
                <c:pt idx="2">
                  <c:v>1125.3399999999999</c:v>
                </c:pt>
              </c:numCache>
            </c:numRef>
          </c:yVal>
          <c:smooth val="0"/>
          <c:extLst>
            <c:ext xmlns:c16="http://schemas.microsoft.com/office/drawing/2014/chart" uri="{C3380CC4-5D6E-409C-BE32-E72D297353CC}">
              <c16:uniqueId val="{00000003-64CB-4DDC-94F1-1875F660C631}"/>
            </c:ext>
          </c:extLst>
        </c:ser>
        <c:ser>
          <c:idx val="4"/>
          <c:order val="4"/>
          <c:tx>
            <c:strRef>
              <c:f>'NEO5&amp;Tech - Charts'!$B$18</c:f>
              <c:strCache>
                <c:ptCount val="1"/>
                <c:pt idx="0">
                  <c:v>Average</c:v>
                </c:pt>
              </c:strCache>
            </c:strRef>
          </c:tx>
          <c:spPr>
            <a:ln w="28575">
              <a:noFill/>
            </a:ln>
          </c:spPr>
          <c:marker>
            <c:symbol val="dash"/>
            <c:size val="15"/>
            <c:spPr>
              <a:solidFill>
                <a:srgbClr val="AFABAB"/>
              </a:solidFill>
              <a:ln>
                <a:solidFill>
                  <a:srgbClr val="AFABAB"/>
                </a:solidFill>
              </a:ln>
            </c:spPr>
          </c:marker>
          <c:yVal>
            <c:numRef>
              <c:f>'NEO5&amp;Tech - Charts'!$C$18:$H$18</c:f>
              <c:numCache>
                <c:formatCode>"$"#,##0</c:formatCode>
                <c:ptCount val="6"/>
                <c:pt idx="0">
                  <c:v>1702.093364541762</c:v>
                </c:pt>
                <c:pt idx="1">
                  <c:v>1699.521855072961</c:v>
                </c:pt>
                <c:pt idx="2">
                  <c:v>1741.8253356050659</c:v>
                </c:pt>
                <c:pt idx="3">
                  <c:v>1842.304343952585</c:v>
                </c:pt>
                <c:pt idx="4">
                  <c:v>1879.0632111479731</c:v>
                </c:pt>
                <c:pt idx="5">
                  <c:v>1930.4164636389439</c:v>
                </c:pt>
              </c:numCache>
            </c:numRef>
          </c:yVal>
          <c:smooth val="0"/>
          <c:extLst>
            <c:ext xmlns:c16="http://schemas.microsoft.com/office/drawing/2014/chart" uri="{C3380CC4-5D6E-409C-BE32-E72D297353CC}">
              <c16:uniqueId val="{00000004-64CB-4DDC-94F1-1875F660C631}"/>
            </c:ext>
          </c:extLst>
        </c:ser>
        <c:ser>
          <c:idx val="5"/>
          <c:order val="5"/>
          <c:tx>
            <c:strRef>
              <c:f>'NEO5&amp;Tech - Charts'!$B$19</c:f>
              <c:strCache>
                <c:ptCount val="1"/>
                <c:pt idx="0">
                  <c:v>Olivier</c:v>
                </c:pt>
              </c:strCache>
            </c:strRef>
          </c:tx>
          <c:spPr>
            <a:ln w="28575">
              <a:noFill/>
            </a:ln>
          </c:spPr>
          <c:marker>
            <c:symbol val="diamond"/>
            <c:size val="10"/>
            <c:spPr>
              <a:solidFill>
                <a:srgbClr val="F0531E"/>
              </a:solidFill>
              <a:ln>
                <a:solidFill>
                  <a:srgbClr val="F0531E"/>
                </a:solidFill>
              </a:ln>
            </c:spPr>
          </c:marker>
          <c:yVal>
            <c:numRef>
              <c:f>'NEO5&amp;Tech - Charts'!$C$19:$H$19</c:f>
              <c:numCache>
                <c:formatCode>0</c:formatCode>
                <c:ptCount val="6"/>
                <c:pt idx="0">
                  <c:v>1304.3800000000001</c:v>
                </c:pt>
                <c:pt idx="1">
                  <c:v>1356.5551999999998</c:v>
                </c:pt>
                <c:pt idx="2">
                  <c:v>1356.5551999999998</c:v>
                </c:pt>
                <c:pt idx="3">
                  <c:v>1304.3800000000001</c:v>
                </c:pt>
                <c:pt idx="4">
                  <c:v>1356.5551999999998</c:v>
                </c:pt>
                <c:pt idx="5">
                  <c:v>1356.5551999999998</c:v>
                </c:pt>
              </c:numCache>
            </c:numRef>
          </c:yVal>
          <c:smooth val="0"/>
          <c:extLst>
            <c:ext xmlns:c16="http://schemas.microsoft.com/office/drawing/2014/chart" uri="{C3380CC4-5D6E-409C-BE32-E72D297353CC}">
              <c16:uniqueId val="{00000000-8AFB-43B2-82C0-005DA8549891}"/>
            </c:ext>
          </c:extLst>
        </c:ser>
        <c:ser>
          <c:idx val="6"/>
          <c:order val="6"/>
          <c:tx>
            <c:strRef>
              <c:f>'NEO5&amp;Tech - Charts'!$B$20</c:f>
              <c:strCache>
                <c:ptCount val="1"/>
                <c:pt idx="0">
                  <c:v>Mark</c:v>
                </c:pt>
              </c:strCache>
            </c:strRef>
          </c:tx>
          <c:spPr>
            <a:ln w="28575">
              <a:noFill/>
            </a:ln>
          </c:spPr>
          <c:marker>
            <c:symbol val="circle"/>
            <c:size val="8"/>
            <c:spPr>
              <a:solidFill>
                <a:srgbClr val="00B050"/>
              </a:solidFill>
              <a:ln>
                <a:solidFill>
                  <a:srgbClr val="00B050"/>
                </a:solidFill>
              </a:ln>
            </c:spPr>
          </c:marker>
          <c:yVal>
            <c:numRef>
              <c:f>'NEO5&amp;Tech - Charts'!$C$20:$E$20</c:f>
              <c:numCache>
                <c:formatCode>0</c:formatCode>
                <c:ptCount val="3"/>
                <c:pt idx="1">
                  <c:v>1216.0619999999999</c:v>
                </c:pt>
                <c:pt idx="2">
                  <c:v>1216.0619999999999</c:v>
                </c:pt>
              </c:numCache>
            </c:numRef>
          </c:yVal>
          <c:smooth val="0"/>
          <c:extLst>
            <c:ext xmlns:c16="http://schemas.microsoft.com/office/drawing/2014/chart" uri="{C3380CC4-5D6E-409C-BE32-E72D297353CC}">
              <c16:uniqueId val="{00000001-8AFB-43B2-82C0-005DA8549891}"/>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crossAx val="721418376"/>
        <c:crosses val="autoZero"/>
        <c:auto val="1"/>
        <c:lblAlgn val="ctr"/>
        <c:lblOffset val="100"/>
        <c:noMultiLvlLbl val="1"/>
      </c:catAx>
      <c:valAx>
        <c:axId val="721418376"/>
        <c:scaling>
          <c:orientation val="minMax"/>
          <c:min val="0"/>
        </c:scaling>
        <c:delete val="0"/>
        <c:axPos val="l"/>
        <c:majorGridlines>
          <c:spPr>
            <a:ln>
              <a:solidFill>
                <a:sysClr val="window" lastClr="FFFFFF">
                  <a:lumMod val="85000"/>
                </a:sysClr>
              </a:solidFill>
            </a:ln>
          </c:spPr>
        </c:majorGridlines>
        <c:title>
          <c:tx>
            <c:rich>
              <a:bodyPr/>
              <a:lstStyle/>
              <a:p>
                <a:pPr>
                  <a:defRPr sz="1200"/>
                </a:pPr>
                <a:r>
                  <a:rPr lang="en-CA" sz="1200">
                    <a:solidFill>
                      <a:srgbClr val="5F6269"/>
                    </a:solidFill>
                    <a:latin typeface="Calibri Light" panose="020F0302020204030204" pitchFamily="34" charset="0"/>
                    <a:ea typeface="Calibri Light" panose="020F0302020204030204" pitchFamily="34" charset="0"/>
                    <a:cs typeface="Calibri Light" panose="020F0302020204030204" pitchFamily="34" charset="0"/>
                  </a:rPr>
                  <a:t>Target Total Direct Compensation ($000s CAD)</a:t>
                </a:r>
              </a:p>
            </c:rich>
          </c:tx>
          <c:overlay val="0"/>
        </c:title>
        <c:numFmt formatCode="&quot;$&quot;#,##0" sourceLinked="1"/>
        <c:majorTickMark val="out"/>
        <c:minorTickMark val="none"/>
        <c:tickLblPos val="nextTo"/>
        <c:txPr>
          <a:bodyPr/>
          <a:lstStyle/>
          <a:p>
            <a:pPr>
              <a:defRPr sz="1200" b="1">
                <a:solidFill>
                  <a:srgbClr val="5F6269"/>
                </a:solidFill>
                <a:latin typeface="Calibri Light" panose="020F0302020204030204" pitchFamily="34" charset="0"/>
                <a:ea typeface="Calibri Light" panose="020F0302020204030204" pitchFamily="34" charset="0"/>
                <a:cs typeface="Calibri Light" panose="020F0302020204030204"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A1-4B08-8B2E-0877F55E99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A1-4B08-8B2E-0877F55E99B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Equity'!$F$6:$G$6</c:f>
              <c:numCache>
                <c:formatCode>0%</c:formatCode>
                <c:ptCount val="2"/>
                <c:pt idx="0">
                  <c:v>0.4375</c:v>
                </c:pt>
                <c:pt idx="1">
                  <c:v>0.56250000000000011</c:v>
                </c:pt>
              </c:numCache>
            </c:numRef>
          </c:val>
          <c:extLst>
            <c:ext xmlns:c16="http://schemas.microsoft.com/office/drawing/2014/chart" uri="{C3380CC4-5D6E-409C-BE32-E72D297353CC}">
              <c16:uniqueId val="{00000000-88C6-4375-AC6E-89A5A8EC9EB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FD-43B7-9798-31D0F70981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FD-43B7-9798-31D0F709815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Equity'!$H$6:$I$6</c:f>
              <c:numCache>
                <c:formatCode>0%</c:formatCode>
                <c:ptCount val="2"/>
                <c:pt idx="0">
                  <c:v>0.45360824742268047</c:v>
                </c:pt>
                <c:pt idx="1">
                  <c:v>0.54639175257731964</c:v>
                </c:pt>
              </c:numCache>
            </c:numRef>
          </c:val>
          <c:extLst>
            <c:ext xmlns:c16="http://schemas.microsoft.com/office/drawing/2014/chart" uri="{C3380CC4-5D6E-409C-BE32-E72D297353CC}">
              <c16:uniqueId val="{00000004-E5FD-43B7-9798-31D0F709815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BB-481B-B660-6C8C7E744E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BB-481B-B660-6C8C7E744E3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Equity'!$F$7:$G$7</c:f>
              <c:numCache>
                <c:formatCode>0%</c:formatCode>
                <c:ptCount val="2"/>
                <c:pt idx="0">
                  <c:v>0.5</c:v>
                </c:pt>
                <c:pt idx="1">
                  <c:v>0.5</c:v>
                </c:pt>
              </c:numCache>
            </c:numRef>
          </c:val>
          <c:extLst>
            <c:ext xmlns:c16="http://schemas.microsoft.com/office/drawing/2014/chart" uri="{C3380CC4-5D6E-409C-BE32-E72D297353CC}">
              <c16:uniqueId val="{00000004-10BB-481B-B660-6C8C7E744E3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C1-499E-B234-3216F2D0B4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C1-499E-B234-3216F2D0B40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Equity'!$H$7:$I$7</c:f>
              <c:numCache>
                <c:formatCode>0%</c:formatCode>
                <c:ptCount val="2"/>
                <c:pt idx="0">
                  <c:v>0.51351351351351349</c:v>
                </c:pt>
                <c:pt idx="1">
                  <c:v>0.4864864864864864</c:v>
                </c:pt>
              </c:numCache>
            </c:numRef>
          </c:val>
          <c:extLst>
            <c:ext xmlns:c16="http://schemas.microsoft.com/office/drawing/2014/chart" uri="{C3380CC4-5D6E-409C-BE32-E72D297353CC}">
              <c16:uniqueId val="{00000004-B8C1-499E-B234-3216F2D0B40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EA-4458-8A02-098291CFB8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EA-4458-8A02-098291CFB89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Equity'!$F$8:$G$8</c:f>
              <c:numCache>
                <c:formatCode>0%</c:formatCode>
                <c:ptCount val="2"/>
                <c:pt idx="0">
                  <c:v>0.5</c:v>
                </c:pt>
                <c:pt idx="1">
                  <c:v>0.5</c:v>
                </c:pt>
              </c:numCache>
            </c:numRef>
          </c:val>
          <c:extLst>
            <c:ext xmlns:c16="http://schemas.microsoft.com/office/drawing/2014/chart" uri="{C3380CC4-5D6E-409C-BE32-E72D297353CC}">
              <c16:uniqueId val="{00000004-B1EA-4458-8A02-098291CFB89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EE-4716-8A19-294347626C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EE-4716-8A19-294347626C9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Equity'!$H$8:$I$8</c:f>
              <c:numCache>
                <c:formatCode>0%</c:formatCode>
                <c:ptCount val="2"/>
                <c:pt idx="0">
                  <c:v>0.51351351351351349</c:v>
                </c:pt>
                <c:pt idx="1">
                  <c:v>0.48648648648648646</c:v>
                </c:pt>
              </c:numCache>
            </c:numRef>
          </c:val>
          <c:extLst>
            <c:ext xmlns:c16="http://schemas.microsoft.com/office/drawing/2014/chart" uri="{C3380CC4-5D6E-409C-BE32-E72D297353CC}">
              <c16:uniqueId val="{00000004-D0EE-4716-8A19-294347626C9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04-4273-92A6-4F0DD08A3B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04-4273-92A6-4F0DD08A3B1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Equity'!$F$9:$G$9</c:f>
              <c:numCache>
                <c:formatCode>0%</c:formatCode>
                <c:ptCount val="2"/>
                <c:pt idx="0">
                  <c:v>0</c:v>
                </c:pt>
                <c:pt idx="1">
                  <c:v>0</c:v>
                </c:pt>
              </c:numCache>
            </c:numRef>
          </c:val>
          <c:extLst>
            <c:ext xmlns:c16="http://schemas.microsoft.com/office/drawing/2014/chart" uri="{C3380CC4-5D6E-409C-BE32-E72D297353CC}">
              <c16:uniqueId val="{00000004-2804-4273-92A6-4F0DD08A3B1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C0-4A3A-9BCD-A6996BB61E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C0-4A3A-9BCD-A6996BB61EC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Equity'!$H$9:$I$9</c:f>
              <c:numCache>
                <c:formatCode>0%</c:formatCode>
                <c:ptCount val="2"/>
                <c:pt idx="0">
                  <c:v>0</c:v>
                </c:pt>
                <c:pt idx="1">
                  <c:v>0</c:v>
                </c:pt>
              </c:numCache>
            </c:numRef>
          </c:val>
          <c:extLst>
            <c:ext xmlns:c16="http://schemas.microsoft.com/office/drawing/2014/chart" uri="{C3380CC4-5D6E-409C-BE32-E72D297353CC}">
              <c16:uniqueId val="{00000004-90C0-4A3A-9BCD-A6996BB61EC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00-4F4C-8F8C-9EFD5BC1E9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00-4F4C-8F8C-9EFD5BC1E9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Equity'!$F$10:$G$10</c:f>
              <c:numCache>
                <c:formatCode>0%</c:formatCode>
                <c:ptCount val="2"/>
                <c:pt idx="0">
                  <c:v>0</c:v>
                </c:pt>
                <c:pt idx="1">
                  <c:v>0</c:v>
                </c:pt>
              </c:numCache>
            </c:numRef>
          </c:val>
          <c:extLst>
            <c:ext xmlns:c16="http://schemas.microsoft.com/office/drawing/2014/chart" uri="{C3380CC4-5D6E-409C-BE32-E72D297353CC}">
              <c16:uniqueId val="{00000004-A600-4F4C-8F8C-9EFD5BC1E91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2D-4E19-881A-361665D77B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2D-4E19-881A-361665D77B5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Equity'!$H$10:$I$10</c:f>
              <c:numCache>
                <c:formatCode>0%</c:formatCode>
                <c:ptCount val="2"/>
                <c:pt idx="0">
                  <c:v>0</c:v>
                </c:pt>
                <c:pt idx="1">
                  <c:v>0</c:v>
                </c:pt>
              </c:numCache>
            </c:numRef>
          </c:val>
          <c:extLst>
            <c:ext xmlns:c16="http://schemas.microsoft.com/office/drawing/2014/chart" uri="{C3380CC4-5D6E-409C-BE32-E72D297353CC}">
              <c16:uniqueId val="{00000004-0F2D-4E19-881A-361665D77B5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BE-4073-ADEA-1FFF6DE0C5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BE-4073-ADEA-1FFF6DE0C52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Equity'!$F$11:$G$11</c:f>
              <c:numCache>
                <c:formatCode>0%</c:formatCode>
                <c:ptCount val="2"/>
                <c:pt idx="0">
                  <c:v>0</c:v>
                </c:pt>
                <c:pt idx="1">
                  <c:v>0</c:v>
                </c:pt>
              </c:numCache>
            </c:numRef>
          </c:val>
          <c:extLst>
            <c:ext xmlns:c16="http://schemas.microsoft.com/office/drawing/2014/chart" uri="{C3380CC4-5D6E-409C-BE32-E72D297353CC}">
              <c16:uniqueId val="{00000004-71BE-4073-ADEA-1FFF6DE0C52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E3-41EC-A594-765244D3EF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E3-41EC-A594-765244D3EF0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Equity'!$H$11:$I$11</c:f>
              <c:numCache>
                <c:formatCode>0%</c:formatCode>
                <c:ptCount val="2"/>
                <c:pt idx="0">
                  <c:v>0</c:v>
                </c:pt>
                <c:pt idx="1">
                  <c:v>0</c:v>
                </c:pt>
              </c:numCache>
            </c:numRef>
          </c:val>
          <c:extLst>
            <c:ext xmlns:c16="http://schemas.microsoft.com/office/drawing/2014/chart" uri="{C3380CC4-5D6E-409C-BE32-E72D297353CC}">
              <c16:uniqueId val="{00000004-64E3-41EC-A594-765244D3EF0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C9-402D-84DE-198F3C2B4750}"/>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F7C9-402D-84DE-198F3C2B475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Equity'!$F$13:$G$13</c:f>
              <c:numCache>
                <c:formatCode>0%</c:formatCode>
                <c:ptCount val="2"/>
                <c:pt idx="0">
                  <c:v>0.5</c:v>
                </c:pt>
                <c:pt idx="1">
                  <c:v>0.5</c:v>
                </c:pt>
              </c:numCache>
            </c:numRef>
          </c:val>
          <c:extLst>
            <c:ext xmlns:c16="http://schemas.microsoft.com/office/drawing/2014/chart" uri="{C3380CC4-5D6E-409C-BE32-E72D297353CC}">
              <c16:uniqueId val="{00000004-F7C9-402D-84DE-198F3C2B475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82-408F-9FF1-35A2196484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82-408F-9FF1-35A2196484A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Equity'!$H$13:$I$13</c:f>
              <c:numCache>
                <c:formatCode>0%</c:formatCode>
                <c:ptCount val="2"/>
                <c:pt idx="0">
                  <c:v>0.51351351351351349</c:v>
                </c:pt>
                <c:pt idx="1">
                  <c:v>0.48648648648648646</c:v>
                </c:pt>
              </c:numCache>
            </c:numRef>
          </c:val>
          <c:extLst>
            <c:ext xmlns:c16="http://schemas.microsoft.com/office/drawing/2014/chart" uri="{C3380CC4-5D6E-409C-BE32-E72D297353CC}">
              <c16:uniqueId val="{00000004-6D82-408F-9FF1-35A2196484A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F6-42AA-8E09-97762AEDF6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F6-42AA-8E09-97762AEDF69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Equity'!$F$14:$G$14</c:f>
              <c:numCache>
                <c:formatCode>0%</c:formatCode>
                <c:ptCount val="2"/>
                <c:pt idx="0">
                  <c:v>0.50769230769230766</c:v>
                </c:pt>
                <c:pt idx="1">
                  <c:v>0.49230769230769228</c:v>
                </c:pt>
              </c:numCache>
            </c:numRef>
          </c:val>
          <c:extLst>
            <c:ext xmlns:c16="http://schemas.microsoft.com/office/drawing/2014/chart" uri="{C3380CC4-5D6E-409C-BE32-E72D297353CC}">
              <c16:uniqueId val="{00000004-C7F6-42AA-8E09-97762AEDF69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3F-4313-944E-E85325E183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3F-4313-944E-E85325E1836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Equity'!$H$14:$I$14</c:f>
              <c:numCache>
                <c:formatCode>0%</c:formatCode>
                <c:ptCount val="2"/>
                <c:pt idx="0">
                  <c:v>0</c:v>
                </c:pt>
                <c:pt idx="1">
                  <c:v>0</c:v>
                </c:pt>
              </c:numCache>
            </c:numRef>
          </c:val>
          <c:extLst>
            <c:ext xmlns:c16="http://schemas.microsoft.com/office/drawing/2014/chart" uri="{C3380CC4-5D6E-409C-BE32-E72D297353CC}">
              <c16:uniqueId val="{00000004-5F3F-4313-944E-E85325E1836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F8-4652-BC78-8F316B46A5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F8-4652-BC78-8F316B46A54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Equity'!$F$15:$G$15</c:f>
              <c:numCache>
                <c:formatCode>0%</c:formatCode>
                <c:ptCount val="2"/>
                <c:pt idx="0">
                  <c:v>0</c:v>
                </c:pt>
                <c:pt idx="1">
                  <c:v>0</c:v>
                </c:pt>
              </c:numCache>
            </c:numRef>
          </c:val>
          <c:extLst>
            <c:ext xmlns:c16="http://schemas.microsoft.com/office/drawing/2014/chart" uri="{C3380CC4-5D6E-409C-BE32-E72D297353CC}">
              <c16:uniqueId val="{00000004-3EF8-4652-BC78-8F316B46A54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45-4450-8CFA-90503F61B5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45-4450-8CFA-90503F61B56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Equity'!$H$15:$I$15</c:f>
              <c:numCache>
                <c:formatCode>0%</c:formatCode>
                <c:ptCount val="2"/>
                <c:pt idx="0">
                  <c:v>0</c:v>
                </c:pt>
                <c:pt idx="1">
                  <c:v>0</c:v>
                </c:pt>
              </c:numCache>
            </c:numRef>
          </c:val>
          <c:extLst>
            <c:ext xmlns:c16="http://schemas.microsoft.com/office/drawing/2014/chart" uri="{C3380CC4-5D6E-409C-BE32-E72D297353CC}">
              <c16:uniqueId val="{00000004-7945-4450-8CFA-90503F61B56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CD-415C-A810-A65F8DE17F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CD-415C-A810-A65F8DE17FF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Equity'!$F$16:$G$16</c:f>
              <c:numCache>
                <c:formatCode>0%</c:formatCode>
                <c:ptCount val="2"/>
                <c:pt idx="0">
                  <c:v>0</c:v>
                </c:pt>
                <c:pt idx="1">
                  <c:v>0</c:v>
                </c:pt>
              </c:numCache>
            </c:numRef>
          </c:val>
          <c:extLst>
            <c:ext xmlns:c16="http://schemas.microsoft.com/office/drawing/2014/chart" uri="{C3380CC4-5D6E-409C-BE32-E72D297353CC}">
              <c16:uniqueId val="{00000004-6ECD-415C-A810-A65F8DE17FF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8F-4A49-9DAA-4C246510BC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8F-4A49-9DAA-4C246510BC6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Equity'!$H$16:$I$16</c:f>
              <c:numCache>
                <c:formatCode>0%</c:formatCode>
                <c:ptCount val="2"/>
                <c:pt idx="0">
                  <c:v>0</c:v>
                </c:pt>
                <c:pt idx="1">
                  <c:v>0</c:v>
                </c:pt>
              </c:numCache>
            </c:numRef>
          </c:val>
          <c:extLst>
            <c:ext xmlns:c16="http://schemas.microsoft.com/office/drawing/2014/chart" uri="{C3380CC4-5D6E-409C-BE32-E72D297353CC}">
              <c16:uniqueId val="{00000004-C18F-4A49-9DAA-4C246510BC6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15-4633-8605-AFAA4E0885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15-4633-8605-AFAA4E08851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'Cash vs Equity'!$H$13:$I$13</c:f>
              <c:numCache>
                <c:formatCode>0%</c:formatCode>
                <c:ptCount val="2"/>
                <c:pt idx="0">
                  <c:v>0.51351351351351349</c:v>
                </c:pt>
                <c:pt idx="1">
                  <c:v>0.48648648648648646</c:v>
                </c:pt>
              </c:numCache>
            </c:numRef>
          </c:val>
          <c:extLst>
            <c:ext xmlns:c16="http://schemas.microsoft.com/office/drawing/2014/chart" uri="{C3380CC4-5D6E-409C-BE32-E72D297353CC}">
              <c16:uniqueId val="{00000004-7615-4633-8605-AFAA4E08851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543241682051806"/>
          <c:y val="3.7198786439783672E-2"/>
          <c:w val="0.86163647083791428"/>
          <c:h val="0.81670914127423822"/>
        </c:manualLayout>
      </c:layout>
      <c:barChart>
        <c:barDir val="col"/>
        <c:grouping val="stacked"/>
        <c:varyColors val="0"/>
        <c:ser>
          <c:idx val="0"/>
          <c:order val="0"/>
          <c:tx>
            <c:strRef>
              <c:f>'NEO5 - Charts'!$B$13</c:f>
              <c:strCache>
                <c:ptCount val="1"/>
                <c:pt idx="0">
                  <c:v>25th</c:v>
                </c:pt>
              </c:strCache>
            </c:strRef>
          </c:tx>
          <c:spPr>
            <a:noFill/>
          </c:spPr>
          <c:invertIfNegative val="0"/>
          <c:cat>
            <c:multiLvlStrRef>
              <c:f>'NEO5 - Charts'!$C$3:$E$4</c:f>
              <c:multiLvlStrCache>
                <c:ptCount val="3"/>
                <c:lvl>
                  <c:pt idx="0">
                    <c:v>Base Salary</c:v>
                  </c:pt>
                  <c:pt idx="1">
                    <c:v>Target TCC</c:v>
                  </c:pt>
                  <c:pt idx="2">
                    <c:v>Target TDC</c:v>
                  </c:pt>
                </c:lvl>
                <c:lvl>
                  <c:pt idx="0">
                    <c:v>NEO5</c:v>
                  </c:pt>
                </c:lvl>
              </c:multiLvlStrCache>
            </c:multiLvlStrRef>
          </c:cat>
          <c:val>
            <c:numRef>
              <c:f>'NEO5 - Charts'!$C$13:$E$13</c:f>
              <c:numCache>
                <c:formatCode>"$"#,##0</c:formatCode>
                <c:ptCount val="3"/>
                <c:pt idx="0">
                  <c:v>424.35525000000001</c:v>
                </c:pt>
                <c:pt idx="1">
                  <c:v>726.86617499999988</c:v>
                </c:pt>
                <c:pt idx="2">
                  <c:v>1339.8463686937503</c:v>
                </c:pt>
              </c:numCache>
            </c:numRef>
          </c:val>
          <c:extLst>
            <c:ext xmlns:c16="http://schemas.microsoft.com/office/drawing/2014/chart" uri="{C3380CC4-5D6E-409C-BE32-E72D297353CC}">
              <c16:uniqueId val="{00000000-3E28-488C-9B11-B394B34A29CC}"/>
            </c:ext>
          </c:extLst>
        </c:ser>
        <c:ser>
          <c:idx val="1"/>
          <c:order val="1"/>
          <c:tx>
            <c:strRef>
              <c:f>'NEO5 - Charts'!$B$14</c:f>
              <c:strCache>
                <c:ptCount val="1"/>
                <c:pt idx="0">
                  <c:v>50th</c:v>
                </c:pt>
              </c:strCache>
            </c:strRef>
          </c:tx>
          <c:spPr>
            <a:solidFill>
              <a:srgbClr val="002957"/>
            </a:solidFill>
          </c:spPr>
          <c:invertIfNegative val="0"/>
          <c:cat>
            <c:multiLvlStrRef>
              <c:f>'NEO5 - Charts'!$C$3:$E$4</c:f>
              <c:multiLvlStrCache>
                <c:ptCount val="3"/>
                <c:lvl>
                  <c:pt idx="0">
                    <c:v>Base Salary</c:v>
                  </c:pt>
                  <c:pt idx="1">
                    <c:v>Target TCC</c:v>
                  </c:pt>
                  <c:pt idx="2">
                    <c:v>Target TDC</c:v>
                  </c:pt>
                </c:lvl>
                <c:lvl>
                  <c:pt idx="0">
                    <c:v>NEO5</c:v>
                  </c:pt>
                </c:lvl>
              </c:multiLvlStrCache>
            </c:multiLvlStrRef>
          </c:cat>
          <c:val>
            <c:numRef>
              <c:f>'NEO5 - Charts'!$C$14:$E$14</c:f>
              <c:numCache>
                <c:formatCode>"$"#,##0</c:formatCode>
                <c:ptCount val="3"/>
                <c:pt idx="0">
                  <c:v>73.285750000000007</c:v>
                </c:pt>
                <c:pt idx="1">
                  <c:v>116.47813060000021</c:v>
                </c:pt>
                <c:pt idx="2">
                  <c:v>222.78040617557599</c:v>
                </c:pt>
              </c:numCache>
            </c:numRef>
          </c:val>
          <c:extLst>
            <c:ext xmlns:c16="http://schemas.microsoft.com/office/drawing/2014/chart" uri="{C3380CC4-5D6E-409C-BE32-E72D297353CC}">
              <c16:uniqueId val="{00000001-3E28-488C-9B11-B394B34A29CC}"/>
            </c:ext>
          </c:extLst>
        </c:ser>
        <c:ser>
          <c:idx val="2"/>
          <c:order val="2"/>
          <c:tx>
            <c:strRef>
              <c:f>'NEO5 - Charts'!$B$15</c:f>
              <c:strCache>
                <c:ptCount val="1"/>
                <c:pt idx="0">
                  <c:v>75th</c:v>
                </c:pt>
              </c:strCache>
            </c:strRef>
          </c:tx>
          <c:spPr>
            <a:solidFill>
              <a:schemeClr val="tx2">
                <a:lumMod val="20000"/>
                <a:lumOff val="80000"/>
              </a:schemeClr>
            </a:solidFill>
          </c:spPr>
          <c:invertIfNegative val="0"/>
          <c:cat>
            <c:multiLvlStrRef>
              <c:f>'NEO5 - Charts'!$C$3:$E$4</c:f>
              <c:multiLvlStrCache>
                <c:ptCount val="3"/>
                <c:lvl>
                  <c:pt idx="0">
                    <c:v>Base Salary</c:v>
                  </c:pt>
                  <c:pt idx="1">
                    <c:v>Target TCC</c:v>
                  </c:pt>
                  <c:pt idx="2">
                    <c:v>Target TDC</c:v>
                  </c:pt>
                </c:lvl>
                <c:lvl>
                  <c:pt idx="0">
                    <c:v>NEO5</c:v>
                  </c:pt>
                </c:lvl>
              </c:multiLvlStrCache>
            </c:multiLvlStrRef>
          </c:cat>
          <c:val>
            <c:numRef>
              <c:f>'NEO5 - Charts'!$C$15:$E$15</c:f>
              <c:numCache>
                <c:formatCode>"$"#,##0</c:formatCode>
                <c:ptCount val="3"/>
                <c:pt idx="0">
                  <c:v>88.205674975000022</c:v>
                </c:pt>
                <c:pt idx="1">
                  <c:v>134.32953188749991</c:v>
                </c:pt>
                <c:pt idx="2">
                  <c:v>384.71980013067378</c:v>
                </c:pt>
              </c:numCache>
            </c:numRef>
          </c:val>
          <c:extLst>
            <c:ext xmlns:c16="http://schemas.microsoft.com/office/drawing/2014/chart" uri="{C3380CC4-5D6E-409C-BE32-E72D297353CC}">
              <c16:uniqueId val="{00000002-3E28-488C-9B11-B394B34A29CC}"/>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'NEO5 - Charts'!$B$17</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'NEO5 - Charts'!$C$17:$E$17</c:f>
              <c:numCache>
                <c:formatCode>"$"#,##0</c:formatCode>
                <c:ptCount val="3"/>
                <c:pt idx="0">
                  <c:v>526.74300000000005</c:v>
                </c:pt>
                <c:pt idx="1">
                  <c:v>921.80025000000001</c:v>
                </c:pt>
                <c:pt idx="2">
                  <c:v>1711.9147499999999</c:v>
                </c:pt>
              </c:numCache>
            </c:numRef>
          </c:yVal>
          <c:smooth val="0"/>
          <c:extLst>
            <c:ext xmlns:c16="http://schemas.microsoft.com/office/drawing/2014/chart" uri="{C3380CC4-5D6E-409C-BE32-E72D297353CC}">
              <c16:uniqueId val="{00000003-3E28-488C-9B11-B394B34A29CC}"/>
            </c:ext>
          </c:extLst>
        </c:ser>
        <c:ser>
          <c:idx val="4"/>
          <c:order val="4"/>
          <c:tx>
            <c:strRef>
              <c:f>'NEO5 - Charts'!$B$16</c:f>
              <c:strCache>
                <c:ptCount val="1"/>
                <c:pt idx="0">
                  <c:v>Average</c:v>
                </c:pt>
              </c:strCache>
            </c:strRef>
          </c:tx>
          <c:spPr>
            <a:ln w="28575">
              <a:noFill/>
            </a:ln>
          </c:spPr>
          <c:marker>
            <c:symbol val="dash"/>
            <c:size val="15"/>
            <c:spPr>
              <a:solidFill>
                <a:srgbClr val="AFABAB"/>
              </a:solidFill>
              <a:ln>
                <a:solidFill>
                  <a:srgbClr val="AFABAB"/>
                </a:solidFill>
              </a:ln>
            </c:spPr>
          </c:marker>
          <c:yVal>
            <c:numRef>
              <c:f>'NEO5 - Charts'!$C$16:$E$16</c:f>
              <c:numCache>
                <c:formatCode>"$"#,##0</c:formatCode>
                <c:ptCount val="3"/>
                <c:pt idx="0">
                  <c:v>507.87908984285707</c:v>
                </c:pt>
                <c:pt idx="1">
                  <c:v>871.14280462500005</c:v>
                </c:pt>
                <c:pt idx="2">
                  <c:v>1699.521855072961</c:v>
                </c:pt>
              </c:numCache>
            </c:numRef>
          </c:yVal>
          <c:smooth val="0"/>
          <c:extLst>
            <c:ext xmlns:c16="http://schemas.microsoft.com/office/drawing/2014/chart" uri="{C3380CC4-5D6E-409C-BE32-E72D297353CC}">
              <c16:uniqueId val="{00000004-3E28-488C-9B11-B394B34A29CC}"/>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txPr>
          <a:bodyPr/>
          <a:lstStyle/>
          <a:p>
            <a:pPr>
              <a:defRPr sz="1000">
                <a:latin typeface="+mn-lt"/>
                <a:ea typeface="Tahoma" pitchFamily="34" charset="0"/>
                <a:cs typeface="Calibri Light" panose="020F0302020204030204" pitchFamily="34" charset="0"/>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numFmt formatCode="&quot;$&quot;#,##0" sourceLinked="1"/>
        <c:majorTickMark val="out"/>
        <c:minorTickMark val="none"/>
        <c:tickLblPos val="nextTo"/>
        <c:txPr>
          <a:bodyPr/>
          <a:lstStyle/>
          <a:p>
            <a:pPr>
              <a:defRPr sz="1000">
                <a:latin typeface="+mn-lt"/>
                <a:ea typeface="Tahoma" pitchFamily="34" charset="0"/>
                <a:cs typeface="Tahoma"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'CEO - Charts'!$B$13</c:f>
              <c:strCache>
                <c:ptCount val="1"/>
                <c:pt idx="0">
                  <c:v>25th</c:v>
                </c:pt>
              </c:strCache>
            </c:strRef>
          </c:tx>
          <c:spPr>
            <a:noFill/>
          </c:spPr>
          <c:invertIfNegative val="0"/>
          <c:cat>
            <c:strRef>
              <c:f>'CEO - Charts'!$C$4:$E$4</c:f>
              <c:strCache>
                <c:ptCount val="3"/>
                <c:pt idx="0">
                  <c:v>Base Salary</c:v>
                </c:pt>
                <c:pt idx="1">
                  <c:v>Target TCC</c:v>
                </c:pt>
                <c:pt idx="2">
                  <c:v>Target TDC</c:v>
                </c:pt>
              </c:strCache>
            </c:strRef>
          </c:cat>
          <c:val>
            <c:numRef>
              <c:f>'CEO - Charts'!$C$13:$E$13</c:f>
              <c:numCache>
                <c:formatCode>"$"#,##0</c:formatCode>
                <c:ptCount val="3"/>
                <c:pt idx="0">
                  <c:v>891.72250000000008</c:v>
                </c:pt>
                <c:pt idx="1">
                  <c:v>1900.5013472999999</c:v>
                </c:pt>
                <c:pt idx="2">
                  <c:v>4956.1421462659609</c:v>
                </c:pt>
              </c:numCache>
            </c:numRef>
          </c:val>
          <c:extLst>
            <c:ext xmlns:c16="http://schemas.microsoft.com/office/drawing/2014/chart" uri="{C3380CC4-5D6E-409C-BE32-E72D297353CC}">
              <c16:uniqueId val="{00000000-58FC-4EE6-A5E0-6B2A85C83E76}"/>
            </c:ext>
          </c:extLst>
        </c:ser>
        <c:ser>
          <c:idx val="1"/>
          <c:order val="1"/>
          <c:tx>
            <c:strRef>
              <c:f>'CEO - Charts'!$B$14</c:f>
              <c:strCache>
                <c:ptCount val="1"/>
                <c:pt idx="0">
                  <c:v>50th</c:v>
                </c:pt>
              </c:strCache>
            </c:strRef>
          </c:tx>
          <c:spPr>
            <a:solidFill>
              <a:srgbClr val="002957"/>
            </a:solidFill>
          </c:spPr>
          <c:invertIfNegative val="0"/>
          <c:cat>
            <c:strRef>
              <c:f>'CEO - Charts'!$C$4:$E$4</c:f>
              <c:strCache>
                <c:ptCount val="3"/>
                <c:pt idx="0">
                  <c:v>Base Salary</c:v>
                </c:pt>
                <c:pt idx="1">
                  <c:v>Target TCC</c:v>
                </c:pt>
                <c:pt idx="2">
                  <c:v>Target TDC</c:v>
                </c:pt>
              </c:strCache>
            </c:strRef>
          </c:cat>
          <c:val>
            <c:numRef>
              <c:f>'CEO - Charts'!$C$14:$E$14</c:f>
              <c:numCache>
                <c:formatCode>"$"#,##0</c:formatCode>
                <c:ptCount val="3"/>
                <c:pt idx="0">
                  <c:v>257.97358949999989</c:v>
                </c:pt>
                <c:pt idx="1">
                  <c:v>593.94690270000001</c:v>
                </c:pt>
                <c:pt idx="2">
                  <c:v>777.65596242969059</c:v>
                </c:pt>
              </c:numCache>
            </c:numRef>
          </c:val>
          <c:extLst>
            <c:ext xmlns:c16="http://schemas.microsoft.com/office/drawing/2014/chart" uri="{C3380CC4-5D6E-409C-BE32-E72D297353CC}">
              <c16:uniqueId val="{00000001-58FC-4EE6-A5E0-6B2A85C83E76}"/>
            </c:ext>
          </c:extLst>
        </c:ser>
        <c:ser>
          <c:idx val="2"/>
          <c:order val="2"/>
          <c:tx>
            <c:strRef>
              <c:f>'CEO - Charts'!$B$15</c:f>
              <c:strCache>
                <c:ptCount val="1"/>
                <c:pt idx="0">
                  <c:v>75th</c:v>
                </c:pt>
              </c:strCache>
            </c:strRef>
          </c:tx>
          <c:spPr>
            <a:solidFill>
              <a:schemeClr val="tx2">
                <a:lumMod val="20000"/>
                <a:lumOff val="80000"/>
              </a:schemeClr>
            </a:solidFill>
          </c:spPr>
          <c:invertIfNegative val="0"/>
          <c:cat>
            <c:strRef>
              <c:f>'CEO - Charts'!$C$4:$E$4</c:f>
              <c:strCache>
                <c:ptCount val="3"/>
                <c:pt idx="0">
                  <c:v>Base Salary</c:v>
                </c:pt>
                <c:pt idx="1">
                  <c:v>Target TCC</c:v>
                </c:pt>
                <c:pt idx="2">
                  <c:v>Target TDC</c:v>
                </c:pt>
              </c:strCache>
            </c:strRef>
          </c:cat>
          <c:val>
            <c:numRef>
              <c:f>'CEO - Charts'!$C$15:$E$15</c:f>
              <c:numCache>
                <c:formatCode>"$"#,##0</c:formatCode>
                <c:ptCount val="3"/>
                <c:pt idx="0">
                  <c:v>264.52331049999998</c:v>
                </c:pt>
                <c:pt idx="1">
                  <c:v>456.79146875000015</c:v>
                </c:pt>
                <c:pt idx="2">
                  <c:v>1705.0029225543485</c:v>
                </c:pt>
              </c:numCache>
            </c:numRef>
          </c:val>
          <c:extLst>
            <c:ext xmlns:c16="http://schemas.microsoft.com/office/drawing/2014/chart" uri="{C3380CC4-5D6E-409C-BE32-E72D297353CC}">
              <c16:uniqueId val="{00000002-58FC-4EE6-A5E0-6B2A85C83E76}"/>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'CEO - Charts'!$B$17</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'CEO - Charts'!$C$17:$E$17</c:f>
              <c:numCache>
                <c:formatCode>"$"#,##0</c:formatCode>
                <c:ptCount val="3"/>
                <c:pt idx="0">
                  <c:v>1099.9010000000001</c:v>
                </c:pt>
                <c:pt idx="1">
                  <c:v>2419.7822000000001</c:v>
                </c:pt>
                <c:pt idx="2">
                  <c:v>5334.5198499999997</c:v>
                </c:pt>
              </c:numCache>
            </c:numRef>
          </c:yVal>
          <c:smooth val="0"/>
          <c:extLst>
            <c:ext xmlns:c16="http://schemas.microsoft.com/office/drawing/2014/chart" uri="{C3380CC4-5D6E-409C-BE32-E72D297353CC}">
              <c16:uniqueId val="{00000003-58FC-4EE6-A5E0-6B2A85C83E76}"/>
            </c:ext>
          </c:extLst>
        </c:ser>
        <c:ser>
          <c:idx val="4"/>
          <c:order val="4"/>
          <c:tx>
            <c:strRef>
              <c:f>'CEO - Charts'!$B$16</c:f>
              <c:strCache>
                <c:ptCount val="1"/>
                <c:pt idx="0">
                  <c:v>Average</c:v>
                </c:pt>
              </c:strCache>
            </c:strRef>
          </c:tx>
          <c:spPr>
            <a:ln w="28575">
              <a:noFill/>
            </a:ln>
          </c:spPr>
          <c:marker>
            <c:symbol val="dash"/>
            <c:size val="15"/>
            <c:spPr>
              <a:solidFill>
                <a:srgbClr val="AFABAB"/>
              </a:solidFill>
              <a:ln>
                <a:solidFill>
                  <a:srgbClr val="AFABAB"/>
                </a:solidFill>
              </a:ln>
            </c:spPr>
          </c:marker>
          <c:yVal>
            <c:numRef>
              <c:f>'CEO - Charts'!$C$16:$E$16</c:f>
              <c:numCache>
                <c:formatCode>"$"#,##0</c:formatCode>
                <c:ptCount val="3"/>
                <c:pt idx="0">
                  <c:v>1174.3264613866666</c:v>
                </c:pt>
                <c:pt idx="1">
                  <c:v>2591.6603928983332</c:v>
                </c:pt>
                <c:pt idx="2">
                  <c:v>6074.7685150935913</c:v>
                </c:pt>
              </c:numCache>
            </c:numRef>
          </c:yVal>
          <c:smooth val="0"/>
          <c:extLst>
            <c:ext xmlns:c16="http://schemas.microsoft.com/office/drawing/2014/chart" uri="{C3380CC4-5D6E-409C-BE32-E72D297353CC}">
              <c16:uniqueId val="{00000004-58FC-4EE6-A5E0-6B2A85C83E76}"/>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txPr>
          <a:bodyPr/>
          <a:lstStyle/>
          <a:p>
            <a:pPr>
              <a:defRPr sz="1000">
                <a:latin typeface="+mn-lt"/>
                <a:ea typeface="Tahoma" pitchFamily="34" charset="0"/>
                <a:cs typeface="Calibri Light" panose="020F0302020204030204" pitchFamily="34" charset="0"/>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numFmt formatCode="&quot;$&quot;#,##0" sourceLinked="1"/>
        <c:majorTickMark val="out"/>
        <c:minorTickMark val="none"/>
        <c:tickLblPos val="nextTo"/>
        <c:txPr>
          <a:bodyPr/>
          <a:lstStyle/>
          <a:p>
            <a:pPr>
              <a:defRPr sz="1000">
                <a:latin typeface="+mn-lt"/>
                <a:ea typeface="Tahoma" pitchFamily="34" charset="0"/>
                <a:cs typeface="Tahoma"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'CFO - Charts'!$B$13</c:f>
              <c:strCache>
                <c:ptCount val="1"/>
                <c:pt idx="0">
                  <c:v>25th</c:v>
                </c:pt>
              </c:strCache>
            </c:strRef>
          </c:tx>
          <c:spPr>
            <a:noFill/>
          </c:spPr>
          <c:invertIfNegative val="0"/>
          <c:cat>
            <c:multiLvlStrRef>
              <c:f>'CFO - Charts'!$C$3:$H$4</c:f>
              <c:multiLvlStrCache>
                <c:ptCount val="6"/>
                <c:lvl>
                  <c:pt idx="0">
                    <c:v>Base Salary (n=15)</c:v>
                  </c:pt>
                  <c:pt idx="1">
                    <c:v>Target TCC (n=15)</c:v>
                  </c:pt>
                  <c:pt idx="2">
                    <c:v>Target TDC (n=15)</c:v>
                  </c:pt>
                  <c:pt idx="3">
                    <c:v>Base Salary (n=15)</c:v>
                  </c:pt>
                  <c:pt idx="4">
                    <c:v>Target TCC (n=15)</c:v>
                  </c:pt>
                  <c:pt idx="5">
                    <c:v>Target TDC (n=15)</c:v>
                  </c:pt>
                </c:lvl>
                <c:lvl>
                  <c:pt idx="0">
                    <c:v>CFO</c:v>
                  </c:pt>
                  <c:pt idx="3">
                    <c:v>2nd Highest</c:v>
                  </c:pt>
                </c:lvl>
              </c:multiLvlStrCache>
            </c:multiLvlStrRef>
          </c:cat>
          <c:val>
            <c:numRef>
              <c:f>'CFO - Charts'!$C$13:$H$13</c:f>
              <c:numCache>
                <c:formatCode>"$"#,##0</c:formatCode>
                <c:ptCount val="6"/>
                <c:pt idx="0">
                  <c:v>564.92600440000001</c:v>
                </c:pt>
                <c:pt idx="1">
                  <c:v>1002.6405</c:v>
                </c:pt>
                <c:pt idx="2">
                  <c:v>1941.3970102723999</c:v>
                </c:pt>
                <c:pt idx="3">
                  <c:v>620.08648855000001</c:v>
                </c:pt>
                <c:pt idx="4">
                  <c:v>1085.652280535</c:v>
                </c:pt>
                <c:pt idx="5">
                  <c:v>2291.7146265642373</c:v>
                </c:pt>
              </c:numCache>
            </c:numRef>
          </c:val>
          <c:extLst>
            <c:ext xmlns:c16="http://schemas.microsoft.com/office/drawing/2014/chart" uri="{C3380CC4-5D6E-409C-BE32-E72D297353CC}">
              <c16:uniqueId val="{00000000-8D8B-4B14-8656-E234F530B0BB}"/>
            </c:ext>
          </c:extLst>
        </c:ser>
        <c:ser>
          <c:idx val="1"/>
          <c:order val="1"/>
          <c:tx>
            <c:strRef>
              <c:f>'CFO - Charts'!$B$14</c:f>
              <c:strCache>
                <c:ptCount val="1"/>
                <c:pt idx="0">
                  <c:v>50th</c:v>
                </c:pt>
              </c:strCache>
            </c:strRef>
          </c:tx>
          <c:spPr>
            <a:solidFill>
              <a:srgbClr val="002957"/>
            </a:solidFill>
          </c:spPr>
          <c:invertIfNegative val="0"/>
          <c:cat>
            <c:multiLvlStrRef>
              <c:f>'CFO - Charts'!$C$3:$H$4</c:f>
              <c:multiLvlStrCache>
                <c:ptCount val="6"/>
                <c:lvl>
                  <c:pt idx="0">
                    <c:v>Base Salary (n=15)</c:v>
                  </c:pt>
                  <c:pt idx="1">
                    <c:v>Target TCC (n=15)</c:v>
                  </c:pt>
                  <c:pt idx="2">
                    <c:v>Target TDC (n=15)</c:v>
                  </c:pt>
                  <c:pt idx="3">
                    <c:v>Base Salary (n=15)</c:v>
                  </c:pt>
                  <c:pt idx="4">
                    <c:v>Target TCC (n=15)</c:v>
                  </c:pt>
                  <c:pt idx="5">
                    <c:v>Target TDC (n=15)</c:v>
                  </c:pt>
                </c:lvl>
                <c:lvl>
                  <c:pt idx="0">
                    <c:v>CFO</c:v>
                  </c:pt>
                  <c:pt idx="3">
                    <c:v>2nd Highest</c:v>
                  </c:pt>
                </c:lvl>
              </c:multiLvlStrCache>
            </c:multiLvlStrRef>
          </c:cat>
          <c:val>
            <c:numRef>
              <c:f>'CFO - Charts'!$C$14:$H$14</c:f>
              <c:numCache>
                <c:formatCode>"$"#,##0</c:formatCode>
                <c:ptCount val="6"/>
                <c:pt idx="0">
                  <c:v>42.964745600000015</c:v>
                </c:pt>
                <c:pt idx="1">
                  <c:v>91.562850000000026</c:v>
                </c:pt>
                <c:pt idx="2">
                  <c:v>349.96825117964477</c:v>
                </c:pt>
                <c:pt idx="3">
                  <c:v>66.118511450000028</c:v>
                </c:pt>
                <c:pt idx="4">
                  <c:v>218.13721946500004</c:v>
                </c:pt>
                <c:pt idx="5">
                  <c:v>642.9303734357627</c:v>
                </c:pt>
              </c:numCache>
            </c:numRef>
          </c:val>
          <c:extLst>
            <c:ext xmlns:c16="http://schemas.microsoft.com/office/drawing/2014/chart" uri="{C3380CC4-5D6E-409C-BE32-E72D297353CC}">
              <c16:uniqueId val="{00000001-8D8B-4B14-8656-E234F530B0BB}"/>
            </c:ext>
          </c:extLst>
        </c:ser>
        <c:ser>
          <c:idx val="2"/>
          <c:order val="2"/>
          <c:tx>
            <c:strRef>
              <c:f>'CFO - Charts'!$B$15</c:f>
              <c:strCache>
                <c:ptCount val="1"/>
                <c:pt idx="0">
                  <c:v>75th</c:v>
                </c:pt>
              </c:strCache>
            </c:strRef>
          </c:tx>
          <c:spPr>
            <a:solidFill>
              <a:schemeClr val="tx2">
                <a:lumMod val="20000"/>
                <a:lumOff val="80000"/>
              </a:schemeClr>
            </a:solidFill>
          </c:spPr>
          <c:invertIfNegative val="0"/>
          <c:cat>
            <c:multiLvlStrRef>
              <c:f>'CFO - Charts'!$C$3:$H$4</c:f>
              <c:multiLvlStrCache>
                <c:ptCount val="6"/>
                <c:lvl>
                  <c:pt idx="0">
                    <c:v>Base Salary (n=15)</c:v>
                  </c:pt>
                  <c:pt idx="1">
                    <c:v>Target TCC (n=15)</c:v>
                  </c:pt>
                  <c:pt idx="2">
                    <c:v>Target TDC (n=15)</c:v>
                  </c:pt>
                  <c:pt idx="3">
                    <c:v>Base Salary (n=15)</c:v>
                  </c:pt>
                  <c:pt idx="4">
                    <c:v>Target TCC (n=15)</c:v>
                  </c:pt>
                  <c:pt idx="5">
                    <c:v>Target TDC (n=15)</c:v>
                  </c:pt>
                </c:lvl>
                <c:lvl>
                  <c:pt idx="0">
                    <c:v>CFO</c:v>
                  </c:pt>
                  <c:pt idx="3">
                    <c:v>2nd Highest</c:v>
                  </c:pt>
                </c:lvl>
              </c:multiLvlStrCache>
            </c:multiLvlStrRef>
          </c:cat>
          <c:val>
            <c:numRef>
              <c:f>'CFO - Charts'!$C$15:$H$15</c:f>
              <c:numCache>
                <c:formatCode>"$"#,##0</c:formatCode>
                <c:ptCount val="6"/>
                <c:pt idx="0">
                  <c:v>65.562764200000061</c:v>
                </c:pt>
                <c:pt idx="1">
                  <c:v>218.54776448000007</c:v>
                </c:pt>
                <c:pt idx="2">
                  <c:v>586.50833229795535</c:v>
                </c:pt>
                <c:pt idx="3">
                  <c:v>130.63845422500003</c:v>
                </c:pt>
                <c:pt idx="4">
                  <c:v>163.5329999999999</c:v>
                </c:pt>
                <c:pt idx="5">
                  <c:v>240.58515624999973</c:v>
                </c:pt>
              </c:numCache>
            </c:numRef>
          </c:val>
          <c:extLst>
            <c:ext xmlns:c16="http://schemas.microsoft.com/office/drawing/2014/chart" uri="{C3380CC4-5D6E-409C-BE32-E72D297353CC}">
              <c16:uniqueId val="{00000002-8D8B-4B14-8656-E234F530B0BB}"/>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'CFO - Charts'!$B$17</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'CFO - Charts'!$C$17:$H$17</c:f>
              <c:numCache>
                <c:formatCode>"$"#,##0</c:formatCode>
                <c:ptCount val="6"/>
                <c:pt idx="0">
                  <c:v>625.31200000000001</c:v>
                </c:pt>
                <c:pt idx="1">
                  <c:v>1188.0928000000001</c:v>
                </c:pt>
                <c:pt idx="2">
                  <c:v>2313.6544000000004</c:v>
                </c:pt>
                <c:pt idx="3">
                  <c:v>625.31200000000001</c:v>
                </c:pt>
                <c:pt idx="4">
                  <c:v>1188.0928000000001</c:v>
                </c:pt>
                <c:pt idx="5">
                  <c:v>2313.6544000000004</c:v>
                </c:pt>
              </c:numCache>
            </c:numRef>
          </c:yVal>
          <c:smooth val="0"/>
          <c:extLst>
            <c:ext xmlns:c16="http://schemas.microsoft.com/office/drawing/2014/chart" uri="{C3380CC4-5D6E-409C-BE32-E72D297353CC}">
              <c16:uniqueId val="{00000003-8D8B-4B14-8656-E234F530B0BB}"/>
            </c:ext>
          </c:extLst>
        </c:ser>
        <c:ser>
          <c:idx val="4"/>
          <c:order val="4"/>
          <c:tx>
            <c:strRef>
              <c:f>'CFO - Charts'!$B$16</c:f>
              <c:strCache>
                <c:ptCount val="1"/>
                <c:pt idx="0">
                  <c:v>Average</c:v>
                </c:pt>
              </c:strCache>
            </c:strRef>
          </c:tx>
          <c:spPr>
            <a:ln w="28575">
              <a:noFill/>
            </a:ln>
          </c:spPr>
          <c:marker>
            <c:symbol val="dash"/>
            <c:size val="15"/>
            <c:spPr>
              <a:solidFill>
                <a:srgbClr val="AFABAB"/>
              </a:solidFill>
              <a:ln>
                <a:solidFill>
                  <a:srgbClr val="AFABAB"/>
                </a:solidFill>
              </a:ln>
            </c:spPr>
          </c:marker>
          <c:yVal>
            <c:numRef>
              <c:f>'CFO - Charts'!$C$16:$H$16</c:f>
              <c:numCache>
                <c:formatCode>"$"#,##0</c:formatCode>
                <c:ptCount val="6"/>
                <c:pt idx="0">
                  <c:v>652.61609650000003</c:v>
                </c:pt>
                <c:pt idx="1">
                  <c:v>1157.1631086980001</c:v>
                </c:pt>
                <c:pt idx="2">
                  <c:v>2409.0228119974167</c:v>
                </c:pt>
                <c:pt idx="3">
                  <c:v>722.41637308666645</c:v>
                </c:pt>
                <c:pt idx="4">
                  <c:v>1324.5017847378333</c:v>
                </c:pt>
                <c:pt idx="5">
                  <c:v>2816.2025750442672</c:v>
                </c:pt>
              </c:numCache>
            </c:numRef>
          </c:yVal>
          <c:smooth val="0"/>
          <c:extLst>
            <c:ext xmlns:c16="http://schemas.microsoft.com/office/drawing/2014/chart" uri="{C3380CC4-5D6E-409C-BE32-E72D297353CC}">
              <c16:uniqueId val="{00000004-8D8B-4B14-8656-E234F530B0BB}"/>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txPr>
          <a:bodyPr/>
          <a:lstStyle/>
          <a:p>
            <a:pPr>
              <a:defRPr sz="1000">
                <a:latin typeface="+mn-lt"/>
                <a:ea typeface="Tahoma" pitchFamily="34" charset="0"/>
                <a:cs typeface="Calibri Light" panose="020F0302020204030204" pitchFamily="34" charset="0"/>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numFmt formatCode="&quot;$&quot;#,##0" sourceLinked="1"/>
        <c:majorTickMark val="out"/>
        <c:minorTickMark val="none"/>
        <c:tickLblPos val="nextTo"/>
        <c:txPr>
          <a:bodyPr/>
          <a:lstStyle/>
          <a:p>
            <a:pPr>
              <a:defRPr sz="1000">
                <a:latin typeface="+mn-lt"/>
                <a:ea typeface="Tahoma" pitchFamily="34" charset="0"/>
                <a:cs typeface="Tahoma"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'CFO - Charts'!$B$13</c:f>
              <c:strCache>
                <c:ptCount val="1"/>
                <c:pt idx="0">
                  <c:v>25th</c:v>
                </c:pt>
              </c:strCache>
            </c:strRef>
          </c:tx>
          <c:spPr>
            <a:noFill/>
          </c:spPr>
          <c:invertIfNegative val="0"/>
          <c:cat>
            <c:multiLvlStrRef>
              <c:f>'CFO - Charts'!$C$3:$E$4</c:f>
              <c:multiLvlStrCache>
                <c:ptCount val="3"/>
                <c:lvl>
                  <c:pt idx="0">
                    <c:v>Base Salary (n=15)</c:v>
                  </c:pt>
                  <c:pt idx="1">
                    <c:v>Target TCC (n=15)</c:v>
                  </c:pt>
                  <c:pt idx="2">
                    <c:v>Target TDC (n=15)</c:v>
                  </c:pt>
                </c:lvl>
                <c:lvl>
                  <c:pt idx="0">
                    <c:v>CFO</c:v>
                  </c:pt>
                </c:lvl>
              </c:multiLvlStrCache>
            </c:multiLvlStrRef>
          </c:cat>
          <c:val>
            <c:numRef>
              <c:f>'CFO - Charts'!$C$13:$E$13</c:f>
              <c:numCache>
                <c:formatCode>"$"#,##0</c:formatCode>
                <c:ptCount val="3"/>
                <c:pt idx="0">
                  <c:v>564.92600440000001</c:v>
                </c:pt>
                <c:pt idx="1">
                  <c:v>1002.6405</c:v>
                </c:pt>
                <c:pt idx="2">
                  <c:v>1941.3970102723999</c:v>
                </c:pt>
              </c:numCache>
            </c:numRef>
          </c:val>
          <c:extLst>
            <c:ext xmlns:c16="http://schemas.microsoft.com/office/drawing/2014/chart" uri="{C3380CC4-5D6E-409C-BE32-E72D297353CC}">
              <c16:uniqueId val="{00000000-B7A2-4E62-BC0A-2D5D83F0E826}"/>
            </c:ext>
          </c:extLst>
        </c:ser>
        <c:ser>
          <c:idx val="1"/>
          <c:order val="1"/>
          <c:tx>
            <c:strRef>
              <c:f>'CFO - Charts'!$B$14</c:f>
              <c:strCache>
                <c:ptCount val="1"/>
                <c:pt idx="0">
                  <c:v>50th</c:v>
                </c:pt>
              </c:strCache>
            </c:strRef>
          </c:tx>
          <c:spPr>
            <a:solidFill>
              <a:srgbClr val="002957"/>
            </a:solidFill>
          </c:spPr>
          <c:invertIfNegative val="0"/>
          <c:cat>
            <c:multiLvlStrRef>
              <c:f>'CFO - Charts'!$C$3:$E$4</c:f>
              <c:multiLvlStrCache>
                <c:ptCount val="3"/>
                <c:lvl>
                  <c:pt idx="0">
                    <c:v>Base Salary (n=15)</c:v>
                  </c:pt>
                  <c:pt idx="1">
                    <c:v>Target TCC (n=15)</c:v>
                  </c:pt>
                  <c:pt idx="2">
                    <c:v>Target TDC (n=15)</c:v>
                  </c:pt>
                </c:lvl>
                <c:lvl>
                  <c:pt idx="0">
                    <c:v>CFO</c:v>
                  </c:pt>
                </c:lvl>
              </c:multiLvlStrCache>
            </c:multiLvlStrRef>
          </c:cat>
          <c:val>
            <c:numRef>
              <c:f>'CFO - Charts'!$C$14:$E$14</c:f>
              <c:numCache>
                <c:formatCode>"$"#,##0</c:formatCode>
                <c:ptCount val="3"/>
                <c:pt idx="0">
                  <c:v>42.964745600000015</c:v>
                </c:pt>
                <c:pt idx="1">
                  <c:v>91.562850000000026</c:v>
                </c:pt>
                <c:pt idx="2">
                  <c:v>349.96825117964477</c:v>
                </c:pt>
              </c:numCache>
            </c:numRef>
          </c:val>
          <c:extLst>
            <c:ext xmlns:c16="http://schemas.microsoft.com/office/drawing/2014/chart" uri="{C3380CC4-5D6E-409C-BE32-E72D297353CC}">
              <c16:uniqueId val="{00000001-B7A2-4E62-BC0A-2D5D83F0E826}"/>
            </c:ext>
          </c:extLst>
        </c:ser>
        <c:ser>
          <c:idx val="2"/>
          <c:order val="2"/>
          <c:tx>
            <c:strRef>
              <c:f>'CFO - Charts'!$B$15</c:f>
              <c:strCache>
                <c:ptCount val="1"/>
                <c:pt idx="0">
                  <c:v>75th</c:v>
                </c:pt>
              </c:strCache>
            </c:strRef>
          </c:tx>
          <c:spPr>
            <a:solidFill>
              <a:schemeClr val="tx2">
                <a:lumMod val="20000"/>
                <a:lumOff val="80000"/>
              </a:schemeClr>
            </a:solidFill>
          </c:spPr>
          <c:invertIfNegative val="0"/>
          <c:cat>
            <c:multiLvlStrRef>
              <c:f>'CFO - Charts'!$C$3:$E$4</c:f>
              <c:multiLvlStrCache>
                <c:ptCount val="3"/>
                <c:lvl>
                  <c:pt idx="0">
                    <c:v>Base Salary (n=15)</c:v>
                  </c:pt>
                  <c:pt idx="1">
                    <c:v>Target TCC (n=15)</c:v>
                  </c:pt>
                  <c:pt idx="2">
                    <c:v>Target TDC (n=15)</c:v>
                  </c:pt>
                </c:lvl>
                <c:lvl>
                  <c:pt idx="0">
                    <c:v>CFO</c:v>
                  </c:pt>
                </c:lvl>
              </c:multiLvlStrCache>
            </c:multiLvlStrRef>
          </c:cat>
          <c:val>
            <c:numRef>
              <c:f>'CFO - Charts'!$C$15:$E$15</c:f>
              <c:numCache>
                <c:formatCode>"$"#,##0</c:formatCode>
                <c:ptCount val="3"/>
                <c:pt idx="0">
                  <c:v>65.562764200000061</c:v>
                </c:pt>
                <c:pt idx="1">
                  <c:v>218.54776448000007</c:v>
                </c:pt>
                <c:pt idx="2">
                  <c:v>586.50833229795535</c:v>
                </c:pt>
              </c:numCache>
            </c:numRef>
          </c:val>
          <c:extLst>
            <c:ext xmlns:c16="http://schemas.microsoft.com/office/drawing/2014/chart" uri="{C3380CC4-5D6E-409C-BE32-E72D297353CC}">
              <c16:uniqueId val="{00000002-B7A2-4E62-BC0A-2D5D83F0E826}"/>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'CFO - Charts'!$B$17</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'CFO - Charts'!$C$17:$E$17</c:f>
              <c:numCache>
                <c:formatCode>"$"#,##0</c:formatCode>
                <c:ptCount val="3"/>
                <c:pt idx="0">
                  <c:v>625.31200000000001</c:v>
                </c:pt>
                <c:pt idx="1">
                  <c:v>1188.0928000000001</c:v>
                </c:pt>
                <c:pt idx="2">
                  <c:v>2313.6544000000004</c:v>
                </c:pt>
              </c:numCache>
            </c:numRef>
          </c:yVal>
          <c:smooth val="0"/>
          <c:extLst>
            <c:ext xmlns:c16="http://schemas.microsoft.com/office/drawing/2014/chart" uri="{C3380CC4-5D6E-409C-BE32-E72D297353CC}">
              <c16:uniqueId val="{00000003-B7A2-4E62-BC0A-2D5D83F0E826}"/>
            </c:ext>
          </c:extLst>
        </c:ser>
        <c:ser>
          <c:idx val="4"/>
          <c:order val="4"/>
          <c:tx>
            <c:strRef>
              <c:f>'CFO - Charts'!$B$16</c:f>
              <c:strCache>
                <c:ptCount val="1"/>
                <c:pt idx="0">
                  <c:v>Average</c:v>
                </c:pt>
              </c:strCache>
            </c:strRef>
          </c:tx>
          <c:spPr>
            <a:ln w="28575">
              <a:noFill/>
            </a:ln>
          </c:spPr>
          <c:marker>
            <c:symbol val="dash"/>
            <c:size val="15"/>
            <c:spPr>
              <a:solidFill>
                <a:srgbClr val="AFABAB"/>
              </a:solidFill>
              <a:ln>
                <a:solidFill>
                  <a:srgbClr val="AFABAB"/>
                </a:solidFill>
              </a:ln>
            </c:spPr>
          </c:marker>
          <c:yVal>
            <c:numRef>
              <c:f>'CFO - Charts'!$C$16:$E$16</c:f>
              <c:numCache>
                <c:formatCode>"$"#,##0</c:formatCode>
                <c:ptCount val="3"/>
                <c:pt idx="0">
                  <c:v>652.61609650000003</c:v>
                </c:pt>
                <c:pt idx="1">
                  <c:v>1157.1631086980001</c:v>
                </c:pt>
                <c:pt idx="2">
                  <c:v>2409.0228119974167</c:v>
                </c:pt>
              </c:numCache>
            </c:numRef>
          </c:yVal>
          <c:smooth val="0"/>
          <c:extLst>
            <c:ext xmlns:c16="http://schemas.microsoft.com/office/drawing/2014/chart" uri="{C3380CC4-5D6E-409C-BE32-E72D297353CC}">
              <c16:uniqueId val="{00000004-B7A2-4E62-BC0A-2D5D83F0E826}"/>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txPr>
          <a:bodyPr/>
          <a:lstStyle/>
          <a:p>
            <a:pPr>
              <a:defRPr sz="1000">
                <a:latin typeface="+mn-lt"/>
                <a:ea typeface="Tahoma" pitchFamily="34" charset="0"/>
                <a:cs typeface="Calibri Light" panose="020F0302020204030204" pitchFamily="34" charset="0"/>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numFmt formatCode="&quot;$&quot;#,##0" sourceLinked="1"/>
        <c:majorTickMark val="out"/>
        <c:minorTickMark val="none"/>
        <c:tickLblPos val="nextTo"/>
        <c:txPr>
          <a:bodyPr/>
          <a:lstStyle/>
          <a:p>
            <a:pPr>
              <a:defRPr sz="1000">
                <a:latin typeface="+mn-lt"/>
                <a:ea typeface="Tahoma" pitchFamily="34" charset="0"/>
                <a:cs typeface="Tahoma"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col"/>
        <c:grouping val="stacked"/>
        <c:varyColors val="0"/>
        <c:ser>
          <c:idx val="0"/>
          <c:order val="0"/>
          <c:tx>
            <c:strRef>
              <c:f>'COO - Charts'!$B$13</c:f>
              <c:strCache>
                <c:ptCount val="1"/>
                <c:pt idx="0">
                  <c:v>25th</c:v>
                </c:pt>
              </c:strCache>
            </c:strRef>
          </c:tx>
          <c:spPr>
            <a:noFill/>
          </c:spPr>
          <c:invertIfNegative val="0"/>
          <c:cat>
            <c:strRef>
              <c:f>'COO - Charts'!$C$4:$E$4</c:f>
              <c:strCache>
                <c:ptCount val="3"/>
                <c:pt idx="0">
                  <c:v>Base Salary</c:v>
                </c:pt>
                <c:pt idx="1">
                  <c:v>Target TCC</c:v>
                </c:pt>
                <c:pt idx="2">
                  <c:v>Target TDC</c:v>
                </c:pt>
              </c:strCache>
            </c:strRef>
          </c:cat>
          <c:val>
            <c:numRef>
              <c:f>'COO - Charts'!$C$13:$E$13</c:f>
              <c:numCache>
                <c:formatCode>"$"#,##0</c:formatCode>
                <c:ptCount val="3"/>
                <c:pt idx="0">
                  <c:v>615.07723282500001</c:v>
                </c:pt>
                <c:pt idx="1">
                  <c:v>539.24699999999996</c:v>
                </c:pt>
                <c:pt idx="2">
                  <c:v>2378.0617531284747</c:v>
                </c:pt>
              </c:numCache>
            </c:numRef>
          </c:val>
          <c:extLst>
            <c:ext xmlns:c16="http://schemas.microsoft.com/office/drawing/2014/chart" uri="{C3380CC4-5D6E-409C-BE32-E72D297353CC}">
              <c16:uniqueId val="{00000000-9A0E-49D6-8EAB-8F089C1E538C}"/>
            </c:ext>
          </c:extLst>
        </c:ser>
        <c:ser>
          <c:idx val="1"/>
          <c:order val="1"/>
          <c:tx>
            <c:strRef>
              <c:f>'COO - Charts'!$B$14</c:f>
              <c:strCache>
                <c:ptCount val="1"/>
                <c:pt idx="0">
                  <c:v>50th</c:v>
                </c:pt>
              </c:strCache>
            </c:strRef>
          </c:tx>
          <c:spPr>
            <a:solidFill>
              <a:srgbClr val="002957"/>
            </a:solidFill>
          </c:spPr>
          <c:invertIfNegative val="0"/>
          <c:cat>
            <c:strRef>
              <c:f>'COO - Charts'!$C$4:$E$4</c:f>
              <c:strCache>
                <c:ptCount val="3"/>
                <c:pt idx="0">
                  <c:v>Base Salary</c:v>
                </c:pt>
                <c:pt idx="1">
                  <c:v>Target TCC</c:v>
                </c:pt>
                <c:pt idx="2">
                  <c:v>Target TDC</c:v>
                </c:pt>
              </c:strCache>
            </c:strRef>
          </c:cat>
          <c:val>
            <c:numRef>
              <c:f>'COO - Charts'!$C$14:$E$14</c:f>
              <c:numCache>
                <c:formatCode>"$"#,##0</c:formatCode>
                <c:ptCount val="3"/>
                <c:pt idx="0">
                  <c:v>63.892715250000037</c:v>
                </c:pt>
                <c:pt idx="1">
                  <c:v>205.81424282500006</c:v>
                </c:pt>
                <c:pt idx="2">
                  <c:v>481.92677243952539</c:v>
                </c:pt>
              </c:numCache>
            </c:numRef>
          </c:val>
          <c:extLst>
            <c:ext xmlns:c16="http://schemas.microsoft.com/office/drawing/2014/chart" uri="{C3380CC4-5D6E-409C-BE32-E72D297353CC}">
              <c16:uniqueId val="{00000001-9A0E-49D6-8EAB-8F089C1E538C}"/>
            </c:ext>
          </c:extLst>
        </c:ser>
        <c:ser>
          <c:idx val="2"/>
          <c:order val="2"/>
          <c:tx>
            <c:strRef>
              <c:f>'COO - Charts'!$B$15</c:f>
              <c:strCache>
                <c:ptCount val="1"/>
                <c:pt idx="0">
                  <c:v>75th</c:v>
                </c:pt>
              </c:strCache>
            </c:strRef>
          </c:tx>
          <c:spPr>
            <a:solidFill>
              <a:schemeClr val="tx2">
                <a:lumMod val="20000"/>
                <a:lumOff val="80000"/>
              </a:schemeClr>
            </a:solidFill>
          </c:spPr>
          <c:invertIfNegative val="0"/>
          <c:cat>
            <c:strRef>
              <c:f>'COO - Charts'!$C$4:$E$4</c:f>
              <c:strCache>
                <c:ptCount val="3"/>
                <c:pt idx="0">
                  <c:v>Base Salary</c:v>
                </c:pt>
                <c:pt idx="1">
                  <c:v>Target TCC</c:v>
                </c:pt>
                <c:pt idx="2">
                  <c:v>Target TDC</c:v>
                </c:pt>
              </c:strCache>
            </c:strRef>
          </c:cat>
          <c:val>
            <c:numRef>
              <c:f>'COO - Charts'!$C$15:$E$15</c:f>
              <c:numCache>
                <c:formatCode>"$"#,##0</c:formatCode>
                <c:ptCount val="3"/>
                <c:pt idx="0">
                  <c:v>74.44536442499998</c:v>
                </c:pt>
                <c:pt idx="1">
                  <c:v>78.107727762500076</c:v>
                </c:pt>
                <c:pt idx="2">
                  <c:v>211.39369621533342</c:v>
                </c:pt>
              </c:numCache>
            </c:numRef>
          </c:val>
          <c:extLst>
            <c:ext xmlns:c16="http://schemas.microsoft.com/office/drawing/2014/chart" uri="{C3380CC4-5D6E-409C-BE32-E72D297353CC}">
              <c16:uniqueId val="{00000002-9A0E-49D6-8EAB-8F089C1E538C}"/>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'COO - Charts'!$B$17</c:f>
              <c:strCache>
                <c:ptCount val="1"/>
              </c:strCache>
            </c:strRef>
          </c:tx>
          <c:spPr>
            <a:ln w="28575">
              <a:noFill/>
            </a:ln>
          </c:spPr>
          <c:marker>
            <c:symbol val="diamond"/>
            <c:size val="10"/>
            <c:spPr>
              <a:solidFill>
                <a:srgbClr val="F0531E"/>
              </a:solidFill>
              <a:ln>
                <a:solidFill>
                  <a:srgbClr val="F0531E"/>
                </a:solidFill>
              </a:ln>
            </c:spPr>
          </c:marker>
          <c:yVal>
            <c:numRef>
              <c:f>'COO - Charts'!$C$17:$E$17</c:f>
              <c:numCache>
                <c:formatCode>"$"#,##0</c:formatCode>
                <c:ptCount val="3"/>
              </c:numCache>
            </c:numRef>
          </c:yVal>
          <c:smooth val="0"/>
          <c:extLst>
            <c:ext xmlns:c16="http://schemas.microsoft.com/office/drawing/2014/chart" uri="{C3380CC4-5D6E-409C-BE32-E72D297353CC}">
              <c16:uniqueId val="{00000003-9A0E-49D6-8EAB-8F089C1E538C}"/>
            </c:ext>
          </c:extLst>
        </c:ser>
        <c:ser>
          <c:idx val="4"/>
          <c:order val="4"/>
          <c:tx>
            <c:strRef>
              <c:f>'COO - Charts'!$B$16</c:f>
              <c:strCache>
                <c:ptCount val="1"/>
                <c:pt idx="0">
                  <c:v>Average</c:v>
                </c:pt>
              </c:strCache>
            </c:strRef>
          </c:tx>
          <c:spPr>
            <a:ln w="28575">
              <a:noFill/>
            </a:ln>
          </c:spPr>
          <c:marker>
            <c:symbol val="dash"/>
            <c:size val="15"/>
            <c:spPr>
              <a:solidFill>
                <a:srgbClr val="AFABAB"/>
              </a:solidFill>
              <a:ln>
                <a:solidFill>
                  <a:srgbClr val="AFABAB"/>
                </a:solidFill>
              </a:ln>
            </c:spPr>
          </c:marker>
          <c:yVal>
            <c:numRef>
              <c:f>'COO - Charts'!$C$16:$E$16</c:f>
              <c:numCache>
                <c:formatCode>"$"#,##0</c:formatCode>
                <c:ptCount val="3"/>
                <c:pt idx="0">
                  <c:v>707.93262904999995</c:v>
                </c:pt>
                <c:pt idx="1">
                  <c:v>688.80935406785727</c:v>
                </c:pt>
                <c:pt idx="2">
                  <c:v>2733.9997915670779</c:v>
                </c:pt>
              </c:numCache>
            </c:numRef>
          </c:yVal>
          <c:smooth val="0"/>
          <c:extLst>
            <c:ext xmlns:c16="http://schemas.microsoft.com/office/drawing/2014/chart" uri="{C3380CC4-5D6E-409C-BE32-E72D297353CC}">
              <c16:uniqueId val="{00000004-9A0E-49D6-8EAB-8F089C1E538C}"/>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txPr>
          <a:bodyPr/>
          <a:lstStyle/>
          <a:p>
            <a:pPr>
              <a:defRPr sz="1000">
                <a:latin typeface="+mn-lt"/>
                <a:ea typeface="Tahoma" pitchFamily="34" charset="0"/>
                <a:cs typeface="Calibri Light" panose="020F0302020204030204" pitchFamily="34" charset="0"/>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numFmt formatCode="&quot;$&quot;#,##0" sourceLinked="1"/>
        <c:majorTickMark val="out"/>
        <c:minorTickMark val="none"/>
        <c:tickLblPos val="nextTo"/>
        <c:txPr>
          <a:bodyPr/>
          <a:lstStyle/>
          <a:p>
            <a:pPr>
              <a:defRPr sz="1000">
                <a:latin typeface="+mn-lt"/>
                <a:ea typeface="Tahoma" pitchFamily="34" charset="0"/>
                <a:cs typeface="Tahoma"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543241682051806"/>
          <c:y val="3.7198786439783672E-2"/>
          <c:w val="0.86163647083791428"/>
          <c:h val="0.81670914127423822"/>
        </c:manualLayout>
      </c:layout>
      <c:barChart>
        <c:barDir val="col"/>
        <c:grouping val="stacked"/>
        <c:varyColors val="0"/>
        <c:ser>
          <c:idx val="0"/>
          <c:order val="0"/>
          <c:tx>
            <c:strRef>
              <c:f>'CLO - Charts'!$B$13</c:f>
              <c:strCache>
                <c:ptCount val="1"/>
                <c:pt idx="0">
                  <c:v>25th</c:v>
                </c:pt>
              </c:strCache>
            </c:strRef>
          </c:tx>
          <c:spPr>
            <a:noFill/>
          </c:spPr>
          <c:invertIfNegative val="0"/>
          <c:cat>
            <c:multiLvlStrRef>
              <c:f>'CLO - Charts'!$C$3:$E$4</c:f>
              <c:multiLvlStrCache>
                <c:ptCount val="3"/>
                <c:lvl>
                  <c:pt idx="0">
                    <c:v>Base Salary</c:v>
                  </c:pt>
                  <c:pt idx="1">
                    <c:v>Target TCC</c:v>
                  </c:pt>
                  <c:pt idx="2">
                    <c:v>Target TDC</c:v>
                  </c:pt>
                </c:lvl>
                <c:lvl>
                  <c:pt idx="0">
                    <c:v>Legal</c:v>
                  </c:pt>
                </c:lvl>
              </c:multiLvlStrCache>
            </c:multiLvlStrRef>
          </c:cat>
          <c:val>
            <c:numRef>
              <c:f>'CLO - Charts'!$C$13:$E$13</c:f>
              <c:numCache>
                <c:formatCode>"$"#,##0</c:formatCode>
                <c:ptCount val="3"/>
                <c:pt idx="0">
                  <c:v>472.5</c:v>
                </c:pt>
                <c:pt idx="1">
                  <c:v>802.64755560000003</c:v>
                </c:pt>
                <c:pt idx="2">
                  <c:v>1523.875</c:v>
                </c:pt>
              </c:numCache>
            </c:numRef>
          </c:val>
          <c:extLst>
            <c:ext xmlns:c16="http://schemas.microsoft.com/office/drawing/2014/chart" uri="{C3380CC4-5D6E-409C-BE32-E72D297353CC}">
              <c16:uniqueId val="{00000000-7CDA-4C09-9874-318BD3913FED}"/>
            </c:ext>
          </c:extLst>
        </c:ser>
        <c:ser>
          <c:idx val="1"/>
          <c:order val="1"/>
          <c:tx>
            <c:strRef>
              <c:f>'CLO - Charts'!$B$14</c:f>
              <c:strCache>
                <c:ptCount val="1"/>
                <c:pt idx="0">
                  <c:v>50th</c:v>
                </c:pt>
              </c:strCache>
            </c:strRef>
          </c:tx>
          <c:spPr>
            <a:solidFill>
              <a:srgbClr val="002957"/>
            </a:solidFill>
          </c:spPr>
          <c:invertIfNegative val="0"/>
          <c:cat>
            <c:multiLvlStrRef>
              <c:f>'CLO - Charts'!$C$3:$E$4</c:f>
              <c:multiLvlStrCache>
                <c:ptCount val="3"/>
                <c:lvl>
                  <c:pt idx="0">
                    <c:v>Base Salary</c:v>
                  </c:pt>
                  <c:pt idx="1">
                    <c:v>Target TCC</c:v>
                  </c:pt>
                  <c:pt idx="2">
                    <c:v>Target TDC</c:v>
                  </c:pt>
                </c:lvl>
                <c:lvl>
                  <c:pt idx="0">
                    <c:v>Legal</c:v>
                  </c:pt>
                </c:lvl>
              </c:multiLvlStrCache>
            </c:multiLvlStrRef>
          </c:cat>
          <c:val>
            <c:numRef>
              <c:f>'CLO - Charts'!$C$14:$E$14</c:f>
              <c:numCache>
                <c:formatCode>"$"#,##0</c:formatCode>
                <c:ptCount val="3"/>
                <c:pt idx="0">
                  <c:v>31.434444500000041</c:v>
                </c:pt>
                <c:pt idx="1">
                  <c:v>83.312444400000004</c:v>
                </c:pt>
                <c:pt idx="2">
                  <c:v>100.38499999999999</c:v>
                </c:pt>
              </c:numCache>
            </c:numRef>
          </c:val>
          <c:extLst>
            <c:ext xmlns:c16="http://schemas.microsoft.com/office/drawing/2014/chart" uri="{C3380CC4-5D6E-409C-BE32-E72D297353CC}">
              <c16:uniqueId val="{00000001-7CDA-4C09-9874-318BD3913FED}"/>
            </c:ext>
          </c:extLst>
        </c:ser>
        <c:ser>
          <c:idx val="2"/>
          <c:order val="2"/>
          <c:tx>
            <c:strRef>
              <c:f>'CLO - Charts'!$B$15</c:f>
              <c:strCache>
                <c:ptCount val="1"/>
                <c:pt idx="0">
                  <c:v>75th</c:v>
                </c:pt>
              </c:strCache>
            </c:strRef>
          </c:tx>
          <c:spPr>
            <a:solidFill>
              <a:schemeClr val="tx2">
                <a:lumMod val="20000"/>
                <a:lumOff val="80000"/>
              </a:schemeClr>
            </a:solidFill>
          </c:spPr>
          <c:invertIfNegative val="0"/>
          <c:cat>
            <c:multiLvlStrRef>
              <c:f>'CLO - Charts'!$C$3:$E$4</c:f>
              <c:multiLvlStrCache>
                <c:ptCount val="3"/>
                <c:lvl>
                  <c:pt idx="0">
                    <c:v>Base Salary</c:v>
                  </c:pt>
                  <c:pt idx="1">
                    <c:v>Target TCC</c:v>
                  </c:pt>
                  <c:pt idx="2">
                    <c:v>Target TDC</c:v>
                  </c:pt>
                </c:lvl>
                <c:lvl>
                  <c:pt idx="0">
                    <c:v>Legal</c:v>
                  </c:pt>
                </c:lvl>
              </c:multiLvlStrCache>
            </c:multiLvlStrRef>
          </c:cat>
          <c:val>
            <c:numRef>
              <c:f>'CLO - Charts'!$C$15:$E$15</c:f>
              <c:numCache>
                <c:formatCode>"$"#,##0</c:formatCode>
                <c:ptCount val="3"/>
                <c:pt idx="0">
                  <c:v>108.02368049999995</c:v>
                </c:pt>
                <c:pt idx="1">
                  <c:v>223.17824218750002</c:v>
                </c:pt>
                <c:pt idx="2">
                  <c:v>710.65540374320813</c:v>
                </c:pt>
              </c:numCache>
            </c:numRef>
          </c:val>
          <c:extLst>
            <c:ext xmlns:c16="http://schemas.microsoft.com/office/drawing/2014/chart" uri="{C3380CC4-5D6E-409C-BE32-E72D297353CC}">
              <c16:uniqueId val="{00000002-7CDA-4C09-9874-318BD3913FED}"/>
            </c:ext>
          </c:extLst>
        </c:ser>
        <c:dLbls>
          <c:showLegendKey val="0"/>
          <c:showVal val="0"/>
          <c:showCatName val="0"/>
          <c:showSerName val="0"/>
          <c:showPercent val="0"/>
          <c:showBubbleSize val="0"/>
        </c:dLbls>
        <c:gapWidth val="50"/>
        <c:overlap val="100"/>
        <c:axId val="721418768"/>
        <c:axId val="721418376"/>
      </c:barChart>
      <c:scatterChart>
        <c:scatterStyle val="lineMarker"/>
        <c:varyColors val="0"/>
        <c:ser>
          <c:idx val="3"/>
          <c:order val="3"/>
          <c:tx>
            <c:strRef>
              <c:f>'CLO - Charts'!$B$17</c:f>
              <c:strCache>
                <c:ptCount val="1"/>
                <c:pt idx="0">
                  <c:v>Hudbay Minerals Inc.</c:v>
                </c:pt>
              </c:strCache>
            </c:strRef>
          </c:tx>
          <c:spPr>
            <a:ln w="28575">
              <a:noFill/>
            </a:ln>
          </c:spPr>
          <c:marker>
            <c:symbol val="diamond"/>
            <c:size val="10"/>
            <c:spPr>
              <a:solidFill>
                <a:srgbClr val="F0531E"/>
              </a:solidFill>
              <a:ln>
                <a:solidFill>
                  <a:srgbClr val="F0531E"/>
                </a:solidFill>
              </a:ln>
            </c:spPr>
          </c:marker>
          <c:yVal>
            <c:numRef>
              <c:f>'CLO - Charts'!$C$17:$E$17</c:f>
              <c:numCache>
                <c:formatCode>"$"#,##0</c:formatCode>
                <c:ptCount val="3"/>
                <c:pt idx="0">
                  <c:v>526.74300000000005</c:v>
                </c:pt>
                <c:pt idx="1">
                  <c:v>921.80025000000001</c:v>
                </c:pt>
                <c:pt idx="2">
                  <c:v>1711.9147499999999</c:v>
                </c:pt>
              </c:numCache>
            </c:numRef>
          </c:yVal>
          <c:smooth val="0"/>
          <c:extLst>
            <c:ext xmlns:c16="http://schemas.microsoft.com/office/drawing/2014/chart" uri="{C3380CC4-5D6E-409C-BE32-E72D297353CC}">
              <c16:uniqueId val="{00000003-7CDA-4C09-9874-318BD3913FED}"/>
            </c:ext>
          </c:extLst>
        </c:ser>
        <c:ser>
          <c:idx val="4"/>
          <c:order val="4"/>
          <c:tx>
            <c:strRef>
              <c:f>'CLO - Charts'!$B$16</c:f>
              <c:strCache>
                <c:ptCount val="1"/>
                <c:pt idx="0">
                  <c:v>Average</c:v>
                </c:pt>
              </c:strCache>
            </c:strRef>
          </c:tx>
          <c:spPr>
            <a:ln w="28575">
              <a:noFill/>
            </a:ln>
          </c:spPr>
          <c:marker>
            <c:symbol val="dash"/>
            <c:size val="15"/>
            <c:spPr>
              <a:solidFill>
                <a:srgbClr val="AFABAB"/>
              </a:solidFill>
              <a:ln>
                <a:solidFill>
                  <a:srgbClr val="AFABAB"/>
                </a:solidFill>
              </a:ln>
            </c:spPr>
          </c:marker>
          <c:yVal>
            <c:numRef>
              <c:f>'CLO - Charts'!$C$16:$E$16</c:f>
              <c:numCache>
                <c:formatCode>"$"#,##0</c:formatCode>
                <c:ptCount val="3"/>
                <c:pt idx="0">
                  <c:v>534.21311427272713</c:v>
                </c:pt>
                <c:pt idx="1">
                  <c:v>944.76697232500021</c:v>
                </c:pt>
                <c:pt idx="2">
                  <c:v>1924.9596691144</c:v>
                </c:pt>
              </c:numCache>
            </c:numRef>
          </c:yVal>
          <c:smooth val="0"/>
          <c:extLst>
            <c:ext xmlns:c16="http://schemas.microsoft.com/office/drawing/2014/chart" uri="{C3380CC4-5D6E-409C-BE32-E72D297353CC}">
              <c16:uniqueId val="{00000004-7CDA-4C09-9874-318BD3913FED}"/>
            </c:ext>
          </c:extLst>
        </c:ser>
        <c:dLbls>
          <c:showLegendKey val="0"/>
          <c:showVal val="0"/>
          <c:showCatName val="0"/>
          <c:showSerName val="0"/>
          <c:showPercent val="0"/>
          <c:showBubbleSize val="0"/>
        </c:dLbls>
        <c:axId val="721418768"/>
        <c:axId val="721418376"/>
      </c:scatterChart>
      <c:catAx>
        <c:axId val="721418768"/>
        <c:scaling>
          <c:orientation val="minMax"/>
        </c:scaling>
        <c:delete val="0"/>
        <c:axPos val="b"/>
        <c:majorGridlines/>
        <c:numFmt formatCode="General" sourceLinked="1"/>
        <c:majorTickMark val="out"/>
        <c:minorTickMark val="none"/>
        <c:tickLblPos val="nextTo"/>
        <c:txPr>
          <a:bodyPr/>
          <a:lstStyle/>
          <a:p>
            <a:pPr>
              <a:defRPr sz="1000">
                <a:latin typeface="+mn-lt"/>
                <a:ea typeface="Tahoma" pitchFamily="34" charset="0"/>
                <a:cs typeface="Calibri Light" panose="020F0302020204030204" pitchFamily="34" charset="0"/>
              </a:defRPr>
            </a:pPr>
            <a:endParaRPr lang="en-US"/>
          </a:p>
        </c:txPr>
        <c:crossAx val="721418376"/>
        <c:crosses val="autoZero"/>
        <c:auto val="1"/>
        <c:lblAlgn val="ctr"/>
        <c:lblOffset val="100"/>
        <c:noMultiLvlLbl val="0"/>
      </c:catAx>
      <c:valAx>
        <c:axId val="721418376"/>
        <c:scaling>
          <c:orientation val="minMax"/>
          <c:min val="0"/>
        </c:scaling>
        <c:delete val="0"/>
        <c:axPos val="l"/>
        <c:majorGridlines>
          <c:spPr>
            <a:ln>
              <a:solidFill>
                <a:sysClr val="window" lastClr="FFFFFF">
                  <a:lumMod val="85000"/>
                </a:sysClr>
              </a:solidFill>
            </a:ln>
          </c:spPr>
        </c:majorGridlines>
        <c:numFmt formatCode="&quot;$&quot;#,##0" sourceLinked="1"/>
        <c:majorTickMark val="out"/>
        <c:minorTickMark val="none"/>
        <c:tickLblPos val="nextTo"/>
        <c:txPr>
          <a:bodyPr/>
          <a:lstStyle/>
          <a:p>
            <a:pPr>
              <a:defRPr sz="1000">
                <a:latin typeface="+mn-lt"/>
                <a:ea typeface="Tahoma" pitchFamily="34" charset="0"/>
                <a:cs typeface="Tahoma" pitchFamily="34" charset="0"/>
              </a:defRPr>
            </a:pPr>
            <a:endParaRPr lang="en-US"/>
          </a:p>
        </c:txPr>
        <c:crossAx val="721418768"/>
        <c:crosses val="autoZero"/>
        <c:crossBetween val="between"/>
      </c:valAx>
      <c:spPr>
        <a:noFill/>
      </c:spPr>
    </c:plotArea>
    <c:plotVisOnly val="1"/>
    <c:dispBlanksAs val="gap"/>
    <c:showDLblsOverMax val="0"/>
  </c:chart>
  <c:spPr>
    <a:noFill/>
    <a:ln>
      <a:noFill/>
    </a:ln>
  </c:spPr>
  <c:printSettings>
    <c:headerFooter/>
    <c:pageMargins b="0.75000000000000666" l="0.70000000000000062" r="0.70000000000000062" t="0.75000000000000666"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18" Type="http://schemas.openxmlformats.org/officeDocument/2006/relationships/chart" Target="../charts/chart32.xml"/><Relationship Id="rId3" Type="http://schemas.openxmlformats.org/officeDocument/2006/relationships/chart" Target="../charts/chart17.xml"/><Relationship Id="rId21" Type="http://schemas.openxmlformats.org/officeDocument/2006/relationships/chart" Target="../charts/chart35.xml"/><Relationship Id="rId7" Type="http://schemas.openxmlformats.org/officeDocument/2006/relationships/chart" Target="../charts/chart21.xml"/><Relationship Id="rId12" Type="http://schemas.openxmlformats.org/officeDocument/2006/relationships/chart" Target="../charts/chart26.xml"/><Relationship Id="rId17" Type="http://schemas.openxmlformats.org/officeDocument/2006/relationships/chart" Target="../charts/chart31.xml"/><Relationship Id="rId2" Type="http://schemas.openxmlformats.org/officeDocument/2006/relationships/chart" Target="../charts/chart16.xml"/><Relationship Id="rId16" Type="http://schemas.openxmlformats.org/officeDocument/2006/relationships/chart" Target="../charts/chart30.xml"/><Relationship Id="rId20" Type="http://schemas.openxmlformats.org/officeDocument/2006/relationships/chart" Target="../charts/chart34.xml"/><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19" Type="http://schemas.openxmlformats.org/officeDocument/2006/relationships/chart" Target="../charts/chart33.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9.xml"/><Relationship Id="rId1" Type="http://schemas.openxmlformats.org/officeDocument/2006/relationships/chart" Target="../charts/chart38.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41.xml"/></Relationships>
</file>

<file path=xl/drawings/drawing1.xml><?xml version="1.0" encoding="utf-8"?>
<xdr:wsDr xmlns:xdr="http://schemas.openxmlformats.org/drawingml/2006/spreadsheetDrawing" xmlns:a="http://schemas.openxmlformats.org/drawingml/2006/main">
  <xdr:twoCellAnchor>
    <xdr:from>
      <xdr:col>15</xdr:col>
      <xdr:colOff>513522</xdr:colOff>
      <xdr:row>3</xdr:row>
      <xdr:rowOff>91107</xdr:rowOff>
    </xdr:from>
    <xdr:to>
      <xdr:col>18</xdr:col>
      <xdr:colOff>99887</xdr:colOff>
      <xdr:row>11</xdr:row>
      <xdr:rowOff>148358</xdr:rowOff>
    </xdr:to>
    <xdr:grpSp>
      <xdr:nvGrpSpPr>
        <xdr:cNvPr id="2" name="Group 1">
          <a:extLst>
            <a:ext uri="{FF2B5EF4-FFF2-40B4-BE49-F238E27FC236}">
              <a16:creationId xmlns:a16="http://schemas.microsoft.com/office/drawing/2014/main" id="{00000000-0008-0000-0500-000002000000}"/>
            </a:ext>
          </a:extLst>
        </xdr:cNvPr>
        <xdr:cNvGrpSpPr/>
      </xdr:nvGrpSpPr>
      <xdr:grpSpPr>
        <a:xfrm>
          <a:off x="12349922" y="649907"/>
          <a:ext cx="1415165" cy="1536801"/>
          <a:chOff x="157370" y="0"/>
          <a:chExt cx="1425106" cy="1581251"/>
        </a:xfrm>
      </xdr:grpSpPr>
      <xdr:sp macro="" textlink="">
        <xdr:nvSpPr>
          <xdr:cNvPr id="3" name="TextBox 3">
            <a:extLst>
              <a:ext uri="{FF2B5EF4-FFF2-40B4-BE49-F238E27FC236}">
                <a16:creationId xmlns:a16="http://schemas.microsoft.com/office/drawing/2014/main" id="{00000000-0008-0000-0500-000003000000}"/>
              </a:ext>
            </a:extLst>
          </xdr:cNvPr>
          <xdr:cNvSpPr txBox="1"/>
        </xdr:nvSpPr>
        <xdr:spPr>
          <a:xfrm>
            <a:off x="157370" y="0"/>
            <a:ext cx="1358349"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4" name="Group 50">
            <a:extLst>
              <a:ext uri="{FF2B5EF4-FFF2-40B4-BE49-F238E27FC236}">
                <a16:creationId xmlns:a16="http://schemas.microsoft.com/office/drawing/2014/main" id="{00000000-0008-0000-0500-000004000000}"/>
              </a:ext>
            </a:extLst>
          </xdr:cNvPr>
          <xdr:cNvGrpSpPr/>
        </xdr:nvGrpSpPr>
        <xdr:grpSpPr>
          <a:xfrm>
            <a:off x="258505" y="139686"/>
            <a:ext cx="315534" cy="716384"/>
            <a:chOff x="258505" y="139686"/>
            <a:chExt cx="315534" cy="716384"/>
          </a:xfrm>
        </xdr:grpSpPr>
        <xdr:sp macro="" textlink="">
          <xdr:nvSpPr>
            <xdr:cNvPr id="22" name="Rectangle 21">
              <a:extLst>
                <a:ext uri="{FF2B5EF4-FFF2-40B4-BE49-F238E27FC236}">
                  <a16:creationId xmlns:a16="http://schemas.microsoft.com/office/drawing/2014/main" id="{00000000-0008-0000-0500-000016000000}"/>
                </a:ext>
              </a:extLst>
            </xdr:cNvPr>
            <xdr:cNvSpPr/>
          </xdr:nvSpPr>
          <xdr:spPr>
            <a:xfrm>
              <a:off x="258505" y="486713"/>
              <a:ext cx="315534" cy="369357"/>
            </a:xfrm>
            <a:prstGeom prst="rect">
              <a:avLst/>
            </a:prstGeom>
            <a:solidFill>
              <a:srgbClr val="002957"/>
            </a:solidFill>
            <a:ln w="3175" cap="flat" cmpd="sng" algn="ctr">
              <a:solidFill>
                <a:srgbClr val="6A747C"/>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3" name="Rectangle 22">
              <a:extLst>
                <a:ext uri="{FF2B5EF4-FFF2-40B4-BE49-F238E27FC236}">
                  <a16:creationId xmlns:a16="http://schemas.microsoft.com/office/drawing/2014/main" id="{00000000-0008-0000-0500-000017000000}"/>
                </a:ext>
              </a:extLst>
            </xdr:cNvPr>
            <xdr:cNvSpPr/>
          </xdr:nvSpPr>
          <xdr:spPr>
            <a:xfrm>
              <a:off x="258505" y="139686"/>
              <a:ext cx="315534" cy="369357"/>
            </a:xfrm>
            <a:prstGeom prst="rect">
              <a:avLst/>
            </a:prstGeom>
            <a:solidFill>
              <a:srgbClr val="AFABAB"/>
            </a:solidFill>
            <a:ln w="3175" cap="flat" cmpd="sng" algn="ctr">
              <a:solidFill>
                <a:srgbClr val="6A747C"/>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5" name="Rectangle 4">
            <a:extLst>
              <a:ext uri="{FF2B5EF4-FFF2-40B4-BE49-F238E27FC236}">
                <a16:creationId xmlns:a16="http://schemas.microsoft.com/office/drawing/2014/main" id="{00000000-0008-0000-0500-000005000000}"/>
              </a:ext>
            </a:extLst>
          </xdr:cNvPr>
          <xdr:cNvSpPr/>
        </xdr:nvSpPr>
        <xdr:spPr>
          <a:xfrm>
            <a:off x="336157" y="1302755"/>
            <a:ext cx="160231" cy="182950"/>
          </a:xfrm>
          <a:prstGeom prst="rect">
            <a:avLst/>
          </a:prstGeom>
          <a:solidFill>
            <a:srgbClr val="F0531E"/>
          </a:solidFill>
          <a:ln w="9525" cap="flat" cmpd="sng" algn="ctr">
            <a:solidFill>
              <a:sysClr val="windowText" lastClr="000000"/>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6" name="Minus 5">
            <a:extLst>
              <a:ext uri="{FF2B5EF4-FFF2-40B4-BE49-F238E27FC236}">
                <a16:creationId xmlns:a16="http://schemas.microsoft.com/office/drawing/2014/main" id="{00000000-0008-0000-0500-000006000000}"/>
              </a:ext>
            </a:extLst>
          </xdr:cNvPr>
          <xdr:cNvSpPr/>
        </xdr:nvSpPr>
        <xdr:spPr>
          <a:xfrm>
            <a:off x="254751" y="1049078"/>
            <a:ext cx="323043" cy="116036"/>
          </a:xfrm>
          <a:prstGeom prst="mathMinus">
            <a:avLst/>
          </a:prstGeom>
          <a:solidFill>
            <a:srgbClr val="5F6269"/>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7" name="Group 53">
            <a:extLst>
              <a:ext uri="{FF2B5EF4-FFF2-40B4-BE49-F238E27FC236}">
                <a16:creationId xmlns:a16="http://schemas.microsoft.com/office/drawing/2014/main" id="{00000000-0008-0000-0500-000007000000}"/>
              </a:ext>
            </a:extLst>
          </xdr:cNvPr>
          <xdr:cNvGrpSpPr/>
        </xdr:nvGrpSpPr>
        <xdr:grpSpPr>
          <a:xfrm>
            <a:off x="681311" y="63487"/>
            <a:ext cx="842667" cy="182217"/>
            <a:chOff x="681311" y="63487"/>
            <a:chExt cx="842667" cy="182217"/>
          </a:xfrm>
        </xdr:grpSpPr>
        <xdr:sp macro="" textlink="">
          <xdr:nvSpPr>
            <xdr:cNvPr id="20" name="Straight Arrow Connector 19">
              <a:extLst>
                <a:ext uri="{FF2B5EF4-FFF2-40B4-BE49-F238E27FC236}">
                  <a16:creationId xmlns:a16="http://schemas.microsoft.com/office/drawing/2014/main" id="{00000000-0008-0000-0500-000014000000}"/>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1" name="Rectangle 20">
              <a:extLst>
                <a:ext uri="{FF2B5EF4-FFF2-40B4-BE49-F238E27FC236}">
                  <a16:creationId xmlns:a16="http://schemas.microsoft.com/office/drawing/2014/main" id="{00000000-0008-0000-0500-000015000000}"/>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900">
                  <a:solidFill>
                    <a:schemeClr val="tx1"/>
                  </a:solidFill>
                  <a:latin typeface="Tahoma" pitchFamily="34" charset="0"/>
                  <a:ea typeface="Tahoma" pitchFamily="34" charset="0"/>
                  <a:cs typeface="Tahoma" pitchFamily="34" charset="0"/>
                </a:rPr>
                <a:t>P75</a:t>
              </a:r>
            </a:p>
          </xdr:txBody>
        </xdr:sp>
      </xdr:grpSp>
      <xdr:grpSp>
        <xdr:nvGrpSpPr>
          <xdr:cNvPr id="8" name="Group 54">
            <a:extLst>
              <a:ext uri="{FF2B5EF4-FFF2-40B4-BE49-F238E27FC236}">
                <a16:creationId xmlns:a16="http://schemas.microsoft.com/office/drawing/2014/main" id="{00000000-0008-0000-0500-000008000000}"/>
              </a:ext>
            </a:extLst>
          </xdr:cNvPr>
          <xdr:cNvGrpSpPr/>
        </xdr:nvGrpSpPr>
        <xdr:grpSpPr>
          <a:xfrm>
            <a:off x="673028" y="406770"/>
            <a:ext cx="842665" cy="182217"/>
            <a:chOff x="673028" y="406770"/>
            <a:chExt cx="842665" cy="182217"/>
          </a:xfrm>
        </xdr:grpSpPr>
        <xdr:sp macro="" textlink="">
          <xdr:nvSpPr>
            <xdr:cNvPr id="18" name="Straight Arrow Connector 17">
              <a:extLst>
                <a:ext uri="{FF2B5EF4-FFF2-40B4-BE49-F238E27FC236}">
                  <a16:creationId xmlns:a16="http://schemas.microsoft.com/office/drawing/2014/main" id="{00000000-0008-0000-0500-000012000000}"/>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9" name="Rectangle 18">
              <a:extLst>
                <a:ext uri="{FF2B5EF4-FFF2-40B4-BE49-F238E27FC236}">
                  <a16:creationId xmlns:a16="http://schemas.microsoft.com/office/drawing/2014/main" id="{00000000-0008-0000-0500-000013000000}"/>
                </a:ext>
              </a:extLst>
            </xdr:cNvPr>
            <xdr:cNvSpPr/>
          </xdr:nvSpPr>
          <xdr:spPr>
            <a:xfrm>
              <a:off x="944193" y="406770"/>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900">
                  <a:solidFill>
                    <a:schemeClr val="tx1"/>
                  </a:solidFill>
                  <a:latin typeface="Tahoma" pitchFamily="34" charset="0"/>
                  <a:ea typeface="Tahoma" pitchFamily="34" charset="0"/>
                  <a:cs typeface="Tahoma" pitchFamily="34" charset="0"/>
                </a:rPr>
                <a:t>Median</a:t>
              </a:r>
            </a:p>
          </xdr:txBody>
        </xdr:sp>
      </xdr:grpSp>
      <xdr:grpSp>
        <xdr:nvGrpSpPr>
          <xdr:cNvPr id="9" name="Group 55">
            <a:extLst>
              <a:ext uri="{FF2B5EF4-FFF2-40B4-BE49-F238E27FC236}">
                <a16:creationId xmlns:a16="http://schemas.microsoft.com/office/drawing/2014/main" id="{00000000-0008-0000-0500-000009000000}"/>
              </a:ext>
            </a:extLst>
          </xdr:cNvPr>
          <xdr:cNvGrpSpPr/>
        </xdr:nvGrpSpPr>
        <xdr:grpSpPr>
          <a:xfrm>
            <a:off x="673028" y="767511"/>
            <a:ext cx="850948" cy="182217"/>
            <a:chOff x="673028" y="767511"/>
            <a:chExt cx="850948" cy="182217"/>
          </a:xfrm>
        </xdr:grpSpPr>
        <xdr:sp macro="" textlink="">
          <xdr:nvSpPr>
            <xdr:cNvPr id="16" name="Straight Arrow Connector 15">
              <a:extLst>
                <a:ext uri="{FF2B5EF4-FFF2-40B4-BE49-F238E27FC236}">
                  <a16:creationId xmlns:a16="http://schemas.microsoft.com/office/drawing/2014/main" id="{00000000-0008-0000-0500-000010000000}"/>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7" name="Rectangle 16">
              <a:extLst>
                <a:ext uri="{FF2B5EF4-FFF2-40B4-BE49-F238E27FC236}">
                  <a16:creationId xmlns:a16="http://schemas.microsoft.com/office/drawing/2014/main" id="{00000000-0008-0000-0500-000011000000}"/>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900">
                  <a:solidFill>
                    <a:schemeClr val="tx1"/>
                  </a:solidFill>
                  <a:latin typeface="Tahoma" pitchFamily="34" charset="0"/>
                  <a:ea typeface="Tahoma" pitchFamily="34" charset="0"/>
                  <a:cs typeface="Tahoma" pitchFamily="34" charset="0"/>
                </a:rPr>
                <a:t>P25</a:t>
              </a:r>
            </a:p>
          </xdr:txBody>
        </xdr:sp>
      </xdr:grpSp>
      <xdr:grpSp>
        <xdr:nvGrpSpPr>
          <xdr:cNvPr id="10" name="Group 56">
            <a:extLst>
              <a:ext uri="{FF2B5EF4-FFF2-40B4-BE49-F238E27FC236}">
                <a16:creationId xmlns:a16="http://schemas.microsoft.com/office/drawing/2014/main" id="{00000000-0008-0000-0500-00000A000000}"/>
              </a:ext>
            </a:extLst>
          </xdr:cNvPr>
          <xdr:cNvGrpSpPr/>
        </xdr:nvGrpSpPr>
        <xdr:grpSpPr>
          <a:xfrm>
            <a:off x="673028" y="1281031"/>
            <a:ext cx="909448" cy="182217"/>
            <a:chOff x="673028" y="1281031"/>
            <a:chExt cx="909448" cy="182217"/>
          </a:xfrm>
        </xdr:grpSpPr>
        <xdr:sp macro="" textlink="">
          <xdr:nvSpPr>
            <xdr:cNvPr id="14" name="Straight Arrow Connector 13">
              <a:extLst>
                <a:ext uri="{FF2B5EF4-FFF2-40B4-BE49-F238E27FC236}">
                  <a16:creationId xmlns:a16="http://schemas.microsoft.com/office/drawing/2014/main" id="{00000000-0008-0000-0500-00000E000000}"/>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17">
          <xdr:nvSpPr>
            <xdr:cNvPr id="15" name="Rectangle 14">
              <a:extLst>
                <a:ext uri="{FF2B5EF4-FFF2-40B4-BE49-F238E27FC236}">
                  <a16:creationId xmlns:a16="http://schemas.microsoft.com/office/drawing/2014/main" id="{00000000-0008-0000-0500-00000F000000}"/>
                </a:ext>
              </a:extLst>
            </xdr:cNvPr>
            <xdr:cNvSpPr/>
          </xdr:nvSpPr>
          <xdr:spPr>
            <a:xfrm>
              <a:off x="952476" y="1281031"/>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F36357C5-3ACF-4E42-BB49-2D37B2AD5068}" type="TxLink">
                <a:rPr lang="en-US" sz="1000" b="0" i="0" u="none" strike="noStrike">
                  <a:solidFill>
                    <a:srgbClr val="000000"/>
                  </a:solidFill>
                  <a:latin typeface="Tahoma"/>
                  <a:ea typeface="Tahoma"/>
                  <a:cs typeface="Tahoma"/>
                </a:rPr>
                <a:pPr/>
                <a:t>-</a:t>
              </a:fld>
              <a:endParaRPr lang="en-US" sz="900">
                <a:solidFill>
                  <a:schemeClr val="tx1"/>
                </a:solidFill>
                <a:latin typeface="Tahoma" pitchFamily="34" charset="0"/>
                <a:ea typeface="Tahoma" pitchFamily="34" charset="0"/>
                <a:cs typeface="Tahoma" pitchFamily="34" charset="0"/>
              </a:endParaRPr>
            </a:p>
          </xdr:txBody>
        </xdr:sp>
      </xdr:grpSp>
      <xdr:grpSp>
        <xdr:nvGrpSpPr>
          <xdr:cNvPr id="11" name="Group 57">
            <a:extLst>
              <a:ext uri="{FF2B5EF4-FFF2-40B4-BE49-F238E27FC236}">
                <a16:creationId xmlns:a16="http://schemas.microsoft.com/office/drawing/2014/main" id="{00000000-0008-0000-0500-00000B000000}"/>
              </a:ext>
            </a:extLst>
          </xdr:cNvPr>
          <xdr:cNvGrpSpPr/>
        </xdr:nvGrpSpPr>
        <xdr:grpSpPr>
          <a:xfrm>
            <a:off x="673028" y="1015988"/>
            <a:ext cx="901165" cy="182217"/>
            <a:chOff x="673028" y="1015988"/>
            <a:chExt cx="901165" cy="182217"/>
          </a:xfrm>
        </xdr:grpSpPr>
        <xdr:sp macro="" textlink="">
          <xdr:nvSpPr>
            <xdr:cNvPr id="12" name="Rectangle 11">
              <a:extLst>
                <a:ext uri="{FF2B5EF4-FFF2-40B4-BE49-F238E27FC236}">
                  <a16:creationId xmlns:a16="http://schemas.microsoft.com/office/drawing/2014/main" id="{00000000-0008-0000-0500-00000C000000}"/>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900">
                  <a:solidFill>
                    <a:schemeClr val="tx1"/>
                  </a:solidFill>
                  <a:latin typeface="Tahoma" pitchFamily="34" charset="0"/>
                  <a:ea typeface="Tahoma" pitchFamily="34" charset="0"/>
                  <a:cs typeface="Tahoma" pitchFamily="34" charset="0"/>
                </a:rPr>
                <a:t>Average</a:t>
              </a:r>
            </a:p>
          </xdr:txBody>
        </xdr:sp>
        <xdr:sp macro="" textlink="">
          <xdr:nvSpPr>
            <xdr:cNvPr id="13" name="Straight Arrow Connector 12">
              <a:extLst>
                <a:ext uri="{FF2B5EF4-FFF2-40B4-BE49-F238E27FC236}">
                  <a16:creationId xmlns:a16="http://schemas.microsoft.com/office/drawing/2014/main" id="{00000000-0008-0000-0500-00000D000000}"/>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twoCellAnchor>
    <xdr:from>
      <xdr:col>8</xdr:col>
      <xdr:colOff>86966</xdr:colOff>
      <xdr:row>3</xdr:row>
      <xdr:rowOff>57978</xdr:rowOff>
    </xdr:from>
    <xdr:to>
      <xdr:col>15</xdr:col>
      <xdr:colOff>247083</xdr:colOff>
      <xdr:row>22</xdr:row>
      <xdr:rowOff>38478</xdr:rowOff>
    </xdr:to>
    <xdr:graphicFrame macro="">
      <xdr:nvGraphicFramePr>
        <xdr:cNvPr id="25" name="Chart 24">
          <a:extLst>
            <a:ext uri="{FF2B5EF4-FFF2-40B4-BE49-F238E27FC236}">
              <a16:creationId xmlns:a16="http://schemas.microsoft.com/office/drawing/2014/main" id="{00000000-0008-0000-05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27</xdr:col>
      <xdr:colOff>434008</xdr:colOff>
      <xdr:row>25</xdr:row>
      <xdr:rowOff>201681</xdr:rowOff>
    </xdr:from>
    <xdr:to>
      <xdr:col>30</xdr:col>
      <xdr:colOff>367747</xdr:colOff>
      <xdr:row>35</xdr:row>
      <xdr:rowOff>68432</xdr:rowOff>
    </xdr:to>
    <xdr:grpSp>
      <xdr:nvGrpSpPr>
        <xdr:cNvPr id="3" name="Group 2">
          <a:extLst>
            <a:ext uri="{FF2B5EF4-FFF2-40B4-BE49-F238E27FC236}">
              <a16:creationId xmlns:a16="http://schemas.microsoft.com/office/drawing/2014/main" id="{55FF2B27-F51F-4489-A910-256C4193F4FB}"/>
            </a:ext>
          </a:extLst>
        </xdr:cNvPr>
        <xdr:cNvGrpSpPr/>
      </xdr:nvGrpSpPr>
      <xdr:grpSpPr>
        <a:xfrm>
          <a:off x="24881508" y="4799081"/>
          <a:ext cx="1762539" cy="1727301"/>
          <a:chOff x="157370" y="0"/>
          <a:chExt cx="1772479" cy="1581251"/>
        </a:xfrm>
      </xdr:grpSpPr>
      <xdr:sp macro="" textlink="">
        <xdr:nvSpPr>
          <xdr:cNvPr id="4" name="TextBox 3">
            <a:extLst>
              <a:ext uri="{FF2B5EF4-FFF2-40B4-BE49-F238E27FC236}">
                <a16:creationId xmlns:a16="http://schemas.microsoft.com/office/drawing/2014/main" id="{679E66FC-48ED-8F12-73F6-BCA01ACC99E4}"/>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E501FDD0-06BB-D96B-C72E-D3CB0E58E02C}"/>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8E239610-92CD-00AA-2A9B-A71711DDD402}"/>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0255CC77-4B24-5378-7824-3A50C3109FC2}"/>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24CFC981-A342-790D-A4F7-BBAFD70FCF3D}"/>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CEC33BFB-EA5B-40AB-8CE1-86471D49EC8F}"/>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899D14CF-6C5E-47FB-039E-E9F5AE32596B}"/>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FC7252E9-B1A6-6E73-6CE9-A981089394E0}"/>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C21B6BC8-7325-BDA0-4A68-870201433EA4}"/>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083AE1C3-920E-8E51-ACE3-8074FF9D94C6}"/>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4CC29D8C-0439-180D-8F87-A52490EFA8B2}"/>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B84DED61-CFD6-F320-5690-7E8529E21C0E}"/>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1AAA245E-858A-5213-92FD-5AD0F8466E60}"/>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53386369-7C4D-03CA-4A94-5A29E06D5C17}"/>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522A1B10-1D33-B5D6-DD77-760075B3E680}"/>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49BF8A09-1CAD-687E-52B7-56D0286DFE2F}"/>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2842B770-9ADE-5656-C02E-D49F471D35BD}"/>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41">
          <xdr:nvSpPr>
            <xdr:cNvPr id="16" name="Rectangle 15">
              <a:extLst>
                <a:ext uri="{FF2B5EF4-FFF2-40B4-BE49-F238E27FC236}">
                  <a16:creationId xmlns:a16="http://schemas.microsoft.com/office/drawing/2014/main" id="{F37FFEAD-7419-BB98-CAB9-971628F35516}"/>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0AC33EE7-733D-319F-9C38-0E3B9176CFEE}"/>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AF69C7A7-58AE-1968-3CB3-EB93836015BE}"/>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1A471358-B934-C75F-BA90-D53904360511}"/>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twoCellAnchor>
    <xdr:from>
      <xdr:col>16</xdr:col>
      <xdr:colOff>505402</xdr:colOff>
      <xdr:row>34</xdr:row>
      <xdr:rowOff>133639</xdr:rowOff>
    </xdr:from>
    <xdr:to>
      <xdr:col>31</xdr:col>
      <xdr:colOff>351556</xdr:colOff>
      <xdr:row>61</xdr:row>
      <xdr:rowOff>160656</xdr:rowOff>
    </xdr:to>
    <xdr:graphicFrame macro="">
      <xdr:nvGraphicFramePr>
        <xdr:cNvPr id="29" name="Chart 28" descr="&#10;LinkingStart|ff7d24fb-8475-46c5-b6f3-f3af5abf8127|LinkingEnd">
          <a:extLst>
            <a:ext uri="{FF2B5EF4-FFF2-40B4-BE49-F238E27FC236}">
              <a16:creationId xmlns:a16="http://schemas.microsoft.com/office/drawing/2014/main" id="{959AA0CC-D6B9-47BD-80C3-EF9A217C9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86966</xdr:colOff>
      <xdr:row>11</xdr:row>
      <xdr:rowOff>57978</xdr:rowOff>
    </xdr:from>
    <xdr:to>
      <xdr:col>17</xdr:col>
      <xdr:colOff>580166</xdr:colOff>
      <xdr:row>32</xdr:row>
      <xdr:rowOff>158178</xdr:rowOff>
    </xdr:to>
    <xdr:graphicFrame macro="">
      <xdr:nvGraphicFramePr>
        <xdr:cNvPr id="2" name="Chart 1" descr="&#10;LinkingStart|f81ae3cb-a33c-4750-a009-23ed6b8c23e1|LinkingEnd">
          <a:extLst>
            <a:ext uri="{FF2B5EF4-FFF2-40B4-BE49-F238E27FC236}">
              <a16:creationId xmlns:a16="http://schemas.microsoft.com/office/drawing/2014/main" id="{5954FF1B-F79A-4F49-8ED8-D4A52CC26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434008</xdr:colOff>
      <xdr:row>11</xdr:row>
      <xdr:rowOff>201681</xdr:rowOff>
    </xdr:from>
    <xdr:to>
      <xdr:col>21</xdr:col>
      <xdr:colOff>367747</xdr:colOff>
      <xdr:row>19</xdr:row>
      <xdr:rowOff>68432</xdr:rowOff>
    </xdr:to>
    <xdr:grpSp>
      <xdr:nvGrpSpPr>
        <xdr:cNvPr id="3" name="Group 2">
          <a:extLst>
            <a:ext uri="{FF2B5EF4-FFF2-40B4-BE49-F238E27FC236}">
              <a16:creationId xmlns:a16="http://schemas.microsoft.com/office/drawing/2014/main" id="{768C9A36-FE7F-46C0-8EDF-473EC2044647}"/>
            </a:ext>
          </a:extLst>
        </xdr:cNvPr>
        <xdr:cNvGrpSpPr/>
      </xdr:nvGrpSpPr>
      <xdr:grpSpPr>
        <a:xfrm>
          <a:off x="14279928" y="2216164"/>
          <a:ext cx="1773049" cy="1523590"/>
          <a:chOff x="157370" y="0"/>
          <a:chExt cx="1772479" cy="1581251"/>
        </a:xfrm>
      </xdr:grpSpPr>
      <xdr:sp macro="" textlink="">
        <xdr:nvSpPr>
          <xdr:cNvPr id="4" name="TextBox 3">
            <a:extLst>
              <a:ext uri="{FF2B5EF4-FFF2-40B4-BE49-F238E27FC236}">
                <a16:creationId xmlns:a16="http://schemas.microsoft.com/office/drawing/2014/main" id="{2973BC41-1E57-A0D5-0258-8E9FFADC09F8}"/>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D44E09FD-C015-172F-615D-A4052E20C7F1}"/>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F0985839-644C-C6D8-9EB8-391B3FB40B96}"/>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FE0C09C3-EFC7-18DF-E4E2-7433226C8481}"/>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06BA7C4B-18F1-2AB2-21B2-021BD84A84F5}"/>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E5CFFFA4-9D1D-21E1-17DD-C54803E07473}"/>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98554714-B2E0-703D-DEB2-3318FE684414}"/>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630561F4-ACB1-BFA4-39EC-56717D7139A3}"/>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F62DEA8A-575B-74A9-4487-8A102509C81A}"/>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4F65A4E7-EBEB-F753-90CA-0632FBA598F6}"/>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877D8336-5646-656B-8068-62308000968D}"/>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B8CF02F6-36EF-59B4-BB1B-E544B464D7DA}"/>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71290E95-B7BD-D4AC-C220-EB8731931A21}"/>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E82B5DA7-E0C8-102F-84CF-C9225A292EC2}"/>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B338FBF3-D39F-4AA9-C616-DB2E973A7FAE}"/>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10CE062D-2501-F0AC-E07B-9BD22C6A89B6}"/>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4711F7EB-4D07-0205-7D36-B042F6D3C300}"/>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AAB0DBC3-93E9-79FA-7523-5FEADEEAAA79}"/>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5172E844-8805-3D5A-E1B9-FDAF04141D54}"/>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E752CC9D-FF8F-5F59-CED4-E094A32B97E7}"/>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D31B53CC-5541-921A-5E9A-7EEB7903A853}"/>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twoCellAnchor>
    <xdr:from>
      <xdr:col>9</xdr:col>
      <xdr:colOff>0</xdr:colOff>
      <xdr:row>35</xdr:row>
      <xdr:rowOff>0</xdr:rowOff>
    </xdr:from>
    <xdr:to>
      <xdr:col>18</xdr:col>
      <xdr:colOff>493201</xdr:colOff>
      <xdr:row>56</xdr:row>
      <xdr:rowOff>100200</xdr:rowOff>
    </xdr:to>
    <xdr:graphicFrame macro="">
      <xdr:nvGraphicFramePr>
        <xdr:cNvPr id="25" name="Chart 24" descr="&#10;LinkingStart|ff7d24fb-8475-46c5-b6f3-f3af5abf8127|LinkingEnd">
          <a:extLst>
            <a:ext uri="{FF2B5EF4-FFF2-40B4-BE49-F238E27FC236}">
              <a16:creationId xmlns:a16="http://schemas.microsoft.com/office/drawing/2014/main" id="{25814AAB-5C30-4287-8A8E-875AC721C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86966</xdr:colOff>
      <xdr:row>11</xdr:row>
      <xdr:rowOff>57978</xdr:rowOff>
    </xdr:from>
    <xdr:to>
      <xdr:col>17</xdr:col>
      <xdr:colOff>580166</xdr:colOff>
      <xdr:row>32</xdr:row>
      <xdr:rowOff>158178</xdr:rowOff>
    </xdr:to>
    <xdr:graphicFrame macro="">
      <xdr:nvGraphicFramePr>
        <xdr:cNvPr id="2" name="Chart 1" descr="&#10;LinkingStart|fbc43bb6-78d2-4183-8858-9929eaf4375b|LinkingEnd">
          <a:extLst>
            <a:ext uri="{FF2B5EF4-FFF2-40B4-BE49-F238E27FC236}">
              <a16:creationId xmlns:a16="http://schemas.microsoft.com/office/drawing/2014/main" id="{C5615693-6094-4239-A6CF-F58612ABA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12</xdr:row>
      <xdr:rowOff>115956</xdr:rowOff>
    </xdr:from>
    <xdr:to>
      <xdr:col>20</xdr:col>
      <xdr:colOff>215347</xdr:colOff>
      <xdr:row>20</xdr:row>
      <xdr:rowOff>173207</xdr:rowOff>
    </xdr:to>
    <xdr:grpSp>
      <xdr:nvGrpSpPr>
        <xdr:cNvPr id="3" name="Group 2">
          <a:extLst>
            <a:ext uri="{FF2B5EF4-FFF2-40B4-BE49-F238E27FC236}">
              <a16:creationId xmlns:a16="http://schemas.microsoft.com/office/drawing/2014/main" id="{4A65D63E-7D5F-48DD-A9F7-EEC62ABF0442}"/>
            </a:ext>
          </a:extLst>
        </xdr:cNvPr>
        <xdr:cNvGrpSpPr/>
      </xdr:nvGrpSpPr>
      <xdr:grpSpPr>
        <a:xfrm>
          <a:off x="13527708" y="2528956"/>
          <a:ext cx="1762539" cy="1530451"/>
          <a:chOff x="157370" y="0"/>
          <a:chExt cx="1772479" cy="1581251"/>
        </a:xfrm>
      </xdr:grpSpPr>
      <xdr:sp macro="" textlink="">
        <xdr:nvSpPr>
          <xdr:cNvPr id="4" name="TextBox 3">
            <a:extLst>
              <a:ext uri="{FF2B5EF4-FFF2-40B4-BE49-F238E27FC236}">
                <a16:creationId xmlns:a16="http://schemas.microsoft.com/office/drawing/2014/main" id="{227C3E5E-03BF-FB75-02C6-3184373C0711}"/>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D95DB05C-9DE7-3EBC-6AFA-05AF6C85D32A}"/>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6C7F1AAC-43DD-F784-BA27-A7795351BF19}"/>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9196BDE0-2C99-CCF7-F8A1-A6DE49369DE9}"/>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FC171D35-D03D-FC5F-9380-F469DCC766DD}"/>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0776E0A3-11FA-46CE-9D99-C199D1F7D500}"/>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5A692BDD-9D4F-873A-FE00-1C1454B14175}"/>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A77B4F30-E42A-3E61-2D10-11C0B50088E3}"/>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6A79D123-0072-F6E6-340B-AD562C6E63F0}"/>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FB1F8FA7-0695-D71B-87B5-57391ED83956}"/>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09027E78-B2D0-3C1B-1F6D-8554B5475ED2}"/>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D92D9D00-48F5-A0F6-B0DE-F63A90B6E1B2}"/>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3646602F-5E5B-409F-1C8E-762DDA855CA9}"/>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2725E1F2-CBEE-F016-4C94-AB9964E99212}"/>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820339D7-D150-5257-E7A1-CD0CAE3FC775}"/>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6D2F18AF-943E-2BB0-66AF-B99E47E069B7}"/>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ABA67839-14E9-E641-1FD6-6F5926D91303}"/>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5B8ED80C-4011-6F38-3A9A-191BB7287735}"/>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D19D90A8-BF46-1C05-0EFF-518FCB3B9BE6}"/>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C19A1575-4E55-92AE-B376-CA20FFB035E4}"/>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230C8EAC-FD4F-0D93-06CD-F10A319FDA2C}"/>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twoCellAnchor>
    <xdr:from>
      <xdr:col>8</xdr:col>
      <xdr:colOff>304800</xdr:colOff>
      <xdr:row>35</xdr:row>
      <xdr:rowOff>47625</xdr:rowOff>
    </xdr:from>
    <xdr:to>
      <xdr:col>18</xdr:col>
      <xdr:colOff>157228</xdr:colOff>
      <xdr:row>56</xdr:row>
      <xdr:rowOff>51338</xdr:rowOff>
    </xdr:to>
    <xdr:graphicFrame macro="">
      <xdr:nvGraphicFramePr>
        <xdr:cNvPr id="25" name="Chart 24" descr="&#10;LinkingStart|ff7d24fb-8475-46c5-b6f3-f3af5abf8127|LinkingEnd">
          <a:extLst>
            <a:ext uri="{FF2B5EF4-FFF2-40B4-BE49-F238E27FC236}">
              <a16:creationId xmlns:a16="http://schemas.microsoft.com/office/drawing/2014/main" id="{DB5592A6-8F55-43E0-8BA9-E07E9A375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77441</xdr:colOff>
      <xdr:row>11</xdr:row>
      <xdr:rowOff>10353</xdr:rowOff>
    </xdr:from>
    <xdr:to>
      <xdr:col>17</xdr:col>
      <xdr:colOff>570641</xdr:colOff>
      <xdr:row>32</xdr:row>
      <xdr:rowOff>110553</xdr:rowOff>
    </xdr:to>
    <xdr:graphicFrame macro="">
      <xdr:nvGraphicFramePr>
        <xdr:cNvPr id="2" name="Chart 1" descr="&#10;LinkingStart|01174165-a015-4eae-8a6e-a82a4008019c|LinkingEnd">
          <a:extLst>
            <a:ext uri="{FF2B5EF4-FFF2-40B4-BE49-F238E27FC236}">
              <a16:creationId xmlns:a16="http://schemas.microsoft.com/office/drawing/2014/main" id="{C4F8622B-A31C-4EB5-8829-1D217E2610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12</xdr:row>
      <xdr:rowOff>115956</xdr:rowOff>
    </xdr:from>
    <xdr:to>
      <xdr:col>20</xdr:col>
      <xdr:colOff>165932</xdr:colOff>
      <xdr:row>20</xdr:row>
      <xdr:rowOff>66675</xdr:rowOff>
    </xdr:to>
    <xdr:grpSp>
      <xdr:nvGrpSpPr>
        <xdr:cNvPr id="3" name="Group 2">
          <a:extLst>
            <a:ext uri="{FF2B5EF4-FFF2-40B4-BE49-F238E27FC236}">
              <a16:creationId xmlns:a16="http://schemas.microsoft.com/office/drawing/2014/main" id="{ADD7BE05-9069-41D9-AB9E-664A4DE5324F}"/>
            </a:ext>
          </a:extLst>
        </xdr:cNvPr>
        <xdr:cNvGrpSpPr/>
      </xdr:nvGrpSpPr>
      <xdr:grpSpPr>
        <a:xfrm>
          <a:off x="13483258" y="2528956"/>
          <a:ext cx="1713124" cy="1423919"/>
          <a:chOff x="157370" y="0"/>
          <a:chExt cx="1722785" cy="1317463"/>
        </a:xfrm>
      </xdr:grpSpPr>
      <xdr:sp macro="" textlink="">
        <xdr:nvSpPr>
          <xdr:cNvPr id="4" name="TextBox 3">
            <a:extLst>
              <a:ext uri="{FF2B5EF4-FFF2-40B4-BE49-F238E27FC236}">
                <a16:creationId xmlns:a16="http://schemas.microsoft.com/office/drawing/2014/main" id="{81939574-E498-D55A-3B9D-10FC4D59F260}"/>
              </a:ext>
            </a:extLst>
          </xdr:cNvPr>
          <xdr:cNvSpPr txBox="1"/>
        </xdr:nvSpPr>
        <xdr:spPr>
          <a:xfrm>
            <a:off x="157370" y="0"/>
            <a:ext cx="1722785" cy="1317463"/>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1541CD68-A68C-5BD8-8EAB-583EBCCC9BD2}"/>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99073C57-0345-916F-501A-9208FE847A18}"/>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731C9172-F84C-8053-99C6-C251049056C5}"/>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7" name="Minus 5">
            <a:extLst>
              <a:ext uri="{FF2B5EF4-FFF2-40B4-BE49-F238E27FC236}">
                <a16:creationId xmlns:a16="http://schemas.microsoft.com/office/drawing/2014/main" id="{6501E14B-B473-7131-9ADC-D1B1493F81E8}"/>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D1FECAB4-2F1F-C825-4203-28AA9C3E3CC3}"/>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8CC1F175-3AE5-FE78-A675-D269A45D0CFC}"/>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1C82CD24-2288-935B-4616-CEA497F17EF5}"/>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8F0034E0-D464-9958-0AC5-95D56144E4E6}"/>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0ABB3E2D-EA24-9B77-62FA-272AFE0F7956}"/>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A75AA393-2CA5-602A-FA47-4428391F3FBF}"/>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21B09BEE-4940-3875-A039-EEBB2534B4B6}"/>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511220EA-EB69-8F35-5406-175512412B87}"/>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E915FD9D-6690-D8E3-CAAE-A2738F00963F}"/>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2" name="Group 57">
            <a:extLst>
              <a:ext uri="{FF2B5EF4-FFF2-40B4-BE49-F238E27FC236}">
                <a16:creationId xmlns:a16="http://schemas.microsoft.com/office/drawing/2014/main" id="{2BCB6C00-E81E-7983-18BF-F442D3D7225F}"/>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2417C535-C1CF-0DEE-9A1A-3A7F69BDE56C}"/>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5837B665-5672-E2A6-D377-E23F3CA1C63F}"/>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twoCellAnchor>
    <xdr:from>
      <xdr:col>8</xdr:col>
      <xdr:colOff>0</xdr:colOff>
      <xdr:row>38</xdr:row>
      <xdr:rowOff>1</xdr:rowOff>
    </xdr:from>
    <xdr:to>
      <xdr:col>17</xdr:col>
      <xdr:colOff>462028</xdr:colOff>
      <xdr:row>56</xdr:row>
      <xdr:rowOff>19051</xdr:rowOff>
    </xdr:to>
    <xdr:graphicFrame macro="">
      <xdr:nvGraphicFramePr>
        <xdr:cNvPr id="25" name="Chart 24" descr="&#10;LinkingStart|ff7d24fb-8475-46c5-b6f3-f3af5abf8127|LinkingEnd">
          <a:extLst>
            <a:ext uri="{FF2B5EF4-FFF2-40B4-BE49-F238E27FC236}">
              <a16:creationId xmlns:a16="http://schemas.microsoft.com/office/drawing/2014/main" id="{B5A0C84D-3A9A-4322-8CB9-DC438DF41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552450</xdr:colOff>
      <xdr:row>1</xdr:row>
      <xdr:rowOff>77028</xdr:rowOff>
    </xdr:from>
    <xdr:to>
      <xdr:col>20</xdr:col>
      <xdr:colOff>285750</xdr:colOff>
      <xdr:row>23</xdr:row>
      <xdr:rowOff>114300</xdr:rowOff>
    </xdr:to>
    <xdr:graphicFrame macro="">
      <xdr:nvGraphicFramePr>
        <xdr:cNvPr id="2" name="Chart 1" descr="&#10;LinkingStart|3d975143-5238-401c-9e7e-fac728e20595|LinkingEnd">
          <a:extLst>
            <a:ext uri="{FF2B5EF4-FFF2-40B4-BE49-F238E27FC236}">
              <a16:creationId xmlns:a16="http://schemas.microsoft.com/office/drawing/2014/main" id="{667AC1E1-6C72-4A87-BE56-6819998CC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281608</xdr:colOff>
      <xdr:row>12</xdr:row>
      <xdr:rowOff>115956</xdr:rowOff>
    </xdr:from>
    <xdr:to>
      <xdr:col>26</xdr:col>
      <xdr:colOff>215347</xdr:colOff>
      <xdr:row>20</xdr:row>
      <xdr:rowOff>173207</xdr:rowOff>
    </xdr:to>
    <xdr:grpSp>
      <xdr:nvGrpSpPr>
        <xdr:cNvPr id="3" name="Group 2">
          <a:extLst>
            <a:ext uri="{FF2B5EF4-FFF2-40B4-BE49-F238E27FC236}">
              <a16:creationId xmlns:a16="http://schemas.microsoft.com/office/drawing/2014/main" id="{9FA48015-6657-4965-874F-BC5B8A631508}"/>
            </a:ext>
          </a:extLst>
        </xdr:cNvPr>
        <xdr:cNvGrpSpPr/>
      </xdr:nvGrpSpPr>
      <xdr:grpSpPr>
        <a:xfrm>
          <a:off x="18633108" y="2528956"/>
          <a:ext cx="1762539" cy="1530451"/>
          <a:chOff x="157370" y="0"/>
          <a:chExt cx="1772479" cy="1581251"/>
        </a:xfrm>
      </xdr:grpSpPr>
      <xdr:sp macro="" textlink="">
        <xdr:nvSpPr>
          <xdr:cNvPr id="4" name="TextBox 3">
            <a:extLst>
              <a:ext uri="{FF2B5EF4-FFF2-40B4-BE49-F238E27FC236}">
                <a16:creationId xmlns:a16="http://schemas.microsoft.com/office/drawing/2014/main" id="{8129520F-0707-D267-AD0F-2630902100A1}"/>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1FD857A7-276F-2A9C-2FEC-5B9AA14CF760}"/>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35CE7F53-1532-056A-638C-BC11CF55FD81}"/>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78804E6E-7C19-7004-9CD3-0DAD0BE2F3DC}"/>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FD6847C1-9D70-1DE7-6E25-1DE22D947F73}"/>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1D6D2E05-1184-8CB6-34BD-E108FF81AE7E}"/>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E0D59E93-DF2C-44E5-715D-A666D2454B9B}"/>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C628A365-F362-0BAF-179E-C9F6E9A0997F}"/>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E8095022-72E1-690A-8738-CFAECBD4845C}"/>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63004190-1A1D-E635-EC9D-E6C1868A512A}"/>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D283045C-4892-6D2D-3731-45E96888FF6A}"/>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6FFB3015-0B0E-831E-D1DC-F7420485E438}"/>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FCE35057-808B-79A3-C4E1-6F07BF4B319F}"/>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174D066D-CED4-3C5B-7BDA-0D81280546EE}"/>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AA1B6D77-C5F2-2DCB-020D-AB8B42019FE6}"/>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D5880C9C-0E6A-AC51-F7FA-AB71976961ED}"/>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A46C7875-5E5C-36FF-0F9B-02202F2D9E2E}"/>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2071F3C9-0F6B-AFBB-3C93-58D4C45C3B2C}"/>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8114207F-296B-12E5-D8E2-8BA9327B2902}"/>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CA4F00AB-0ACC-5F2B-176F-1FAD5950CEAE}"/>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5D073BA4-9B80-3253-00D6-2DE2290E26DC}"/>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38545</xdr:colOff>
      <xdr:row>11</xdr:row>
      <xdr:rowOff>66261</xdr:rowOff>
    </xdr:from>
    <xdr:to>
      <xdr:col>16</xdr:col>
      <xdr:colOff>531746</xdr:colOff>
      <xdr:row>32</xdr:row>
      <xdr:rowOff>166461</xdr:rowOff>
    </xdr:to>
    <xdr:graphicFrame macro="">
      <xdr:nvGraphicFramePr>
        <xdr:cNvPr id="2" name="Chart 1" descr="&#10;LinkingStart|85c5bd71-247f-43c3-8479-ebb1171f3d44|LinkingEnd">
          <a:extLst>
            <a:ext uri="{FF2B5EF4-FFF2-40B4-BE49-F238E27FC236}">
              <a16:creationId xmlns:a16="http://schemas.microsoft.com/office/drawing/2014/main" id="{F57EACCD-A8F7-479A-B8E5-BC012057F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278433</xdr:colOff>
      <xdr:row>12</xdr:row>
      <xdr:rowOff>115956</xdr:rowOff>
    </xdr:from>
    <xdr:to>
      <xdr:col>20</xdr:col>
      <xdr:colOff>218522</xdr:colOff>
      <xdr:row>20</xdr:row>
      <xdr:rowOff>173207</xdr:rowOff>
    </xdr:to>
    <xdr:grpSp>
      <xdr:nvGrpSpPr>
        <xdr:cNvPr id="3" name="Group 2">
          <a:extLst>
            <a:ext uri="{FF2B5EF4-FFF2-40B4-BE49-F238E27FC236}">
              <a16:creationId xmlns:a16="http://schemas.microsoft.com/office/drawing/2014/main" id="{67A7861F-8E3B-41E1-A955-C7DECD14DE1A}"/>
            </a:ext>
          </a:extLst>
        </xdr:cNvPr>
        <xdr:cNvGrpSpPr/>
      </xdr:nvGrpSpPr>
      <xdr:grpSpPr>
        <a:xfrm>
          <a:off x="13334033" y="2528956"/>
          <a:ext cx="1768889" cy="1530451"/>
          <a:chOff x="157370" y="0"/>
          <a:chExt cx="1772479" cy="1581251"/>
        </a:xfrm>
      </xdr:grpSpPr>
      <xdr:sp macro="" textlink="">
        <xdr:nvSpPr>
          <xdr:cNvPr id="4" name="TextBox 3">
            <a:extLst>
              <a:ext uri="{FF2B5EF4-FFF2-40B4-BE49-F238E27FC236}">
                <a16:creationId xmlns:a16="http://schemas.microsoft.com/office/drawing/2014/main" id="{5D28F723-7CB4-E2A6-324B-AF835CE6ECFE}"/>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A07D1B7A-E972-AD7A-0C58-B68AC594C3C3}"/>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FA7779AA-419A-EBBD-BB72-13A6AFAF8D83}"/>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D7BFC0EA-2CEE-68AA-05D3-318453E49D73}"/>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CAE39C53-FA97-4412-8C25-5673D580BB62}"/>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AA1C22DC-8FC1-4C31-8297-07DD027074F7}"/>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CF15CCF9-9007-943A-F142-BC3597CF66DA}"/>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1CE3EA58-6242-1009-2E00-F3A420590321}"/>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60D96AF1-6418-A303-397B-8CDC58520666}"/>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F181978C-863A-FD96-D2BF-302FE5A42AD2}"/>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012ED25C-60CE-3BD5-77D7-B86AA139F1EF}"/>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107D767F-DEB2-9B80-3515-AC4729E15715}"/>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F9BA52AF-1CFC-CDF4-7854-807D445F7D80}"/>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DA75A5D8-0835-FB14-65E4-7726F3DB87EB}"/>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9FBFBB2F-8258-64B0-DF82-44425E23E166}"/>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407971A7-9CE6-D2AA-27D9-6D0DB38AF53F}"/>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A0B4DBE5-3AB9-30CE-CA78-CFC252D51950}"/>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FC6B78BB-DDF0-2CDA-3CBA-0F9FA1B4C9E5}"/>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465F74E6-F551-D7DD-5B96-442374122F50}"/>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C6FFF68A-E4F7-07F6-26AB-9BDF791D9E4A}"/>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6AAB64AA-6337-430F-B837-F3068FCC5AF6}"/>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38545</xdr:colOff>
      <xdr:row>11</xdr:row>
      <xdr:rowOff>66261</xdr:rowOff>
    </xdr:from>
    <xdr:to>
      <xdr:col>16</xdr:col>
      <xdr:colOff>531746</xdr:colOff>
      <xdr:row>32</xdr:row>
      <xdr:rowOff>166461</xdr:rowOff>
    </xdr:to>
    <xdr:graphicFrame macro="">
      <xdr:nvGraphicFramePr>
        <xdr:cNvPr id="2" name="Chart 1" descr="&#10;LinkingStart|85c5bd71-247f-43c3-8479-ebb1171f3d44|LinkingEnd">
          <a:extLst>
            <a:ext uri="{FF2B5EF4-FFF2-40B4-BE49-F238E27FC236}">
              <a16:creationId xmlns:a16="http://schemas.microsoft.com/office/drawing/2014/main" id="{DB0ED225-CF1F-420E-9354-B8DB32732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12</xdr:row>
      <xdr:rowOff>115956</xdr:rowOff>
    </xdr:from>
    <xdr:to>
      <xdr:col>20</xdr:col>
      <xdr:colOff>215347</xdr:colOff>
      <xdr:row>20</xdr:row>
      <xdr:rowOff>173207</xdr:rowOff>
    </xdr:to>
    <xdr:grpSp>
      <xdr:nvGrpSpPr>
        <xdr:cNvPr id="3" name="Group 2">
          <a:extLst>
            <a:ext uri="{FF2B5EF4-FFF2-40B4-BE49-F238E27FC236}">
              <a16:creationId xmlns:a16="http://schemas.microsoft.com/office/drawing/2014/main" id="{90150125-EFF4-40CC-BEBE-F4547E041F28}"/>
            </a:ext>
          </a:extLst>
        </xdr:cNvPr>
        <xdr:cNvGrpSpPr/>
      </xdr:nvGrpSpPr>
      <xdr:grpSpPr>
        <a:xfrm>
          <a:off x="13337208" y="2528956"/>
          <a:ext cx="1762539" cy="1530451"/>
          <a:chOff x="157370" y="0"/>
          <a:chExt cx="1772479" cy="1581251"/>
        </a:xfrm>
      </xdr:grpSpPr>
      <xdr:sp macro="" textlink="">
        <xdr:nvSpPr>
          <xdr:cNvPr id="4" name="TextBox 3">
            <a:extLst>
              <a:ext uri="{FF2B5EF4-FFF2-40B4-BE49-F238E27FC236}">
                <a16:creationId xmlns:a16="http://schemas.microsoft.com/office/drawing/2014/main" id="{A04A754B-071A-3C55-5306-3131E3869AFF}"/>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7DE1436C-0143-416E-0C30-9EB12A4AA828}"/>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7BDB862A-D5AB-C9ED-CF4F-5C12359F7AB9}"/>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A0E5318C-8788-A657-8DA3-15921DBBD4DC}"/>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C762D267-9AD2-D01A-A261-A88F0BC1FF9C}"/>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F8C87A91-9F53-BCE6-FADC-373723991FCD}"/>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3A8733E0-3A84-6856-41FD-A268ADDBB3F3}"/>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DAD6850A-7A54-5DF0-8F34-2B9C8EA0E286}"/>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1E1D7E4C-2F0C-4BE5-9EE8-31FDDC6E609B}"/>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694E814B-A1B0-F5A1-80AA-0448DAD57B33}"/>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E4F60174-CC45-89FF-DBE3-1F374E71D9DC}"/>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AACF065C-8BE0-47B7-B662-D93D5730E656}"/>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193A4268-35F7-B173-F756-DA1ABC84E40E}"/>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504E23A6-ED7E-075C-8289-1DCE74646368}"/>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3DCF40CE-B0DA-3C23-D80D-014527360B71}"/>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A50E310F-2B40-7DD3-1717-27936328BB44}"/>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A907232A-0DD9-5654-9350-379426954FA7}"/>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6D089466-8D15-EBC1-DA69-6AE2C5860BCB}"/>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12A2786D-7B66-875B-333D-2E38019C3B11}"/>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C46E968F-1926-E6ED-51E3-6540A3771FA9}"/>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D87B5AFA-77D5-6772-3CF1-04D4B1D801C1}"/>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38545</xdr:colOff>
      <xdr:row>11</xdr:row>
      <xdr:rowOff>66261</xdr:rowOff>
    </xdr:from>
    <xdr:to>
      <xdr:col>16</xdr:col>
      <xdr:colOff>531746</xdr:colOff>
      <xdr:row>32</xdr:row>
      <xdr:rowOff>166461</xdr:rowOff>
    </xdr:to>
    <xdr:graphicFrame macro="">
      <xdr:nvGraphicFramePr>
        <xdr:cNvPr id="2" name="Chart 1" descr="&#10;LinkingStart|85c5bd71-247f-43c3-8479-ebb1171f3d44|LinkingEnd">
          <a:extLst>
            <a:ext uri="{FF2B5EF4-FFF2-40B4-BE49-F238E27FC236}">
              <a16:creationId xmlns:a16="http://schemas.microsoft.com/office/drawing/2014/main" id="{0E7D4E63-0B5F-4604-9E23-AE97A5438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12</xdr:row>
      <xdr:rowOff>115956</xdr:rowOff>
    </xdr:from>
    <xdr:to>
      <xdr:col>20</xdr:col>
      <xdr:colOff>215347</xdr:colOff>
      <xdr:row>20</xdr:row>
      <xdr:rowOff>173207</xdr:rowOff>
    </xdr:to>
    <xdr:grpSp>
      <xdr:nvGrpSpPr>
        <xdr:cNvPr id="3" name="Group 2">
          <a:extLst>
            <a:ext uri="{FF2B5EF4-FFF2-40B4-BE49-F238E27FC236}">
              <a16:creationId xmlns:a16="http://schemas.microsoft.com/office/drawing/2014/main" id="{6CFDE0F4-BB57-489F-BCC5-8FEEE8E5761A}"/>
            </a:ext>
          </a:extLst>
        </xdr:cNvPr>
        <xdr:cNvGrpSpPr/>
      </xdr:nvGrpSpPr>
      <xdr:grpSpPr>
        <a:xfrm>
          <a:off x="13337208" y="2528956"/>
          <a:ext cx="1762539" cy="1530451"/>
          <a:chOff x="157370" y="0"/>
          <a:chExt cx="1772479" cy="1581251"/>
        </a:xfrm>
      </xdr:grpSpPr>
      <xdr:sp macro="" textlink="">
        <xdr:nvSpPr>
          <xdr:cNvPr id="4" name="TextBox 3">
            <a:extLst>
              <a:ext uri="{FF2B5EF4-FFF2-40B4-BE49-F238E27FC236}">
                <a16:creationId xmlns:a16="http://schemas.microsoft.com/office/drawing/2014/main" id="{B7327C69-544B-7F0A-031A-C32B64D7AAFA}"/>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E534D9FB-4BA8-EE7D-0F23-BC1205671BA9}"/>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F695C1A9-25FF-A502-F696-DADFCFC2ADB8}"/>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8B80BD38-F3A4-5945-83DE-FEC9037DEFCA}"/>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18916217-D375-360E-71C3-24B7FEE096DD}"/>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A9E6D1CF-F8D6-BDD7-5B36-1B0B48F384BF}"/>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ED07A580-A1F1-1523-9744-8B4F6E883037}"/>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E730FBC0-3435-1E58-0160-8EB1FB9AAF72}"/>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EF6B6617-87AF-4EAB-8C5B-518E9975FA14}"/>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63502F46-58EE-DE87-336B-1A17ACDE09D8}"/>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5792A62F-A4A6-3959-E0DD-9199A2F170AA}"/>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78554504-A030-BACD-EB08-5B90E4AC0719}"/>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29F7BAE5-F2A5-2185-8C72-83698172EB36}"/>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72B56EB5-6D6C-6E00-1954-1E7DE406A849}"/>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23433C5B-A9A1-8D54-0DBD-1B488AA0BE1B}"/>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049241D1-8DB6-B39D-80A4-832634961ACB}"/>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F645DAA0-CAB9-0A73-F6AD-DAF624C8CA22}"/>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25">
          <xdr:nvSpPr>
            <xdr:cNvPr id="16" name="Rectangle 15">
              <a:extLst>
                <a:ext uri="{FF2B5EF4-FFF2-40B4-BE49-F238E27FC236}">
                  <a16:creationId xmlns:a16="http://schemas.microsoft.com/office/drawing/2014/main" id="{A7C3E25C-C543-D5B5-7EAF-C7738485B9A8}"/>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9B374DA6-BD31-E915-CA6C-9475603F3C04}"/>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FAAA541D-A656-8E01-E0D4-3DCF93B9662D}"/>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1E3F8657-0EED-40D8-A6DB-80A8C805D576}"/>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10.xml><?xml version="1.0" encoding="utf-8"?>
<xdr:wsDr xmlns:xdr="http://schemas.openxmlformats.org/drawingml/2006/spreadsheetDrawing" xmlns:a="http://schemas.openxmlformats.org/drawingml/2006/main">
  <xdr:twoCellAnchor>
    <xdr:from>
      <xdr:col>8</xdr:col>
      <xdr:colOff>86966</xdr:colOff>
      <xdr:row>3</xdr:row>
      <xdr:rowOff>57978</xdr:rowOff>
    </xdr:from>
    <xdr:to>
      <xdr:col>16</xdr:col>
      <xdr:colOff>223662</xdr:colOff>
      <xdr:row>22</xdr:row>
      <xdr:rowOff>38478</xdr:rowOff>
    </xdr:to>
    <xdr:graphicFrame macro="">
      <xdr:nvGraphicFramePr>
        <xdr:cNvPr id="2" name="Chart 1" descr="&#10;LinkingStart|aa61e9e4-f47c-4496-86d9-4fe05be30278|LinkingEnd">
          <a:extLst>
            <a:ext uri="{FF2B5EF4-FFF2-40B4-BE49-F238E27FC236}">
              <a16:creationId xmlns:a16="http://schemas.microsoft.com/office/drawing/2014/main" id="{DE37DAEA-AAE0-439C-AAB9-33B737B82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4</xdr:row>
      <xdr:rowOff>115956</xdr:rowOff>
    </xdr:from>
    <xdr:to>
      <xdr:col>20</xdr:col>
      <xdr:colOff>215347</xdr:colOff>
      <xdr:row>14</xdr:row>
      <xdr:rowOff>104775</xdr:rowOff>
    </xdr:to>
    <xdr:grpSp>
      <xdr:nvGrpSpPr>
        <xdr:cNvPr id="3" name="Group 2">
          <a:extLst>
            <a:ext uri="{FF2B5EF4-FFF2-40B4-BE49-F238E27FC236}">
              <a16:creationId xmlns:a16="http://schemas.microsoft.com/office/drawing/2014/main" id="{42E2A1F6-0116-4CFF-BC91-5158F3989827}"/>
            </a:ext>
          </a:extLst>
        </xdr:cNvPr>
        <xdr:cNvGrpSpPr/>
      </xdr:nvGrpSpPr>
      <xdr:grpSpPr>
        <a:xfrm>
          <a:off x="13337208" y="1055756"/>
          <a:ext cx="1762539" cy="1830319"/>
          <a:chOff x="157370" y="0"/>
          <a:chExt cx="1772479" cy="1893819"/>
        </a:xfrm>
      </xdr:grpSpPr>
      <xdr:sp macro="" textlink="">
        <xdr:nvSpPr>
          <xdr:cNvPr id="4" name="TextBox 3">
            <a:extLst>
              <a:ext uri="{FF2B5EF4-FFF2-40B4-BE49-F238E27FC236}">
                <a16:creationId xmlns:a16="http://schemas.microsoft.com/office/drawing/2014/main" id="{5B99AD76-FA9A-4E3A-A20A-5BFAB812A273}"/>
              </a:ext>
            </a:extLst>
          </xdr:cNvPr>
          <xdr:cNvSpPr txBox="1"/>
        </xdr:nvSpPr>
        <xdr:spPr>
          <a:xfrm>
            <a:off x="157370" y="0"/>
            <a:ext cx="1722785" cy="1893819"/>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79721F75-F772-41AF-AF82-998B50B3256E}"/>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ED866BA7-2F18-450C-AE3C-0BC3D263C93E}"/>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AD4EA60D-732A-45B8-AEDE-A35F0F0356A1}"/>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C319E66E-3F7E-494D-AB00-18DBB28710CF}"/>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E8F385C1-1426-41FE-B939-12CE2F46BF1A}"/>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2D963BD5-015E-4909-ACBD-9CB2D94F8561}"/>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81BA78B6-CE3A-4403-9A36-DB63401E0AEE}"/>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192D4BD1-F8CB-4244-A0BA-E8114912D332}"/>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10EA0ECC-6BF3-48EA-96AD-BF6B8B79CC28}"/>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BC2DB1B6-E4F9-41B4-B6D8-4C367D128EBF}"/>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8A8FC41F-1508-4970-888F-80FD5E288B0A}"/>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DF33FD3C-5B60-46E4-9F01-8B52A339E29B}"/>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DC513038-1166-4B88-B402-9652783A16DA}"/>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4050B1D4-1379-481C-8FBB-1DD2AA7C692F}"/>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C7D8089A-21E6-4B7D-9CD2-6A77A9AAEC43}"/>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DACB9F90-8217-464C-9FA8-B0631B8727CE}"/>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17">
          <xdr:nvSpPr>
            <xdr:cNvPr id="16" name="Rectangle 15">
              <a:extLst>
                <a:ext uri="{FF2B5EF4-FFF2-40B4-BE49-F238E27FC236}">
                  <a16:creationId xmlns:a16="http://schemas.microsoft.com/office/drawing/2014/main" id="{E577E9E2-D3D2-414E-BF93-AFC6DA7AC2AA}"/>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B524B21B-9ECB-426F-AD88-1AA77268BE8F}"/>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7ED4357D-B70D-4D16-9234-6FE94C97C016}"/>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0A79FFA2-201D-468B-8C86-EF17A133B70F}"/>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twoCellAnchor>
    <xdr:from>
      <xdr:col>17</xdr:col>
      <xdr:colOff>462583</xdr:colOff>
      <xdr:row>13</xdr:row>
      <xdr:rowOff>20706</xdr:rowOff>
    </xdr:from>
    <xdr:to>
      <xdr:col>18</xdr:col>
      <xdr:colOff>31974</xdr:colOff>
      <xdr:row>14</xdr:row>
      <xdr:rowOff>10206</xdr:rowOff>
    </xdr:to>
    <xdr:sp macro="" textlink="">
      <xdr:nvSpPr>
        <xdr:cNvPr id="25" name="Diamond 24">
          <a:extLst>
            <a:ext uri="{FF2B5EF4-FFF2-40B4-BE49-F238E27FC236}">
              <a16:creationId xmlns:a16="http://schemas.microsoft.com/office/drawing/2014/main" id="{1A5E7E0C-B81C-4E8B-8091-FC6ADEC594B5}"/>
            </a:ext>
          </a:extLst>
        </xdr:cNvPr>
        <xdr:cNvSpPr/>
      </xdr:nvSpPr>
      <xdr:spPr>
        <a:xfrm>
          <a:off x="13283233" y="2497206"/>
          <a:ext cx="178991" cy="180000"/>
        </a:xfrm>
        <a:prstGeom prst="diamond">
          <a:avLst/>
        </a:prstGeom>
        <a:solidFill>
          <a:schemeClr val="bg1"/>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clientData/>
  </xdr:twoCellAnchor>
  <xdr:twoCellAnchor>
    <xdr:from>
      <xdr:col>18</xdr:col>
      <xdr:colOff>176833</xdr:colOff>
      <xdr:row>13</xdr:row>
      <xdr:rowOff>125481</xdr:rowOff>
    </xdr:from>
    <xdr:to>
      <xdr:col>18</xdr:col>
      <xdr:colOff>386009</xdr:colOff>
      <xdr:row>13</xdr:row>
      <xdr:rowOff>125481</xdr:rowOff>
    </xdr:to>
    <xdr:sp macro="" textlink="">
      <xdr:nvSpPr>
        <xdr:cNvPr id="26" name="Straight Arrow Connector 25">
          <a:extLst>
            <a:ext uri="{FF2B5EF4-FFF2-40B4-BE49-F238E27FC236}">
              <a16:creationId xmlns:a16="http://schemas.microsoft.com/office/drawing/2014/main" id="{830EB2EB-0AE0-4000-B29A-A4C3012960C0}"/>
            </a:ext>
          </a:extLst>
        </xdr:cNvPr>
        <xdr:cNvSpPr/>
      </xdr:nvSpPr>
      <xdr:spPr>
        <a:xfrm>
          <a:off x="13607083" y="2601981"/>
          <a:ext cx="20917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clientData/>
  </xdr:twoCellAnchor>
  <xdr:twoCellAnchor>
    <xdr:from>
      <xdr:col>18</xdr:col>
      <xdr:colOff>472108</xdr:colOff>
      <xdr:row>13</xdr:row>
      <xdr:rowOff>30231</xdr:rowOff>
    </xdr:from>
    <xdr:to>
      <xdr:col>20</xdr:col>
      <xdr:colOff>224800</xdr:colOff>
      <xdr:row>14</xdr:row>
      <xdr:rowOff>33006</xdr:rowOff>
    </xdr:to>
    <xdr:sp macro="" textlink="$B$17">
      <xdr:nvSpPr>
        <xdr:cNvPr id="27" name="Rectangle 26">
          <a:extLst>
            <a:ext uri="{FF2B5EF4-FFF2-40B4-BE49-F238E27FC236}">
              <a16:creationId xmlns:a16="http://schemas.microsoft.com/office/drawing/2014/main" id="{F6A097E7-ED1C-4E4B-8FF2-B3E262FD3539}"/>
            </a:ext>
          </a:extLst>
        </xdr:cNvPr>
        <xdr:cNvSpPr/>
      </xdr:nvSpPr>
      <xdr:spPr>
        <a:xfrm>
          <a:off x="13902358" y="2506731"/>
          <a:ext cx="971892"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Eldorado</a:t>
          </a:r>
          <a:r>
            <a:rPr lang="en-US" sz="1000" baseline="0">
              <a:solidFill>
                <a:schemeClr val="tx1"/>
              </a:solidFill>
              <a:latin typeface="Calibri Light" panose="020F0302020204030204" pitchFamily="34" charset="0"/>
              <a:ea typeface="Tahoma" pitchFamily="34" charset="0"/>
              <a:cs typeface="Calibri Light" panose="020F0302020204030204" pitchFamily="34" charset="0"/>
            </a:rPr>
            <a:t> - Regional</a:t>
          </a:r>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8</xdr:col>
      <xdr:colOff>104775</xdr:colOff>
      <xdr:row>3</xdr:row>
      <xdr:rowOff>86553</xdr:rowOff>
    </xdr:from>
    <xdr:to>
      <xdr:col>17</xdr:col>
      <xdr:colOff>200025</xdr:colOff>
      <xdr:row>26</xdr:row>
      <xdr:rowOff>95251</xdr:rowOff>
    </xdr:to>
    <xdr:graphicFrame macro="">
      <xdr:nvGraphicFramePr>
        <xdr:cNvPr id="2" name="Chart 1" descr="&#10;LinkingStart|3815b9b0-4f48-4f9e-ae2f-d3845cda33e6|LinkingEnd">
          <a:extLst>
            <a:ext uri="{FF2B5EF4-FFF2-40B4-BE49-F238E27FC236}">
              <a16:creationId xmlns:a16="http://schemas.microsoft.com/office/drawing/2014/main" id="{0509AEEF-924B-4CBB-A735-5AC149857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4</xdr:row>
      <xdr:rowOff>115956</xdr:rowOff>
    </xdr:from>
    <xdr:to>
      <xdr:col>20</xdr:col>
      <xdr:colOff>549132</xdr:colOff>
      <xdr:row>18</xdr:row>
      <xdr:rowOff>152400</xdr:rowOff>
    </xdr:to>
    <xdr:grpSp>
      <xdr:nvGrpSpPr>
        <xdr:cNvPr id="3" name="Group 2">
          <a:extLst>
            <a:ext uri="{FF2B5EF4-FFF2-40B4-BE49-F238E27FC236}">
              <a16:creationId xmlns:a16="http://schemas.microsoft.com/office/drawing/2014/main" id="{C0E4467A-F6CE-492C-B4C9-E096919C8ACC}"/>
            </a:ext>
          </a:extLst>
        </xdr:cNvPr>
        <xdr:cNvGrpSpPr/>
      </xdr:nvGrpSpPr>
      <xdr:grpSpPr>
        <a:xfrm>
          <a:off x="13337208" y="1246256"/>
          <a:ext cx="2096324" cy="2614544"/>
          <a:chOff x="157370" y="0"/>
          <a:chExt cx="1722785" cy="1981075"/>
        </a:xfrm>
      </xdr:grpSpPr>
      <xdr:sp macro="" textlink="">
        <xdr:nvSpPr>
          <xdr:cNvPr id="4" name="TextBox 3">
            <a:extLst>
              <a:ext uri="{FF2B5EF4-FFF2-40B4-BE49-F238E27FC236}">
                <a16:creationId xmlns:a16="http://schemas.microsoft.com/office/drawing/2014/main" id="{A1BF35EB-7297-4039-B676-BD53886E126C}"/>
              </a:ext>
            </a:extLst>
          </xdr:cNvPr>
          <xdr:cNvSpPr txBox="1"/>
        </xdr:nvSpPr>
        <xdr:spPr>
          <a:xfrm>
            <a:off x="157370" y="0"/>
            <a:ext cx="1722785" cy="1981075"/>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19128018-5A8B-4C4A-975A-7D8E62255844}"/>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2C469016-81D0-4A5A-B38D-B46C01131763}"/>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00824878-8445-428C-A8A4-646321B0C126}"/>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7" name="Minus 5">
            <a:extLst>
              <a:ext uri="{FF2B5EF4-FFF2-40B4-BE49-F238E27FC236}">
                <a16:creationId xmlns:a16="http://schemas.microsoft.com/office/drawing/2014/main" id="{050A55F1-DCF3-48E6-81BD-8F077E8A787E}"/>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D8F3F474-564A-440D-8E6D-CDE5C7D5AEAD}"/>
              </a:ext>
            </a:extLst>
          </xdr:cNvPr>
          <xdr:cNvGrpSpPr/>
        </xdr:nvGrpSpPr>
        <xdr:grpSpPr>
          <a:xfrm>
            <a:off x="681311" y="63487"/>
            <a:ext cx="811357" cy="182217"/>
            <a:chOff x="681311" y="63487"/>
            <a:chExt cx="811357" cy="182217"/>
          </a:xfrm>
        </xdr:grpSpPr>
        <xdr:sp macro="" textlink="">
          <xdr:nvSpPr>
            <xdr:cNvPr id="21" name="Straight Arrow Connector 20">
              <a:extLst>
                <a:ext uri="{FF2B5EF4-FFF2-40B4-BE49-F238E27FC236}">
                  <a16:creationId xmlns:a16="http://schemas.microsoft.com/office/drawing/2014/main" id="{60E32D23-F595-4E6D-8BE3-431284C10B98}"/>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49116559-46F4-4C57-A26E-25ED15419B03}"/>
                </a:ext>
              </a:extLst>
            </xdr:cNvPr>
            <xdr:cNvSpPr/>
          </xdr:nvSpPr>
          <xdr:spPr>
            <a:xfrm>
              <a:off x="92116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F4BA6E3A-5789-4A40-A54B-6D152C6A7B3D}"/>
              </a:ext>
            </a:extLst>
          </xdr:cNvPr>
          <xdr:cNvGrpSpPr/>
        </xdr:nvGrpSpPr>
        <xdr:grpSpPr>
          <a:xfrm>
            <a:off x="673028" y="406771"/>
            <a:ext cx="960466" cy="173014"/>
            <a:chOff x="673028" y="406771"/>
            <a:chExt cx="960466" cy="173014"/>
          </a:xfrm>
        </xdr:grpSpPr>
        <xdr:sp macro="" textlink="">
          <xdr:nvSpPr>
            <xdr:cNvPr id="19" name="Straight Arrow Connector 18">
              <a:extLst>
                <a:ext uri="{FF2B5EF4-FFF2-40B4-BE49-F238E27FC236}">
                  <a16:creationId xmlns:a16="http://schemas.microsoft.com/office/drawing/2014/main" id="{E6211036-2AD2-4774-B0BE-E67F82703F2D}"/>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1CF11F5C-3065-4BA9-9FC5-BEF1223F9BAB}"/>
                </a:ext>
              </a:extLst>
            </xdr:cNvPr>
            <xdr:cNvSpPr/>
          </xdr:nvSpPr>
          <xdr:spPr>
            <a:xfrm>
              <a:off x="912881"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66720093-0A3A-4AC8-8EE6-48A3520E1675}"/>
              </a:ext>
            </a:extLst>
          </xdr:cNvPr>
          <xdr:cNvGrpSpPr/>
        </xdr:nvGrpSpPr>
        <xdr:grpSpPr>
          <a:xfrm>
            <a:off x="673028" y="767511"/>
            <a:ext cx="819636" cy="182217"/>
            <a:chOff x="673028" y="767511"/>
            <a:chExt cx="819636" cy="182217"/>
          </a:xfrm>
        </xdr:grpSpPr>
        <xdr:sp macro="" textlink="">
          <xdr:nvSpPr>
            <xdr:cNvPr id="17" name="Straight Arrow Connector 16">
              <a:extLst>
                <a:ext uri="{FF2B5EF4-FFF2-40B4-BE49-F238E27FC236}">
                  <a16:creationId xmlns:a16="http://schemas.microsoft.com/office/drawing/2014/main" id="{34501C43-8220-4300-87A3-543D8C0E792C}"/>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77CE7F88-9ED0-4E4C-B90A-62811AFB13B4}"/>
                </a:ext>
              </a:extLst>
            </xdr:cNvPr>
            <xdr:cNvSpPr/>
          </xdr:nvSpPr>
          <xdr:spPr>
            <a:xfrm>
              <a:off x="921164"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2" name="Group 57">
            <a:extLst>
              <a:ext uri="{FF2B5EF4-FFF2-40B4-BE49-F238E27FC236}">
                <a16:creationId xmlns:a16="http://schemas.microsoft.com/office/drawing/2014/main" id="{4A3C4775-A0D1-47C7-A068-5E0A0CE4E3E5}"/>
              </a:ext>
            </a:extLst>
          </xdr:cNvPr>
          <xdr:cNvGrpSpPr/>
        </xdr:nvGrpSpPr>
        <xdr:grpSpPr>
          <a:xfrm>
            <a:off x="673028" y="1015988"/>
            <a:ext cx="869853" cy="182217"/>
            <a:chOff x="673028" y="1015988"/>
            <a:chExt cx="869853" cy="182217"/>
          </a:xfrm>
        </xdr:grpSpPr>
        <xdr:sp macro="" textlink="">
          <xdr:nvSpPr>
            <xdr:cNvPr id="13" name="Rectangle 12">
              <a:extLst>
                <a:ext uri="{FF2B5EF4-FFF2-40B4-BE49-F238E27FC236}">
                  <a16:creationId xmlns:a16="http://schemas.microsoft.com/office/drawing/2014/main" id="{8BD6C0E7-FA9C-40BB-8C74-266C9150420C}"/>
                </a:ext>
              </a:extLst>
            </xdr:cNvPr>
            <xdr:cNvSpPr/>
          </xdr:nvSpPr>
          <xdr:spPr>
            <a:xfrm>
              <a:off x="912881"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692BDEBF-A037-47E6-A17E-3F6453E294EE}"/>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twoCellAnchor>
    <xdr:from>
      <xdr:col>17</xdr:col>
      <xdr:colOff>533400</xdr:colOff>
      <xdr:row>17</xdr:row>
      <xdr:rowOff>1</xdr:rowOff>
    </xdr:from>
    <xdr:to>
      <xdr:col>18</xdr:col>
      <xdr:colOff>66675</xdr:colOff>
      <xdr:row>18</xdr:row>
      <xdr:rowOff>57151</xdr:rowOff>
    </xdr:to>
    <xdr:sp macro="" textlink="">
      <xdr:nvSpPr>
        <xdr:cNvPr id="35" name="Flowchart: Decision 34">
          <a:extLst>
            <a:ext uri="{FF2B5EF4-FFF2-40B4-BE49-F238E27FC236}">
              <a16:creationId xmlns:a16="http://schemas.microsoft.com/office/drawing/2014/main" id="{6ADA373F-9819-52DF-335B-0E3284ECE5F0}"/>
            </a:ext>
          </a:extLst>
        </xdr:cNvPr>
        <xdr:cNvSpPr/>
      </xdr:nvSpPr>
      <xdr:spPr>
        <a:xfrm>
          <a:off x="13354050" y="3429001"/>
          <a:ext cx="142875" cy="247650"/>
        </a:xfrm>
        <a:prstGeom prst="flowChartDecision">
          <a:avLst/>
        </a:prstGeom>
        <a:solidFill>
          <a:schemeClr val="accent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18</xdr:col>
      <xdr:colOff>319708</xdr:colOff>
      <xdr:row>16</xdr:row>
      <xdr:rowOff>163581</xdr:rowOff>
    </xdr:from>
    <xdr:to>
      <xdr:col>21</xdr:col>
      <xdr:colOff>76199</xdr:colOff>
      <xdr:row>18</xdr:row>
      <xdr:rowOff>22425</xdr:rowOff>
    </xdr:to>
    <xdr:grpSp>
      <xdr:nvGrpSpPr>
        <xdr:cNvPr id="36" name="Group 35">
          <a:extLst>
            <a:ext uri="{FF2B5EF4-FFF2-40B4-BE49-F238E27FC236}">
              <a16:creationId xmlns:a16="http://schemas.microsoft.com/office/drawing/2014/main" id="{98807F0A-E04D-408B-BDBD-50B0D32AFFC7}"/>
            </a:ext>
          </a:extLst>
        </xdr:cNvPr>
        <xdr:cNvGrpSpPr/>
      </xdr:nvGrpSpPr>
      <xdr:grpSpPr>
        <a:xfrm>
          <a:off x="13984908" y="3503681"/>
          <a:ext cx="1585291" cy="227144"/>
          <a:chOff x="13769008" y="3459231"/>
          <a:chExt cx="1585291" cy="239844"/>
        </a:xfrm>
      </xdr:grpSpPr>
      <xdr:sp macro="" textlink="$B$21">
        <xdr:nvSpPr>
          <xdr:cNvPr id="38" name="Rectangle 37">
            <a:extLst>
              <a:ext uri="{FF2B5EF4-FFF2-40B4-BE49-F238E27FC236}">
                <a16:creationId xmlns:a16="http://schemas.microsoft.com/office/drawing/2014/main" id="{4EE653F7-3A56-2249-735B-2CDD3CF9D085}"/>
              </a:ext>
            </a:extLst>
          </xdr:cNvPr>
          <xdr:cNvSpPr/>
        </xdr:nvSpPr>
        <xdr:spPr>
          <a:xfrm>
            <a:off x="14045232" y="3459231"/>
            <a:ext cx="1309067" cy="23984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Candace</a:t>
            </a:r>
            <a:r>
              <a:rPr lang="en-US" sz="1000" baseline="0">
                <a:solidFill>
                  <a:schemeClr val="tx1"/>
                </a:solidFill>
                <a:latin typeface="Calibri Light" panose="020F0302020204030204" pitchFamily="34" charset="0"/>
                <a:ea typeface="Tahoma" pitchFamily="34" charset="0"/>
                <a:cs typeface="Calibri Light" panose="020F0302020204030204" pitchFamily="34" charset="0"/>
              </a:rPr>
              <a:t> Brule</a:t>
            </a:r>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sp macro="" textlink="">
        <xdr:nvSpPr>
          <xdr:cNvPr id="39" name="Straight Arrow Connector 38">
            <a:extLst>
              <a:ext uri="{FF2B5EF4-FFF2-40B4-BE49-F238E27FC236}">
                <a16:creationId xmlns:a16="http://schemas.microsoft.com/office/drawing/2014/main" id="{FBCFACE7-3885-9FC1-9FBB-B6E93E5580E1}"/>
              </a:ext>
            </a:extLst>
          </xdr:cNvPr>
          <xdr:cNvSpPr/>
        </xdr:nvSpPr>
        <xdr:spPr>
          <a:xfrm>
            <a:off x="13769008" y="3592581"/>
            <a:ext cx="25596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228598</xdr:colOff>
      <xdr:row>3</xdr:row>
      <xdr:rowOff>85724</xdr:rowOff>
    </xdr:from>
    <xdr:to>
      <xdr:col>15</xdr:col>
      <xdr:colOff>130198</xdr:colOff>
      <xdr:row>13</xdr:row>
      <xdr:rowOff>27224</xdr:rowOff>
    </xdr:to>
    <xdr:graphicFrame macro="">
      <xdr:nvGraphicFramePr>
        <xdr:cNvPr id="3" name="Chart 2" descr="&#10;LinkingStart|04da464f-8d09-4d00-b1d4-fcac983dc258|LinkingEnd">
          <a:extLst>
            <a:ext uri="{FF2B5EF4-FFF2-40B4-BE49-F238E27FC236}">
              <a16:creationId xmlns:a16="http://schemas.microsoft.com/office/drawing/2014/main" id="{887205AA-04CE-9437-8A41-6AB6E82944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419100</xdr:colOff>
      <xdr:row>3</xdr:row>
      <xdr:rowOff>85725</xdr:rowOff>
    </xdr:from>
    <xdr:to>
      <xdr:col>18</xdr:col>
      <xdr:colOff>320700</xdr:colOff>
      <xdr:row>13</xdr:row>
      <xdr:rowOff>27225</xdr:rowOff>
    </xdr:to>
    <xdr:graphicFrame macro="">
      <xdr:nvGraphicFramePr>
        <xdr:cNvPr id="5" name="Chart 4" descr="&#10;LinkingStart|058d2f7d-d0e4-4f3e-b9ac-42eec815fe8f|LinkingEnd">
          <a:extLst>
            <a:ext uri="{FF2B5EF4-FFF2-40B4-BE49-F238E27FC236}">
              <a16:creationId xmlns:a16="http://schemas.microsoft.com/office/drawing/2014/main" id="{43FD98A2-038D-463E-A0F3-D36E84AE9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257175</xdr:colOff>
      <xdr:row>12</xdr:row>
      <xdr:rowOff>38100</xdr:rowOff>
    </xdr:from>
    <xdr:to>
      <xdr:col>15</xdr:col>
      <xdr:colOff>158775</xdr:colOff>
      <xdr:row>20</xdr:row>
      <xdr:rowOff>170100</xdr:rowOff>
    </xdr:to>
    <xdr:graphicFrame macro="">
      <xdr:nvGraphicFramePr>
        <xdr:cNvPr id="6" name="Chart 5" descr="&#10;LinkingStart|41c97559-abd0-4ad8-aead-c26c972a38ad|LinkingEnd">
          <a:extLst>
            <a:ext uri="{FF2B5EF4-FFF2-40B4-BE49-F238E27FC236}">
              <a16:creationId xmlns:a16="http://schemas.microsoft.com/office/drawing/2014/main" id="{FB944B57-3952-42DE-B79B-ADDCA9809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457200</xdr:colOff>
      <xdr:row>12</xdr:row>
      <xdr:rowOff>76200</xdr:rowOff>
    </xdr:from>
    <xdr:to>
      <xdr:col>18</xdr:col>
      <xdr:colOff>358800</xdr:colOff>
      <xdr:row>21</xdr:row>
      <xdr:rowOff>17700</xdr:rowOff>
    </xdr:to>
    <xdr:graphicFrame macro="">
      <xdr:nvGraphicFramePr>
        <xdr:cNvPr id="7" name="Chart 6" descr="&#10;LinkingStart|aa2c3e9c-bda1-4c6c-a890-aead911b4aa3|LinkingEnd">
          <a:extLst>
            <a:ext uri="{FF2B5EF4-FFF2-40B4-BE49-F238E27FC236}">
              <a16:creationId xmlns:a16="http://schemas.microsoft.com/office/drawing/2014/main" id="{51F3A506-3446-4F16-819F-4C9A0E158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304800</xdr:colOff>
      <xdr:row>20</xdr:row>
      <xdr:rowOff>114300</xdr:rowOff>
    </xdr:from>
    <xdr:to>
      <xdr:col>15</xdr:col>
      <xdr:colOff>206400</xdr:colOff>
      <xdr:row>29</xdr:row>
      <xdr:rowOff>55800</xdr:rowOff>
    </xdr:to>
    <xdr:graphicFrame macro="">
      <xdr:nvGraphicFramePr>
        <xdr:cNvPr id="8" name="Chart 7" descr="&#10;LinkingStart|3314d275-e126-4a27-9ad1-c2197d35023e|LinkingEnd">
          <a:extLst>
            <a:ext uri="{FF2B5EF4-FFF2-40B4-BE49-F238E27FC236}">
              <a16:creationId xmlns:a16="http://schemas.microsoft.com/office/drawing/2014/main" id="{58D58A9C-D0F1-4C7B-9B98-21DBE08298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495300</xdr:colOff>
      <xdr:row>20</xdr:row>
      <xdr:rowOff>142875</xdr:rowOff>
    </xdr:from>
    <xdr:to>
      <xdr:col>18</xdr:col>
      <xdr:colOff>396900</xdr:colOff>
      <xdr:row>29</xdr:row>
      <xdr:rowOff>84375</xdr:rowOff>
    </xdr:to>
    <xdr:graphicFrame macro="">
      <xdr:nvGraphicFramePr>
        <xdr:cNvPr id="9" name="Chart 8" descr="&#10;LinkingStart|f59b4b3e-cb25-49ee-8ae0-cebd16ad2df7|LinkingEnd">
          <a:extLst>
            <a:ext uri="{FF2B5EF4-FFF2-40B4-BE49-F238E27FC236}">
              <a16:creationId xmlns:a16="http://schemas.microsoft.com/office/drawing/2014/main" id="{999EDE4E-D160-497D-A02C-C7D780CAC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276225</xdr:colOff>
      <xdr:row>30</xdr:row>
      <xdr:rowOff>57150</xdr:rowOff>
    </xdr:from>
    <xdr:to>
      <xdr:col>15</xdr:col>
      <xdr:colOff>177825</xdr:colOff>
      <xdr:row>38</xdr:row>
      <xdr:rowOff>189150</xdr:rowOff>
    </xdr:to>
    <xdr:graphicFrame macro="">
      <xdr:nvGraphicFramePr>
        <xdr:cNvPr id="10" name="Chart 9" descr="&#10;LinkingStart|89bf5a4d-f0db-454e-845a-245f6efdc06a|LinkingEnd">
          <a:extLst>
            <a:ext uri="{FF2B5EF4-FFF2-40B4-BE49-F238E27FC236}">
              <a16:creationId xmlns:a16="http://schemas.microsoft.com/office/drawing/2014/main" id="{F03C7525-6D1C-4F3A-8F0F-1E385496E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561975</xdr:colOff>
      <xdr:row>30</xdr:row>
      <xdr:rowOff>152400</xdr:rowOff>
    </xdr:from>
    <xdr:to>
      <xdr:col>18</xdr:col>
      <xdr:colOff>463575</xdr:colOff>
      <xdr:row>39</xdr:row>
      <xdr:rowOff>93900</xdr:rowOff>
    </xdr:to>
    <xdr:graphicFrame macro="">
      <xdr:nvGraphicFramePr>
        <xdr:cNvPr id="11" name="Chart 10" descr="&#10;LinkingStart|baffc417-a019-4e4f-a2cf-39aa4d022bc4|LinkingEnd">
          <a:extLst>
            <a:ext uri="{FF2B5EF4-FFF2-40B4-BE49-F238E27FC236}">
              <a16:creationId xmlns:a16="http://schemas.microsoft.com/office/drawing/2014/main" id="{A9BF53F1-BB54-4C08-BFDA-352EB3A1B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247650</xdr:colOff>
      <xdr:row>39</xdr:row>
      <xdr:rowOff>9525</xdr:rowOff>
    </xdr:from>
    <xdr:to>
      <xdr:col>15</xdr:col>
      <xdr:colOff>149250</xdr:colOff>
      <xdr:row>47</xdr:row>
      <xdr:rowOff>141525</xdr:rowOff>
    </xdr:to>
    <xdr:graphicFrame macro="">
      <xdr:nvGraphicFramePr>
        <xdr:cNvPr id="12" name="Chart 11" descr="&#10;LinkingStart|e6c0dc7c-071d-4d4d-a82e-495df5589165|LinkingEnd">
          <a:extLst>
            <a:ext uri="{FF2B5EF4-FFF2-40B4-BE49-F238E27FC236}">
              <a16:creationId xmlns:a16="http://schemas.microsoft.com/office/drawing/2014/main" id="{A1945F90-42B0-4022-BF48-43F1A9C81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552450</xdr:colOff>
      <xdr:row>38</xdr:row>
      <xdr:rowOff>180975</xdr:rowOff>
    </xdr:from>
    <xdr:to>
      <xdr:col>18</xdr:col>
      <xdr:colOff>454050</xdr:colOff>
      <xdr:row>47</xdr:row>
      <xdr:rowOff>122475</xdr:rowOff>
    </xdr:to>
    <xdr:graphicFrame macro="">
      <xdr:nvGraphicFramePr>
        <xdr:cNvPr id="13" name="Chart 12" descr="&#10;LinkingStart|a3f1fd6f-56a7-44d8-8322-a7e0275d97ba|LinkingEnd">
          <a:extLst>
            <a:ext uri="{FF2B5EF4-FFF2-40B4-BE49-F238E27FC236}">
              <a16:creationId xmlns:a16="http://schemas.microsoft.com/office/drawing/2014/main" id="{B803AF74-56E0-4D59-8868-7F0DC9F70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190500</xdr:colOff>
      <xdr:row>47</xdr:row>
      <xdr:rowOff>152400</xdr:rowOff>
    </xdr:from>
    <xdr:to>
      <xdr:col>15</xdr:col>
      <xdr:colOff>92100</xdr:colOff>
      <xdr:row>56</xdr:row>
      <xdr:rowOff>93900</xdr:rowOff>
    </xdr:to>
    <xdr:graphicFrame macro="">
      <xdr:nvGraphicFramePr>
        <xdr:cNvPr id="14" name="Chart 13" descr="&#10;LinkingStart|cf9928e0-11ea-4c32-988f-745d0a353338|LinkingEnd">
          <a:extLst>
            <a:ext uri="{FF2B5EF4-FFF2-40B4-BE49-F238E27FC236}">
              <a16:creationId xmlns:a16="http://schemas.microsoft.com/office/drawing/2014/main" id="{6FABE3B9-E003-468A-BAB3-448AB2FB1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590550</xdr:colOff>
      <xdr:row>47</xdr:row>
      <xdr:rowOff>95250</xdr:rowOff>
    </xdr:from>
    <xdr:to>
      <xdr:col>18</xdr:col>
      <xdr:colOff>492150</xdr:colOff>
      <xdr:row>56</xdr:row>
      <xdr:rowOff>36750</xdr:rowOff>
    </xdr:to>
    <xdr:graphicFrame macro="">
      <xdr:nvGraphicFramePr>
        <xdr:cNvPr id="15" name="Chart 14" descr="&#10;LinkingStart|8cedb2f6-eb80-48e8-a0d2-ed982a5e089e|LinkingEnd">
          <a:extLst>
            <a:ext uri="{FF2B5EF4-FFF2-40B4-BE49-F238E27FC236}">
              <a16:creationId xmlns:a16="http://schemas.microsoft.com/office/drawing/2014/main" id="{C02CF809-88E9-48F3-BFD4-7FFBD8C7B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114300</xdr:colOff>
      <xdr:row>56</xdr:row>
      <xdr:rowOff>180975</xdr:rowOff>
    </xdr:from>
    <xdr:to>
      <xdr:col>15</xdr:col>
      <xdr:colOff>15900</xdr:colOff>
      <xdr:row>65</xdr:row>
      <xdr:rowOff>122475</xdr:rowOff>
    </xdr:to>
    <xdr:graphicFrame macro="">
      <xdr:nvGraphicFramePr>
        <xdr:cNvPr id="16" name="Chart 15" descr="&#10;LinkingStart|d4ac7ca8-b283-4778-89fe-d766a47965a3|LinkingEnd">
          <a:extLst>
            <a:ext uri="{FF2B5EF4-FFF2-40B4-BE49-F238E27FC236}">
              <a16:creationId xmlns:a16="http://schemas.microsoft.com/office/drawing/2014/main" id="{64E1A912-6349-4B93-8EFA-7D64AC1A9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504825</xdr:colOff>
      <xdr:row>56</xdr:row>
      <xdr:rowOff>76200</xdr:rowOff>
    </xdr:from>
    <xdr:to>
      <xdr:col>18</xdr:col>
      <xdr:colOff>406425</xdr:colOff>
      <xdr:row>65</xdr:row>
      <xdr:rowOff>17700</xdr:rowOff>
    </xdr:to>
    <xdr:graphicFrame macro="">
      <xdr:nvGraphicFramePr>
        <xdr:cNvPr id="17" name="Chart 16" descr="&#10;LinkingStart|fa979a69-02c7-44c0-b33c-62278b3da9da|LinkingEnd">
          <a:extLst>
            <a:ext uri="{FF2B5EF4-FFF2-40B4-BE49-F238E27FC236}">
              <a16:creationId xmlns:a16="http://schemas.microsoft.com/office/drawing/2014/main" id="{6B4F8B32-5634-46F5-9AE1-3912F3952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47625</xdr:colOff>
      <xdr:row>67</xdr:row>
      <xdr:rowOff>47625</xdr:rowOff>
    </xdr:from>
    <xdr:to>
      <xdr:col>14</xdr:col>
      <xdr:colOff>558825</xdr:colOff>
      <xdr:row>75</xdr:row>
      <xdr:rowOff>179625</xdr:rowOff>
    </xdr:to>
    <xdr:graphicFrame macro="">
      <xdr:nvGraphicFramePr>
        <xdr:cNvPr id="18" name="Chart 17">
          <a:extLst>
            <a:ext uri="{FF2B5EF4-FFF2-40B4-BE49-F238E27FC236}">
              <a16:creationId xmlns:a16="http://schemas.microsoft.com/office/drawing/2014/main" id="{F947A940-A20D-4C5E-9CCB-543D75D8B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9525</xdr:colOff>
      <xdr:row>67</xdr:row>
      <xdr:rowOff>0</xdr:rowOff>
    </xdr:from>
    <xdr:to>
      <xdr:col>18</xdr:col>
      <xdr:colOff>520725</xdr:colOff>
      <xdr:row>75</xdr:row>
      <xdr:rowOff>132000</xdr:rowOff>
    </xdr:to>
    <xdr:graphicFrame macro="">
      <xdr:nvGraphicFramePr>
        <xdr:cNvPr id="19" name="Chart 18">
          <a:extLst>
            <a:ext uri="{FF2B5EF4-FFF2-40B4-BE49-F238E27FC236}">
              <a16:creationId xmlns:a16="http://schemas.microsoft.com/office/drawing/2014/main" id="{1BE37DE1-BCC2-449F-B4AF-5B7501C55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38100</xdr:colOff>
      <xdr:row>75</xdr:row>
      <xdr:rowOff>133350</xdr:rowOff>
    </xdr:from>
    <xdr:to>
      <xdr:col>14</xdr:col>
      <xdr:colOff>549300</xdr:colOff>
      <xdr:row>84</xdr:row>
      <xdr:rowOff>74850</xdr:rowOff>
    </xdr:to>
    <xdr:graphicFrame macro="">
      <xdr:nvGraphicFramePr>
        <xdr:cNvPr id="20" name="Chart 19">
          <a:extLst>
            <a:ext uri="{FF2B5EF4-FFF2-40B4-BE49-F238E27FC236}">
              <a16:creationId xmlns:a16="http://schemas.microsoft.com/office/drawing/2014/main" id="{D7FD4475-4C77-4259-AC1E-58A53AE6E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19050</xdr:colOff>
      <xdr:row>75</xdr:row>
      <xdr:rowOff>114300</xdr:rowOff>
    </xdr:from>
    <xdr:to>
      <xdr:col>18</xdr:col>
      <xdr:colOff>530250</xdr:colOff>
      <xdr:row>84</xdr:row>
      <xdr:rowOff>55800</xdr:rowOff>
    </xdr:to>
    <xdr:graphicFrame macro="">
      <xdr:nvGraphicFramePr>
        <xdr:cNvPr id="21" name="Chart 20">
          <a:extLst>
            <a:ext uri="{FF2B5EF4-FFF2-40B4-BE49-F238E27FC236}">
              <a16:creationId xmlns:a16="http://schemas.microsoft.com/office/drawing/2014/main" id="{4740D453-41CD-4F58-A0D2-052FF483B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28575</xdr:colOff>
      <xdr:row>84</xdr:row>
      <xdr:rowOff>104775</xdr:rowOff>
    </xdr:from>
    <xdr:to>
      <xdr:col>14</xdr:col>
      <xdr:colOff>539775</xdr:colOff>
      <xdr:row>93</xdr:row>
      <xdr:rowOff>46275</xdr:rowOff>
    </xdr:to>
    <xdr:graphicFrame macro="">
      <xdr:nvGraphicFramePr>
        <xdr:cNvPr id="22" name="Chart 21">
          <a:extLst>
            <a:ext uri="{FF2B5EF4-FFF2-40B4-BE49-F238E27FC236}">
              <a16:creationId xmlns:a16="http://schemas.microsoft.com/office/drawing/2014/main" id="{735C5627-FFAC-4BF9-BBF0-CB2634D26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28575</xdr:colOff>
      <xdr:row>84</xdr:row>
      <xdr:rowOff>114300</xdr:rowOff>
    </xdr:from>
    <xdr:to>
      <xdr:col>18</xdr:col>
      <xdr:colOff>539775</xdr:colOff>
      <xdr:row>93</xdr:row>
      <xdr:rowOff>55800</xdr:rowOff>
    </xdr:to>
    <xdr:graphicFrame macro="">
      <xdr:nvGraphicFramePr>
        <xdr:cNvPr id="23" name="Chart 22">
          <a:extLst>
            <a:ext uri="{FF2B5EF4-FFF2-40B4-BE49-F238E27FC236}">
              <a16:creationId xmlns:a16="http://schemas.microsoft.com/office/drawing/2014/main" id="{909AB253-9684-4118-9066-60E61B608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20</xdr:col>
      <xdr:colOff>0</xdr:colOff>
      <xdr:row>56</xdr:row>
      <xdr:rowOff>0</xdr:rowOff>
    </xdr:from>
    <xdr:to>
      <xdr:col>23</xdr:col>
      <xdr:colOff>507736</xdr:colOff>
      <xdr:row>64</xdr:row>
      <xdr:rowOff>132000</xdr:rowOff>
    </xdr:to>
    <xdr:graphicFrame macro="">
      <xdr:nvGraphicFramePr>
        <xdr:cNvPr id="26" name="Chart 25">
          <a:extLst>
            <a:ext uri="{FF2B5EF4-FFF2-40B4-BE49-F238E27FC236}">
              <a16:creationId xmlns:a16="http://schemas.microsoft.com/office/drawing/2014/main" id="{47FBA3D2-D10B-4527-9F85-6F28283A5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248891</xdr:colOff>
      <xdr:row>3</xdr:row>
      <xdr:rowOff>258003</xdr:rowOff>
    </xdr:from>
    <xdr:to>
      <xdr:col>14</xdr:col>
      <xdr:colOff>385587</xdr:colOff>
      <xdr:row>23</xdr:row>
      <xdr:rowOff>48003</xdr:rowOff>
    </xdr:to>
    <xdr:graphicFrame macro="">
      <xdr:nvGraphicFramePr>
        <xdr:cNvPr id="2" name="Chart 1">
          <a:extLst>
            <a:ext uri="{FF2B5EF4-FFF2-40B4-BE49-F238E27FC236}">
              <a16:creationId xmlns:a16="http://schemas.microsoft.com/office/drawing/2014/main" id="{8087C3B6-3811-451F-AAC6-BAC066634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281608</xdr:colOff>
      <xdr:row>4</xdr:row>
      <xdr:rowOff>115956</xdr:rowOff>
    </xdr:from>
    <xdr:to>
      <xdr:col>17</xdr:col>
      <xdr:colOff>215347</xdr:colOff>
      <xdr:row>12</xdr:row>
      <xdr:rowOff>173207</xdr:rowOff>
    </xdr:to>
    <xdr:grpSp>
      <xdr:nvGrpSpPr>
        <xdr:cNvPr id="3" name="Group 2">
          <a:extLst>
            <a:ext uri="{FF2B5EF4-FFF2-40B4-BE49-F238E27FC236}">
              <a16:creationId xmlns:a16="http://schemas.microsoft.com/office/drawing/2014/main" id="{F5C7F56B-3B3C-4269-BCA1-6CB1C15CC732}"/>
            </a:ext>
          </a:extLst>
        </xdr:cNvPr>
        <xdr:cNvGrpSpPr/>
      </xdr:nvGrpSpPr>
      <xdr:grpSpPr>
        <a:xfrm>
          <a:off x="10041558" y="1055756"/>
          <a:ext cx="1762539" cy="1530451"/>
          <a:chOff x="157370" y="0"/>
          <a:chExt cx="1772479" cy="1581251"/>
        </a:xfrm>
      </xdr:grpSpPr>
      <xdr:sp macro="" textlink="">
        <xdr:nvSpPr>
          <xdr:cNvPr id="4" name="TextBox 3">
            <a:extLst>
              <a:ext uri="{FF2B5EF4-FFF2-40B4-BE49-F238E27FC236}">
                <a16:creationId xmlns:a16="http://schemas.microsoft.com/office/drawing/2014/main" id="{F1CCB426-AF66-80D3-679C-B6DA86A8BEF5}"/>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99325BAC-D27A-1154-27ED-B960E0276137}"/>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1BB435AB-FCD4-A264-8C1B-7B4448ABEA56}"/>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2954FAB2-9EED-F3A9-4767-9BC892F2BCBB}"/>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8937A62E-E0A5-9561-87F1-AE069BBBC3AC}"/>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62564B59-EABD-5858-516F-6E1D5F9DC623}"/>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D1589AC5-2FEF-1BBD-39D0-871A3D3AB2A0}"/>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CF2FAF1F-394F-6FEC-6B5A-0A97DBF7E799}"/>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A0B717A7-218E-3D69-467C-C23D3BB776B4}"/>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E6AE601E-5471-CC76-A9A1-68B438A6C7D5}"/>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F92E01AA-5B19-5AA2-8B73-A80D1E2251AA}"/>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07D9F249-5EEA-72ED-25FE-7A570AB4B367}"/>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AB1C52AC-6DA0-B41E-D934-C9773AA8B9D1}"/>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FB7951B2-5759-F262-7567-2EF120F070D5}"/>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4346696B-5D96-2FE1-55AB-69748AD4F61E}"/>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83164391-278A-CC97-53E6-2F30366FCFAB}"/>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FB58AF33-CACD-DB6D-5F91-1AA35043284D}"/>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17">
          <xdr:nvSpPr>
            <xdr:cNvPr id="16" name="Rectangle 15">
              <a:extLst>
                <a:ext uri="{FF2B5EF4-FFF2-40B4-BE49-F238E27FC236}">
                  <a16:creationId xmlns:a16="http://schemas.microsoft.com/office/drawing/2014/main" id="{F2349ECE-F669-6116-A115-A50C43A14105}"/>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5E7C6EA9-53C6-E284-7418-FD1A537C84CB}"/>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B3DEC552-0643-B5DC-1B7E-C27F480C5C4E}"/>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C5172BED-9805-3641-7D08-E5BF5917C3B8}"/>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14.xml><?xml version="1.0" encoding="utf-8"?>
<xdr:wsDr xmlns:xdr="http://schemas.openxmlformats.org/drawingml/2006/spreadsheetDrawing" xmlns:a="http://schemas.openxmlformats.org/drawingml/2006/main">
  <xdr:twoCellAnchor>
    <xdr:from>
      <xdr:col>10</xdr:col>
      <xdr:colOff>391766</xdr:colOff>
      <xdr:row>1</xdr:row>
      <xdr:rowOff>181803</xdr:rowOff>
    </xdr:from>
    <xdr:to>
      <xdr:col>18</xdr:col>
      <xdr:colOff>528462</xdr:colOff>
      <xdr:row>20</xdr:row>
      <xdr:rowOff>162303</xdr:rowOff>
    </xdr:to>
    <xdr:graphicFrame macro="">
      <xdr:nvGraphicFramePr>
        <xdr:cNvPr id="24" name="Chart 23">
          <a:extLst>
            <a:ext uri="{FF2B5EF4-FFF2-40B4-BE49-F238E27FC236}">
              <a16:creationId xmlns:a16="http://schemas.microsoft.com/office/drawing/2014/main" id="{F524A032-4CAB-432D-B1DB-D6FF04A76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595933</xdr:colOff>
      <xdr:row>3</xdr:row>
      <xdr:rowOff>77856</xdr:rowOff>
    </xdr:from>
    <xdr:to>
      <xdr:col>22</xdr:col>
      <xdr:colOff>529672</xdr:colOff>
      <xdr:row>11</xdr:row>
      <xdr:rowOff>135107</xdr:rowOff>
    </xdr:to>
    <xdr:grpSp>
      <xdr:nvGrpSpPr>
        <xdr:cNvPr id="25" name="Group 24">
          <a:extLst>
            <a:ext uri="{FF2B5EF4-FFF2-40B4-BE49-F238E27FC236}">
              <a16:creationId xmlns:a16="http://schemas.microsoft.com/office/drawing/2014/main" id="{79341D3B-F527-4DAA-A834-810A3AB377A5}"/>
            </a:ext>
          </a:extLst>
        </xdr:cNvPr>
        <xdr:cNvGrpSpPr/>
      </xdr:nvGrpSpPr>
      <xdr:grpSpPr>
        <a:xfrm>
          <a:off x="14870733" y="636656"/>
          <a:ext cx="1762539" cy="1536801"/>
          <a:chOff x="157370" y="0"/>
          <a:chExt cx="1772479" cy="1581251"/>
        </a:xfrm>
      </xdr:grpSpPr>
      <xdr:sp macro="" textlink="">
        <xdr:nvSpPr>
          <xdr:cNvPr id="26" name="TextBox 3">
            <a:extLst>
              <a:ext uri="{FF2B5EF4-FFF2-40B4-BE49-F238E27FC236}">
                <a16:creationId xmlns:a16="http://schemas.microsoft.com/office/drawing/2014/main" id="{3D730C5B-E798-4C1F-9B45-A79ACDA781D2}"/>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27" name="Group 50">
            <a:extLst>
              <a:ext uri="{FF2B5EF4-FFF2-40B4-BE49-F238E27FC236}">
                <a16:creationId xmlns:a16="http://schemas.microsoft.com/office/drawing/2014/main" id="{48629BCC-C7B5-4AA4-96CC-02216BDB08BF}"/>
              </a:ext>
            </a:extLst>
          </xdr:cNvPr>
          <xdr:cNvGrpSpPr/>
        </xdr:nvGrpSpPr>
        <xdr:grpSpPr>
          <a:xfrm>
            <a:off x="258505" y="139686"/>
            <a:ext cx="315534" cy="716384"/>
            <a:chOff x="258505" y="139686"/>
            <a:chExt cx="315534" cy="716384"/>
          </a:xfrm>
        </xdr:grpSpPr>
        <xdr:sp macro="" textlink="">
          <xdr:nvSpPr>
            <xdr:cNvPr id="45" name="Rectangle 44">
              <a:extLst>
                <a:ext uri="{FF2B5EF4-FFF2-40B4-BE49-F238E27FC236}">
                  <a16:creationId xmlns:a16="http://schemas.microsoft.com/office/drawing/2014/main" id="{7BB7F134-4520-4450-BEDB-8E91AD4E9CCE}"/>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46" name="Rectangle 45">
              <a:extLst>
                <a:ext uri="{FF2B5EF4-FFF2-40B4-BE49-F238E27FC236}">
                  <a16:creationId xmlns:a16="http://schemas.microsoft.com/office/drawing/2014/main" id="{64709694-B714-4DA5-950B-C54A5BAADD87}"/>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28" name="Diamond 27">
            <a:extLst>
              <a:ext uri="{FF2B5EF4-FFF2-40B4-BE49-F238E27FC236}">
                <a16:creationId xmlns:a16="http://schemas.microsoft.com/office/drawing/2014/main" id="{D9754F56-63E8-452A-A81B-6AD501A6C0F9}"/>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29" name="Minus 5">
            <a:extLst>
              <a:ext uri="{FF2B5EF4-FFF2-40B4-BE49-F238E27FC236}">
                <a16:creationId xmlns:a16="http://schemas.microsoft.com/office/drawing/2014/main" id="{AC65512B-3749-4E38-A3E1-FA6152AA52CA}"/>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30" name="Group 53">
            <a:extLst>
              <a:ext uri="{FF2B5EF4-FFF2-40B4-BE49-F238E27FC236}">
                <a16:creationId xmlns:a16="http://schemas.microsoft.com/office/drawing/2014/main" id="{C9B89066-457B-478C-9D8E-55AAC6D45A7D}"/>
              </a:ext>
            </a:extLst>
          </xdr:cNvPr>
          <xdr:cNvGrpSpPr/>
        </xdr:nvGrpSpPr>
        <xdr:grpSpPr>
          <a:xfrm>
            <a:off x="681311" y="63487"/>
            <a:ext cx="842667" cy="182217"/>
            <a:chOff x="681311" y="63487"/>
            <a:chExt cx="842667" cy="182217"/>
          </a:xfrm>
        </xdr:grpSpPr>
        <xdr:sp macro="" textlink="">
          <xdr:nvSpPr>
            <xdr:cNvPr id="43" name="Straight Arrow Connector 42">
              <a:extLst>
                <a:ext uri="{FF2B5EF4-FFF2-40B4-BE49-F238E27FC236}">
                  <a16:creationId xmlns:a16="http://schemas.microsoft.com/office/drawing/2014/main" id="{021EB9A5-DCF9-4D86-B882-41DAF314778B}"/>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44" name="Rectangle 43">
              <a:extLst>
                <a:ext uri="{FF2B5EF4-FFF2-40B4-BE49-F238E27FC236}">
                  <a16:creationId xmlns:a16="http://schemas.microsoft.com/office/drawing/2014/main" id="{18983A31-6BCD-498D-9FF8-11B76D5CD06D}"/>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31" name="Group 54">
            <a:extLst>
              <a:ext uri="{FF2B5EF4-FFF2-40B4-BE49-F238E27FC236}">
                <a16:creationId xmlns:a16="http://schemas.microsoft.com/office/drawing/2014/main" id="{A374B082-3694-4946-906D-9E24D83ABB49}"/>
              </a:ext>
            </a:extLst>
          </xdr:cNvPr>
          <xdr:cNvGrpSpPr/>
        </xdr:nvGrpSpPr>
        <xdr:grpSpPr>
          <a:xfrm>
            <a:off x="673028" y="406771"/>
            <a:ext cx="991778" cy="173014"/>
            <a:chOff x="673028" y="406771"/>
            <a:chExt cx="991778" cy="173014"/>
          </a:xfrm>
        </xdr:grpSpPr>
        <xdr:sp macro="" textlink="">
          <xdr:nvSpPr>
            <xdr:cNvPr id="41" name="Straight Arrow Connector 40">
              <a:extLst>
                <a:ext uri="{FF2B5EF4-FFF2-40B4-BE49-F238E27FC236}">
                  <a16:creationId xmlns:a16="http://schemas.microsoft.com/office/drawing/2014/main" id="{9C98F09C-1D00-4C98-BE38-1989AED76E93}"/>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42" name="Rectangle 41">
              <a:extLst>
                <a:ext uri="{FF2B5EF4-FFF2-40B4-BE49-F238E27FC236}">
                  <a16:creationId xmlns:a16="http://schemas.microsoft.com/office/drawing/2014/main" id="{DAEAD564-06FD-4033-94F2-676119B70CE3}"/>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32" name="Group 55">
            <a:extLst>
              <a:ext uri="{FF2B5EF4-FFF2-40B4-BE49-F238E27FC236}">
                <a16:creationId xmlns:a16="http://schemas.microsoft.com/office/drawing/2014/main" id="{75287FAB-D3F3-43B0-A641-2E60A4619280}"/>
              </a:ext>
            </a:extLst>
          </xdr:cNvPr>
          <xdr:cNvGrpSpPr/>
        </xdr:nvGrpSpPr>
        <xdr:grpSpPr>
          <a:xfrm>
            <a:off x="673028" y="767511"/>
            <a:ext cx="850948" cy="182217"/>
            <a:chOff x="673028" y="767511"/>
            <a:chExt cx="850948" cy="182217"/>
          </a:xfrm>
        </xdr:grpSpPr>
        <xdr:sp macro="" textlink="">
          <xdr:nvSpPr>
            <xdr:cNvPr id="39" name="Straight Arrow Connector 38">
              <a:extLst>
                <a:ext uri="{FF2B5EF4-FFF2-40B4-BE49-F238E27FC236}">
                  <a16:creationId xmlns:a16="http://schemas.microsoft.com/office/drawing/2014/main" id="{5D5B7302-C62E-4E20-B382-4096A225E394}"/>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40" name="Rectangle 39">
              <a:extLst>
                <a:ext uri="{FF2B5EF4-FFF2-40B4-BE49-F238E27FC236}">
                  <a16:creationId xmlns:a16="http://schemas.microsoft.com/office/drawing/2014/main" id="{EF98D190-D027-4462-B9EC-AD9BE4BBAE1C}"/>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33" name="Group 56">
            <a:extLst>
              <a:ext uri="{FF2B5EF4-FFF2-40B4-BE49-F238E27FC236}">
                <a16:creationId xmlns:a16="http://schemas.microsoft.com/office/drawing/2014/main" id="{A1FC20CD-C479-4E00-A821-F37F498AF25E}"/>
              </a:ext>
            </a:extLst>
          </xdr:cNvPr>
          <xdr:cNvGrpSpPr/>
        </xdr:nvGrpSpPr>
        <xdr:grpSpPr>
          <a:xfrm>
            <a:off x="673028" y="1281031"/>
            <a:ext cx="1256821" cy="193275"/>
            <a:chOff x="673028" y="1281031"/>
            <a:chExt cx="1256821" cy="193275"/>
          </a:xfrm>
        </xdr:grpSpPr>
        <xdr:sp macro="" textlink="">
          <xdr:nvSpPr>
            <xdr:cNvPr id="37" name="Straight Arrow Connector 36">
              <a:extLst>
                <a:ext uri="{FF2B5EF4-FFF2-40B4-BE49-F238E27FC236}">
                  <a16:creationId xmlns:a16="http://schemas.microsoft.com/office/drawing/2014/main" id="{4E465006-CD3D-42D4-A495-BB89A771D1E9}"/>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17">
          <xdr:nvSpPr>
            <xdr:cNvPr id="38" name="Rectangle 37">
              <a:extLst>
                <a:ext uri="{FF2B5EF4-FFF2-40B4-BE49-F238E27FC236}">
                  <a16:creationId xmlns:a16="http://schemas.microsoft.com/office/drawing/2014/main" id="{0CCBCAC6-AD38-4DF8-A241-BBCBA661D796}"/>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34" name="Group 57">
            <a:extLst>
              <a:ext uri="{FF2B5EF4-FFF2-40B4-BE49-F238E27FC236}">
                <a16:creationId xmlns:a16="http://schemas.microsoft.com/office/drawing/2014/main" id="{AABA95FC-7734-45D7-A9FA-6456B005A7DC}"/>
              </a:ext>
            </a:extLst>
          </xdr:cNvPr>
          <xdr:cNvGrpSpPr/>
        </xdr:nvGrpSpPr>
        <xdr:grpSpPr>
          <a:xfrm>
            <a:off x="673028" y="1015988"/>
            <a:ext cx="901165" cy="182217"/>
            <a:chOff x="673028" y="1015988"/>
            <a:chExt cx="901165" cy="182217"/>
          </a:xfrm>
        </xdr:grpSpPr>
        <xdr:sp macro="" textlink="">
          <xdr:nvSpPr>
            <xdr:cNvPr id="35" name="Rectangle 34">
              <a:extLst>
                <a:ext uri="{FF2B5EF4-FFF2-40B4-BE49-F238E27FC236}">
                  <a16:creationId xmlns:a16="http://schemas.microsoft.com/office/drawing/2014/main" id="{F655FEF6-C41C-4AF7-9D33-9E3CF032DCD2}"/>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36" name="Straight Arrow Connector 35">
              <a:extLst>
                <a:ext uri="{FF2B5EF4-FFF2-40B4-BE49-F238E27FC236}">
                  <a16:creationId xmlns:a16="http://schemas.microsoft.com/office/drawing/2014/main" id="{CF9431DD-0FA8-4227-81BB-0CD0478F2653}"/>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15.xml><?xml version="1.0" encoding="utf-8"?>
<xdr:wsDr xmlns:xdr="http://schemas.openxmlformats.org/drawingml/2006/spreadsheetDrawing" xmlns:a="http://schemas.openxmlformats.org/drawingml/2006/main">
  <xdr:twoCellAnchor>
    <xdr:from>
      <xdr:col>8</xdr:col>
      <xdr:colOff>410816</xdr:colOff>
      <xdr:row>3</xdr:row>
      <xdr:rowOff>77027</xdr:rowOff>
    </xdr:from>
    <xdr:to>
      <xdr:col>16</xdr:col>
      <xdr:colOff>547512</xdr:colOff>
      <xdr:row>23</xdr:row>
      <xdr:rowOff>9524</xdr:rowOff>
    </xdr:to>
    <xdr:graphicFrame macro="">
      <xdr:nvGraphicFramePr>
        <xdr:cNvPr id="2" name="Chart 1">
          <a:extLst>
            <a:ext uri="{FF2B5EF4-FFF2-40B4-BE49-F238E27FC236}">
              <a16:creationId xmlns:a16="http://schemas.microsoft.com/office/drawing/2014/main" id="{B2938114-CF70-404C-96D8-D4F662BBD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161925</xdr:colOff>
      <xdr:row>3</xdr:row>
      <xdr:rowOff>9525</xdr:rowOff>
    </xdr:from>
    <xdr:to>
      <xdr:col>25</xdr:col>
      <xdr:colOff>298621</xdr:colOff>
      <xdr:row>22</xdr:row>
      <xdr:rowOff>27747</xdr:rowOff>
    </xdr:to>
    <xdr:graphicFrame macro="">
      <xdr:nvGraphicFramePr>
        <xdr:cNvPr id="3" name="Chart 2">
          <a:extLst>
            <a:ext uri="{FF2B5EF4-FFF2-40B4-BE49-F238E27FC236}">
              <a16:creationId xmlns:a16="http://schemas.microsoft.com/office/drawing/2014/main" id="{A6ACBF46-8EBD-46E2-B886-DE8A46F5F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8</xdr:col>
      <xdr:colOff>77441</xdr:colOff>
      <xdr:row>3</xdr:row>
      <xdr:rowOff>29403</xdr:rowOff>
    </xdr:from>
    <xdr:to>
      <xdr:col>16</xdr:col>
      <xdr:colOff>214137</xdr:colOff>
      <xdr:row>22</xdr:row>
      <xdr:rowOff>9903</xdr:rowOff>
    </xdr:to>
    <xdr:graphicFrame macro="">
      <xdr:nvGraphicFramePr>
        <xdr:cNvPr id="2" name="Chart 1">
          <a:extLst>
            <a:ext uri="{FF2B5EF4-FFF2-40B4-BE49-F238E27FC236}">
              <a16:creationId xmlns:a16="http://schemas.microsoft.com/office/drawing/2014/main" id="{9B83F41C-EF53-4855-AC19-0CC029F15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4</xdr:row>
      <xdr:rowOff>115956</xdr:rowOff>
    </xdr:from>
    <xdr:to>
      <xdr:col>20</xdr:col>
      <xdr:colOff>215347</xdr:colOff>
      <xdr:row>12</xdr:row>
      <xdr:rowOff>173207</xdr:rowOff>
    </xdr:to>
    <xdr:grpSp>
      <xdr:nvGrpSpPr>
        <xdr:cNvPr id="3" name="Group 2">
          <a:extLst>
            <a:ext uri="{FF2B5EF4-FFF2-40B4-BE49-F238E27FC236}">
              <a16:creationId xmlns:a16="http://schemas.microsoft.com/office/drawing/2014/main" id="{6F0B2841-D9A7-45AF-B5BE-451EE35BB0D4}"/>
            </a:ext>
          </a:extLst>
        </xdr:cNvPr>
        <xdr:cNvGrpSpPr/>
      </xdr:nvGrpSpPr>
      <xdr:grpSpPr>
        <a:xfrm>
          <a:off x="13337208" y="865256"/>
          <a:ext cx="1762539" cy="1530451"/>
          <a:chOff x="157370" y="0"/>
          <a:chExt cx="1772479" cy="1581251"/>
        </a:xfrm>
      </xdr:grpSpPr>
      <xdr:sp macro="" textlink="">
        <xdr:nvSpPr>
          <xdr:cNvPr id="4" name="TextBox 3">
            <a:extLst>
              <a:ext uri="{FF2B5EF4-FFF2-40B4-BE49-F238E27FC236}">
                <a16:creationId xmlns:a16="http://schemas.microsoft.com/office/drawing/2014/main" id="{E3AF3E0D-898E-E2F4-13E3-F3073D78F56C}"/>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B6166FEF-6758-E110-8CC4-AF7F065F2A3F}"/>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C0ADE285-2116-FC1D-4390-27DDCA799F54}"/>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34CF2DA2-7DAA-F2D1-D386-47939BF25A1F}"/>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A60AEBFE-2ABB-02F1-FBA6-58634FAFACF5}"/>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425B6517-D6BB-8FEA-FCBE-C1B218A5DD96}"/>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34990510-70B3-15DA-890D-96ED36612848}"/>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4C3AD959-0334-065A-5268-1EDDA7209991}"/>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29DF3638-768D-18CD-48A1-48A2E66072D7}"/>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EC9F1EAE-0509-C0FD-445F-494209AF8D0F}"/>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A3E28459-EA32-F398-8CA1-3BDDC19AD606}"/>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75B18161-F3A4-AF5D-3E3C-229A9D7F0BAB}"/>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B84C4811-8D61-BAA5-3165-63B2FD988D29}"/>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12E0395D-0634-88F1-3DC9-7A2ED3AFCC6C}"/>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6A737A41-B029-7DB7-29D0-96F0CCFA6502}"/>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38CE7A15-1BFD-E9E3-DEE3-C4CEC8E08005}"/>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7EE0D4D4-AAA9-B384-22AF-E95446650E18}"/>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17">
          <xdr:nvSpPr>
            <xdr:cNvPr id="16" name="Rectangle 15">
              <a:extLst>
                <a:ext uri="{FF2B5EF4-FFF2-40B4-BE49-F238E27FC236}">
                  <a16:creationId xmlns:a16="http://schemas.microsoft.com/office/drawing/2014/main" id="{75A57BD3-3939-7C32-2DA1-62F4110E6640}"/>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 </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CF789F94-3782-1B7E-534F-648A999A977B}"/>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0FDBEBCF-B23B-760C-FE1E-99229C4C08D5}"/>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B3D1206B-6409-E589-EE7B-A40A49926C9F}"/>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drawings/drawing17.xml><?xml version="1.0" encoding="utf-8"?>
<xdr:wsDr xmlns:xdr="http://schemas.openxmlformats.org/drawingml/2006/spreadsheetDrawing" xmlns:a="http://schemas.openxmlformats.org/drawingml/2006/main">
  <xdr:twoCellAnchor>
    <xdr:from>
      <xdr:col>6</xdr:col>
      <xdr:colOff>248891</xdr:colOff>
      <xdr:row>3</xdr:row>
      <xdr:rowOff>258003</xdr:rowOff>
    </xdr:from>
    <xdr:to>
      <xdr:col>14</xdr:col>
      <xdr:colOff>385587</xdr:colOff>
      <xdr:row>23</xdr:row>
      <xdr:rowOff>48003</xdr:rowOff>
    </xdr:to>
    <xdr:graphicFrame macro="">
      <xdr:nvGraphicFramePr>
        <xdr:cNvPr id="2" name="Chart 1">
          <a:extLst>
            <a:ext uri="{FF2B5EF4-FFF2-40B4-BE49-F238E27FC236}">
              <a16:creationId xmlns:a16="http://schemas.microsoft.com/office/drawing/2014/main" id="{106886CA-918E-455B-9F98-93749D9B0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281608</xdr:colOff>
      <xdr:row>4</xdr:row>
      <xdr:rowOff>115956</xdr:rowOff>
    </xdr:from>
    <xdr:to>
      <xdr:col>17</xdr:col>
      <xdr:colOff>215347</xdr:colOff>
      <xdr:row>12</xdr:row>
      <xdr:rowOff>173207</xdr:rowOff>
    </xdr:to>
    <xdr:grpSp>
      <xdr:nvGrpSpPr>
        <xdr:cNvPr id="3" name="Group 2">
          <a:extLst>
            <a:ext uri="{FF2B5EF4-FFF2-40B4-BE49-F238E27FC236}">
              <a16:creationId xmlns:a16="http://schemas.microsoft.com/office/drawing/2014/main" id="{CA31665E-3FFA-4893-B935-685B46F6DB9C}"/>
            </a:ext>
          </a:extLst>
        </xdr:cNvPr>
        <xdr:cNvGrpSpPr/>
      </xdr:nvGrpSpPr>
      <xdr:grpSpPr>
        <a:xfrm>
          <a:off x="11508408" y="865256"/>
          <a:ext cx="1762539" cy="1530451"/>
          <a:chOff x="157370" y="0"/>
          <a:chExt cx="1772479" cy="1581251"/>
        </a:xfrm>
      </xdr:grpSpPr>
      <xdr:sp macro="" textlink="">
        <xdr:nvSpPr>
          <xdr:cNvPr id="4" name="TextBox 3">
            <a:extLst>
              <a:ext uri="{FF2B5EF4-FFF2-40B4-BE49-F238E27FC236}">
                <a16:creationId xmlns:a16="http://schemas.microsoft.com/office/drawing/2014/main" id="{2E009739-01D9-47E9-9E9E-601D50D5B985}"/>
              </a:ext>
            </a:extLst>
          </xdr:cNvPr>
          <xdr:cNvSpPr txBox="1"/>
        </xdr:nvSpPr>
        <xdr:spPr>
          <a:xfrm>
            <a:off x="157370" y="0"/>
            <a:ext cx="1722785" cy="1581251"/>
          </a:xfrm>
          <a:prstGeom prst="rect">
            <a:avLst/>
          </a:prstGeom>
          <a:solidFill>
            <a:sysClr val="window" lastClr="FFFFFF"/>
          </a:solidFill>
          <a:ln>
            <a:solidFill>
              <a:srgbClr val="6A747C"/>
            </a:solidFill>
          </a:ln>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pPr marL="594360">
              <a:spcBef>
                <a:spcPts val="0"/>
              </a:spcBef>
            </a:pPr>
            <a:endParaRPr lang="en-US" sz="900">
              <a:latin typeface="Tahoma" pitchFamily="34" charset="0"/>
              <a:cs typeface="Tahoma" pitchFamily="34" charset="0"/>
            </a:endParaRPr>
          </a:p>
          <a:p>
            <a:pPr marL="594360">
              <a:spcBef>
                <a:spcPts val="0"/>
              </a:spcBef>
            </a:pPr>
            <a:r>
              <a:rPr lang="en-US" sz="900">
                <a:latin typeface="Tahoma" pitchFamily="34" charset="0"/>
                <a:cs typeface="Tahoma" pitchFamily="34" charset="0"/>
              </a:rPr>
              <a:t>	</a:t>
            </a:r>
          </a:p>
          <a:p>
            <a:endParaRPr lang="en-US" sz="900">
              <a:latin typeface="Tahoma" pitchFamily="34" charset="0"/>
              <a:cs typeface="Tahoma" pitchFamily="34" charset="0"/>
            </a:endParaRPr>
          </a:p>
        </xdr:txBody>
      </xdr:sp>
      <xdr:grpSp>
        <xdr:nvGrpSpPr>
          <xdr:cNvPr id="5" name="Group 50">
            <a:extLst>
              <a:ext uri="{FF2B5EF4-FFF2-40B4-BE49-F238E27FC236}">
                <a16:creationId xmlns:a16="http://schemas.microsoft.com/office/drawing/2014/main" id="{07F66A3D-BD4B-4EB3-9BE0-DD3EDF792449}"/>
              </a:ext>
            </a:extLst>
          </xdr:cNvPr>
          <xdr:cNvGrpSpPr/>
        </xdr:nvGrpSpPr>
        <xdr:grpSpPr>
          <a:xfrm>
            <a:off x="258505" y="139686"/>
            <a:ext cx="315534" cy="716384"/>
            <a:chOff x="258505" y="139686"/>
            <a:chExt cx="315534" cy="716384"/>
          </a:xfrm>
        </xdr:grpSpPr>
        <xdr:sp macro="" textlink="">
          <xdr:nvSpPr>
            <xdr:cNvPr id="23" name="Rectangle 22">
              <a:extLst>
                <a:ext uri="{FF2B5EF4-FFF2-40B4-BE49-F238E27FC236}">
                  <a16:creationId xmlns:a16="http://schemas.microsoft.com/office/drawing/2014/main" id="{F1CE30A7-BE46-424A-8EE2-0D5B43552B32}"/>
                </a:ext>
              </a:extLst>
            </xdr:cNvPr>
            <xdr:cNvSpPr/>
          </xdr:nvSpPr>
          <xdr:spPr>
            <a:xfrm>
              <a:off x="258505" y="486713"/>
              <a:ext cx="315534" cy="369357"/>
            </a:xfrm>
            <a:prstGeom prst="rect">
              <a:avLst/>
            </a:prstGeom>
            <a:solidFill>
              <a:srgbClr val="002957"/>
            </a:solidFill>
            <a:ln w="3175" cap="flat" cmpd="sng" algn="ctr">
              <a:solidFill>
                <a:srgbClr val="002957"/>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sp macro="" textlink="">
          <xdr:nvSpPr>
            <xdr:cNvPr id="24" name="Rectangle 23">
              <a:extLst>
                <a:ext uri="{FF2B5EF4-FFF2-40B4-BE49-F238E27FC236}">
                  <a16:creationId xmlns:a16="http://schemas.microsoft.com/office/drawing/2014/main" id="{FD94B9D3-35AE-4A13-ADFA-4513DD441E43}"/>
                </a:ext>
              </a:extLst>
            </xdr:cNvPr>
            <xdr:cNvSpPr/>
          </xdr:nvSpPr>
          <xdr:spPr>
            <a:xfrm>
              <a:off x="258505" y="139686"/>
              <a:ext cx="315534" cy="369357"/>
            </a:xfrm>
            <a:prstGeom prst="rect">
              <a:avLst/>
            </a:prstGeom>
            <a:solidFill>
              <a:schemeClr val="tx2">
                <a:lumMod val="20000"/>
                <a:lumOff val="80000"/>
              </a:schemeClr>
            </a:solidFill>
            <a:ln w="3175" cap="flat" cmpd="sng" algn="ctr">
              <a:solidFill>
                <a:schemeClr val="tx2">
                  <a:lumMod val="20000"/>
                  <a:lumOff val="80000"/>
                </a:schemeClr>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sz="900"/>
            </a:p>
          </xdr:txBody>
        </xdr:sp>
      </xdr:grpSp>
      <xdr:sp macro="" textlink="">
        <xdr:nvSpPr>
          <xdr:cNvPr id="6" name="Diamond 5">
            <a:extLst>
              <a:ext uri="{FF2B5EF4-FFF2-40B4-BE49-F238E27FC236}">
                <a16:creationId xmlns:a16="http://schemas.microsoft.com/office/drawing/2014/main" id="{E345DD8C-0377-4C98-87A8-A39E41666E30}"/>
              </a:ext>
            </a:extLst>
          </xdr:cNvPr>
          <xdr:cNvSpPr/>
        </xdr:nvSpPr>
        <xdr:spPr>
          <a:xfrm>
            <a:off x="336156" y="1302755"/>
            <a:ext cx="180000" cy="180000"/>
          </a:xfrm>
          <a:prstGeom prst="diamond">
            <a:avLst/>
          </a:prstGeom>
          <a:solidFill>
            <a:srgbClr val="F0531E"/>
          </a:solidFill>
          <a:ln w="9525" cap="flat" cmpd="sng" algn="ctr">
            <a:solidFill>
              <a:srgbClr val="F0531E"/>
            </a:solidFill>
            <a:prstDash val="solid"/>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endParaRPr lang="en-US" sz="1100"/>
          </a:p>
        </xdr:txBody>
      </xdr:sp>
      <xdr:sp macro="" textlink="">
        <xdr:nvSpPr>
          <xdr:cNvPr id="7" name="Minus 5">
            <a:extLst>
              <a:ext uri="{FF2B5EF4-FFF2-40B4-BE49-F238E27FC236}">
                <a16:creationId xmlns:a16="http://schemas.microsoft.com/office/drawing/2014/main" id="{B53C17AF-5269-4B4C-9417-575926F35A8B}"/>
              </a:ext>
            </a:extLst>
          </xdr:cNvPr>
          <xdr:cNvSpPr/>
        </xdr:nvSpPr>
        <xdr:spPr>
          <a:xfrm>
            <a:off x="254751" y="1049078"/>
            <a:ext cx="323043" cy="116036"/>
          </a:xfrm>
          <a:prstGeom prst="mathMinus">
            <a:avLst/>
          </a:prstGeom>
          <a:solidFill>
            <a:srgbClr val="AFABAB"/>
          </a:solidFill>
          <a:ln w="3175">
            <a:solidFill>
              <a:srgbClr val="AFABAB"/>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US"/>
          </a:p>
        </xdr:txBody>
      </xdr:sp>
      <xdr:grpSp>
        <xdr:nvGrpSpPr>
          <xdr:cNvPr id="8" name="Group 53">
            <a:extLst>
              <a:ext uri="{FF2B5EF4-FFF2-40B4-BE49-F238E27FC236}">
                <a16:creationId xmlns:a16="http://schemas.microsoft.com/office/drawing/2014/main" id="{30C5360E-AF03-416D-B86C-492E34529ED2}"/>
              </a:ext>
            </a:extLst>
          </xdr:cNvPr>
          <xdr:cNvGrpSpPr/>
        </xdr:nvGrpSpPr>
        <xdr:grpSpPr>
          <a:xfrm>
            <a:off x="681311" y="63487"/>
            <a:ext cx="842667" cy="182217"/>
            <a:chOff x="681311" y="63487"/>
            <a:chExt cx="842667" cy="182217"/>
          </a:xfrm>
        </xdr:grpSpPr>
        <xdr:sp macro="" textlink="">
          <xdr:nvSpPr>
            <xdr:cNvPr id="21" name="Straight Arrow Connector 20">
              <a:extLst>
                <a:ext uri="{FF2B5EF4-FFF2-40B4-BE49-F238E27FC236}">
                  <a16:creationId xmlns:a16="http://schemas.microsoft.com/office/drawing/2014/main" id="{3BD7B78C-72B2-4021-9B73-01BD793D836D}"/>
                </a:ext>
              </a:extLst>
            </xdr:cNvPr>
            <xdr:cNvSpPr/>
          </xdr:nvSpPr>
          <xdr:spPr>
            <a:xfrm>
              <a:off x="681311" y="154595"/>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2" name="Rectangle 21">
              <a:extLst>
                <a:ext uri="{FF2B5EF4-FFF2-40B4-BE49-F238E27FC236}">
                  <a16:creationId xmlns:a16="http://schemas.microsoft.com/office/drawing/2014/main" id="{D4D25A17-A28B-4361-A039-209B08985AAB}"/>
                </a:ext>
              </a:extLst>
            </xdr:cNvPr>
            <xdr:cNvSpPr/>
          </xdr:nvSpPr>
          <xdr:spPr>
            <a:xfrm>
              <a:off x="952478" y="63487"/>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P75</a:t>
              </a:r>
            </a:p>
          </xdr:txBody>
        </xdr:sp>
      </xdr:grpSp>
      <xdr:grpSp>
        <xdr:nvGrpSpPr>
          <xdr:cNvPr id="9" name="Group 54">
            <a:extLst>
              <a:ext uri="{FF2B5EF4-FFF2-40B4-BE49-F238E27FC236}">
                <a16:creationId xmlns:a16="http://schemas.microsoft.com/office/drawing/2014/main" id="{308674A7-F87B-43E9-9A89-DCAD15D8F63D}"/>
              </a:ext>
            </a:extLst>
          </xdr:cNvPr>
          <xdr:cNvGrpSpPr/>
        </xdr:nvGrpSpPr>
        <xdr:grpSpPr>
          <a:xfrm>
            <a:off x="673028" y="406771"/>
            <a:ext cx="991778" cy="173014"/>
            <a:chOff x="673028" y="406771"/>
            <a:chExt cx="991778" cy="173014"/>
          </a:xfrm>
        </xdr:grpSpPr>
        <xdr:sp macro="" textlink="">
          <xdr:nvSpPr>
            <xdr:cNvPr id="19" name="Straight Arrow Connector 18">
              <a:extLst>
                <a:ext uri="{FF2B5EF4-FFF2-40B4-BE49-F238E27FC236}">
                  <a16:creationId xmlns:a16="http://schemas.microsoft.com/office/drawing/2014/main" id="{572D84AD-1C37-4938-B873-34B63257B2A8}"/>
                </a:ext>
              </a:extLst>
            </xdr:cNvPr>
            <xdr:cNvSpPr/>
          </xdr:nvSpPr>
          <xdr:spPr>
            <a:xfrm>
              <a:off x="673028" y="497878"/>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20" name="Rectangle 19">
              <a:extLst>
                <a:ext uri="{FF2B5EF4-FFF2-40B4-BE49-F238E27FC236}">
                  <a16:creationId xmlns:a16="http://schemas.microsoft.com/office/drawing/2014/main" id="{ADA9D8C1-F568-44D3-91D8-6BACD4E32E69}"/>
                </a:ext>
              </a:extLst>
            </xdr:cNvPr>
            <xdr:cNvSpPr/>
          </xdr:nvSpPr>
          <xdr:spPr>
            <a:xfrm>
              <a:off x="944193" y="406771"/>
              <a:ext cx="720613" cy="1730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Median</a:t>
              </a:r>
            </a:p>
          </xdr:txBody>
        </xdr:sp>
      </xdr:grpSp>
      <xdr:grpSp>
        <xdr:nvGrpSpPr>
          <xdr:cNvPr id="10" name="Group 55">
            <a:extLst>
              <a:ext uri="{FF2B5EF4-FFF2-40B4-BE49-F238E27FC236}">
                <a16:creationId xmlns:a16="http://schemas.microsoft.com/office/drawing/2014/main" id="{99AAA5D2-2FFE-4489-B22E-4227EA39A81E}"/>
              </a:ext>
            </a:extLst>
          </xdr:cNvPr>
          <xdr:cNvGrpSpPr/>
        </xdr:nvGrpSpPr>
        <xdr:grpSpPr>
          <a:xfrm>
            <a:off x="673028" y="767511"/>
            <a:ext cx="850948" cy="182217"/>
            <a:chOff x="673028" y="767511"/>
            <a:chExt cx="850948" cy="182217"/>
          </a:xfrm>
        </xdr:grpSpPr>
        <xdr:sp macro="" textlink="">
          <xdr:nvSpPr>
            <xdr:cNvPr id="17" name="Straight Arrow Connector 16">
              <a:extLst>
                <a:ext uri="{FF2B5EF4-FFF2-40B4-BE49-F238E27FC236}">
                  <a16:creationId xmlns:a16="http://schemas.microsoft.com/office/drawing/2014/main" id="{AFAB8CED-36A7-4870-9A3C-A5DA7C02BD51}"/>
                </a:ext>
              </a:extLst>
            </xdr:cNvPr>
            <xdr:cNvSpPr/>
          </xdr:nvSpPr>
          <xdr:spPr>
            <a:xfrm>
              <a:off x="673028" y="85861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
          <xdr:nvSpPr>
            <xdr:cNvPr id="18" name="Rectangle 17">
              <a:extLst>
                <a:ext uri="{FF2B5EF4-FFF2-40B4-BE49-F238E27FC236}">
                  <a16:creationId xmlns:a16="http://schemas.microsoft.com/office/drawing/2014/main" id="{C75502F0-86C3-40F5-AC98-E9481FBB918C}"/>
                </a:ext>
              </a:extLst>
            </xdr:cNvPr>
            <xdr:cNvSpPr/>
          </xdr:nvSpPr>
          <xdr:spPr>
            <a:xfrm>
              <a:off x="952476" y="767511"/>
              <a:ext cx="5715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P25</a:t>
              </a:r>
            </a:p>
          </xdr:txBody>
        </xdr:sp>
      </xdr:grpSp>
      <xdr:grpSp>
        <xdr:nvGrpSpPr>
          <xdr:cNvPr id="11" name="Group 56">
            <a:extLst>
              <a:ext uri="{FF2B5EF4-FFF2-40B4-BE49-F238E27FC236}">
                <a16:creationId xmlns:a16="http://schemas.microsoft.com/office/drawing/2014/main" id="{F74575C6-56F6-4D04-8A3D-57E5966B3563}"/>
              </a:ext>
            </a:extLst>
          </xdr:cNvPr>
          <xdr:cNvGrpSpPr/>
        </xdr:nvGrpSpPr>
        <xdr:grpSpPr>
          <a:xfrm>
            <a:off x="673028" y="1281031"/>
            <a:ext cx="1256821" cy="193275"/>
            <a:chOff x="673028" y="1281031"/>
            <a:chExt cx="1256821" cy="193275"/>
          </a:xfrm>
        </xdr:grpSpPr>
        <xdr:sp macro="" textlink="">
          <xdr:nvSpPr>
            <xdr:cNvPr id="15" name="Straight Arrow Connector 14">
              <a:extLst>
                <a:ext uri="{FF2B5EF4-FFF2-40B4-BE49-F238E27FC236}">
                  <a16:creationId xmlns:a16="http://schemas.microsoft.com/office/drawing/2014/main" id="{FA491711-BAF1-4D71-9D17-611D6E950F01}"/>
                </a:ext>
              </a:extLst>
            </xdr:cNvPr>
            <xdr:cNvSpPr/>
          </xdr:nvSpPr>
          <xdr:spPr>
            <a:xfrm>
              <a:off x="673028" y="1372139"/>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sp macro="" textlink="$B$17">
          <xdr:nvSpPr>
            <xdr:cNvPr id="16" name="Rectangle 15">
              <a:extLst>
                <a:ext uri="{FF2B5EF4-FFF2-40B4-BE49-F238E27FC236}">
                  <a16:creationId xmlns:a16="http://schemas.microsoft.com/office/drawing/2014/main" id="{B07FB2A7-53F2-4FF6-9741-F69951FD2A34}"/>
                </a:ext>
              </a:extLst>
            </xdr:cNvPr>
            <xdr:cNvSpPr/>
          </xdr:nvSpPr>
          <xdr:spPr>
            <a:xfrm>
              <a:off x="952476" y="1281031"/>
              <a:ext cx="977373" cy="193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fld id="{733AD96D-FDAF-469A-A529-FD0621637C5F}" type="TxLink">
                <a:rPr lang="en-US" sz="1000" b="0" i="0" u="none" strike="noStrike">
                  <a:solidFill>
                    <a:srgbClr val="000000"/>
                  </a:solidFill>
                  <a:latin typeface="Calibri Light" panose="020F0302020204030204" pitchFamily="34" charset="0"/>
                  <a:ea typeface="Tahoma"/>
                  <a:cs typeface="Calibri Light" panose="020F0302020204030204" pitchFamily="34" charset="0"/>
                </a:rPr>
                <a:pPr/>
                <a:t>Hudbay Minerals Inc.</a:t>
              </a:fld>
              <a:endParaRPr lang="en-US" sz="1000">
                <a:solidFill>
                  <a:schemeClr val="tx1"/>
                </a:solidFill>
                <a:latin typeface="Calibri Light" panose="020F0302020204030204" pitchFamily="34" charset="0"/>
                <a:ea typeface="Tahoma" pitchFamily="34" charset="0"/>
                <a:cs typeface="Calibri Light" panose="020F0302020204030204" pitchFamily="34" charset="0"/>
              </a:endParaRPr>
            </a:p>
          </xdr:txBody>
        </xdr:sp>
      </xdr:grpSp>
      <xdr:grpSp>
        <xdr:nvGrpSpPr>
          <xdr:cNvPr id="12" name="Group 57">
            <a:extLst>
              <a:ext uri="{FF2B5EF4-FFF2-40B4-BE49-F238E27FC236}">
                <a16:creationId xmlns:a16="http://schemas.microsoft.com/office/drawing/2014/main" id="{BD1F70AE-DB21-4DD4-A680-E97BBF0350ED}"/>
              </a:ext>
            </a:extLst>
          </xdr:cNvPr>
          <xdr:cNvGrpSpPr/>
        </xdr:nvGrpSpPr>
        <xdr:grpSpPr>
          <a:xfrm>
            <a:off x="673028" y="1015988"/>
            <a:ext cx="901165" cy="182217"/>
            <a:chOff x="673028" y="1015988"/>
            <a:chExt cx="901165" cy="182217"/>
          </a:xfrm>
        </xdr:grpSpPr>
        <xdr:sp macro="" textlink="">
          <xdr:nvSpPr>
            <xdr:cNvPr id="13" name="Rectangle 12">
              <a:extLst>
                <a:ext uri="{FF2B5EF4-FFF2-40B4-BE49-F238E27FC236}">
                  <a16:creationId xmlns:a16="http://schemas.microsoft.com/office/drawing/2014/main" id="{BC9042D3-03C1-42B3-997F-88F47B16B72D}"/>
                </a:ext>
              </a:extLst>
            </xdr:cNvPr>
            <xdr:cNvSpPr/>
          </xdr:nvSpPr>
          <xdr:spPr>
            <a:xfrm>
              <a:off x="944193" y="1015988"/>
              <a:ext cx="630000" cy="18221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sz="1000">
                  <a:solidFill>
                    <a:schemeClr val="tx1"/>
                  </a:solidFill>
                  <a:latin typeface="Calibri Light" panose="020F0302020204030204" pitchFamily="34" charset="0"/>
                  <a:ea typeface="Tahoma" pitchFamily="34" charset="0"/>
                  <a:cs typeface="Calibri Light" panose="020F0302020204030204" pitchFamily="34" charset="0"/>
                </a:rPr>
                <a:t>Average</a:t>
              </a:r>
            </a:p>
          </xdr:txBody>
        </xdr:sp>
        <xdr:sp macro="" textlink="">
          <xdr:nvSpPr>
            <xdr:cNvPr id="14" name="Straight Arrow Connector 13">
              <a:extLst>
                <a:ext uri="{FF2B5EF4-FFF2-40B4-BE49-F238E27FC236}">
                  <a16:creationId xmlns:a16="http://schemas.microsoft.com/office/drawing/2014/main" id="{E594DAF7-E0B3-42B2-87A6-664B1AA79583}"/>
                </a:ext>
              </a:extLst>
            </xdr:cNvPr>
            <xdr:cNvSpPr/>
          </xdr:nvSpPr>
          <xdr:spPr>
            <a:xfrm>
              <a:off x="673028" y="1107096"/>
              <a:ext cx="210356" cy="0"/>
            </a:xfrm>
            <a:prstGeom prst="straightConnector1">
              <a:avLst/>
            </a:prstGeom>
            <a:noFill/>
            <a:ln w="9525" cap="flat" cmpd="sng" algn="ctr">
              <a:solidFill>
                <a:srgbClr val="6A747C"/>
              </a:solidFill>
              <a:prstDash val="solid"/>
              <a:tailEnd type="triangle"/>
            </a:ln>
            <a:effectLst/>
          </xdr:spPr>
          <xdr:style>
            <a:lnRef idx="1">
              <a:schemeClr val="accent1"/>
            </a:lnRef>
            <a:fillRef idx="0">
              <a:schemeClr val="accent1"/>
            </a:fillRef>
            <a:effectRef idx="0">
              <a:schemeClr val="accent1"/>
            </a:effectRef>
            <a:fontRef idx="minor">
              <a:schemeClr val="tx1"/>
            </a:fontRef>
          </xdr:style>
          <xdr:txBody>
            <a:bodyPr wrap="square"/>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endParaRPr lang="en-US" sz="900"/>
            </a:p>
          </xdr:txBody>
        </xdr:sp>
      </xdr:grpSp>
    </xdr:grpSp>
    <xdr:clientData/>
  </xdr:twoCellAnchor>
</xdr:wsDr>
</file>

<file path=xl/persons/person.xml><?xml version="1.0" encoding="utf-8"?>
<personList xmlns="http://schemas.microsoft.com/office/spreadsheetml/2018/threadedcomments" xmlns:x="http://schemas.openxmlformats.org/spreadsheetml/2006/main">
  <person displayName="Jenny Mun" id="{CBACAB1E-5FDB-49BC-B2D1-5B2C06870F94}" userId="S::jmun@hugessen.com::256137b7-0635-4cf2-bbcb-cbebdf1c6c5d" providerId="AD"/>
  <person displayName="Austin Hanlan" id="{2566AA3E-2FD4-42DC-8C11-D3A5F85CCC8C}" userId="S::ahanlan@hugessen.com::0cfb5f09-e2b2-44f7-86b8-8a187dd52e71" providerId="AD"/>
  <person displayName="Solomon Coupal" id="{27435E18-F4BE-477D-903F-1313D68C3605}" userId="S::scoupal@hugessen.com::0acf52d6-2eba-4f96-a1f4-695bbbb4b068" providerId="AD"/>
  <person displayName="Kalathmi Pathiraja" id="{F086FFC1-7F1B-4BDF-AA87-264E8C966370}" userId="S::kpathiraja@hugessen.com::d0f6c603-5bc5-4483-ad1d-3d98781abf49" providerId="AD"/>
</personList>
</file>

<file path=xl/theme/theme1.xml><?xml version="1.0" encoding="utf-8"?>
<a:theme xmlns:a="http://schemas.openxmlformats.org/drawingml/2006/main" name="Office Theme 2007 - 2010">
  <a:themeElements>
    <a:clrScheme name="Hugessen1">
      <a:dk1>
        <a:sysClr val="windowText" lastClr="000000"/>
      </a:dk1>
      <a:lt1>
        <a:sysClr val="window" lastClr="FFFFFF"/>
      </a:lt1>
      <a:dk2>
        <a:srgbClr val="5F6269"/>
      </a:dk2>
      <a:lt2>
        <a:srgbClr val="002957"/>
      </a:lt2>
      <a:accent1>
        <a:srgbClr val="F0531E"/>
      </a:accent1>
      <a:accent2>
        <a:srgbClr val="002957"/>
      </a:accent2>
      <a:accent3>
        <a:srgbClr val="C6D9F1"/>
      </a:accent3>
      <a:accent4>
        <a:srgbClr val="002957"/>
      </a:accent4>
      <a:accent5>
        <a:srgbClr val="E6B9B8"/>
      </a:accent5>
      <a:accent6>
        <a:srgbClr val="632523"/>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R32" dT="2026-06-30T03:35:48.57" personId="{F086FFC1-7F1B-4BDF-AA87-264E8C966370}" id="{CD12C96F-B32B-4F96-B60D-AB18D9D0746B}">
    <text>2026 pay</text>
  </threadedComment>
  <threadedComment ref="AQ44" dT="2026-06-15T16:11:57.36" personId="{F086FFC1-7F1B-4BDF-AA87-264E8C966370}" id="{7A7C35C5-C4BE-4029-841E-D0A8FBF1AB31}">
    <text>Mr. Del Rio ceased accruing pensionable service at June 13, 2017 due to the foreign service limits prescribed by the provisions
of the Company’s defined benefit plan Separately, Mr. Del Rio has elected to join our 401(k) retirement savings program in the United States.</text>
  </threadedComment>
  <threadedComment ref="AQ47" dT="2026-06-15T16:11:57.36" personId="{F086FFC1-7F1B-4BDF-AA87-264E8C966370}" id="{28D47056-29B4-4956-89B3-A92653903ED2}">
    <text>Mr. Del Rio ceased accruing pensionable service at June 13, 2017 due to the foreign service limits prescribed by the provisions
of the Company’s defined benefit plan Separately, Mr. Del Rio has elected to join our 401(k) retirement savings program in the United States.</text>
  </threadedComment>
  <threadedComment ref="AQ50" dT="2026-06-15T16:11:57.36" personId="{F086FFC1-7F1B-4BDF-AA87-264E8C966370}" id="{D330A965-1C18-4A02-ABBF-0F5A0D29B4EC}">
    <text>Mr. Del Rio ceased accruing pensionable service at June 13, 2017 due to the foreign service limits prescribed by the provisions
of the Company’s defined benefit plan Separately, Mr. Del Rio has elected to join our 401(k) retirement savings program in the United States.</text>
  </threadedComment>
  <threadedComment ref="AC53" dT="2026-06-10T18:12:25.80" personId="{F086FFC1-7F1B-4BDF-AA87-264E8C966370}" id="{B11B7C16-2BC5-4204-9A7A-A9B2F7C3ED01}">
    <text>55% RPSUs and 45%RSUs</text>
  </threadedComment>
  <threadedComment ref="AT53" dT="2026-06-10T18:29:15.83" personId="{F086FFC1-7F1B-4BDF-AA87-264E8C966370}" id="{C5BE7F0F-22F8-424B-B04D-4494264AC41F}">
    <text>This column includes incremental costs to the Company for perquisites provided to the SLT members</text>
  </threadedComment>
  <threadedComment ref="G66" dT="2026-06-10T18:05:30.40" personId="{F086FFC1-7F1B-4BDF-AA87-264E8C966370}" id="{47F00FC6-B141-429B-AA82-AEBFE6F52C4E}">
    <text>Joined in Dec 2024, so 2024 pay is excluded</text>
  </threadedComment>
  <threadedComment ref="R68" dT="2026-06-15T19:44:21.87" personId="{F086FFC1-7F1B-4BDF-AA87-264E8C966370}" id="{ECCA6454-5D83-4210-8930-D9F1130BF5DC}">
    <text>Annual salaries in CAD were disclosed</text>
  </threadedComment>
  <threadedComment ref="S68" dT="2026-06-15T19:37:15.23" personId="{F086FFC1-7F1B-4BDF-AA87-264E8C966370}" id="{9C719681-9FF1-4C42-B9DC-68C559D26862}">
    <text>2026 base salaries in USD</text>
  </threadedComment>
  <threadedComment ref="T68" dT="2026-06-15T19:45:22.10" personId="{F086FFC1-7F1B-4BDF-AA87-264E8C966370}" id="{E323EB5F-1411-45CD-9EAD-0999A48EE2B2}">
    <text>2026 base salaries in CAD</text>
  </threadedComment>
  <threadedComment ref="AC68" dT="2026-06-10T19:11:49.26" personId="{F086FFC1-7F1B-4BDF-AA87-264E8C966370}" id="{C55DB679-36EA-4B15-B1FC-D0FAAFDB40B5}">
    <text xml:space="preserve">for the senior executives, 50% stock options and 50% performance share units. The VP, Sustainability received a mix of 40% stock options, 20% restricted share units and 40% performance share units. 
</text>
  </threadedComment>
  <threadedComment ref="AK68" dT="2026-06-10T19:35:25.83" personId="{F086FFC1-7F1B-4BDF-AA87-264E8C966370}" id="{273029BE-F80E-4E9D-B41F-3437A3384997}">
    <text>2026 target is 400%
2025 target is 300%</text>
  </threadedComment>
  <threadedComment ref="AP68" dT="2025-08-29T21:42:19.37" personId="{2566AA3E-2FD4-42DC-8C11-D3A5F85CCC8C}" id="{0C59BBB7-B606-4BD5-B998-7C85A5BBE45A}">
    <text>No pension plan</text>
  </threadedComment>
  <threadedComment ref="AT68" dT="2026-06-10T19:39:58.27" personId="{F086FFC1-7F1B-4BDF-AA87-264E8C966370}" id="{8CA78AD8-7616-46E3-A83F-F9B9C4178510}">
    <text>Benefits such as health benefits and retirement savings benefits</text>
  </threadedComment>
  <threadedComment ref="AD69" dT="2025-06-25T03:51:17.89" personId="{2566AA3E-2FD4-42DC-8C11-D3A5F85CCC8C}" id="{7EF341B8-A01D-4D63-A5AD-14C6C3013B0F}">
    <text>New mix: 50/50 Options/PSUs</text>
  </threadedComment>
  <threadedComment ref="U77" dT="2026-06-16T22:20:22.72" personId="{27435E18-F4BE-477D-903F-1313D68C3605}" id="{CB5F9C28-FDE7-4B90-9852-ABD61894D894}">
    <text>Retention bonus of C$100k ; removed</text>
  </threadedComment>
  <threadedComment ref="U78" dT="2026-06-16T22:20:22.72" personId="{27435E18-F4BE-477D-903F-1313D68C3605}" id="{58931DD9-D8FA-4B8E-A175-CBE93F54DFA5}">
    <text>Retention bonus of C$100k ; removed</text>
  </threadedComment>
  <threadedComment ref="U79" dT="2026-06-16T22:19:42.69" personId="{27435E18-F4BE-477D-903F-1313D68C3605}" id="{6EDBCA46-969A-4DC1-88FD-E84C4898AD42}">
    <text>Sign on bonus of C$100k ; removed</text>
  </threadedComment>
  <threadedComment ref="U80" dT="2026-06-16T22:20:22.72" personId="{27435E18-F4BE-477D-903F-1313D68C3605}" id="{16D16F5C-E5BD-4A8B-B959-EC06C8BBC5F8}">
    <text>Retention bonus of C$150k ; removed</text>
  </threadedComment>
  <threadedComment ref="AC80" dT="2026-06-10T19:23:26.14" personId="{F086FFC1-7F1B-4BDF-AA87-264E8C966370}" id="{41BA0FFC-A435-41D3-987C-5E289BC16D66}">
    <text xml:space="preserve">1/3rd -RSUs, 2/3rd - PSUs:
The VP, Sustainability received a mix of 40% stock options, 20% restricted share units and 40% performance share units. 
</text>
  </threadedComment>
  <threadedComment ref="U81" dT="2026-06-16T22:20:22.72" personId="{27435E18-F4BE-477D-903F-1313D68C3605}" id="{663A8A89-60AA-42D3-A812-4B088E372636}">
    <text>Retention bonus of C$100k ; removed</text>
  </threadedComment>
  <threadedComment ref="AC81" dT="2026-06-10T19:31:41.15" personId="{F086FFC1-7F1B-4BDF-AA87-264E8C966370}" id="{CCD7386E-CA6D-42C6-A9C7-7F1BE708F165}">
    <text>Assumed the same LTIP mix split for 2024 since Mr. Monash was not an NEO in 2024</text>
  </threadedComment>
  <threadedComment ref="G82" dT="2026-06-10T19:01:11.21" personId="{F086FFC1-7F1B-4BDF-AA87-264E8C966370}" id="{6385A34D-B9E2-4985-9D60-A40D01DFB40A}">
    <text>Nathan Monash joined Lundin Mining 1-Sep-2023</text>
  </threadedComment>
  <threadedComment ref="AC83" dT="2026-06-10T21:46:40.53" personId="{F086FFC1-7F1B-4BDF-AA87-264E8C966370}" id="{41D82D70-E1C8-4731-A6CC-DD4302682D84}">
    <text>Special Retention Award of C$5M in RSUs for CEO was not included</text>
  </threadedComment>
  <threadedComment ref="AC85" dT="2025-06-25T14:48:19.09" personId="{27435E18-F4BE-477D-903F-1313D68C3605}" id="{75C85BA6-FAB6-4D50-8BD5-4586F7E0CFD0}">
    <text>2023 and 2022 adjusted for one-time awards and different LTIP mix – per last year’s data collection</text>
  </threadedComment>
  <threadedComment ref="AD85" dT="2025-06-25T14:48:19.09" personId="{27435E18-F4BE-477D-903F-1313D68C3605}" id="{7BFF0230-68A7-40F4-817D-719533E4C95B}">
    <text>2023 and 2022 adjusted for one-time awards and different LTIP mix – per last year’s data collection</text>
  </threadedComment>
  <threadedComment ref="AF85" dT="2025-06-25T14:48:19.09" personId="{27435E18-F4BE-477D-903F-1313D68C3605}" id="{A62F407C-0258-4052-A875-CFB989038976}">
    <text>2023 and 2022 adjusted for one-time awards and different LTIP mix – per last year’s data collection</text>
  </threadedComment>
  <threadedComment ref="AC88" dT="2025-06-25T14:48:19.09" personId="{27435E18-F4BE-477D-903F-1313D68C3605}" id="{3A9905BD-92DE-4D35-91B9-35AD3EDF14E6}">
    <text>2023 and 2022 adjusted for one-time awards and different LTIP mix – per last year’s data collection</text>
  </threadedComment>
  <threadedComment ref="AD88" dT="2025-06-25T14:48:19.09" personId="{27435E18-F4BE-477D-903F-1313D68C3605}" id="{7E5652E7-24CF-42B4-9DEE-90643908F081}">
    <text>2023 and 2022 adjusted for one-time awards and different LTIP mix – per last year’s data collection</text>
  </threadedComment>
  <threadedComment ref="AE88" dT="2025-06-25T14:48:19.09" personId="{27435E18-F4BE-477D-903F-1313D68C3605}" id="{38BD6CE1-378C-4D40-8F81-ABCDA4F87B48}">
    <text>2023 and 2022 adjusted for one-time awards and different LTIP mix – per last year’s data collection</text>
  </threadedComment>
  <threadedComment ref="O89" dT="2026-06-10T21:18:14.04" personId="{F086FFC1-7F1B-4BDF-AA87-264E8C966370}" id="{D49B9479-3A14-44DF-A316-15EC84C7972D}">
    <text xml:space="preserve">Mr. Busby was the Company's Chief Operating Officer until October 20, 2025. He then transitioned to the role of Special Advisor to the CEO.
</text>
  </threadedComment>
  <threadedComment ref="AC91" dT="2025-06-25T14:48:19.09" personId="{27435E18-F4BE-477D-903F-1313D68C3605}" id="{DA921B4D-113B-4B4F-8BDA-9B87CE0A275D}">
    <text>2023 and 2022 adjusted for one-time awards and different LTIP mix – per last year’s data collection</text>
  </threadedComment>
  <threadedComment ref="AD91" dT="2025-06-25T14:48:19.09" personId="{27435E18-F4BE-477D-903F-1313D68C3605}" id="{CD1F835E-E9FE-44DD-A966-51190510C0E0}">
    <text>2023 and 2022 adjusted for one-time awards and different LTIP mix – per last year’s data collection</text>
  </threadedComment>
  <threadedComment ref="AF91" dT="2025-06-25T14:48:19.09" personId="{27435E18-F4BE-477D-903F-1313D68C3605}" id="{EE1A9267-0B03-4687-A74E-990DCEF93781}">
    <text>2023 and 2022 adjusted for one-time awards and different LTIP mix – per last year’s data collection</text>
  </threadedComment>
  <threadedComment ref="AC94" dT="2025-06-25T14:48:19.09" personId="{27435E18-F4BE-477D-903F-1313D68C3605}" id="{8BEDA58B-AC7B-45A6-892E-DC4EEAFB3406}">
    <text>2023 and 2022 adjusted for one-time awards and different LTIP mix – per last year’s data collection</text>
  </threadedComment>
  <threadedComment ref="AD94" dT="2025-06-25T14:48:19.09" personId="{27435E18-F4BE-477D-903F-1313D68C3605}" id="{B396041F-4F0B-4848-96B9-3F1858EB72DE}">
    <text>2023 and 2022 adjusted for one-time awards and different LTIP mix – per last year’s data collection</text>
  </threadedComment>
  <threadedComment ref="Q95" dT="2026-06-10T21:30:25.14" personId="{F086FFC1-7F1B-4BDF-AA87-264E8C966370}" id="{77ADEA8A-E63B-4471-82A4-B6911C845CA7}">
    <text>Mr. Campbell joined the Company on April 2, 2024 as SVP, Projects and Operations and was promoted to Chief Operating Officer on October 20, 2025. - His previous years of compensation were not included since there was an significant increase from 400k - 630k (for Oct - Dec 2025)</text>
  </threadedComment>
  <threadedComment ref="R95" dT="2026-06-16T22:35:32.33" personId="{27435E18-F4BE-477D-903F-1313D68C3605}" id="{532F0CB4-2BF2-4864-93D1-0324CB130683}">
    <text>Reflects 2025 COO salary</text>
  </threadedComment>
  <threadedComment ref="AC98" dT="2026-06-10T22:45:07.80" personId="{F086FFC1-7F1B-4BDF-AA87-264E8C966370}" id="{4BC428A8-D84D-4FC6-A654-40B3129BF81C}">
    <text>For the CEO only for 2025, LTI awards consisted entirely of RSUs to reflect Mr. Johnson’s retirement</text>
  </threadedComment>
  <threadedComment ref="AK98" dT="2026-06-10T23:11:30.31" personId="{F086FFC1-7F1B-4BDF-AA87-264E8C966370}" id="{A07C83E1-8D6F-4158-9C39-3E9A5F132FDA}">
    <text>From CEO pay mix chart:
base = 949000
base percentage of total = 0.23
LTIP percentage of total = 0.54
LTIP target = 0.54/0.23</text>
  </threadedComment>
  <threadedComment ref="AP98" dT="2026-06-10T23:18:25.00" personId="{F086FFC1-7F1B-4BDF-AA87-264E8C966370}" id="{61BA1D66-863B-40A1-8149-DD55013B1EF9}">
    <text>No pension plan</text>
  </threadedComment>
  <threadedComment ref="AT98" dT="2026-06-15T21:24:57.74" personId="{F086FFC1-7F1B-4BDF-AA87-264E8C966370}" id="{CBD7ECB8-11F1-4768-A8E3-32DB853B6C1D}">
    <text>Other compensation includes dividends on RSUs, which have been excluded</text>
  </threadedComment>
  <threadedComment ref="AC99" dT="2026-06-10T22:57:15.53" personId="{F086FFC1-7F1B-4BDF-AA87-264E8C966370}" id="{D5EA8494-353A-4A2D-A82F-215C3579873F}">
    <text xml:space="preserve">50/50 PSUs/RSUs for all executives in 2024 aside from the CEO, which was granted 60/40 PSUs/RSUs
</text>
  </threadedComment>
  <threadedComment ref="AT111" dT="2025-09-04T12:37:46.53" personId="{27435E18-F4BE-477D-903F-1313D68C3605}" id="{B0A80224-2753-4240-8173-FA9FCC12DDE5}">
    <text>Other compensation minus dividends accumulated = negative number, have dashed out for simplicity</text>
  </threadedComment>
  <threadedComment ref="S113" dT="2026-06-15T21:29:47.04" personId="{F086FFC1-7F1B-4BDF-AA87-264E8C966370}" id="{9B12159F-BED1-4191-BB89-DEBC0F6D3102}">
    <text>Slight discrepancy between reported base salaries and what was actually paid</text>
  </threadedComment>
  <threadedComment ref="AC113" dT="2026-06-11T15:48:40.01" personId="{F086FFC1-7F1B-4BDF-AA87-264E8C966370}" id="{200B96BB-1A4F-40C3-861A-80B47009B7E6}">
    <text>60/40 split PSU/RSU - no longer has options</text>
  </threadedComment>
  <threadedComment ref="AC113" dT="2026-06-11T15:54:57.35" personId="{F086FFC1-7F1B-4BDF-AA87-264E8C966370}" id="{9F563CA6-8F54-4454-9B3E-551B7D54B5BB}" parentId="{200B96BB-1A4F-40C3-861A-80B47009B7E6}">
    <text>Misalignment between EIP awards table and summary comp table - used summary comp values to back out the splits of PSUs and RSUs</text>
  </threadedComment>
  <threadedComment ref="AC122" dT="2026-06-11T00:07:09.52" personId="{F086FFC1-7F1B-4BDF-AA87-264E8C966370}" id="{2051F991-817D-4FEB-A739-312A8382ECE6}">
    <text>Ms. Torkia Lagacé’s employment agreement, the Board approved a one-time grant of PSUs valued at
$500,000 - award has been removed</text>
  </threadedComment>
  <threadedComment ref="V123" dT="2025-06-25T14:53:40.75" personId="{27435E18-F4BE-477D-903F-1313D68C3605}" id="{73A7C8C1-2563-421A-B985-B0B9691278B0}">
    <text>Mr. Whittaker was eligible to full  year bonus payout.</text>
  </threadedComment>
  <threadedComment ref="G128" dT="2026-06-11T16:28:34.95" personId="{F086FFC1-7F1B-4BDF-AA87-264E8C966370}" id="{CA47A28F-0EE1-4D52-B398-E7E6F3E9EEA9}">
    <text>Mr. Meagher was appointed President &amp; CEO on May 2, 2025</text>
  </threadedComment>
  <threadedComment ref="AC128" dT="2026-06-11T17:02:20.62" personId="{F086FFC1-7F1B-4BDF-AA87-264E8C966370}" id="{A16630EA-20EA-4FFC-8E40-75AE6D073D15}">
    <text>LTIP split: 50/25/25 - PSU/RSU/Options
split of share based awards is ⅔ - PSU, ⅓ - RSU</text>
  </threadedComment>
  <threadedComment ref="AP128" dT="2026-06-11T17:13:39.57" personId="{F086FFC1-7F1B-4BDF-AA87-264E8C966370}" id="{5D3A82C3-1A17-42DE-A150-DA14F6BD059E}">
    <text>No pension plan</text>
  </threadedComment>
  <threadedComment ref="G134" dT="2026-06-11T16:28:34.95" personId="{F086FFC1-7F1B-4BDF-AA87-264E8C966370}" id="{5489BF45-5F5E-4D3E-9635-F16CDD8BE947}">
    <text>Mr. Whittaker was appointed to Senior VP &amp; COO on May 2, 2025</text>
  </threadedComment>
  <threadedComment ref="AC143" dT="2026-06-15T22:05:08.23" personId="{F086FFC1-7F1B-4BDF-AA87-264E8C966370}" id="{01AF2B55-418D-4A15-80FF-9F54CCB4AE5B}">
    <text>50/50 - PSU/RSU split</text>
  </threadedComment>
  <threadedComment ref="AP143" dT="2026-06-11T18:56:11.76" personId="{F086FFC1-7F1B-4BDF-AA87-264E8C966370}" id="{67EA8151-1F15-49C1-A66F-C2402350641C}">
    <text>401k contributions: 17,500
plan non-elective contributions: 10,500</text>
  </threadedComment>
  <threadedComment ref="AC145" dT="2025-05-14T20:18:55.53" personId="{CBACAB1E-5FDB-49BC-B2D1-5B2C06870F94}" id="{023CB7C2-4DB9-4707-AED7-0378DB7CA6DA}">
    <text>Represents previous 60/40 PSU/RSU split</text>
  </threadedComment>
  <threadedComment ref="AP146" dT="2026-06-11T18:56:11.76" personId="{F086FFC1-7F1B-4BDF-AA87-264E8C966370}" id="{5BF53823-BE47-4C26-98E9-C16309698238}">
    <text>401k contributions: 17,500
plan non-elective contributions: 10,500</text>
  </threadedComment>
  <threadedComment ref="I147" dT="2026-06-11T17:46:52.19" personId="{F086FFC1-7F1B-4BDF-AA87-264E8C966370}" id="{35EBC3B4-5084-42C7-9091-9C25954E6474}">
    <text>Removed annualization as per 2025 benchmarking since reported pay was not pro-rated</text>
  </threadedComment>
  <threadedComment ref="AP149" dT="2026-06-11T18:56:11.76" personId="{F086FFC1-7F1B-4BDF-AA87-264E8C966370}" id="{B6ACA3A3-14BA-4E40-AAA1-6CD8DB48300A}">
    <text>401k contributions: 17,500
plan non-elective contributions: 10,500</text>
  </threadedComment>
  <threadedComment ref="AC151" dT="2025-05-14T20:44:27.55" personId="{CBACAB1E-5FDB-49BC-B2D1-5B2C06870F94}" id="{4E01EBFA-439E-466B-8CB1-E6F0F1F855AF}">
    <text>Includes sign on bonus</text>
  </threadedComment>
  <threadedComment ref="AC151" dT="2025-06-25T01:37:07.86" personId="{2566AA3E-2FD4-42DC-8C11-D3A5F85CCC8C}" id="{6464711A-B686-47CE-80D5-6ADEB1FE3737}" parentId="{4E01EBFA-439E-466B-8CB1-E6F0F1F855AF}">
    <text>Removed</text>
  </threadedComment>
  <threadedComment ref="AP152" dT="2026-06-11T18:52:06.64" personId="{F086FFC1-7F1B-4BDF-AA87-264E8C966370}" id="{3E91B629-1E23-4B52-86E8-5D007B1ED1A1}">
    <text>Group RRSP contribution: 21,475
SERP contribution: 6,525</text>
  </threadedComment>
  <threadedComment ref="AP155" dT="2026-06-11T18:56:11.76" personId="{F086FFC1-7F1B-4BDF-AA87-264E8C966370}" id="{BCC0DE1E-8A18-4F32-AAA5-5AFC8E8B8442}">
    <text>401k contributions: 17,500
plan non-elective contributions: 10,500</text>
  </threadedComment>
  <threadedComment ref="U158" dT="2026-06-14T05:47:09.26" personId="{F086FFC1-7F1B-4BDF-AA87-264E8C966370}" id="{F0C52D0F-54CB-4AF2-8061-F9A437337D36}">
    <text>(5) The 2025 STI for Mr. Bond was reduced to reflect a correction to inadvertent pension allowance overpayments relating to the 2024 and 2025 financial years. The adjustment of $83,298 was applied to the 2025 STI, such that STI amount shown above is net of this reduction</text>
  </threadedComment>
  <threadedComment ref="V158" dT="2026-06-22T00:46:31.99" personId="{F086FFC1-7F1B-4BDF-AA87-264E8C966370}" id="{FC5C206B-7AB5-4B1D-960C-A94F4F07C195}">
    <text xml:space="preserve">Reason for inconsistency between the 2025 benchmarked values is due to the adjustments in disclosures to ensure consistency of classification and presentation with the current year disclosure.
Adjustments are non-material to reflect compensation earned instead of paid during the year. There has been no change to the underlying compensation earned by the relevant NEOs.
</text>
  </threadedComment>
  <threadedComment ref="AC158" dT="2026-06-14T06:00:02.89" personId="{F086FFC1-7F1B-4BDF-AA87-264E8C966370}" id="{54A994EE-9C42-46C3-B0D9-EEDC4DC7E4AC}">
    <text xml:space="preserve">66/34 PSU/RS for CEO; 70/30 PSU/RSU for other NEOs
</text>
  </threadedComment>
  <threadedComment ref="AK158" dT="2026-06-17T00:00:03.53" personId="{27435E18-F4BE-477D-903F-1313D68C3605}" id="{07B59FDF-4B2A-419C-B611-3DC331B8FDE9}">
    <text>Target pay mix chart has historically been very much below LTIP grants, hence letting the 3-yr average ride</text>
  </threadedComment>
  <threadedComment ref="U159" dT="2026-06-15T22:18:42.09" personId="{F086FFC1-7F1B-4BDF-AA87-264E8C966370}" id="{8CACA7B3-29BE-480E-9E50-70E50248BFD0}">
    <text xml:space="preserve">The Annual Incentive amounts shown have been adjusted from 2024 disclosures to ensure consistency of classification and presentation with the current year disclosure.
</text>
  </threadedComment>
  <threadedComment ref="AT159" dT="2026-06-17T00:04:19.19" personId="{27435E18-F4BE-477D-903F-1313D68C3605}" id="{A19F7ACA-7665-4388-B2E0-92E88CA5D320}">
    <text>Revert error in pension allowance overpayment:
- added back the substraction in 2025 STIP
- removed the 83,298 from ‘other comp’ in 2024</text>
  </threadedComment>
  <threadedComment ref="I164" dT="2026-06-14T06:25:23.38" personId="{F086FFC1-7F1B-4BDF-AA87-264E8C966370}" id="{49D7AB9D-7C90-43B1-B141-1F85EA34175F}">
    <text>Annualization removed to prevent pay inflation, since 2025 pay includes previous and new role comp.</text>
  </threadedComment>
  <threadedComment ref="P164" dT="2026-06-14T05:43:32.45" personId="{F086FFC1-7F1B-4BDF-AA87-264E8C966370}" id="{6785A77F-DD78-451B-8263-D32371B44F42}">
    <text>Significant pay changes in terms of LTIP and STIP from previous position to current position as COO, so 2024 comp data has not been inputted</text>
  </threadedComment>
  <threadedComment ref="Q173" dT="2026-06-15T22:43:57.87" personId="{F086FFC1-7F1B-4BDF-AA87-264E8C966370}" id="{1637E0C1-D678-4C82-8C3A-76A625F7C7EE}">
    <text>Sourced from Executive equity ownership table for consistency with 2024 benchmarking</text>
  </threadedComment>
  <threadedComment ref="S173" dT="2026-06-14T07:15:38.22" personId="{F086FFC1-7F1B-4BDF-AA87-264E8C966370}" id="{605E45C2-46F3-4C41-9537-78DDC2920DDE}">
    <text>For 2026, the Committee approved a 2.5% salary increase for the CEO</text>
  </threadedComment>
  <threadedComment ref="AC173" dT="2026-06-14T07:04:43.03" personId="{F086FFC1-7F1B-4BDF-AA87-264E8C966370}" id="{F5C6DF0C-27C1-4C56-A2E7-BCDB5DE39198}">
    <text>LTIP split: 50/25/25 - PSU/RSU/Options. Share based awards are 1/3rd RSUs, 2/3rd PSU</text>
  </threadedComment>
  <threadedComment ref="AC180" dT="2026-06-14T07:10:21.77" personId="{F086FFC1-7F1B-4BDF-AA87-264E8C966370}" id="{E038FA05-56A6-4B63-86E8-A52BB266F2BA}">
    <text>Excludes 2024 make whole award</text>
  </threadedComment>
  <threadedComment ref="U188" dT="2026-06-14T22:18:50.29" personId="{F086FFC1-7F1B-4BDF-AA87-264E8C966370}" id="{F2466277-0221-4A6C-BAC5-1707EDAF1F3C}">
    <text xml:space="preserve"> includes a one-time cash award earned by John A. McCluskey ($575,000
CAD). Award values are disclosed in U.S. dollars, converted from average exchange rate for 2025, of US$0.7154 per C$1.00, to be paid in 2026.</text>
  </threadedComment>
  <threadedComment ref="AC188" dT="2026-06-14T22:05:11.60" personId="{F086FFC1-7F1B-4BDF-AA87-264E8C966370}" id="{9AF34F2A-6960-41C4-8EFC-D2547A887ED7}">
    <text>50/25/25 - PSU/RSU/Options split, 
Share based awards - ⅔ - PSU, ⅓ - RSU</text>
  </threadedComment>
  <threadedComment ref="AK188" dT="2025-06-25T04:07:56.41" personId="{2566AA3E-2FD4-42DC-8C11-D3A5F85CCC8C}" id="{B749946B-CBE6-400A-ABB5-3B54C509E1DA}">
    <text>Taken from last year’s benchmarking - no mention of change in this report</text>
  </threadedComment>
  <threadedComment ref="AK188" dT="2026-06-14T22:28:08.85" personId="{F086FFC1-7F1B-4BDF-AA87-264E8C966370}" id="{082BACBF-6ABF-4D7F-BA04-58088F1E9A77}" parentId="{B749946B-CBE6-400A-ABB5-3B54C509E1DA}">
    <text>No mention of change in the 2026 proxy either</text>
  </threadedComment>
  <threadedComment ref="U191" dT="2026-06-14T22:20:05.57" personId="{F086FFC1-7F1B-4BDF-AA87-264E8C966370}" id="{D5FFE342-2891-4452-8A03-42794DC2EBC3}">
    <text xml:space="preserve"> includes a one-time cash award earned by Gregory Fisher ($280,000 CAD)   converted from average exchange rate for 2025, of US$0.7154 per C$1.00, to be paid in 2026.</text>
  </threadedComment>
  <threadedComment ref="U197" dT="2026-06-14T22:20:59.82" personId="{F086FFC1-7F1B-4BDF-AA87-264E8C966370}" id="{6CC2C292-E503-41C3-9658-71ACA9C566B7}">
    <text xml:space="preserve">  includes a one-time cash award earned by Christopher Bostwick ($139,500 CAD).  converted from average exchange rate for 2025, of US$0.7154 per C$1.00, to be paid in 2026. 
</text>
  </threadedComment>
  <threadedComment ref="U203" dT="2026-06-15T00:02:18.35" personId="{F086FFC1-7F1B-4BDF-AA87-264E8C966370}" id="{18472A29-A660-4F70-BFB6-A8208039BCB6}">
    <text>From the table from footnote 2 - different from 2024 approach</text>
  </threadedComment>
  <threadedComment ref="AC203" dT="2026-06-15T00:22:11.46" personId="{F086FFC1-7F1B-4BDF-AA87-264E8C966370}" id="{857FE9CC-C863-48C6-B281-CDE2C10EF903}">
    <text xml:space="preserve">From LTIP 2025 equity targets:
RSUs -1,030,000
PSUs - 1,265,000
</text>
  </threadedComment>
  <threadedComment ref="R206" dT="2026-06-17T14:29:42.57" personId="{27435E18-F4BE-477D-903F-1313D68C3605}" id="{BD110419-1188-4E11-8298-34635045A20E}">
    <text>Reflective of annualized new salary (as of July 1, 20250</text>
  </threadedComment>
  <threadedComment ref="S206" dT="2026-06-14T23:18:10.28" personId="{F086FFC1-7F1B-4BDF-AA87-264E8C966370}" id="{B00492AD-B984-4B80-8A25-A4998B198378}">
    <text>Carlos Aguiar's annualized base salary was $379,500 for the period July 1, 2024 through June 30, 2025, and increased to $435,000 effective July 1, 2025 through December 31, 2025. Summary comp table  shows a mixture of the two.</text>
  </threadedComment>
  <threadedComment ref="S209" dT="2026-06-14T23:18:10.28" personId="{F086FFC1-7F1B-4BDF-AA87-264E8C966370}" id="{4BAEEB5A-064A-489A-BA5B-8BD858C0FEA9}">
    <text>Mr. Lawlar’s annualized base salary was $379,500 for the period July 1, 2024 through June 30, 2025, and increased to $435,000 effective July 1, 2025 through December 31, 2025. Summary comp table  shows a mixture of the two.</text>
  </threadedComment>
  <threadedComment ref="S212" dT="2026-06-14T23:18:10.28" personId="{F086FFC1-7F1B-4BDF-AA87-264E8C966370}" id="{9EB414E7-6BF6-4F76-85E6-4E2D692C6188}">
    <text>Mr. Sienko’s annualized base salary was $330,000 for the period July 1, 2024 through June 30, 2025, and increased to $400,000 effective July 1, 2025 through December 31, 2025. Summary comp table  shows a mixture of the two.</text>
  </threadedComment>
  <threadedComment ref="S215" dT="2026-06-14T23:18:10.28" personId="{F086FFC1-7F1B-4BDF-AA87-264E8C966370}" id="{5286B5FE-8BAA-41EF-AD0B-FE65A9EA92DD}">
    <text>Mr. Clary’s annualized base salary was $345,000 for the period July 1, 2024 through June 30, 2025, and increased to $400,000 effective July 1, 2025 through December 31, 2025. Summary comp table shows a mixture of the two.</text>
  </threadedComment>
  <threadedComment ref="U215" dT="2026-06-14T23:35:11.92" personId="{F086FFC1-7F1B-4BDF-AA87-264E8C966370}" id="{961E1F11-9563-465C-895A-9DC41C912918}">
    <text>Mr. Clary did not receive an STIP/LTIP award for 2025, instead received a severance package</text>
  </threadedComment>
  <threadedComment ref="AT215" dT="2026-06-15T00:36:28.92" personId="{F086FFC1-7F1B-4BDF-AA87-264E8C966370}" id="{596D6B07-AB08-4341-83E2-C7920E7643C6}">
    <text xml:space="preserve">Total other was 2,136,076 out of which 2,100,000 is a severance package, and has been excluded </text>
  </threadedComment>
  <threadedComment ref="AC218" dT="2026-06-15T04:00:48.47" personId="{F086FFC1-7F1B-4BDF-AA87-264E8C966370}" id="{54270C4F-ED1D-4C8B-A02A-8735D30A68E5}">
    <text>50/25/25 - PSU/RSU/Options split
⅔ - PSU, ⅓ - RSU respectively</text>
  </threadedComment>
  <threadedComment ref="R224" dT="2026-06-15T03:57:18.29" personId="{F086FFC1-7F1B-4BDF-AA87-264E8C966370}" id="{5632B5FE-61BE-4336-8ACA-0460A552ACF6}">
    <text xml:space="preserve">Mr. Hendriks received a pro-rated amount of his base salary in 2025 of $414,098 based on his start date of April 15, 2025. Base was reported and different from the annualized value. </text>
  </threadedComment>
  <threadedComment ref="R233" dT="2026-06-17T20:53:15.22" personId="{27435E18-F4BE-477D-903F-1313D68C3605}" id="{36C99B37-F4BA-429D-9E50-AA51830F1013}">
    <text>Annualized salary, based on salary levels as of March 2025</text>
  </threadedComment>
  <threadedComment ref="AC233" dT="2026-06-15T05:01:30.76" personId="{F086FFC1-7F1B-4BDF-AA87-264E8C966370}" id="{416EC0AA-B64C-4C50-B403-042E3B24BAAB}">
    <text xml:space="preserve">⅔ - PSU, ⅓ - RSU split
</text>
  </threadedComment>
  <threadedComment ref="AK233" dT="2026-06-15T05:00:45.81" personId="{F086FFC1-7F1B-4BDF-AA87-264E8C966370}" id="{A80FABCD-F23D-48FE-B0D5-734A106B179E}">
    <text>2026 LTIP targets used for all execs except for Mr. Wozniak (due to retirement), but only the CEO &amp; CFO targets changed from 2025.</text>
  </threadedComment>
  <threadedComment ref="AT233" dT="2026-06-15T05:10:14.94" personId="{F086FFC1-7F1B-4BDF-AA87-264E8C966370}" id="{A31556FF-86FF-454C-BFF9-2EEBAF2857D8}">
    <text>Includes pension allowance</text>
  </threadedComment>
  <threadedComment ref="S242" dT="2026-06-15T04:42:24.87" personId="{F086FFC1-7F1B-4BDF-AA87-264E8C966370}" id="{1C5C5CB6-FF7B-439E-9541-8F1BA382EA46}">
    <text>No change in base salary in 2026 due to retirement</text>
  </threadedComment>
  <threadedComment ref="AC242" dT="2026-06-15T05:02:17.38" personId="{F086FFC1-7F1B-4BDF-AA87-264E8C966370}" id="{40B97CFF-B9DE-4A74-91B1-25F26AC22D1A}">
    <text>No LTIP awards due to retirement</text>
  </threadedComment>
  <threadedComment ref="AC248" dT="2026-06-15T06:02:30.55" personId="{F086FFC1-7F1B-4BDF-AA87-264E8C966370}" id="{47300F78-E659-48FE-B2DB-63B63F8ABA02}">
    <text>60/40 - PSU/RSU split, but there was a discrepancy flagged in the proxy.  
It is mentioned that for 2025 (like previous years) there is a 40/60 split between RSUs and PSUs, but grant table shows a 1/3rd/2/3rd split between RSUs/PSUs</text>
  </threadedComment>
  <threadedComment ref="AP248" dT="2026-06-15T06:22:14.95" personId="{F086FFC1-7F1B-4BDF-AA87-264E8C966370}" id="{9EEAABFB-7267-4DD7-B8DE-D0211605EBEA}">
    <text>For 2025, each NEO received a company matching contribution to the Coeur Mining, Inc. Defined Contribution and 401(k) Plan of $21,000. For 2025, each of Mr. Krebs, Mr. Whelan, Mr. Routledge, Mr. Nault and Ms. McGrath received an additional contribution from the Company into the Deferred Compensation Plan in the amount of $93,113, $40,115, $43,323, $30,561 and $16,968, respectively, which represents 6% of their 2025
compensation in excess of their 2025 401(k) Retirement Plan limit.</text>
  </threadedComment>
  <threadedComment ref="AT248" dT="2026-06-15T06:23:50.10" personId="{F086FFC1-7F1B-4BDF-AA87-264E8C966370}" id="{6AAEE50E-0E2C-4290-9BC2-D80A08650169}">
    <text xml:space="preserve">Includes additions to Deferred compensation plan and perquisites,. </text>
  </threadedComment>
  <threadedComment ref="P260" dT="2026-06-15T05:31:17.90" personId="{F086FFC1-7F1B-4BDF-AA87-264E8C966370}" id="{ED710FD0-AA02-4CF5-BA7B-DEBF2AE31F0D}">
    <text>Aoife McGrath was appointed Senior Vice President, Exploration in 2022 and elevated to Executive Vice President in February 2026.</text>
  </threadedComment>
  <threadedComment ref="I263" dT="2026-06-15T16:42:30.07" personId="{F086FFC1-7F1B-4BDF-AA87-264E8C966370}" id="{6E7AFE37-8529-4F14-9254-4C0F00CFFE6D}">
    <text>Proxy has annualised pay, even for execs who were employed for a portion of the year</text>
  </threadedComment>
  <threadedComment ref="Q263" dT="2026-06-15T16:48:23.18" personId="{F086FFC1-7F1B-4BDF-AA87-264E8C966370}" id="{31DDD530-EF91-40F1-9B05-39E61D0FE2D9}">
    <text xml:space="preserve">277,343 from Calibre and 310,205 after the transition
</text>
  </threadedComment>
  <threadedComment ref="R263" dT="2026-06-17T22:00:02.62" personId="{27435E18-F4BE-477D-903F-1313D68C3605}" id="{426C3531-3735-421F-98ED-5BDF869F4C3C}">
    <text>Reflects of annualized CEO salary</text>
  </threadedComment>
  <threadedComment ref="S263" dT="2026-06-15T16:51:04.42" personId="{F086FFC1-7F1B-4BDF-AA87-264E8C966370}" id="{2EE1F827-E5B5-4586-A243-631251589343}">
    <text>Annualised base salaries captured</text>
  </threadedComment>
  <threadedComment ref="AC263" dT="2026-06-15T16:56:32.06" personId="{F086FFC1-7F1B-4BDF-AA87-264E8C966370}" id="{A3AC510F-B5B1-44E2-9845-8F789892F0B7}">
    <text>Mr. Hall, Mr. Schummer, Ms. Dimitrov were granted LTI awards by Calibre for 2025. - There is no mention of the Calibre Incentive plan, so 50/50 - PSUs/RSUs split from Equinox was applied.</text>
  </threadedComment>
  <threadedComment ref="AC263" dT="2026-06-15T17:03:14.60" personId="{F086FFC1-7F1B-4BDF-AA87-264E8C966370}" id="{D1E2988A-1F9B-4448-AB3E-8B0C02BF3FDC}" parentId="{A3AC510F-B5B1-44E2-9845-8F789892F0B7}">
    <text>2026 LTIP mix - 75% PSUs, 25% RSUs</text>
  </threadedComment>
  <threadedComment ref="AO263" dT="2026-06-23T15:02:47.13" personId="{F086FFC1-7F1B-4BDF-AA87-264E8C966370}" id="{54906A25-125B-4D92-BF03-1C2E1223E31A}">
    <text>Dashed out TDC</text>
  </threadedComment>
  <threadedComment ref="AT263" dT="2026-06-15T17:21:43.14" personId="{F086FFC1-7F1B-4BDF-AA87-264E8C966370}" id="{35B4A19A-1872-48C6-9401-8CDA4E887889}">
    <text>Previous Calibre execs received “change of control” termination payments, which have been excluded.
 The board approved the following payments for retained Equinox execs: the following payments: (i) for Mr. Hardie, $1,738,291; and (ii) for Ms. Toews, $987,143. - Also have been excluded</text>
  </threadedComment>
  <threadedComment ref="AX263" dT="2026-06-23T15:02:47.13" personId="{F086FFC1-7F1B-4BDF-AA87-264E8C966370}" id="{19FAFAB9-4AE9-40B3-A616-B451EFBB64E3}">
    <text>Dashed out TDC</text>
  </threadedComment>
  <threadedComment ref="R269" dT="2026-06-17T22:00:56.05" personId="{27435E18-F4BE-477D-903F-1313D68C3605}" id="{2D0D4BCB-AF6B-4DE9-841B-0BEF3D6AE1FB}">
    <text xml:space="preserve">Reflects annualized salary as COO, appointed, July 21, 2025, prior to which he was EVP Operations and prior to which he was COO at Calibre
</text>
  </threadedComment>
  <threadedComment ref="AO269" dT="2026-06-23T15:02:47.13" personId="{F086FFC1-7F1B-4BDF-AA87-264E8C966370}" id="{3EA59557-856A-4B1C-8E49-6E1C0E8F0191}">
    <text>Dashed out TDC</text>
  </threadedComment>
  <threadedComment ref="AX269" dT="2026-06-23T15:02:47.13" personId="{F086FFC1-7F1B-4BDF-AA87-264E8C966370}" id="{13E2D005-1D2D-42E7-9EB0-CB954904CD3F}">
    <text>Dashed out TDC</text>
  </threadedComment>
  <threadedComment ref="AO272" dT="2026-06-23T15:02:47.13" personId="{F086FFC1-7F1B-4BDF-AA87-264E8C966370}" id="{0FD4D9F7-D7DB-4EA0-9C67-F451FBBDBEF7}">
    <text>Dashed out TDC</text>
  </threadedComment>
  <threadedComment ref="AX272" dT="2026-06-23T15:02:47.13" personId="{F086FFC1-7F1B-4BDF-AA87-264E8C966370}" id="{ABFF58CC-514C-4A9A-ACA6-AE042C05C674}">
    <text>Dashed out TDC</text>
  </threadedComment>
</ThreadedComments>
</file>

<file path=xl/threadedComments/threadedComment2.xml><?xml version="1.0" encoding="utf-8"?>
<ThreadedComments xmlns="http://schemas.microsoft.com/office/spreadsheetml/2018/threadedcomments" xmlns:x="http://schemas.openxmlformats.org/spreadsheetml/2006/main">
  <threadedComment ref="AU8" dT="2025-11-14T20:44:28.78" personId="{27435E18-F4BE-477D-903F-1313D68C3605}" id="{BFB19A27-0EBD-4931-9853-092CB127BEBD}">
    <text>BLANK OUT GIVEN TRANSITION?</text>
  </threadedComment>
  <threadedComment ref="AS9" dT="2025-11-14T20:59:43.63" personId="{27435E18-F4BE-477D-903F-1313D68C3605}" id="{1D00F0A5-EE82-4768-AC36-153CFB3A32CE}">
    <text>His compensation was converted from CAD to USD for disclosure</text>
  </threadedComment>
  <threadedComment ref="AU10" dT="2025-11-14T21:13:18.28" personId="{27435E18-F4BE-477D-903F-1313D68C3605}" id="{9BD7D91F-CFA6-4E01-ACCE-878405834D6C}">
    <text>Info no longer available on Capstone website given new role. 
Pulled from a chilean mining website:
https://www.reporteminero.cl/noticia/noticias/2023/09/james-whittaker-capstone-copper-chile</text>
    <extLst>
      <x:ext xmlns:xltc2="http://schemas.microsoft.com/office/spreadsheetml/2020/threadedcomments2" uri="{F7C98A9C-CBB3-438F-8F68-D28B6AF4A901}">
        <xltc2:checksum>600044333</xltc2:checksum>
        <xltc2:hyperlink startIndex="102" length="91" url="https://www.reporteminero.cl/noticia/noticias/2023/09/james-whittaker-capstone-copper-chile"/>
      </x:ext>
    </extLst>
  </threadedComment>
  <threadedComment ref="AU12" dT="2025-11-14T21:33:37.78" personId="{27435E18-F4BE-477D-903F-1313D68C3605}" id="{FF60C9AD-0171-45A2-8322-6E08A19F8DF7}">
    <text>Written by himself, per linkedin</text>
  </threadedComment>
  <threadedComment ref="AU25" dT="2025-11-14T21:56:51.07" personId="{27435E18-F4BE-477D-903F-1313D68C3605}" id="{832390B7-4FFC-4A04-878C-24F8FD3D8212}">
    <text xml:space="preserve">Written by himself, per his linkedin
</text>
  </threadedComment>
</ThreadedComments>
</file>

<file path=xl/threadedComments/threadedComment3.xml><?xml version="1.0" encoding="utf-8"?>
<ThreadedComments xmlns="http://schemas.microsoft.com/office/spreadsheetml/2018/threadedcomments" xmlns:x="http://schemas.openxmlformats.org/spreadsheetml/2006/main">
  <threadedComment ref="C14" dT="2026-07-01T03:58:49.69" personId="{F086FFC1-7F1B-4BDF-AA87-264E8C966370}" id="{63388C60-B7C2-496C-854E-19CB021F6186}">
    <text>2024 comp - from 2025 EC benchmarking</text>
  </threadedComment>
  <threadedComment ref="C18" dT="2026-06-29T21:49:45.18" personId="{F086FFC1-7F1B-4BDF-AA87-264E8C966370}" id="{9732FD2D-C96F-4C74-AA3B-F0E05D5C6B1C}">
    <text>2025 pay - pulled in from 2026 Benchmarking v6</text>
  </threadedComment>
  <threadedComment ref="D18" dT="2026-07-01T04:00:49.17" personId="{F086FFC1-7F1B-4BDF-AA87-264E8C966370}" id="{A5BD11F0-6B42-400C-830E-97DF3A353F76}">
    <text>New 2026 target TDC</text>
  </threadedComment>
</ThreadedComments>
</file>

<file path=xl/threadedComments/threadedComment4.xml><?xml version="1.0" encoding="utf-8"?>
<ThreadedComments xmlns="http://schemas.microsoft.com/office/spreadsheetml/2018/threadedcomments" xmlns:x="http://schemas.openxmlformats.org/spreadsheetml/2006/main">
  <threadedComment ref="B18" dT="2026-06-29T21:21:01.34" personId="{F086FFC1-7F1B-4BDF-AA87-264E8C966370}" id="{3870A3E5-96B6-495F-99E5-F0BBB8684CBA}">
    <text>Take out hudbay</text>
  </threadedComment>
</ThreadedComment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1.bin"/><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 Id="rId4" Type="http://schemas.microsoft.com/office/2017/10/relationships/threadedComment" Target="../threadedComments/threadedComment2.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15.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17.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200B7-D079-4095-968F-C76DBCC6B31B}">
  <dimension ref="A1"/>
  <sheetViews>
    <sheetView workbookViewId="0"/>
  </sheetViews>
  <sheetFormatPr defaultRowHeight="14.5"/>
  <sheetData>
    <row r="1" spans="1:1">
      <c r="A1" t="s">
        <v>887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68173-E1AB-43C0-9839-59305714867C}">
  <sheetPr>
    <tabColor theme="1"/>
  </sheetPr>
  <dimension ref="A1:H144"/>
  <sheetViews>
    <sheetView topLeftCell="A79" workbookViewId="0"/>
  </sheetViews>
  <sheetFormatPr defaultRowHeight="14.5"/>
  <cols>
    <col min="1" max="1" width="14.1796875" customWidth="1"/>
    <col min="2" max="2" width="11.453125" bestFit="1" customWidth="1"/>
    <col min="4" max="4" width="11.453125" bestFit="1" customWidth="1"/>
  </cols>
  <sheetData>
    <row r="1" spans="1:8">
      <c r="A1" s="321" t="s">
        <v>129</v>
      </c>
    </row>
    <row r="3" spans="1:8">
      <c r="A3" t="s">
        <v>127</v>
      </c>
      <c r="B3" s="320">
        <v>44992</v>
      </c>
      <c r="D3" s="317" t="s">
        <v>121</v>
      </c>
      <c r="E3" s="318" t="s">
        <v>123</v>
      </c>
      <c r="F3" s="319"/>
      <c r="G3" s="319"/>
      <c r="H3" s="319"/>
    </row>
    <row r="4" spans="1:8">
      <c r="A4" t="s">
        <v>128</v>
      </c>
      <c r="B4" s="320">
        <v>44992</v>
      </c>
      <c r="D4" s="319"/>
      <c r="E4" s="319" t="s">
        <v>124</v>
      </c>
      <c r="F4" s="319"/>
      <c r="G4" s="319"/>
      <c r="H4" s="319"/>
    </row>
    <row r="5" spans="1:8">
      <c r="D5" s="319"/>
      <c r="E5" s="319" t="s">
        <v>122</v>
      </c>
      <c r="F5" s="319"/>
      <c r="G5" s="319"/>
      <c r="H5" s="319"/>
    </row>
    <row r="6" spans="1:8">
      <c r="D6" s="319"/>
      <c r="E6" s="319" t="s">
        <v>125</v>
      </c>
      <c r="F6" s="319"/>
      <c r="G6" s="319"/>
      <c r="H6" s="319"/>
    </row>
    <row r="9" spans="1:8">
      <c r="B9" s="323" t="s">
        <v>130</v>
      </c>
    </row>
    <row r="10" spans="1:8">
      <c r="B10" s="322" t="s">
        <v>131</v>
      </c>
    </row>
    <row r="11" spans="1:8">
      <c r="B11" s="322"/>
    </row>
    <row r="12" spans="1:8">
      <c r="B12" s="323" t="s">
        <v>132</v>
      </c>
    </row>
    <row r="13" spans="1:8">
      <c r="B13" s="324" t="s">
        <v>133</v>
      </c>
    </row>
    <row r="14" spans="1:8">
      <c r="B14" s="325" t="s">
        <v>134</v>
      </c>
    </row>
    <row r="15" spans="1:8">
      <c r="B15" s="326" t="s">
        <v>135</v>
      </c>
    </row>
    <row r="16" spans="1:8">
      <c r="B16" s="325" t="s">
        <v>136</v>
      </c>
    </row>
    <row r="17" spans="2:2">
      <c r="B17" s="326" t="s">
        <v>137</v>
      </c>
    </row>
    <row r="18" spans="2:2">
      <c r="B18" s="326"/>
    </row>
    <row r="19" spans="2:2">
      <c r="B19" s="324" t="s">
        <v>17</v>
      </c>
    </row>
    <row r="20" spans="2:2">
      <c r="B20" s="325" t="s">
        <v>138</v>
      </c>
    </row>
    <row r="21" spans="2:2">
      <c r="B21" s="325" t="s">
        <v>139</v>
      </c>
    </row>
    <row r="22" spans="2:2">
      <c r="B22" s="325" t="s">
        <v>140</v>
      </c>
    </row>
    <row r="23" spans="2:2">
      <c r="B23" s="326" t="s">
        <v>141</v>
      </c>
    </row>
    <row r="24" spans="2:2">
      <c r="B24" s="325" t="s">
        <v>142</v>
      </c>
    </row>
    <row r="25" spans="2:2">
      <c r="B25" s="325"/>
    </row>
    <row r="26" spans="2:2">
      <c r="B26" s="324" t="s">
        <v>16</v>
      </c>
    </row>
    <row r="27" spans="2:2">
      <c r="B27" s="325" t="s">
        <v>143</v>
      </c>
    </row>
    <row r="28" spans="2:2">
      <c r="B28" s="325" t="s">
        <v>144</v>
      </c>
    </row>
    <row r="29" spans="2:2">
      <c r="B29" s="325" t="s">
        <v>145</v>
      </c>
    </row>
    <row r="30" spans="2:2">
      <c r="B30" s="325" t="s">
        <v>146</v>
      </c>
    </row>
    <row r="31" spans="2:2">
      <c r="B31" s="326" t="s">
        <v>147</v>
      </c>
    </row>
    <row r="32" spans="2:2">
      <c r="B32" s="326" t="s">
        <v>148</v>
      </c>
    </row>
    <row r="33" spans="2:2">
      <c r="B33" s="325" t="s">
        <v>149</v>
      </c>
    </row>
    <row r="34" spans="2:2">
      <c r="B34" s="326" t="s">
        <v>150</v>
      </c>
    </row>
    <row r="35" spans="2:2">
      <c r="B35" s="326"/>
    </row>
    <row r="36" spans="2:2">
      <c r="B36" s="324" t="s">
        <v>14</v>
      </c>
    </row>
    <row r="37" spans="2:2">
      <c r="B37" s="325" t="s">
        <v>151</v>
      </c>
    </row>
    <row r="38" spans="2:2">
      <c r="B38" s="325" t="s">
        <v>152</v>
      </c>
    </row>
    <row r="39" spans="2:2">
      <c r="B39" s="325" t="s">
        <v>153</v>
      </c>
    </row>
    <row r="40" spans="2:2">
      <c r="B40" s="325" t="s">
        <v>154</v>
      </c>
    </row>
    <row r="41" spans="2:2">
      <c r="B41" s="326" t="s">
        <v>155</v>
      </c>
    </row>
    <row r="42" spans="2:2">
      <c r="B42" s="325" t="s">
        <v>156</v>
      </c>
    </row>
    <row r="43" spans="2:2">
      <c r="B43" s="326" t="s">
        <v>157</v>
      </c>
    </row>
    <row r="44" spans="2:2">
      <c r="B44" s="326"/>
    </row>
    <row r="45" spans="2:2">
      <c r="B45" s="324" t="s">
        <v>158</v>
      </c>
    </row>
    <row r="46" spans="2:2">
      <c r="B46" s="325" t="s">
        <v>159</v>
      </c>
    </row>
    <row r="47" spans="2:2">
      <c r="B47" s="325" t="s">
        <v>160</v>
      </c>
    </row>
    <row r="48" spans="2:2">
      <c r="B48" s="325" t="s">
        <v>161</v>
      </c>
    </row>
    <row r="49" spans="2:2">
      <c r="B49" s="325" t="s">
        <v>162</v>
      </c>
    </row>
    <row r="50" spans="2:2">
      <c r="B50" s="325" t="s">
        <v>163</v>
      </c>
    </row>
    <row r="51" spans="2:2">
      <c r="B51" s="325"/>
    </row>
    <row r="52" spans="2:2">
      <c r="B52" s="324" t="s">
        <v>164</v>
      </c>
    </row>
    <row r="53" spans="2:2">
      <c r="B53" s="325" t="s">
        <v>165</v>
      </c>
    </row>
    <row r="54" spans="2:2">
      <c r="B54" s="325"/>
    </row>
    <row r="55" spans="2:2">
      <c r="B55" s="324" t="s">
        <v>166</v>
      </c>
    </row>
    <row r="56" spans="2:2">
      <c r="B56" s="325" t="s">
        <v>167</v>
      </c>
    </row>
    <row r="57" spans="2:2">
      <c r="B57" s="325" t="s">
        <v>168</v>
      </c>
    </row>
    <row r="58" spans="2:2">
      <c r="B58" s="326" t="s">
        <v>169</v>
      </c>
    </row>
    <row r="59" spans="2:2">
      <c r="B59" s="326" t="s">
        <v>170</v>
      </c>
    </row>
    <row r="60" spans="2:2">
      <c r="B60" s="326" t="s">
        <v>171</v>
      </c>
    </row>
    <row r="61" spans="2:2">
      <c r="B61" s="326" t="s">
        <v>172</v>
      </c>
    </row>
    <row r="62" spans="2:2">
      <c r="B62" s="325" t="s">
        <v>173</v>
      </c>
    </row>
    <row r="63" spans="2:2">
      <c r="B63" s="325"/>
    </row>
    <row r="64" spans="2:2">
      <c r="B64" s="324" t="s">
        <v>174</v>
      </c>
    </row>
    <row r="65" spans="2:2">
      <c r="B65" s="325" t="s">
        <v>175</v>
      </c>
    </row>
    <row r="66" spans="2:2">
      <c r="B66" s="325" t="s">
        <v>240</v>
      </c>
    </row>
    <row r="67" spans="2:2">
      <c r="B67" s="325"/>
    </row>
    <row r="68" spans="2:2">
      <c r="B68" s="324" t="s">
        <v>176</v>
      </c>
    </row>
    <row r="69" spans="2:2">
      <c r="B69" s="322" t="s">
        <v>177</v>
      </c>
    </row>
    <row r="70" spans="2:2">
      <c r="B70" s="325" t="s">
        <v>178</v>
      </c>
    </row>
    <row r="71" spans="2:2">
      <c r="B71" s="326" t="s">
        <v>179</v>
      </c>
    </row>
    <row r="72" spans="2:2">
      <c r="B72" s="325" t="s">
        <v>180</v>
      </c>
    </row>
    <row r="73" spans="2:2">
      <c r="B73" s="326" t="s">
        <v>181</v>
      </c>
    </row>
    <row r="74" spans="2:2">
      <c r="B74" s="326" t="s">
        <v>182</v>
      </c>
    </row>
    <row r="75" spans="2:2">
      <c r="B75" s="326" t="s">
        <v>183</v>
      </c>
    </row>
    <row r="76" spans="2:2">
      <c r="B76" s="325" t="s">
        <v>184</v>
      </c>
    </row>
    <row r="77" spans="2:2">
      <c r="B77" s="326" t="s">
        <v>185</v>
      </c>
    </row>
    <row r="78" spans="2:2">
      <c r="B78" s="326" t="s">
        <v>186</v>
      </c>
    </row>
    <row r="79" spans="2:2">
      <c r="B79" s="326" t="s">
        <v>187</v>
      </c>
    </row>
    <row r="80" spans="2:2">
      <c r="B80" s="326" t="s">
        <v>188</v>
      </c>
    </row>
    <row r="81" spans="2:2">
      <c r="B81" s="325" t="s">
        <v>189</v>
      </c>
    </row>
    <row r="82" spans="2:2">
      <c r="B82" s="325"/>
    </row>
    <row r="83" spans="2:2">
      <c r="B83" s="324" t="s">
        <v>190</v>
      </c>
    </row>
    <row r="84" spans="2:2">
      <c r="B84" s="325" t="s">
        <v>257</v>
      </c>
    </row>
    <row r="85" spans="2:2">
      <c r="B85" s="325" t="s">
        <v>191</v>
      </c>
    </row>
    <row r="86" spans="2:2">
      <c r="B86" s="325" t="s">
        <v>192</v>
      </c>
    </row>
    <row r="87" spans="2:2">
      <c r="B87" s="325" t="s">
        <v>193</v>
      </c>
    </row>
    <row r="88" spans="2:2">
      <c r="B88" s="325" t="s">
        <v>194</v>
      </c>
    </row>
    <row r="89" spans="2:2">
      <c r="B89" s="326" t="s">
        <v>195</v>
      </c>
    </row>
    <row r="90" spans="2:2">
      <c r="B90" s="326"/>
    </row>
    <row r="91" spans="2:2">
      <c r="B91" s="324" t="s">
        <v>196</v>
      </c>
    </row>
    <row r="92" spans="2:2">
      <c r="B92" s="325" t="s">
        <v>197</v>
      </c>
    </row>
    <row r="93" spans="2:2">
      <c r="B93" s="325" t="s">
        <v>198</v>
      </c>
    </row>
    <row r="94" spans="2:2">
      <c r="B94" s="326" t="s">
        <v>199</v>
      </c>
    </row>
    <row r="95" spans="2:2">
      <c r="B95" s="325" t="s">
        <v>200</v>
      </c>
    </row>
    <row r="96" spans="2:2">
      <c r="B96" s="326" t="s">
        <v>201</v>
      </c>
    </row>
    <row r="97" spans="2:2">
      <c r="B97" s="326" t="s">
        <v>202</v>
      </c>
    </row>
    <row r="98" spans="2:2">
      <c r="B98" s="326" t="s">
        <v>203</v>
      </c>
    </row>
    <row r="99" spans="2:2">
      <c r="B99" s="327" t="s">
        <v>204</v>
      </c>
    </row>
    <row r="100" spans="2:2">
      <c r="B100" s="325" t="s">
        <v>205</v>
      </c>
    </row>
    <row r="101" spans="2:2">
      <c r="B101" s="326" t="s">
        <v>206</v>
      </c>
    </row>
    <row r="102" spans="2:2">
      <c r="B102" s="326" t="s">
        <v>207</v>
      </c>
    </row>
    <row r="103" spans="2:2">
      <c r="B103" s="326"/>
    </row>
    <row r="104" spans="2:2">
      <c r="B104" s="324" t="s">
        <v>208</v>
      </c>
    </row>
    <row r="105" spans="2:2">
      <c r="B105" s="325" t="s">
        <v>209</v>
      </c>
    </row>
    <row r="106" spans="2:2">
      <c r="B106" s="325" t="s">
        <v>256</v>
      </c>
    </row>
    <row r="107" spans="2:2">
      <c r="B107" s="326" t="s">
        <v>210</v>
      </c>
    </row>
    <row r="108" spans="2:2">
      <c r="B108" s="326"/>
    </row>
    <row r="109" spans="2:2">
      <c r="B109" s="324" t="s">
        <v>211</v>
      </c>
    </row>
    <row r="110" spans="2:2">
      <c r="B110" s="325" t="s">
        <v>212</v>
      </c>
    </row>
    <row r="111" spans="2:2">
      <c r="B111" s="325" t="s">
        <v>213</v>
      </c>
    </row>
    <row r="112" spans="2:2">
      <c r="B112" s="325" t="s">
        <v>214</v>
      </c>
    </row>
    <row r="113" spans="2:2">
      <c r="B113" s="325" t="s">
        <v>215</v>
      </c>
    </row>
    <row r="114" spans="2:2">
      <c r="B114" s="325"/>
    </row>
    <row r="115" spans="2:2">
      <c r="B115" s="324" t="s">
        <v>216</v>
      </c>
    </row>
    <row r="116" spans="2:2">
      <c r="B116" s="325" t="s">
        <v>217</v>
      </c>
    </row>
    <row r="117" spans="2:2">
      <c r="B117" s="326" t="s">
        <v>218</v>
      </c>
    </row>
    <row r="118" spans="2:2">
      <c r="B118" s="326" t="s">
        <v>219</v>
      </c>
    </row>
    <row r="119" spans="2:2">
      <c r="B119" s="326" t="s">
        <v>241</v>
      </c>
    </row>
    <row r="120" spans="2:2">
      <c r="B120" s="325" t="s">
        <v>220</v>
      </c>
    </row>
    <row r="121" spans="2:2">
      <c r="B121" s="326" t="s">
        <v>221</v>
      </c>
    </row>
    <row r="122" spans="2:2">
      <c r="B122" s="325" t="s">
        <v>222</v>
      </c>
    </row>
    <row r="123" spans="2:2">
      <c r="B123" s="326" t="s">
        <v>223</v>
      </c>
    </row>
    <row r="124" spans="2:2">
      <c r="B124" s="325" t="s">
        <v>224</v>
      </c>
    </row>
    <row r="125" spans="2:2">
      <c r="B125" s="325" t="s">
        <v>225</v>
      </c>
    </row>
    <row r="126" spans="2:2">
      <c r="B126" s="326" t="s">
        <v>242</v>
      </c>
    </row>
    <row r="127" spans="2:2">
      <c r="B127" s="325" t="s">
        <v>239</v>
      </c>
    </row>
    <row r="128" spans="2:2">
      <c r="B128" s="325"/>
    </row>
    <row r="129" spans="2:2">
      <c r="B129" s="324" t="s">
        <v>226</v>
      </c>
    </row>
    <row r="130" spans="2:2">
      <c r="B130" s="325" t="s">
        <v>227</v>
      </c>
    </row>
    <row r="131" spans="2:2">
      <c r="B131" s="326" t="s">
        <v>228</v>
      </c>
    </row>
    <row r="132" spans="2:2">
      <c r="B132" s="325" t="s">
        <v>229</v>
      </c>
    </row>
    <row r="133" spans="2:2">
      <c r="B133" s="322"/>
    </row>
    <row r="134" spans="2:2">
      <c r="B134" s="325"/>
    </row>
    <row r="135" spans="2:2">
      <c r="B135" s="326"/>
    </row>
    <row r="136" spans="2:2">
      <c r="B136" s="325"/>
    </row>
    <row r="137" spans="2:2">
      <c r="B137" s="325"/>
    </row>
    <row r="138" spans="2:2">
      <c r="B138" s="325"/>
    </row>
    <row r="140" spans="2:2">
      <c r="B140" s="324"/>
    </row>
    <row r="141" spans="2:2">
      <c r="B141" s="325"/>
    </row>
    <row r="142" spans="2:2">
      <c r="B142" s="326"/>
    </row>
    <row r="143" spans="2:2">
      <c r="B143" s="325"/>
    </row>
    <row r="144" spans="2:2">
      <c r="B144" s="3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ACD06-0C7B-4C24-8152-C98CCF1FB3A7}">
  <dimension ref="B3:I71"/>
  <sheetViews>
    <sheetView topLeftCell="A78" workbookViewId="0">
      <selection activeCell="C49" sqref="C49"/>
    </sheetView>
  </sheetViews>
  <sheetFormatPr defaultRowHeight="14.5"/>
  <cols>
    <col min="3" max="3" width="14" customWidth="1"/>
    <col min="4" max="4" width="10.81640625" bestFit="1" customWidth="1"/>
    <col min="5" max="5" width="25" bestFit="1" customWidth="1"/>
    <col min="6" max="6" width="50" bestFit="1" customWidth="1"/>
    <col min="7" max="7" width="18.1796875" bestFit="1" customWidth="1"/>
    <col min="8" max="9" width="10.453125" bestFit="1" customWidth="1"/>
  </cols>
  <sheetData>
    <row r="3" spans="2:9">
      <c r="B3" t="s">
        <v>367</v>
      </c>
      <c r="C3" t="s">
        <v>368</v>
      </c>
      <c r="D3" t="s">
        <v>369</v>
      </c>
      <c r="E3" t="s">
        <v>22</v>
      </c>
      <c r="F3" t="s">
        <v>18</v>
      </c>
      <c r="G3" t="s">
        <v>19</v>
      </c>
      <c r="H3" t="s">
        <v>370</v>
      </c>
      <c r="I3" t="s">
        <v>68</v>
      </c>
    </row>
    <row r="4" spans="2:9">
      <c r="C4" s="1" t="s">
        <v>738</v>
      </c>
      <c r="D4" t="s">
        <v>79</v>
      </c>
      <c r="E4" t="s">
        <v>413</v>
      </c>
      <c r="F4" t="s">
        <v>269</v>
      </c>
      <c r="G4" t="s">
        <v>270</v>
      </c>
      <c r="H4">
        <v>5600057</v>
      </c>
      <c r="I4">
        <v>5457572.25</v>
      </c>
    </row>
    <row r="5" spans="2:9">
      <c r="C5" t="s">
        <v>739</v>
      </c>
      <c r="D5" t="s">
        <v>272</v>
      </c>
      <c r="E5" t="s">
        <v>413</v>
      </c>
      <c r="F5" t="s">
        <v>272</v>
      </c>
      <c r="G5" t="s">
        <v>273</v>
      </c>
      <c r="H5">
        <v>2604993</v>
      </c>
      <c r="I5">
        <v>2503127</v>
      </c>
    </row>
    <row r="6" spans="2:9">
      <c r="C6" t="s">
        <v>740</v>
      </c>
      <c r="D6" t="s">
        <v>106</v>
      </c>
      <c r="E6" t="s">
        <v>413</v>
      </c>
      <c r="F6" t="s">
        <v>106</v>
      </c>
      <c r="G6" t="s">
        <v>274</v>
      </c>
      <c r="H6">
        <v>2350784</v>
      </c>
      <c r="I6">
        <v>2300974.5999999996</v>
      </c>
    </row>
    <row r="7" spans="2:9">
      <c r="C7" t="s">
        <v>741</v>
      </c>
      <c r="D7" t="s">
        <v>360</v>
      </c>
      <c r="E7" t="s">
        <v>413</v>
      </c>
      <c r="F7" t="s">
        <v>275</v>
      </c>
      <c r="G7" t="s">
        <v>276</v>
      </c>
      <c r="H7">
        <v>1919023</v>
      </c>
      <c r="I7">
        <v>1837927.75</v>
      </c>
    </row>
    <row r="8" spans="2:9">
      <c r="C8" t="s">
        <v>742</v>
      </c>
      <c r="D8" t="s">
        <v>743</v>
      </c>
      <c r="E8" t="s">
        <v>413</v>
      </c>
      <c r="F8" t="s">
        <v>278</v>
      </c>
      <c r="G8" t="s">
        <v>279</v>
      </c>
      <c r="H8">
        <v>2212298.1887099999</v>
      </c>
      <c r="I8">
        <v>1818959.6503340001</v>
      </c>
    </row>
    <row r="9" spans="2:9">
      <c r="C9" t="s">
        <v>744</v>
      </c>
      <c r="D9" t="s">
        <v>361</v>
      </c>
      <c r="E9" t="s">
        <v>413</v>
      </c>
      <c r="F9" t="s">
        <v>363</v>
      </c>
      <c r="G9" t="s">
        <v>362</v>
      </c>
      <c r="H9">
        <v>465850</v>
      </c>
      <c r="I9">
        <v>1304380</v>
      </c>
    </row>
    <row r="10" spans="2:9">
      <c r="C10" t="s">
        <v>745</v>
      </c>
      <c r="D10" t="s">
        <v>366</v>
      </c>
      <c r="E10" t="s">
        <v>413</v>
      </c>
      <c r="F10" t="s">
        <v>365</v>
      </c>
      <c r="G10" t="s">
        <v>364</v>
      </c>
      <c r="H10">
        <v>453500</v>
      </c>
      <c r="I10">
        <v>1269800</v>
      </c>
    </row>
    <row r="14" spans="2:9">
      <c r="C14" t="s">
        <v>676</v>
      </c>
      <c r="D14" t="s">
        <v>79</v>
      </c>
      <c r="E14" t="s">
        <v>371</v>
      </c>
      <c r="F14" t="s">
        <v>79</v>
      </c>
      <c r="G14" t="s">
        <v>313</v>
      </c>
      <c r="H14">
        <v>9344.8457655300008</v>
      </c>
      <c r="I14">
        <v>8698.6526040203098</v>
      </c>
    </row>
    <row r="15" spans="2:9">
      <c r="C15" s="781" t="s">
        <v>677</v>
      </c>
      <c r="D15" t="s">
        <v>79</v>
      </c>
      <c r="E15" t="s">
        <v>384</v>
      </c>
      <c r="F15" t="s">
        <v>269</v>
      </c>
      <c r="G15" t="s">
        <v>322</v>
      </c>
      <c r="H15">
        <v>5366.5489181399998</v>
      </c>
      <c r="I15">
        <v>4420</v>
      </c>
    </row>
    <row r="16" spans="2:9">
      <c r="C16" s="781" t="s">
        <v>678</v>
      </c>
      <c r="D16" t="s">
        <v>79</v>
      </c>
      <c r="E16" t="s">
        <v>373</v>
      </c>
      <c r="F16" t="s">
        <v>79</v>
      </c>
      <c r="G16" t="s">
        <v>327</v>
      </c>
      <c r="H16">
        <v>6013.0529450700005</v>
      </c>
      <c r="I16">
        <v>5375</v>
      </c>
    </row>
    <row r="17" spans="3:9">
      <c r="C17" s="781" t="s">
        <v>679</v>
      </c>
      <c r="D17" t="s">
        <v>79</v>
      </c>
      <c r="E17" t="s">
        <v>372</v>
      </c>
      <c r="F17" t="s">
        <v>79</v>
      </c>
      <c r="G17" t="s">
        <v>331</v>
      </c>
      <c r="H17">
        <v>7737.93</v>
      </c>
      <c r="I17">
        <v>7690.8</v>
      </c>
    </row>
    <row r="18" spans="3:9">
      <c r="C18" s="781" t="s">
        <v>680</v>
      </c>
      <c r="D18" t="s">
        <v>79</v>
      </c>
      <c r="E18" t="s">
        <v>375</v>
      </c>
      <c r="F18" t="s">
        <v>79</v>
      </c>
      <c r="G18" t="s">
        <v>335</v>
      </c>
      <c r="H18">
        <v>4278.72</v>
      </c>
      <c r="I18">
        <v>4416</v>
      </c>
    </row>
    <row r="19" spans="3:9">
      <c r="C19" s="781" t="s">
        <v>681</v>
      </c>
      <c r="D19" t="s">
        <v>79</v>
      </c>
      <c r="E19" t="s">
        <v>379</v>
      </c>
      <c r="F19" t="s">
        <v>79</v>
      </c>
      <c r="G19" t="s">
        <v>280</v>
      </c>
      <c r="H19">
        <v>4468.9359999999997</v>
      </c>
      <c r="I19">
        <v>4280.9375</v>
      </c>
    </row>
    <row r="20" spans="3:9">
      <c r="C20" s="781" t="s">
        <v>682</v>
      </c>
      <c r="D20" t="s">
        <v>79</v>
      </c>
      <c r="E20" t="s">
        <v>374</v>
      </c>
      <c r="F20" t="s">
        <v>269</v>
      </c>
      <c r="G20" t="s">
        <v>341</v>
      </c>
      <c r="H20">
        <v>5443.5</v>
      </c>
      <c r="I20">
        <v>7186.1111111111113</v>
      </c>
    </row>
    <row r="21" spans="3:9">
      <c r="C21" s="781" t="s">
        <v>683</v>
      </c>
      <c r="D21" t="s">
        <v>79</v>
      </c>
      <c r="E21" t="s">
        <v>376</v>
      </c>
      <c r="F21" t="s">
        <v>269</v>
      </c>
      <c r="G21" t="s">
        <v>286</v>
      </c>
      <c r="H21">
        <v>2391.3823133129631</v>
      </c>
      <c r="I21">
        <v>6823.4466000000002</v>
      </c>
    </row>
    <row r="22" spans="3:9">
      <c r="C22" s="781" t="s">
        <v>684</v>
      </c>
      <c r="D22" t="s">
        <v>79</v>
      </c>
      <c r="E22" t="s">
        <v>449</v>
      </c>
      <c r="F22" t="s">
        <v>269</v>
      </c>
      <c r="G22" t="s">
        <v>724</v>
      </c>
      <c r="H22">
        <v>4334.1499999999996</v>
      </c>
      <c r="I22">
        <v>4080</v>
      </c>
    </row>
    <row r="23" spans="3:9">
      <c r="C23" s="781" t="s">
        <v>685</v>
      </c>
      <c r="D23" t="s">
        <v>79</v>
      </c>
      <c r="E23" t="s">
        <v>378</v>
      </c>
      <c r="F23" t="s">
        <v>269</v>
      </c>
      <c r="G23" t="s">
        <v>291</v>
      </c>
      <c r="H23">
        <v>4858.4409999999998</v>
      </c>
      <c r="I23">
        <v>4667.5200000000004</v>
      </c>
    </row>
    <row r="24" spans="3:9">
      <c r="C24" s="781" t="s">
        <v>686</v>
      </c>
      <c r="D24" t="s">
        <v>79</v>
      </c>
      <c r="E24" t="s">
        <v>377</v>
      </c>
      <c r="F24" t="s">
        <v>300</v>
      </c>
      <c r="G24" t="s">
        <v>301</v>
      </c>
      <c r="H24">
        <v>6971.5743085300001</v>
      </c>
      <c r="I24">
        <v>7585.6036625000015</v>
      </c>
    </row>
    <row r="25" spans="3:9">
      <c r="C25" s="781" t="s">
        <v>746</v>
      </c>
      <c r="D25" t="s">
        <v>79</v>
      </c>
      <c r="E25" t="s">
        <v>380</v>
      </c>
      <c r="F25" t="s">
        <v>269</v>
      </c>
      <c r="G25" t="s">
        <v>347</v>
      </c>
      <c r="H25">
        <v>5305.9531812600007</v>
      </c>
      <c r="I25">
        <v>5432.6585256088119</v>
      </c>
    </row>
    <row r="26" spans="3:9">
      <c r="C26" s="781" t="s">
        <v>687</v>
      </c>
      <c r="D26" t="s">
        <v>79</v>
      </c>
      <c r="E26" t="s">
        <v>383</v>
      </c>
      <c r="F26" t="s">
        <v>79</v>
      </c>
      <c r="G26" t="s">
        <v>725</v>
      </c>
      <c r="H26">
        <v>3206.5526740300002</v>
      </c>
      <c r="I26">
        <v>3950.0396396396404</v>
      </c>
    </row>
    <row r="27" spans="3:9">
      <c r="C27" s="781" t="s">
        <v>688</v>
      </c>
      <c r="D27" t="s">
        <v>79</v>
      </c>
      <c r="E27" t="s">
        <v>382</v>
      </c>
      <c r="F27" t="s">
        <v>269</v>
      </c>
      <c r="G27" t="s">
        <v>307</v>
      </c>
      <c r="H27">
        <v>3530.6250000000005</v>
      </c>
      <c r="I27">
        <v>3487.5</v>
      </c>
    </row>
    <row r="28" spans="3:9">
      <c r="C28" s="781" t="s">
        <v>690</v>
      </c>
      <c r="D28" t="s">
        <v>106</v>
      </c>
      <c r="E28" t="s">
        <v>371</v>
      </c>
      <c r="F28" t="s">
        <v>292</v>
      </c>
      <c r="G28" t="s">
        <v>314</v>
      </c>
      <c r="H28">
        <v>2579.5752135600001</v>
      </c>
      <c r="I28">
        <v>2420.8247457463776</v>
      </c>
    </row>
    <row r="29" spans="3:9">
      <c r="C29" t="s">
        <v>691</v>
      </c>
      <c r="D29" t="s">
        <v>106</v>
      </c>
      <c r="E29" t="s">
        <v>384</v>
      </c>
      <c r="F29" t="s">
        <v>106</v>
      </c>
      <c r="G29" t="s">
        <v>323</v>
      </c>
      <c r="H29">
        <v>3301.7115582599999</v>
      </c>
      <c r="I29">
        <v>2451.7976588399251</v>
      </c>
    </row>
    <row r="30" spans="3:9">
      <c r="C30" t="s">
        <v>692</v>
      </c>
      <c r="D30" t="s">
        <v>106</v>
      </c>
      <c r="E30" t="s">
        <v>373</v>
      </c>
      <c r="F30" t="s">
        <v>106</v>
      </c>
      <c r="G30" t="s">
        <v>328</v>
      </c>
      <c r="H30">
        <v>1824.2579721500001</v>
      </c>
      <c r="I30">
        <v>1768</v>
      </c>
    </row>
    <row r="31" spans="3:9">
      <c r="C31" t="s">
        <v>693</v>
      </c>
      <c r="D31" t="s">
        <v>106</v>
      </c>
      <c r="E31" t="s">
        <v>372</v>
      </c>
      <c r="F31" t="s">
        <v>106</v>
      </c>
      <c r="G31" t="s">
        <v>333</v>
      </c>
      <c r="H31">
        <v>2117.73</v>
      </c>
      <c r="I31">
        <v>2070</v>
      </c>
    </row>
    <row r="32" spans="3:9">
      <c r="C32" t="s">
        <v>694</v>
      </c>
      <c r="D32" t="s">
        <v>106</v>
      </c>
      <c r="E32" t="s">
        <v>375</v>
      </c>
      <c r="F32" t="s">
        <v>287</v>
      </c>
      <c r="G32" t="s">
        <v>337</v>
      </c>
      <c r="H32">
        <v>1800.7059999999999</v>
      </c>
      <c r="I32">
        <v>1838.6775</v>
      </c>
    </row>
    <row r="33" spans="3:9">
      <c r="C33" t="s">
        <v>695</v>
      </c>
      <c r="D33" t="s">
        <v>106</v>
      </c>
      <c r="E33" t="s">
        <v>379</v>
      </c>
      <c r="F33" t="s">
        <v>106</v>
      </c>
      <c r="G33" t="s">
        <v>281</v>
      </c>
      <c r="H33">
        <v>1807.146</v>
      </c>
      <c r="I33">
        <v>1733.424</v>
      </c>
    </row>
    <row r="34" spans="3:9">
      <c r="C34" t="s">
        <v>696</v>
      </c>
      <c r="D34" t="s">
        <v>106</v>
      </c>
      <c r="E34" t="s">
        <v>374</v>
      </c>
      <c r="F34" t="s">
        <v>703</v>
      </c>
      <c r="G34" t="s">
        <v>342</v>
      </c>
      <c r="H34">
        <v>2721.75</v>
      </c>
      <c r="I34">
        <v>2887.5</v>
      </c>
    </row>
    <row r="35" spans="3:9">
      <c r="C35" t="s">
        <v>697</v>
      </c>
      <c r="D35" t="s">
        <v>106</v>
      </c>
      <c r="E35" t="s">
        <v>376</v>
      </c>
      <c r="F35" t="s">
        <v>287</v>
      </c>
      <c r="G35" t="s">
        <v>288</v>
      </c>
      <c r="H35">
        <v>2115.1108764500004</v>
      </c>
      <c r="I35">
        <v>2048.4041500000003</v>
      </c>
    </row>
    <row r="36" spans="3:9">
      <c r="C36" t="s">
        <v>698</v>
      </c>
      <c r="D36" t="s">
        <v>106</v>
      </c>
      <c r="E36" t="s">
        <v>689</v>
      </c>
      <c r="F36" t="s">
        <v>292</v>
      </c>
      <c r="G36" t="s">
        <v>723</v>
      </c>
      <c r="H36">
        <v>1425.787</v>
      </c>
      <c r="I36">
        <v>1380</v>
      </c>
    </row>
    <row r="37" spans="3:9">
      <c r="C37" t="s">
        <v>699</v>
      </c>
      <c r="D37" t="s">
        <v>106</v>
      </c>
      <c r="E37" t="s">
        <v>378</v>
      </c>
      <c r="F37" t="s">
        <v>292</v>
      </c>
      <c r="G37" t="s">
        <v>293</v>
      </c>
      <c r="H37">
        <v>1778.4450000000002</v>
      </c>
      <c r="I37">
        <v>1846</v>
      </c>
    </row>
    <row r="38" spans="3:9">
      <c r="C38" t="s">
        <v>700</v>
      </c>
      <c r="D38" t="s">
        <v>106</v>
      </c>
      <c r="E38" t="s">
        <v>377</v>
      </c>
      <c r="F38" t="s">
        <v>292</v>
      </c>
      <c r="G38" t="s">
        <v>303</v>
      </c>
      <c r="H38">
        <v>2821.8651150000001</v>
      </c>
      <c r="I38">
        <v>2877.3570000000004</v>
      </c>
    </row>
    <row r="39" spans="3:9">
      <c r="C39" t="s">
        <v>747</v>
      </c>
      <c r="D39" t="s">
        <v>106</v>
      </c>
      <c r="E39" t="s">
        <v>380</v>
      </c>
      <c r="F39" t="s">
        <v>292</v>
      </c>
      <c r="G39" t="s">
        <v>348</v>
      </c>
      <c r="H39">
        <v>2233.73060386</v>
      </c>
      <c r="I39">
        <v>2551.4158968244487</v>
      </c>
    </row>
    <row r="40" spans="3:9">
      <c r="C40" t="s">
        <v>701</v>
      </c>
      <c r="D40" t="s">
        <v>106</v>
      </c>
      <c r="E40" t="s">
        <v>383</v>
      </c>
      <c r="F40" t="s">
        <v>106</v>
      </c>
      <c r="G40" t="s">
        <v>350</v>
      </c>
      <c r="H40">
        <v>1687.2506308900001</v>
      </c>
      <c r="I40">
        <v>1822.6084499662236</v>
      </c>
    </row>
    <row r="41" spans="3:9">
      <c r="C41" t="s">
        <v>702</v>
      </c>
      <c r="D41" t="s">
        <v>106</v>
      </c>
      <c r="E41" t="s">
        <v>382</v>
      </c>
      <c r="F41" t="s">
        <v>704</v>
      </c>
      <c r="G41" t="s">
        <v>308</v>
      </c>
      <c r="H41">
        <v>1319.809</v>
      </c>
      <c r="I41">
        <v>1435.3308</v>
      </c>
    </row>
    <row r="42" spans="3:9">
      <c r="C42" t="s">
        <v>714</v>
      </c>
      <c r="D42" t="s">
        <v>360</v>
      </c>
      <c r="E42" t="s">
        <v>384</v>
      </c>
      <c r="F42" t="s">
        <v>326</v>
      </c>
      <c r="G42" t="s">
        <v>325</v>
      </c>
      <c r="H42">
        <v>2659.9732443200005</v>
      </c>
      <c r="I42">
        <v>1953.8076911166058</v>
      </c>
    </row>
    <row r="43" spans="3:9">
      <c r="C43" t="s">
        <v>715</v>
      </c>
      <c r="D43" t="s">
        <v>360</v>
      </c>
      <c r="E43" t="s">
        <v>372</v>
      </c>
      <c r="F43" t="s">
        <v>326</v>
      </c>
      <c r="G43" t="s">
        <v>334</v>
      </c>
      <c r="H43">
        <v>2597.87</v>
      </c>
      <c r="I43">
        <v>2537.6</v>
      </c>
    </row>
    <row r="44" spans="3:9">
      <c r="C44" t="s">
        <v>716</v>
      </c>
      <c r="D44" t="s">
        <v>360</v>
      </c>
      <c r="E44" t="s">
        <v>375</v>
      </c>
      <c r="F44" t="s">
        <v>713</v>
      </c>
      <c r="G44" t="s">
        <v>339</v>
      </c>
      <c r="H44">
        <v>1435.422</v>
      </c>
      <c r="I44">
        <v>1467.596</v>
      </c>
    </row>
    <row r="45" spans="3:9">
      <c r="C45" t="s">
        <v>717</v>
      </c>
      <c r="D45" t="s">
        <v>360</v>
      </c>
      <c r="E45" t="s">
        <v>379</v>
      </c>
      <c r="F45" t="s">
        <v>709</v>
      </c>
      <c r="G45" t="s">
        <v>284</v>
      </c>
      <c r="H45">
        <v>449.904</v>
      </c>
      <c r="I45">
        <v>1327.2168000000004</v>
      </c>
    </row>
    <row r="46" spans="3:9">
      <c r="C46" t="s">
        <v>718</v>
      </c>
      <c r="D46" t="s">
        <v>360</v>
      </c>
      <c r="E46" t="s">
        <v>374</v>
      </c>
      <c r="F46" t="s">
        <v>710</v>
      </c>
      <c r="G46" t="s">
        <v>344</v>
      </c>
      <c r="H46">
        <v>2634.375</v>
      </c>
      <c r="I46">
        <v>2790.6826568265687</v>
      </c>
    </row>
    <row r="47" spans="3:9">
      <c r="C47" t="s">
        <v>719</v>
      </c>
      <c r="D47" t="s">
        <v>360</v>
      </c>
      <c r="E47" t="s">
        <v>376</v>
      </c>
      <c r="F47" t="s">
        <v>711</v>
      </c>
      <c r="G47" t="s">
        <v>290</v>
      </c>
      <c r="H47">
        <v>1945.3687361700001</v>
      </c>
      <c r="I47">
        <v>1786.7588945262683</v>
      </c>
    </row>
    <row r="48" spans="3:9">
      <c r="C48" t="s">
        <v>720</v>
      </c>
      <c r="D48" t="s">
        <v>360</v>
      </c>
      <c r="E48" t="s">
        <v>378</v>
      </c>
      <c r="F48" t="s">
        <v>297</v>
      </c>
      <c r="G48" t="s">
        <v>298</v>
      </c>
      <c r="H48">
        <v>1618.645</v>
      </c>
      <c r="I48">
        <v>1561.89</v>
      </c>
    </row>
    <row r="49" spans="3:9">
      <c r="C49" t="s">
        <v>721</v>
      </c>
      <c r="D49" t="s">
        <v>360</v>
      </c>
      <c r="E49" t="s">
        <v>382</v>
      </c>
      <c r="F49" t="s">
        <v>309</v>
      </c>
      <c r="G49" t="s">
        <v>310</v>
      </c>
      <c r="H49">
        <v>1436.1260000000002</v>
      </c>
      <c r="I49">
        <v>1446.25</v>
      </c>
    </row>
    <row r="50" spans="3:9">
      <c r="C50" t="s">
        <v>726</v>
      </c>
      <c r="D50" t="s">
        <v>272</v>
      </c>
      <c r="E50" t="s">
        <v>371</v>
      </c>
      <c r="F50" t="s">
        <v>318</v>
      </c>
      <c r="G50" t="s">
        <v>316</v>
      </c>
      <c r="H50">
        <v>2673.1948191500005</v>
      </c>
      <c r="I50">
        <v>2509.2151248181212</v>
      </c>
    </row>
    <row r="51" spans="3:9">
      <c r="C51" t="s">
        <v>727</v>
      </c>
      <c r="D51" t="s">
        <v>272</v>
      </c>
      <c r="E51" t="s">
        <v>384</v>
      </c>
      <c r="F51" t="s">
        <v>272</v>
      </c>
      <c r="G51" t="s">
        <v>324</v>
      </c>
      <c r="H51">
        <v>3137.5646145299997</v>
      </c>
      <c r="I51">
        <v>2550.6485682106331</v>
      </c>
    </row>
    <row r="52" spans="3:9">
      <c r="C52" t="s">
        <v>728</v>
      </c>
      <c r="D52" t="s">
        <v>272</v>
      </c>
      <c r="E52" t="s">
        <v>373</v>
      </c>
      <c r="F52" t="s">
        <v>272</v>
      </c>
      <c r="G52" t="s">
        <v>329</v>
      </c>
      <c r="H52">
        <v>2382.2867486199998</v>
      </c>
      <c r="I52">
        <v>2307.5</v>
      </c>
    </row>
    <row r="53" spans="3:9">
      <c r="C53" t="s">
        <v>729</v>
      </c>
      <c r="D53" t="s">
        <v>272</v>
      </c>
      <c r="E53" t="s">
        <v>372</v>
      </c>
      <c r="F53" t="s">
        <v>272</v>
      </c>
      <c r="G53" t="s">
        <v>332</v>
      </c>
      <c r="H53">
        <v>3135</v>
      </c>
      <c r="I53">
        <v>3120</v>
      </c>
    </row>
    <row r="54" spans="3:9">
      <c r="C54" t="s">
        <v>730</v>
      </c>
      <c r="D54" t="s">
        <v>272</v>
      </c>
      <c r="E54" t="s">
        <v>375</v>
      </c>
      <c r="F54" t="s">
        <v>340</v>
      </c>
      <c r="G54" t="s">
        <v>336</v>
      </c>
      <c r="H54">
        <v>2375.8020000000001</v>
      </c>
      <c r="I54">
        <v>2433.6</v>
      </c>
    </row>
    <row r="55" spans="3:9">
      <c r="C55" t="s">
        <v>731</v>
      </c>
      <c r="D55" t="s">
        <v>272</v>
      </c>
      <c r="E55" t="s">
        <v>379</v>
      </c>
      <c r="F55" t="s">
        <v>272</v>
      </c>
      <c r="G55" t="s">
        <v>282</v>
      </c>
      <c r="H55">
        <v>2124.4520000000002</v>
      </c>
      <c r="I55">
        <v>2041.088</v>
      </c>
    </row>
    <row r="56" spans="3:9">
      <c r="C56" t="s">
        <v>732</v>
      </c>
      <c r="D56" t="s">
        <v>272</v>
      </c>
      <c r="E56" t="s">
        <v>374</v>
      </c>
      <c r="F56" t="s">
        <v>705</v>
      </c>
      <c r="G56" t="s">
        <v>343</v>
      </c>
      <c r="H56">
        <v>2721.75</v>
      </c>
      <c r="I56">
        <v>2887.5</v>
      </c>
    </row>
    <row r="57" spans="3:9">
      <c r="C57" t="s">
        <v>733</v>
      </c>
      <c r="D57" t="s">
        <v>272</v>
      </c>
      <c r="E57" t="s">
        <v>449</v>
      </c>
      <c r="F57" t="s">
        <v>706</v>
      </c>
      <c r="G57" t="s">
        <v>346</v>
      </c>
      <c r="H57">
        <v>2415.107</v>
      </c>
      <c r="I57">
        <v>2156.25</v>
      </c>
    </row>
    <row r="58" spans="3:9">
      <c r="C58" t="s">
        <v>734</v>
      </c>
      <c r="D58" t="s">
        <v>272</v>
      </c>
      <c r="E58" t="s">
        <v>378</v>
      </c>
      <c r="F58" t="s">
        <v>712</v>
      </c>
      <c r="G58" t="s">
        <v>299</v>
      </c>
      <c r="H58">
        <v>1668.944</v>
      </c>
      <c r="I58">
        <v>1610.4</v>
      </c>
    </row>
    <row r="59" spans="3:9">
      <c r="C59" t="s">
        <v>735</v>
      </c>
      <c r="D59" t="s">
        <v>272</v>
      </c>
      <c r="E59" t="s">
        <v>377</v>
      </c>
      <c r="F59" t="s">
        <v>707</v>
      </c>
      <c r="G59" t="s">
        <v>304</v>
      </c>
      <c r="H59">
        <v>2821.8651150000001</v>
      </c>
      <c r="I59">
        <v>2877.3570000000004</v>
      </c>
    </row>
    <row r="60" spans="3:9">
      <c r="C60" t="s">
        <v>736</v>
      </c>
      <c r="D60" t="s">
        <v>272</v>
      </c>
      <c r="E60" t="s">
        <v>383</v>
      </c>
      <c r="F60" t="s">
        <v>340</v>
      </c>
      <c r="G60" t="s">
        <v>349</v>
      </c>
      <c r="H60">
        <v>2944.2761028000004</v>
      </c>
      <c r="I60">
        <v>2640.4874910799999</v>
      </c>
    </row>
    <row r="61" spans="3:9" ht="16.5" customHeight="1">
      <c r="C61" t="s">
        <v>737</v>
      </c>
      <c r="D61" t="s">
        <v>272</v>
      </c>
      <c r="E61" t="s">
        <v>382</v>
      </c>
      <c r="F61" t="s">
        <v>708</v>
      </c>
      <c r="G61" t="s">
        <v>722</v>
      </c>
      <c r="H61">
        <v>1944.8000000000002</v>
      </c>
      <c r="I61">
        <v>1980</v>
      </c>
    </row>
    <row r="71" s="680" customFormat="1" ht="15.5"/>
  </sheetData>
  <conditionalFormatting sqref="A71:XFD71">
    <cfRule type="expression" dxfId="214" priority="1">
      <formula>MOD(ROW(),2)=0</formula>
    </cfRule>
  </conditionalFormatting>
  <conditionalFormatting sqref="H41:I41">
    <cfRule type="expression" dxfId="213" priority="5">
      <formula>MOD(ROW(),2)=0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1" tint="0.499984740745262"/>
  </sheetPr>
  <dimension ref="A1:BC412"/>
  <sheetViews>
    <sheetView topLeftCell="A9" zoomScale="103" workbookViewId="0">
      <selection activeCell="Q24" sqref="Q24"/>
    </sheetView>
  </sheetViews>
  <sheetFormatPr defaultColWidth="9.1796875" defaultRowHeight="12.5" outlineLevelRow="1" outlineLevelCol="1"/>
  <cols>
    <col min="1" max="1" width="21.54296875" style="1" customWidth="1"/>
    <col min="2" max="2" width="22.81640625" style="1" customWidth="1"/>
    <col min="3" max="3" width="18.81640625" style="1" customWidth="1"/>
    <col min="4" max="5" width="15.7265625" style="1" customWidth="1"/>
    <col min="6" max="6" width="11.81640625" style="1" customWidth="1"/>
    <col min="7" max="11" width="11.81640625" style="1" customWidth="1" outlineLevel="1"/>
    <col min="12" max="13" width="17.26953125" style="448" customWidth="1" outlineLevel="1"/>
    <col min="14" max="14" width="13.453125" style="1" customWidth="1" outlineLevel="1"/>
    <col min="15" max="15" width="17.1796875" style="1" customWidth="1"/>
    <col min="16" max="16" width="17.7265625" style="1" customWidth="1"/>
    <col min="17" max="39" width="15.7265625" style="1" customWidth="1"/>
    <col min="40" max="41" width="25.7265625" style="1" customWidth="1"/>
    <col min="42" max="50" width="15.7265625" style="1" customWidth="1" outlineLevel="1"/>
    <col min="51" max="53" width="15.7265625" style="1" customWidth="1"/>
    <col min="54" max="16384" width="9.1796875" style="1"/>
  </cols>
  <sheetData>
    <row r="1" spans="4:50" outlineLevel="1">
      <c r="L1" s="1"/>
      <c r="M1" s="1"/>
    </row>
    <row r="2" spans="4:50" outlineLevel="1">
      <c r="D2" s="410" t="s">
        <v>255</v>
      </c>
      <c r="L2" s="1"/>
      <c r="M2" s="1"/>
    </row>
    <row r="3" spans="4:50" ht="13" outlineLevel="1" thickBot="1">
      <c r="L3" s="1"/>
      <c r="M3" s="1"/>
      <c r="AP3" s="367" t="s">
        <v>249</v>
      </c>
      <c r="AQ3" s="367"/>
      <c r="AR3" s="367"/>
      <c r="AS3" s="367"/>
      <c r="AT3" s="367"/>
      <c r="AU3" s="367"/>
      <c r="AV3" s="367"/>
      <c r="AW3" s="367"/>
      <c r="AX3" s="367"/>
    </row>
    <row r="4" spans="4:50" outlineLevel="1">
      <c r="D4" s="7" t="s">
        <v>4</v>
      </c>
      <c r="E4" s="8"/>
      <c r="F4" s="419"/>
      <c r="G4" s="2" t="s">
        <v>0</v>
      </c>
      <c r="H4" s="3">
        <v>45852</v>
      </c>
      <c r="J4" s="419"/>
      <c r="L4" s="1"/>
      <c r="M4" s="1"/>
      <c r="AP4" s="367"/>
      <c r="AQ4" s="367"/>
      <c r="AR4" s="367"/>
      <c r="AS4" s="367"/>
      <c r="AT4" s="367"/>
      <c r="AU4" s="367"/>
      <c r="AV4" s="367"/>
      <c r="AW4" s="367"/>
      <c r="AX4" s="367"/>
    </row>
    <row r="5" spans="4:50" outlineLevel="1">
      <c r="D5" s="9">
        <v>1</v>
      </c>
      <c r="E5" s="300" t="s">
        <v>93</v>
      </c>
      <c r="F5" s="88"/>
      <c r="G5" s="4" t="s">
        <v>1</v>
      </c>
      <c r="H5" s="5" t="s">
        <v>2</v>
      </c>
      <c r="L5" s="1"/>
      <c r="M5" s="1"/>
      <c r="AP5" s="367"/>
      <c r="AQ5" s="367"/>
      <c r="AR5" s="367"/>
      <c r="AS5" s="367"/>
      <c r="AT5" s="367"/>
      <c r="AU5" s="367"/>
      <c r="AV5" s="367"/>
      <c r="AW5" s="367"/>
      <c r="AX5" s="367"/>
    </row>
    <row r="6" spans="4:50" ht="13" outlineLevel="1" thickBot="1">
      <c r="D6" s="9">
        <v>2</v>
      </c>
      <c r="E6" s="300" t="s">
        <v>259</v>
      </c>
      <c r="F6" s="88"/>
      <c r="G6" s="6" t="s">
        <v>3</v>
      </c>
      <c r="H6" s="302" t="s">
        <v>268</v>
      </c>
      <c r="I6" s="88"/>
      <c r="L6" s="1"/>
      <c r="M6" s="1"/>
      <c r="AP6" s="367"/>
      <c r="AQ6" s="367"/>
      <c r="AR6" s="367"/>
      <c r="AS6" s="367"/>
      <c r="AT6" s="367"/>
      <c r="AU6" s="367"/>
      <c r="AV6" s="367"/>
      <c r="AW6" s="367"/>
      <c r="AX6" s="367"/>
    </row>
    <row r="7" spans="4:50" ht="13" outlineLevel="1" thickBot="1">
      <c r="D7" s="9">
        <v>3</v>
      </c>
      <c r="E7" s="300" t="s">
        <v>258</v>
      </c>
      <c r="F7" s="50"/>
      <c r="L7" s="1"/>
      <c r="M7" s="1"/>
      <c r="AP7" s="367"/>
      <c r="AQ7" s="367"/>
      <c r="AR7" s="367"/>
      <c r="AS7" s="367"/>
      <c r="AT7" s="367"/>
      <c r="AU7" s="367"/>
      <c r="AV7" s="367"/>
      <c r="AW7" s="367"/>
      <c r="AX7" s="367"/>
    </row>
    <row r="8" spans="4:50" ht="13" outlineLevel="1" thickBot="1">
      <c r="D8" s="9">
        <v>4</v>
      </c>
      <c r="E8" s="300" t="s">
        <v>261</v>
      </c>
      <c r="F8" s="88"/>
      <c r="G8" s="83" t="s">
        <v>76</v>
      </c>
      <c r="H8" s="84"/>
      <c r="L8" s="1"/>
      <c r="M8" s="1"/>
      <c r="AP8" s="367"/>
      <c r="AQ8" s="367"/>
      <c r="AR8" s="367"/>
      <c r="AS8" s="367"/>
      <c r="AT8" s="367"/>
      <c r="AU8" s="367"/>
      <c r="AV8" s="367"/>
      <c r="AW8" s="367"/>
      <c r="AX8" s="367"/>
    </row>
    <row r="9" spans="4:50" outlineLevel="1">
      <c r="D9" s="9">
        <v>5</v>
      </c>
      <c r="E9" s="300" t="s">
        <v>266</v>
      </c>
      <c r="F9" s="88"/>
      <c r="G9" s="349">
        <v>2025</v>
      </c>
      <c r="H9" s="85">
        <f>_xll.ciqfunctions.udf.CIQAVG("$CADUSD", "IQ_LASTSALEPRICE", "1/1/"&amp;$G9, "31/12/"&amp;$G9)</f>
        <v>1.3974500000000001</v>
      </c>
      <c r="L9" s="1"/>
      <c r="M9" s="1"/>
      <c r="AP9" s="367"/>
      <c r="AQ9" s="367"/>
      <c r="AR9" s="367"/>
      <c r="AS9" s="367"/>
      <c r="AT9" s="367"/>
      <c r="AU9" s="367"/>
      <c r="AV9" s="367"/>
      <c r="AW9" s="367"/>
      <c r="AX9" s="367"/>
    </row>
    <row r="10" spans="4:50" outlineLevel="1">
      <c r="D10" s="9">
        <v>6</v>
      </c>
      <c r="E10" s="300" t="s">
        <v>262</v>
      </c>
      <c r="F10" s="88"/>
      <c r="G10" s="349">
        <f>G9-1</f>
        <v>2024</v>
      </c>
      <c r="H10" s="85">
        <f>_xll.ciqfunctions.udf.CIQAVG("$CADUSD", "IQ_LASTSALEPRICE", "1/1/"&amp;$G10, "31/12/"&amp;$G10)</f>
        <v>1.3701700000000001</v>
      </c>
      <c r="L10" s="1"/>
      <c r="M10" s="1"/>
      <c r="AP10" s="367"/>
      <c r="AQ10" s="367"/>
      <c r="AR10" s="367"/>
      <c r="AS10" s="367"/>
      <c r="AT10" s="367"/>
      <c r="AU10" s="367"/>
      <c r="AV10" s="367"/>
      <c r="AW10" s="367"/>
      <c r="AX10" s="367"/>
    </row>
    <row r="11" spans="4:50" ht="13" outlineLevel="1" thickBot="1">
      <c r="D11" s="9">
        <v>7</v>
      </c>
      <c r="E11" s="300" t="s">
        <v>264</v>
      </c>
      <c r="F11" s="88"/>
      <c r="G11" s="350">
        <f>G10-1</f>
        <v>2023</v>
      </c>
      <c r="H11" s="86">
        <f>_xll.ciqfunctions.udf.CIQAVG("$CADUSD", "IQ_LASTSALEPRICE", "1/1/"&amp;$G11, "31/12/"&amp;$G11)</f>
        <v>1.34954</v>
      </c>
      <c r="L11" s="1"/>
      <c r="M11" s="1"/>
      <c r="AP11" s="367"/>
      <c r="AQ11" s="367"/>
      <c r="AR11" s="367"/>
      <c r="AS11" s="367"/>
      <c r="AT11" s="367"/>
      <c r="AU11" s="367"/>
      <c r="AV11" s="367"/>
      <c r="AW11" s="367"/>
      <c r="AX11" s="367"/>
    </row>
    <row r="12" spans="4:50" ht="13" outlineLevel="1" thickBot="1">
      <c r="D12" s="9">
        <v>8</v>
      </c>
      <c r="E12" s="300" t="s">
        <v>544</v>
      </c>
      <c r="F12" s="88"/>
      <c r="L12" s="1"/>
      <c r="M12" s="1"/>
      <c r="N12" s="411"/>
      <c r="O12" s="411"/>
      <c r="AP12" s="367"/>
      <c r="AQ12" s="367"/>
      <c r="AR12" s="367"/>
      <c r="AS12" s="367"/>
      <c r="AT12" s="367"/>
      <c r="AU12" s="367"/>
      <c r="AV12" s="367"/>
      <c r="AW12" s="367"/>
      <c r="AX12" s="367"/>
    </row>
    <row r="13" spans="4:50" ht="13" outlineLevel="1" thickBot="1">
      <c r="D13" s="9">
        <v>9</v>
      </c>
      <c r="E13" s="300" t="s">
        <v>265</v>
      </c>
      <c r="F13" s="88"/>
      <c r="G13" s="298" t="s">
        <v>112</v>
      </c>
      <c r="H13" s="299">
        <v>0.03</v>
      </c>
      <c r="L13" s="1"/>
      <c r="M13" s="1"/>
      <c r="AP13" s="367"/>
      <c r="AQ13" s="367"/>
      <c r="AR13" s="367"/>
      <c r="AS13" s="367"/>
      <c r="AT13" s="367"/>
      <c r="AU13" s="367"/>
      <c r="AV13" s="367"/>
      <c r="AW13" s="367"/>
      <c r="AX13" s="367"/>
    </row>
    <row r="14" spans="4:50" outlineLevel="1">
      <c r="D14" s="9">
        <v>10</v>
      </c>
      <c r="E14" s="300" t="s">
        <v>260</v>
      </c>
      <c r="F14" s="88"/>
      <c r="L14" s="1"/>
      <c r="M14" s="1"/>
      <c r="AP14" s="367"/>
      <c r="AQ14" s="367"/>
      <c r="AR14" s="367"/>
      <c r="AS14" s="367"/>
      <c r="AT14" s="367"/>
      <c r="AU14" s="367"/>
      <c r="AV14" s="367"/>
      <c r="AW14" s="367"/>
      <c r="AX14" s="367"/>
    </row>
    <row r="15" spans="4:50" outlineLevel="1">
      <c r="D15" s="9">
        <v>11</v>
      </c>
      <c r="E15" s="300" t="s">
        <v>263</v>
      </c>
      <c r="F15" s="88"/>
      <c r="L15" s="1"/>
      <c r="M15" s="1"/>
      <c r="AP15" s="367"/>
      <c r="AQ15" s="367"/>
      <c r="AR15" s="367"/>
      <c r="AS15" s="367"/>
      <c r="AT15" s="367"/>
      <c r="AU15" s="367"/>
      <c r="AV15" s="367"/>
      <c r="AW15" s="367"/>
      <c r="AX15" s="367"/>
    </row>
    <row r="16" spans="4:50" outlineLevel="1">
      <c r="D16" s="9">
        <v>12</v>
      </c>
      <c r="E16" s="300" t="s">
        <v>267</v>
      </c>
      <c r="F16" s="88"/>
      <c r="L16" s="1"/>
      <c r="M16" s="1"/>
      <c r="AP16" s="367"/>
      <c r="AQ16" s="367"/>
      <c r="AR16" s="367"/>
      <c r="AS16" s="367"/>
      <c r="AT16" s="367"/>
      <c r="AU16" s="367"/>
      <c r="AV16" s="367"/>
      <c r="AW16" s="367"/>
      <c r="AX16" s="367"/>
    </row>
    <row r="17" spans="1:54" outlineLevel="1">
      <c r="D17" s="9">
        <v>13</v>
      </c>
      <c r="E17" s="300" t="s">
        <v>545</v>
      </c>
      <c r="F17" s="88"/>
      <c r="L17" s="1"/>
      <c r="M17" s="1"/>
      <c r="AP17" s="367"/>
      <c r="AQ17" s="367"/>
      <c r="AR17" s="367"/>
      <c r="AS17" s="367"/>
      <c r="AT17" s="367"/>
      <c r="AU17" s="367"/>
      <c r="AV17" s="367"/>
      <c r="AW17" s="367"/>
      <c r="AX17" s="367"/>
    </row>
    <row r="18" spans="1:54" outlineLevel="1">
      <c r="D18" s="9">
        <v>14</v>
      </c>
      <c r="E18" s="300" t="s">
        <v>546</v>
      </c>
      <c r="F18" s="88"/>
      <c r="L18" s="1"/>
      <c r="M18" s="1"/>
      <c r="AP18" s="367"/>
      <c r="AQ18" s="367"/>
      <c r="AR18" s="367"/>
      <c r="AS18" s="367"/>
      <c r="AT18" s="367"/>
      <c r="AU18" s="367"/>
      <c r="AV18" s="367"/>
      <c r="AW18" s="367"/>
      <c r="AX18" s="367"/>
    </row>
    <row r="19" spans="1:54" outlineLevel="1">
      <c r="D19" s="9">
        <v>15</v>
      </c>
      <c r="E19" s="300" t="s">
        <v>547</v>
      </c>
      <c r="L19" s="1"/>
      <c r="M19" s="1"/>
      <c r="AP19" s="367"/>
      <c r="AQ19" s="367"/>
      <c r="AR19" s="367"/>
      <c r="AS19" s="367"/>
      <c r="AT19" s="367"/>
      <c r="AU19" s="367"/>
      <c r="AV19" s="367"/>
      <c r="AW19" s="367"/>
      <c r="AX19" s="367"/>
    </row>
    <row r="20" spans="1:54" outlineLevel="1">
      <c r="D20" s="9">
        <v>16</v>
      </c>
      <c r="E20" s="300"/>
      <c r="L20" s="1"/>
      <c r="M20" s="1"/>
      <c r="AP20" s="367"/>
      <c r="AQ20" s="367"/>
      <c r="AR20" s="367"/>
      <c r="AS20" s="367"/>
      <c r="AT20" s="367"/>
      <c r="AU20" s="367"/>
      <c r="AV20" s="367"/>
      <c r="AW20" s="367"/>
      <c r="AX20" s="367"/>
    </row>
    <row r="21" spans="1:54" outlineLevel="1">
      <c r="D21" s="9">
        <v>17</v>
      </c>
      <c r="E21" s="300"/>
      <c r="L21" s="1"/>
      <c r="M21" s="1"/>
      <c r="AP21" s="367"/>
      <c r="AQ21" s="367"/>
      <c r="AR21" s="367"/>
      <c r="AS21" s="367"/>
      <c r="AT21" s="367"/>
      <c r="AU21" s="367"/>
      <c r="AV21" s="367"/>
      <c r="AW21" s="367"/>
      <c r="AX21" s="367"/>
    </row>
    <row r="22" spans="1:54" outlineLevel="1">
      <c r="D22" s="9">
        <v>18</v>
      </c>
      <c r="E22" s="300"/>
      <c r="L22" s="1"/>
      <c r="M22" s="1"/>
      <c r="AP22" s="367"/>
      <c r="AQ22" s="367"/>
      <c r="AR22" s="367"/>
      <c r="AS22" s="367"/>
      <c r="AT22" s="367"/>
      <c r="AU22" s="367"/>
      <c r="AV22" s="367"/>
      <c r="AW22" s="367"/>
      <c r="AX22" s="367"/>
    </row>
    <row r="23" spans="1:54" outlineLevel="1">
      <c r="D23" s="9">
        <v>19</v>
      </c>
      <c r="E23" s="300"/>
      <c r="L23" s="1"/>
      <c r="M23" s="1"/>
      <c r="AP23" s="367"/>
      <c r="AQ23" s="367"/>
      <c r="AR23" s="367"/>
      <c r="AS23" s="367"/>
      <c r="AT23" s="367"/>
      <c r="AU23" s="367"/>
      <c r="AV23" s="367"/>
      <c r="AW23" s="367"/>
      <c r="AX23" s="367"/>
    </row>
    <row r="24" spans="1:54" outlineLevel="1">
      <c r="D24" s="9">
        <v>20</v>
      </c>
      <c r="E24" s="300"/>
      <c r="L24" s="1"/>
      <c r="M24" s="1"/>
      <c r="AP24" s="367"/>
      <c r="AQ24" s="367"/>
      <c r="AR24" s="367"/>
      <c r="AS24" s="367"/>
      <c r="AT24" s="367"/>
      <c r="AU24" s="367"/>
      <c r="AV24" s="367"/>
      <c r="AW24" s="367"/>
      <c r="AX24" s="367"/>
    </row>
    <row r="25" spans="1:54" outlineLevel="1">
      <c r="D25" s="9">
        <v>21</v>
      </c>
      <c r="E25" s="300"/>
      <c r="L25" s="1"/>
      <c r="M25" s="1"/>
      <c r="AP25" s="367"/>
      <c r="AQ25" s="367"/>
      <c r="AR25" s="367"/>
      <c r="AS25" s="367"/>
      <c r="AT25" s="367"/>
      <c r="AU25" s="367"/>
      <c r="AV25" s="367"/>
      <c r="AW25" s="367"/>
      <c r="AX25" s="367"/>
    </row>
    <row r="26" spans="1:54" outlineLevel="1">
      <c r="D26" s="9">
        <v>22</v>
      </c>
      <c r="E26" s="300"/>
      <c r="L26" s="1"/>
      <c r="M26" s="1"/>
      <c r="AP26" s="367"/>
      <c r="AQ26" s="367"/>
      <c r="AR26" s="367"/>
      <c r="AS26" s="367"/>
      <c r="AT26" s="367"/>
      <c r="AU26" s="367"/>
      <c r="AV26" s="367"/>
      <c r="AW26" s="367"/>
      <c r="AX26" s="367"/>
    </row>
    <row r="27" spans="1:54" outlineLevel="1">
      <c r="D27" s="9">
        <v>23</v>
      </c>
      <c r="E27" s="300"/>
      <c r="L27" s="1"/>
      <c r="M27" s="1"/>
      <c r="AP27" s="367"/>
      <c r="AQ27" s="367"/>
      <c r="AR27" s="367"/>
      <c r="AS27" s="367"/>
      <c r="AT27" s="367"/>
      <c r="AU27" s="367"/>
      <c r="AV27" s="367"/>
      <c r="AW27" s="367"/>
      <c r="AX27" s="367"/>
    </row>
    <row r="28" spans="1:54" ht="13" outlineLevel="1" thickBot="1">
      <c r="D28" s="11">
        <v>24</v>
      </c>
      <c r="E28" s="301"/>
      <c r="L28" s="1"/>
      <c r="M28" s="1"/>
      <c r="AP28" s="367"/>
      <c r="AQ28" s="367"/>
      <c r="AR28" s="367"/>
      <c r="AS28" s="367"/>
      <c r="AT28" s="367"/>
      <c r="AU28" s="367"/>
      <c r="AV28" s="367"/>
      <c r="AW28" s="367"/>
      <c r="AX28" s="367"/>
    </row>
    <row r="29" spans="1:54" ht="13" outlineLevel="1" thickBot="1">
      <c r="L29" s="1"/>
      <c r="M29" s="1"/>
      <c r="AP29" s="367"/>
      <c r="AQ29" s="367"/>
      <c r="AR29" s="367"/>
      <c r="AS29" s="367"/>
      <c r="AT29" s="367"/>
      <c r="AU29" s="367"/>
      <c r="AV29" s="367"/>
      <c r="AW29" s="367"/>
      <c r="AX29" s="367"/>
    </row>
    <row r="30" spans="1:54" ht="25" customHeight="1" thickTop="1">
      <c r="B30" s="51"/>
      <c r="C30" s="51"/>
      <c r="D30" s="134"/>
      <c r="E30" s="135"/>
      <c r="F30" s="135"/>
      <c r="G30" s="135"/>
      <c r="H30" s="135"/>
      <c r="I30" s="135"/>
      <c r="J30" s="135"/>
      <c r="K30" s="135"/>
      <c r="L30" s="135"/>
      <c r="M30" s="135"/>
      <c r="N30" s="135"/>
      <c r="O30" s="135"/>
      <c r="P30" s="135"/>
      <c r="Q30" s="251" t="s">
        <v>17</v>
      </c>
      <c r="R30" s="252"/>
      <c r="S30" s="253"/>
      <c r="T30" s="253"/>
      <c r="U30" s="229" t="s">
        <v>16</v>
      </c>
      <c r="V30" s="230"/>
      <c r="W30" s="230"/>
      <c r="X30" s="230"/>
      <c r="Y30" s="230"/>
      <c r="Z30" s="231"/>
      <c r="AA30" s="234" t="s">
        <v>15</v>
      </c>
      <c r="AB30" s="235"/>
      <c r="AC30" s="238" t="s">
        <v>30</v>
      </c>
      <c r="AD30" s="239"/>
      <c r="AE30" s="239"/>
      <c r="AF30" s="239"/>
      <c r="AG30" s="239"/>
      <c r="AH30" s="239"/>
      <c r="AI30" s="239"/>
      <c r="AJ30" s="239"/>
      <c r="AK30" s="239"/>
      <c r="AL30" s="240"/>
      <c r="AM30" s="241"/>
      <c r="AN30" s="371" t="s">
        <v>13</v>
      </c>
      <c r="AO30" s="372"/>
      <c r="AP30" s="381" t="s">
        <v>254</v>
      </c>
      <c r="AQ30" s="382"/>
      <c r="AR30" s="382"/>
      <c r="AS30" s="382"/>
      <c r="AT30" s="382"/>
      <c r="AU30" s="382"/>
      <c r="AV30" s="383"/>
      <c r="AW30" s="355" t="s">
        <v>244</v>
      </c>
      <c r="AX30" s="356"/>
      <c r="AY30" s="246"/>
      <c r="AZ30" s="247"/>
      <c r="BA30" s="248"/>
    </row>
    <row r="31" spans="1:54" ht="45" customHeight="1">
      <c r="A31" s="88" t="s">
        <v>359</v>
      </c>
      <c r="B31" s="88" t="s">
        <v>71</v>
      </c>
      <c r="C31" s="88" t="s">
        <v>668</v>
      </c>
      <c r="D31" s="136" t="s">
        <v>25</v>
      </c>
      <c r="E31" s="137" t="s">
        <v>22</v>
      </c>
      <c r="F31" s="137" t="s">
        <v>23</v>
      </c>
      <c r="G31" s="137" t="s">
        <v>230</v>
      </c>
      <c r="H31" s="137" t="s">
        <v>120</v>
      </c>
      <c r="I31" s="137" t="s">
        <v>26</v>
      </c>
      <c r="J31" s="137" t="s">
        <v>27</v>
      </c>
      <c r="K31" s="137" t="s">
        <v>28</v>
      </c>
      <c r="L31" s="137" t="s">
        <v>358</v>
      </c>
      <c r="M31" s="137" t="s">
        <v>667</v>
      </c>
      <c r="N31" s="137" t="s">
        <v>81</v>
      </c>
      <c r="O31" s="138" t="s">
        <v>29</v>
      </c>
      <c r="P31" s="138" t="s">
        <v>19</v>
      </c>
      <c r="Q31" s="254" t="s">
        <v>38</v>
      </c>
      <c r="R31" s="255" t="s">
        <v>39</v>
      </c>
      <c r="S31" s="309" t="s">
        <v>82</v>
      </c>
      <c r="T31" s="310" t="s">
        <v>113</v>
      </c>
      <c r="U31" s="232" t="s">
        <v>40</v>
      </c>
      <c r="V31" s="227" t="s">
        <v>55</v>
      </c>
      <c r="W31" s="227" t="s">
        <v>56</v>
      </c>
      <c r="X31" s="233" t="s">
        <v>104</v>
      </c>
      <c r="Y31" s="233" t="s">
        <v>60</v>
      </c>
      <c r="Z31" s="228" t="s">
        <v>57</v>
      </c>
      <c r="AA31" s="236" t="s">
        <v>58</v>
      </c>
      <c r="AB31" s="237" t="s">
        <v>59</v>
      </c>
      <c r="AC31" s="242" t="s">
        <v>33</v>
      </c>
      <c r="AD31" s="243" t="s">
        <v>34</v>
      </c>
      <c r="AE31" s="243" t="s">
        <v>43</v>
      </c>
      <c r="AF31" s="243" t="s">
        <v>35</v>
      </c>
      <c r="AG31" s="243" t="s">
        <v>44</v>
      </c>
      <c r="AH31" s="243" t="s">
        <v>61</v>
      </c>
      <c r="AI31" s="243" t="s">
        <v>45</v>
      </c>
      <c r="AJ31" s="244" t="s">
        <v>105</v>
      </c>
      <c r="AK31" s="244" t="s">
        <v>46</v>
      </c>
      <c r="AL31" s="243" t="s">
        <v>50</v>
      </c>
      <c r="AM31" s="244" t="s">
        <v>47</v>
      </c>
      <c r="AN31" s="373" t="s">
        <v>48</v>
      </c>
      <c r="AO31" s="374" t="s">
        <v>80</v>
      </c>
      <c r="AP31" s="370" t="s">
        <v>31</v>
      </c>
      <c r="AQ31" s="245" t="s">
        <v>126</v>
      </c>
      <c r="AR31" s="245" t="s">
        <v>250</v>
      </c>
      <c r="AS31" s="245" t="s">
        <v>252</v>
      </c>
      <c r="AT31" s="245" t="s">
        <v>49</v>
      </c>
      <c r="AU31" s="245" t="s">
        <v>251</v>
      </c>
      <c r="AV31" s="384" t="s">
        <v>253</v>
      </c>
      <c r="AW31" s="357" t="s">
        <v>247</v>
      </c>
      <c r="AX31" s="358" t="s">
        <v>248</v>
      </c>
      <c r="AY31" s="352" t="s">
        <v>32</v>
      </c>
      <c r="AZ31" s="249" t="s">
        <v>36</v>
      </c>
      <c r="BA31" s="250" t="s">
        <v>37</v>
      </c>
      <c r="BB31" s="981" t="s">
        <v>666</v>
      </c>
    </row>
    <row r="32" spans="1:54" ht="15" customHeight="1">
      <c r="A32" s="1" t="str">
        <f>$D32&amp;"_"&amp;$F32&amp;"_"&amp;$L32</f>
        <v>TSX:HBM_2025_</v>
      </c>
      <c r="B32" s="1" t="str">
        <f t="shared" ref="B32:B101" si="0">$D32&amp;"_"&amp;$F32&amp;"_"&amp;$N32</f>
        <v>TSX:HBM_2025_CEO</v>
      </c>
      <c r="C32" s="1" t="str">
        <f>$D32&amp;"_"&amp;$F32&amp;"_"&amp;$M32</f>
        <v>TSX:HBM_2025_</v>
      </c>
      <c r="D32" s="216" t="str">
        <f>H6</f>
        <v>TSX:HBM</v>
      </c>
      <c r="E32" s="133" t="str">
        <f>_xll.ciqfunctions.udf.CIQ(D32,"IQ_Company_Name")</f>
        <v>Hudbay Minerals Inc.</v>
      </c>
      <c r="F32" s="328">
        <v>2025</v>
      </c>
      <c r="G32" s="330" t="str">
        <f t="shared" ref="G32:G38" si="1">F32&amp;"-01-01"</f>
        <v>2025-01-01</v>
      </c>
      <c r="H32" s="330" t="str">
        <f t="shared" ref="H32:H38" si="2">F32&amp;"-12-31"</f>
        <v>2025-12-31</v>
      </c>
      <c r="I32" s="332">
        <f>_xlfn.DAYS(H32,G32)/_xlfn.DAYS(F32&amp;"-12-31",F32&amp;"-01-01")*12</f>
        <v>12</v>
      </c>
      <c r="J32" s="328" t="s">
        <v>2</v>
      </c>
      <c r="K32" s="439">
        <f>IF($J32="CAD",1,IF($J32="USD",VLOOKUP($F32,$G$9:$H$11,2,FALSE),"N/A"))</f>
        <v>1</v>
      </c>
      <c r="L32" s="445"/>
      <c r="M32" s="445"/>
      <c r="N32" s="351" t="s">
        <v>79</v>
      </c>
      <c r="O32" s="217" t="s">
        <v>269</v>
      </c>
      <c r="P32" s="218" t="s">
        <v>270</v>
      </c>
      <c r="Q32" s="947">
        <v>1047525</v>
      </c>
      <c r="R32" s="434">
        <v>1099901</v>
      </c>
      <c r="S32" s="311">
        <v>1099901</v>
      </c>
      <c r="T32" s="126">
        <f t="shared" ref="T32:T67" si="3">IFERROR(IF((S32*$K32)=0,"-",(S32*$K32)),"-")</f>
        <v>1099901</v>
      </c>
      <c r="U32" s="948">
        <v>1615284</v>
      </c>
      <c r="V32" s="125">
        <f>IFERROR(U32*(12/$I32)*$K32,"-")</f>
        <v>1615284</v>
      </c>
      <c r="W32" s="127">
        <f t="shared" ref="W32:W52" si="4">IFERROR($V32/$R32,"-")</f>
        <v>1.4685721714954345</v>
      </c>
      <c r="X32" s="128">
        <f>IFERROR(AVERAGE(W32:W34),"N/A")</f>
        <v>1.5031237442913505</v>
      </c>
      <c r="Y32" s="223">
        <v>1.2</v>
      </c>
      <c r="Z32" s="129">
        <f t="shared" ref="Z32" si="5">IFERROR(IF(ISNUMBER($Y32)=TRUE, $Y32*$R32,$X32*$R32),"-")</f>
        <v>1319881.2</v>
      </c>
      <c r="AA32" s="124">
        <f>IFERROR(IF(SUM(R32,V32)=0,"-",SUM(R32,V32)),"-")</f>
        <v>2715185</v>
      </c>
      <c r="AB32" s="130">
        <f>IFERROR(IF(SUM(R32,Z32)=0,"-",SUM(R32,Z32)),"-")</f>
        <v>2419782.2000000002</v>
      </c>
      <c r="AC32" s="948">
        <f>1/3*2081956</f>
        <v>693985.33333333326</v>
      </c>
      <c r="AD32" s="948">
        <f>2/3*2081956</f>
        <v>1387970.6666666665</v>
      </c>
      <c r="AE32" s="225">
        <v>693985</v>
      </c>
      <c r="AF32" s="225" t="s">
        <v>78</v>
      </c>
      <c r="AG32" s="225" t="s">
        <v>78</v>
      </c>
      <c r="AH32" s="125">
        <f>IFERROR(IF(SUM(AC32:AG32)=0,IF(COUNTIF($AA32:$AE32,"=0")&gt;0,"$0","-"),SUM(AC32:AG32)),"-")</f>
        <v>2775941</v>
      </c>
      <c r="AI32" s="127" t="str">
        <f>IFERROR($AK32/$P32,"-")</f>
        <v>-</v>
      </c>
      <c r="AJ32" s="128" t="str">
        <f>IFERROR(AVERAGE(AI32:AI34),"N/A")</f>
        <v>N/A</v>
      </c>
      <c r="AK32" s="223">
        <v>2.65</v>
      </c>
      <c r="AL32" s="131">
        <f t="shared" ref="AL32:AL52" si="6">IFERROR(IF(ISNUMBER($AK32)=TRUE, $AK32*$R32, $AJ32*$R32), "-")</f>
        <v>2914737.65</v>
      </c>
      <c r="AM32" s="368">
        <f t="shared" ref="AM32:AM52" si="7">IFERROR($AH32*$K32,"-")</f>
        <v>2775941</v>
      </c>
      <c r="AN32" s="375">
        <f t="shared" ref="AN32:AN52" si="8">IFERROR(IF(SUM(AA32,AM32)=0,"-",SUM(AA32,AM32)),"-")</f>
        <v>5491126</v>
      </c>
      <c r="AO32" s="376">
        <f t="shared" ref="AO32:AO52" si="9">IFERROR(IF(SUM($AB32,$AL32)=0,"-",SUM($AB32,$AL32)),"-")</f>
        <v>5334519.8499999996</v>
      </c>
      <c r="AP32" s="394">
        <v>91893</v>
      </c>
      <c r="AQ32" s="395" t="s">
        <v>271</v>
      </c>
      <c r="AR32" s="396">
        <f t="shared" ref="AR32:AR52" si="10">IFERROR(AP32*(12/$I32)*$K32,"-")</f>
        <v>91893</v>
      </c>
      <c r="AS32" s="409">
        <f>IFERROR(AVERAGE(AR32:AR34),"N/A")</f>
        <v>110427.66666666667</v>
      </c>
      <c r="AT32" s="401">
        <v>204272</v>
      </c>
      <c r="AU32" s="396" t="str">
        <f>IFERROR(AT32*(12/$H32)*$J32,"-")</f>
        <v>-</v>
      </c>
      <c r="AV32" s="409" t="str">
        <f>IFERROR(AVERAGE(AU32:AU34),"N/A")</f>
        <v>N/A</v>
      </c>
      <c r="AW32" s="124">
        <f>IFERROR(IF(SUM(AN32,AR32,AU32)=0,"-",SUM(AN32,AR32,AU32)),"-")</f>
        <v>5583019</v>
      </c>
      <c r="AX32" s="126">
        <f>IFERROR(IF(SUM(AO32,AR32,AU32)=0,"-",SUM(AO32,AR32,AU32)),"-")</f>
        <v>5426412.8499999996</v>
      </c>
      <c r="AY32" s="353" t="s">
        <v>78</v>
      </c>
      <c r="AZ32" s="403" t="s">
        <v>548</v>
      </c>
      <c r="BA32" s="404" t="s">
        <v>353</v>
      </c>
    </row>
    <row r="33" spans="1:55" ht="15" customHeight="1">
      <c r="A33" s="1" t="str">
        <f t="shared" ref="A33:A96" si="11">$D33&amp;"_"&amp;$F33&amp;"_"&amp;$L33</f>
        <v>TSX:HBM_2024_</v>
      </c>
      <c r="B33" s="1" t="str">
        <f t="shared" si="0"/>
        <v>TSX:HBM_2024_CEO</v>
      </c>
      <c r="C33" s="1" t="str">
        <f t="shared" ref="C33:C96" si="12">$D33&amp;"_"&amp;$F33&amp;"_"&amp;$M33</f>
        <v>TSX:HBM_2024_</v>
      </c>
      <c r="D33" s="114" t="str">
        <f>D32</f>
        <v>TSX:HBM</v>
      </c>
      <c r="E33" s="133" t="str">
        <f>_xll.ciqfunctions.udf.CIQ(D33,"IQ_Company_Name")</f>
        <v>Hudbay Minerals Inc.</v>
      </c>
      <c r="F33" s="328">
        <v>2024</v>
      </c>
      <c r="G33" s="330" t="str">
        <f t="shared" si="1"/>
        <v>2024-01-01</v>
      </c>
      <c r="H33" s="330" t="str">
        <f t="shared" si="2"/>
        <v>2024-12-31</v>
      </c>
      <c r="I33" s="114">
        <f t="shared" ref="I33:I52" si="13">_xlfn.DAYS(H33,G33)/_xlfn.DAYS(F33&amp;"-12-31",F33&amp;"-01-01")*12</f>
        <v>12</v>
      </c>
      <c r="J33" s="407" t="s">
        <v>2</v>
      </c>
      <c r="K33" s="439">
        <f t="shared" ref="K33:K102" si="14">IF($J33="CAD",1,IF($J33="USD",VLOOKUP($F33,$G$9:$H$11,2,FALSE),"N/A"))</f>
        <v>1</v>
      </c>
      <c r="L33" s="445"/>
      <c r="M33" s="445"/>
      <c r="N33" s="122" t="str">
        <f t="shared" ref="N33:P34" si="15">N32</f>
        <v>CEO</v>
      </c>
      <c r="O33" s="123" t="str">
        <f t="shared" si="15"/>
        <v>President &amp; CEO</v>
      </c>
      <c r="P33" s="132" t="str">
        <f t="shared" si="15"/>
        <v>Peter Kukielski</v>
      </c>
      <c r="Q33" s="947">
        <v>1017015</v>
      </c>
      <c r="R33" s="125">
        <f t="shared" ref="R33:R67" si="16">IFERROR(Q33*(12/$I33)*$K33,"-")</f>
        <v>1017015</v>
      </c>
      <c r="S33" s="311" t="s">
        <v>78</v>
      </c>
      <c r="T33" s="126" t="str">
        <f t="shared" si="3"/>
        <v>-</v>
      </c>
      <c r="U33" s="948">
        <v>1632919</v>
      </c>
      <c r="V33" s="125">
        <f t="shared" ref="V33:V52" si="17">IFERROR(U33*(12/$I33)*$K33,"-")</f>
        <v>1632919</v>
      </c>
      <c r="W33" s="127">
        <f t="shared" si="4"/>
        <v>1.6055997207514148</v>
      </c>
      <c r="X33" s="128"/>
      <c r="Y33" s="223" t="s">
        <v>78</v>
      </c>
      <c r="Z33" s="129">
        <f t="shared" ref="Z33:Z52" si="18">IFERROR(IF(ISNUMBER($Y33)=TRUE, $Y33*$R33,$X33*$R33),"-")</f>
        <v>0</v>
      </c>
      <c r="AA33" s="124">
        <f t="shared" ref="AA33:AA52" si="19">IFERROR(IF(SUM(R33,V33)=0,"-",SUM(R33,V33)),"-")</f>
        <v>2649934</v>
      </c>
      <c r="AB33" s="130">
        <f t="shared" ref="AB33:AB52" si="20">IFERROR(IF(SUM(R33,Z33)=0,"-",SUM(R33,Z33)),"-")</f>
        <v>1017015</v>
      </c>
      <c r="AC33" s="948">
        <f>1/3*1906903</f>
        <v>635634.33333333326</v>
      </c>
      <c r="AD33" s="948">
        <f>2/3*1906903</f>
        <v>1271268.6666666665</v>
      </c>
      <c r="AE33" s="225">
        <v>635634</v>
      </c>
      <c r="AF33" s="225" t="s">
        <v>78</v>
      </c>
      <c r="AG33" s="225" t="s">
        <v>78</v>
      </c>
      <c r="AH33" s="125">
        <f>IFERROR(IF(SUM(AC33:AG33)=0,IF(COUNTIF($AA33:$AE33,"=0")&gt;0,"$0","-"),SUM(AC33:AG33)),"-")</f>
        <v>2542537</v>
      </c>
      <c r="AI33" s="127" t="str">
        <f>IFERROR($AK33/$P33,"-")</f>
        <v>-</v>
      </c>
      <c r="AJ33" s="128"/>
      <c r="AK33" s="223" t="s">
        <v>78</v>
      </c>
      <c r="AL33" s="131">
        <f t="shared" si="6"/>
        <v>0</v>
      </c>
      <c r="AM33" s="368">
        <f t="shared" si="7"/>
        <v>2542537</v>
      </c>
      <c r="AN33" s="375">
        <f t="shared" si="8"/>
        <v>5192471</v>
      </c>
      <c r="AO33" s="376">
        <f t="shared" si="9"/>
        <v>1017015</v>
      </c>
      <c r="AP33" s="394">
        <v>122042</v>
      </c>
      <c r="AQ33" s="395" t="s">
        <v>271</v>
      </c>
      <c r="AR33" s="396">
        <f t="shared" si="10"/>
        <v>122042</v>
      </c>
      <c r="AS33" s="397"/>
      <c r="AT33" s="401">
        <v>255034</v>
      </c>
      <c r="AU33" s="396" t="str">
        <f t="shared" ref="AU33:AU52" si="21">IFERROR(AT33*(12/$H33)*$J33,"-")</f>
        <v>-</v>
      </c>
      <c r="AV33" s="397"/>
      <c r="AW33" s="124">
        <f t="shared" ref="AW33:AW52" si="22">IFERROR(IF(SUM(AN33,AR33,AU33)=0,"-",SUM(AN33,AR33,AU33)),"-")</f>
        <v>5314513</v>
      </c>
      <c r="AX33" s="126">
        <f t="shared" ref="AX33:AX52" si="23">IFERROR(IF(SUM(AO33,AR33,AU33)=0,"-",SUM(AO33,AR33,AU33)),"-")</f>
        <v>1139057</v>
      </c>
      <c r="AY33" s="353" t="s">
        <v>78</v>
      </c>
      <c r="AZ33" s="403" t="s">
        <v>548</v>
      </c>
      <c r="BA33" s="404" t="s">
        <v>353</v>
      </c>
    </row>
    <row r="34" spans="1:55" ht="15" customHeight="1">
      <c r="A34" s="1" t="str">
        <f t="shared" si="11"/>
        <v>TSX:HBM_2023_</v>
      </c>
      <c r="B34" s="1" t="str">
        <f t="shared" si="0"/>
        <v>TSX:HBM_2023_CEO</v>
      </c>
      <c r="C34" s="1" t="str">
        <f t="shared" si="12"/>
        <v>TSX:HBM_2023_</v>
      </c>
      <c r="D34" s="114" t="str">
        <f t="shared" ref="D34:D52" si="24">D33</f>
        <v>TSX:HBM</v>
      </c>
      <c r="E34" s="133" t="str">
        <f>_xll.ciqfunctions.udf.CIQ(D34,"IQ_Company_Name")</f>
        <v>Hudbay Minerals Inc.</v>
      </c>
      <c r="F34" s="328">
        <v>2023</v>
      </c>
      <c r="G34" s="330" t="str">
        <f t="shared" si="1"/>
        <v>2023-01-01</v>
      </c>
      <c r="H34" s="330" t="str">
        <f t="shared" si="2"/>
        <v>2023-12-31</v>
      </c>
      <c r="I34" s="114">
        <f t="shared" si="13"/>
        <v>12</v>
      </c>
      <c r="J34" s="407" t="s">
        <v>2</v>
      </c>
      <c r="K34" s="439">
        <f t="shared" si="14"/>
        <v>1</v>
      </c>
      <c r="L34" s="445"/>
      <c r="M34" s="445"/>
      <c r="N34" s="122" t="str">
        <f t="shared" si="15"/>
        <v>CEO</v>
      </c>
      <c r="O34" s="123" t="str">
        <f t="shared" si="15"/>
        <v>President &amp; CEO</v>
      </c>
      <c r="P34" s="132" t="str">
        <f t="shared" si="15"/>
        <v>Peter Kukielski</v>
      </c>
      <c r="Q34" s="947">
        <v>977899</v>
      </c>
      <c r="R34" s="125">
        <f t="shared" si="16"/>
        <v>977899</v>
      </c>
      <c r="S34" s="311" t="s">
        <v>78</v>
      </c>
      <c r="T34" s="126" t="str">
        <f t="shared" si="3"/>
        <v>-</v>
      </c>
      <c r="U34" s="948">
        <v>1403480</v>
      </c>
      <c r="V34" s="125">
        <f t="shared" si="17"/>
        <v>1403480</v>
      </c>
      <c r="W34" s="127">
        <f t="shared" si="4"/>
        <v>1.4351993406272019</v>
      </c>
      <c r="X34" s="128"/>
      <c r="Y34" s="223" t="s">
        <v>78</v>
      </c>
      <c r="Z34" s="129">
        <f t="shared" si="18"/>
        <v>0</v>
      </c>
      <c r="AA34" s="124">
        <f t="shared" si="19"/>
        <v>2381379</v>
      </c>
      <c r="AB34" s="130">
        <f t="shared" si="20"/>
        <v>977899</v>
      </c>
      <c r="AC34" s="948">
        <f>1/3*1833560</f>
        <v>611186.66666666663</v>
      </c>
      <c r="AD34" s="948">
        <f>2/3*1833560</f>
        <v>1222373.3333333333</v>
      </c>
      <c r="AE34" s="225">
        <v>611187</v>
      </c>
      <c r="AF34" s="225" t="s">
        <v>78</v>
      </c>
      <c r="AG34" s="225" t="s">
        <v>78</v>
      </c>
      <c r="AH34" s="125">
        <f t="shared" ref="AH34:AH52" si="25">IFERROR(IF(SUM(AC34:AG34)=0,IF(COUNTIF($AA34:$AE34,"=0")&gt;0,"$0","-"),SUM(AC34:AG34)),"-")</f>
        <v>2444747</v>
      </c>
      <c r="AI34" s="127" t="str">
        <f t="shared" ref="AI34:AI52" si="26">IFERROR($AK34/$P34,"-")</f>
        <v>-</v>
      </c>
      <c r="AJ34" s="128"/>
      <c r="AK34" s="223" t="s">
        <v>78</v>
      </c>
      <c r="AL34" s="131">
        <f t="shared" si="6"/>
        <v>0</v>
      </c>
      <c r="AM34" s="368">
        <f t="shared" si="7"/>
        <v>2444747</v>
      </c>
      <c r="AN34" s="375">
        <f t="shared" si="8"/>
        <v>4826126</v>
      </c>
      <c r="AO34" s="376">
        <f t="shared" si="9"/>
        <v>977899</v>
      </c>
      <c r="AP34" s="394">
        <v>117348</v>
      </c>
      <c r="AQ34" s="395" t="s">
        <v>271</v>
      </c>
      <c r="AR34" s="396">
        <f t="shared" si="10"/>
        <v>117348</v>
      </c>
      <c r="AS34" s="397"/>
      <c r="AT34" s="401">
        <v>275237</v>
      </c>
      <c r="AU34" s="396" t="str">
        <f t="shared" si="21"/>
        <v>-</v>
      </c>
      <c r="AV34" s="397"/>
      <c r="AW34" s="124">
        <f t="shared" si="22"/>
        <v>4943474</v>
      </c>
      <c r="AX34" s="126">
        <f t="shared" si="23"/>
        <v>1095247</v>
      </c>
      <c r="AY34" s="353" t="s">
        <v>78</v>
      </c>
      <c r="AZ34" s="403" t="s">
        <v>548</v>
      </c>
      <c r="BA34" s="404" t="s">
        <v>353</v>
      </c>
    </row>
    <row r="35" spans="1:55" ht="15" customHeight="1">
      <c r="A35" s="1" t="str">
        <f t="shared" si="11"/>
        <v>TSX:HBM_2025_COO</v>
      </c>
      <c r="B35" s="1" t="str">
        <f t="shared" si="0"/>
        <v>TSX:HBM_2025_NEO1</v>
      </c>
      <c r="C35" s="1" t="str">
        <f t="shared" si="12"/>
        <v>TSX:HBM_2025_2nd Highest</v>
      </c>
      <c r="D35" s="114" t="str">
        <f t="shared" si="24"/>
        <v>TSX:HBM</v>
      </c>
      <c r="E35" s="133" t="str">
        <f>_xll.ciqfunctions.udf.CIQ(D35,"IQ_Company_Name")</f>
        <v>Hudbay Minerals Inc.</v>
      </c>
      <c r="F35" s="114">
        <f>F32</f>
        <v>2025</v>
      </c>
      <c r="G35" s="114" t="str">
        <f t="shared" si="1"/>
        <v>2025-01-01</v>
      </c>
      <c r="H35" s="330" t="str">
        <f t="shared" si="2"/>
        <v>2025-12-31</v>
      </c>
      <c r="I35" s="114">
        <f t="shared" si="13"/>
        <v>12</v>
      </c>
      <c r="J35" s="407" t="s">
        <v>2</v>
      </c>
      <c r="K35" s="439">
        <f t="shared" si="14"/>
        <v>1</v>
      </c>
      <c r="L35" s="445" t="s">
        <v>272</v>
      </c>
      <c r="M35" s="445" t="s">
        <v>669</v>
      </c>
      <c r="N35" s="351" t="s">
        <v>107</v>
      </c>
      <c r="O35" s="217" t="s">
        <v>272</v>
      </c>
      <c r="P35" s="218" t="s">
        <v>273</v>
      </c>
      <c r="Q35" s="947">
        <v>651000</v>
      </c>
      <c r="R35" s="434">
        <v>696570</v>
      </c>
      <c r="S35" s="311">
        <v>696570</v>
      </c>
      <c r="T35" s="126">
        <f t="shared" si="3"/>
        <v>696570</v>
      </c>
      <c r="U35" s="221">
        <v>749952</v>
      </c>
      <c r="V35" s="125">
        <f t="shared" si="17"/>
        <v>749952</v>
      </c>
      <c r="W35" s="127">
        <f t="shared" si="4"/>
        <v>1.0766355140186916</v>
      </c>
      <c r="X35" s="128">
        <f>IFERROR(AVERAGE(W35:W37),"N/A")</f>
        <v>1.1211787203450754</v>
      </c>
      <c r="Y35" s="223">
        <v>0.9</v>
      </c>
      <c r="Z35" s="129">
        <f t="shared" si="18"/>
        <v>626913</v>
      </c>
      <c r="AA35" s="124">
        <f t="shared" si="19"/>
        <v>1446522</v>
      </c>
      <c r="AB35" s="130">
        <f t="shared" si="20"/>
        <v>1323483</v>
      </c>
      <c r="AC35" s="948">
        <f>1/3*830025</f>
        <v>276675</v>
      </c>
      <c r="AD35" s="948">
        <f>2/3*830025</f>
        <v>553350</v>
      </c>
      <c r="AE35" s="225">
        <v>276675</v>
      </c>
      <c r="AF35" s="225" t="s">
        <v>78</v>
      </c>
      <c r="AG35" s="225" t="s">
        <v>78</v>
      </c>
      <c r="AH35" s="125">
        <f t="shared" si="25"/>
        <v>1106700</v>
      </c>
      <c r="AI35" s="127" t="str">
        <f t="shared" si="26"/>
        <v>-</v>
      </c>
      <c r="AJ35" s="128" t="str">
        <f>IFERROR(AVERAGE(AI35:AI37),"N/A")</f>
        <v>N/A</v>
      </c>
      <c r="AK35" s="421">
        <v>1.8</v>
      </c>
      <c r="AL35" s="131">
        <f t="shared" si="6"/>
        <v>1253826</v>
      </c>
      <c r="AM35" s="368">
        <f t="shared" si="7"/>
        <v>1106700</v>
      </c>
      <c r="AN35" s="375">
        <f t="shared" si="8"/>
        <v>2553222</v>
      </c>
      <c r="AO35" s="376">
        <f t="shared" si="9"/>
        <v>2577309</v>
      </c>
      <c r="AP35" s="394">
        <v>44310</v>
      </c>
      <c r="AQ35" s="395" t="s">
        <v>271</v>
      </c>
      <c r="AR35" s="396">
        <f t="shared" si="10"/>
        <v>44310</v>
      </c>
      <c r="AS35" s="397">
        <f>IFERROR(AVERAGE(AR35:AR37),"N/A")</f>
        <v>61826</v>
      </c>
      <c r="AT35" s="401">
        <v>97046</v>
      </c>
      <c r="AU35" s="396" t="str">
        <f t="shared" si="21"/>
        <v>-</v>
      </c>
      <c r="AV35" s="397" t="str">
        <f>IFERROR(AVERAGE(AU35:AU37),"N/A")</f>
        <v>N/A</v>
      </c>
      <c r="AW35" s="124">
        <f t="shared" si="22"/>
        <v>2597532</v>
      </c>
      <c r="AX35" s="126">
        <f t="shared" si="23"/>
        <v>2621619</v>
      </c>
      <c r="AY35" s="353" t="s">
        <v>78</v>
      </c>
      <c r="AZ35" s="403" t="s">
        <v>548</v>
      </c>
      <c r="BA35" s="404" t="s">
        <v>353</v>
      </c>
    </row>
    <row r="36" spans="1:55" ht="15" customHeight="1">
      <c r="A36" s="1" t="str">
        <f t="shared" si="11"/>
        <v>TSX:HBM_2024_COO</v>
      </c>
      <c r="B36" s="1" t="str">
        <f t="shared" si="0"/>
        <v>TSX:HBM_2024_NEO1</v>
      </c>
      <c r="C36" s="1" t="str">
        <f t="shared" si="12"/>
        <v>TSX:HBM_2024_</v>
      </c>
      <c r="D36" s="114" t="str">
        <f t="shared" si="24"/>
        <v>TSX:HBM</v>
      </c>
      <c r="E36" s="133" t="str">
        <f>_xll.ciqfunctions.udf.CIQ(D36,"IQ_Company_Name")</f>
        <v>Hudbay Minerals Inc.</v>
      </c>
      <c r="F36" s="114">
        <f>F33</f>
        <v>2024</v>
      </c>
      <c r="G36" s="114" t="str">
        <f t="shared" si="1"/>
        <v>2024-01-01</v>
      </c>
      <c r="H36" s="330" t="str">
        <f t="shared" si="2"/>
        <v>2024-12-31</v>
      </c>
      <c r="I36" s="114">
        <f t="shared" si="13"/>
        <v>12</v>
      </c>
      <c r="J36" s="407" t="s">
        <v>2</v>
      </c>
      <c r="K36" s="439">
        <f t="shared" si="14"/>
        <v>1</v>
      </c>
      <c r="L36" s="445" t="s">
        <v>272</v>
      </c>
      <c r="M36" s="445"/>
      <c r="N36" s="122" t="str">
        <f t="shared" ref="N36:P37" si="27">N35</f>
        <v>NEO1</v>
      </c>
      <c r="O36" s="123" t="str">
        <f t="shared" si="27"/>
        <v>COO</v>
      </c>
      <c r="P36" s="132" t="str">
        <f t="shared" si="27"/>
        <v>Andre Lauzon</v>
      </c>
      <c r="Q36" s="947">
        <v>620000</v>
      </c>
      <c r="R36" s="125">
        <f t="shared" si="16"/>
        <v>620000</v>
      </c>
      <c r="S36" s="311" t="s">
        <v>78</v>
      </c>
      <c r="T36" s="126" t="str">
        <f t="shared" si="3"/>
        <v>-</v>
      </c>
      <c r="U36" s="221">
        <v>740466</v>
      </c>
      <c r="V36" s="125">
        <f t="shared" si="17"/>
        <v>740466</v>
      </c>
      <c r="W36" s="127">
        <f t="shared" si="4"/>
        <v>1.1942999999999999</v>
      </c>
      <c r="X36" s="128"/>
      <c r="Y36" s="223" t="s">
        <v>78</v>
      </c>
      <c r="Z36" s="129">
        <f t="shared" si="18"/>
        <v>0</v>
      </c>
      <c r="AA36" s="124">
        <f t="shared" si="19"/>
        <v>1360466</v>
      </c>
      <c r="AB36" s="130">
        <f t="shared" si="20"/>
        <v>620000</v>
      </c>
      <c r="AC36" s="948">
        <f>1/3*790500</f>
        <v>263500</v>
      </c>
      <c r="AD36" s="948">
        <f>2/3*790500</f>
        <v>527000</v>
      </c>
      <c r="AE36" s="225">
        <v>263500</v>
      </c>
      <c r="AF36" s="225" t="s">
        <v>78</v>
      </c>
      <c r="AG36" s="225" t="s">
        <v>78</v>
      </c>
      <c r="AH36" s="125">
        <f t="shared" si="25"/>
        <v>1054000</v>
      </c>
      <c r="AI36" s="127" t="str">
        <f t="shared" si="26"/>
        <v>-</v>
      </c>
      <c r="AJ36" s="128"/>
      <c r="AK36" s="223" t="s">
        <v>78</v>
      </c>
      <c r="AL36" s="131">
        <f t="shared" si="6"/>
        <v>0</v>
      </c>
      <c r="AM36" s="368">
        <f t="shared" si="7"/>
        <v>1054000</v>
      </c>
      <c r="AN36" s="375">
        <f t="shared" si="8"/>
        <v>2414466</v>
      </c>
      <c r="AO36" s="376">
        <f t="shared" si="9"/>
        <v>620000</v>
      </c>
      <c r="AP36" s="394">
        <v>74400</v>
      </c>
      <c r="AQ36" s="395" t="s">
        <v>271</v>
      </c>
      <c r="AR36" s="396">
        <f t="shared" si="10"/>
        <v>74400</v>
      </c>
      <c r="AS36" s="397"/>
      <c r="AT36" s="401">
        <v>85127</v>
      </c>
      <c r="AU36" s="396" t="str">
        <f t="shared" si="21"/>
        <v>-</v>
      </c>
      <c r="AV36" s="397"/>
      <c r="AW36" s="124">
        <f t="shared" si="22"/>
        <v>2488866</v>
      </c>
      <c r="AX36" s="126">
        <f t="shared" si="23"/>
        <v>694400</v>
      </c>
      <c r="AY36" s="353" t="s">
        <v>78</v>
      </c>
      <c r="AZ36" s="403" t="s">
        <v>548</v>
      </c>
      <c r="BA36" s="404" t="s">
        <v>353</v>
      </c>
    </row>
    <row r="37" spans="1:55" ht="15" customHeight="1">
      <c r="A37" s="1" t="str">
        <f t="shared" si="11"/>
        <v>TSX:HBM_2023_COO</v>
      </c>
      <c r="B37" s="1" t="str">
        <f t="shared" si="0"/>
        <v>TSX:HBM_2023_NEO1</v>
      </c>
      <c r="C37" s="1" t="str">
        <f t="shared" si="12"/>
        <v>TSX:HBM_2023_</v>
      </c>
      <c r="D37" s="114" t="str">
        <f t="shared" si="24"/>
        <v>TSX:HBM</v>
      </c>
      <c r="E37" s="133" t="str">
        <f>_xll.ciqfunctions.udf.CIQ(D37,"IQ_Company_Name")</f>
        <v>Hudbay Minerals Inc.</v>
      </c>
      <c r="F37" s="114">
        <f>F34</f>
        <v>2023</v>
      </c>
      <c r="G37" s="114" t="str">
        <f t="shared" si="1"/>
        <v>2023-01-01</v>
      </c>
      <c r="H37" s="330" t="str">
        <f t="shared" si="2"/>
        <v>2023-12-31</v>
      </c>
      <c r="I37" s="114">
        <f t="shared" si="13"/>
        <v>12</v>
      </c>
      <c r="J37" s="407" t="s">
        <v>2</v>
      </c>
      <c r="K37" s="439">
        <f t="shared" si="14"/>
        <v>1</v>
      </c>
      <c r="L37" s="445" t="s">
        <v>272</v>
      </c>
      <c r="M37" s="445"/>
      <c r="N37" s="122" t="str">
        <f t="shared" si="27"/>
        <v>NEO1</v>
      </c>
      <c r="O37" s="123" t="str">
        <f t="shared" si="27"/>
        <v>COO</v>
      </c>
      <c r="P37" s="132" t="str">
        <f t="shared" si="27"/>
        <v>Andre Lauzon</v>
      </c>
      <c r="Q37" s="947">
        <v>556400</v>
      </c>
      <c r="R37" s="125">
        <f>IFERROR(Q37*(12/$I37)*$K37,"-")</f>
        <v>556400</v>
      </c>
      <c r="S37" s="311" t="s">
        <v>78</v>
      </c>
      <c r="T37" s="126" t="str">
        <f t="shared" si="3"/>
        <v>-</v>
      </c>
      <c r="U37" s="221">
        <v>607923</v>
      </c>
      <c r="V37" s="125">
        <f t="shared" si="17"/>
        <v>607923</v>
      </c>
      <c r="W37" s="127">
        <f t="shared" si="4"/>
        <v>1.0926006470165348</v>
      </c>
      <c r="X37" s="128"/>
      <c r="Y37" s="223" t="s">
        <v>78</v>
      </c>
      <c r="Z37" s="129">
        <f t="shared" si="18"/>
        <v>0</v>
      </c>
      <c r="AA37" s="124">
        <f t="shared" si="19"/>
        <v>1164323</v>
      </c>
      <c r="AB37" s="130">
        <f t="shared" si="20"/>
        <v>556400</v>
      </c>
      <c r="AC37" s="948">
        <f>1/3*709410</f>
        <v>236470</v>
      </c>
      <c r="AD37" s="948">
        <f>2/3*709410</f>
        <v>472940</v>
      </c>
      <c r="AE37" s="225">
        <v>236470</v>
      </c>
      <c r="AF37" s="225" t="s">
        <v>78</v>
      </c>
      <c r="AG37" s="225" t="s">
        <v>78</v>
      </c>
      <c r="AH37" s="125">
        <f t="shared" si="25"/>
        <v>945880</v>
      </c>
      <c r="AI37" s="127" t="str">
        <f t="shared" si="26"/>
        <v>-</v>
      </c>
      <c r="AJ37" s="128"/>
      <c r="AK37" s="223" t="s">
        <v>78</v>
      </c>
      <c r="AL37" s="131">
        <f t="shared" si="6"/>
        <v>0</v>
      </c>
      <c r="AM37" s="368">
        <f t="shared" si="7"/>
        <v>945880</v>
      </c>
      <c r="AN37" s="375">
        <f t="shared" si="8"/>
        <v>2110203</v>
      </c>
      <c r="AO37" s="376">
        <f t="shared" si="9"/>
        <v>556400</v>
      </c>
      <c r="AP37" s="394">
        <v>66768</v>
      </c>
      <c r="AQ37" s="395" t="s">
        <v>271</v>
      </c>
      <c r="AR37" s="396">
        <f t="shared" si="10"/>
        <v>66768</v>
      </c>
      <c r="AS37" s="397"/>
      <c r="AT37" s="401">
        <v>179092</v>
      </c>
      <c r="AU37" s="396" t="str">
        <f t="shared" si="21"/>
        <v>-</v>
      </c>
      <c r="AV37" s="397"/>
      <c r="AW37" s="124">
        <f t="shared" si="22"/>
        <v>2176971</v>
      </c>
      <c r="AX37" s="126">
        <f t="shared" si="23"/>
        <v>623168</v>
      </c>
      <c r="AY37" s="353" t="s">
        <v>78</v>
      </c>
      <c r="AZ37" s="403" t="s">
        <v>548</v>
      </c>
      <c r="BA37" s="404" t="s">
        <v>353</v>
      </c>
    </row>
    <row r="38" spans="1:55" ht="15" customHeight="1">
      <c r="A38" s="1" t="str">
        <f t="shared" si="11"/>
        <v>TSX:HBM_2025_</v>
      </c>
      <c r="B38" s="1" t="str">
        <f t="shared" si="0"/>
        <v>TSX:HBM_2025_CFO</v>
      </c>
      <c r="C38" s="1" t="str">
        <f t="shared" si="12"/>
        <v>TSX:HBM_2025_</v>
      </c>
      <c r="D38" s="114" t="str">
        <f t="shared" si="24"/>
        <v>TSX:HBM</v>
      </c>
      <c r="E38" s="133" t="str">
        <f>_xll.ciqfunctions.udf.CIQ(D38,"IQ_Company_Name")</f>
        <v>Hudbay Minerals Inc.</v>
      </c>
      <c r="F38" s="114">
        <f t="shared" ref="F38:F43" si="28">F35</f>
        <v>2025</v>
      </c>
      <c r="G38" s="114" t="str">
        <f t="shared" si="1"/>
        <v>2025-01-01</v>
      </c>
      <c r="H38" s="330" t="str">
        <f t="shared" si="2"/>
        <v>2025-12-31</v>
      </c>
      <c r="I38" s="114">
        <f t="shared" si="13"/>
        <v>12</v>
      </c>
      <c r="J38" s="407" t="s">
        <v>2</v>
      </c>
      <c r="K38" s="439">
        <f t="shared" si="14"/>
        <v>1</v>
      </c>
      <c r="L38" s="445"/>
      <c r="M38" s="445"/>
      <c r="N38" s="351" t="s">
        <v>106</v>
      </c>
      <c r="O38" s="217" t="s">
        <v>106</v>
      </c>
      <c r="P38" s="218" t="s">
        <v>274</v>
      </c>
      <c r="Q38" s="219">
        <v>573681</v>
      </c>
      <c r="R38" s="434">
        <v>625312</v>
      </c>
      <c r="S38" s="311">
        <v>625312</v>
      </c>
      <c r="T38" s="126">
        <f t="shared" si="3"/>
        <v>625312</v>
      </c>
      <c r="U38" s="221">
        <v>664494</v>
      </c>
      <c r="V38" s="125">
        <f t="shared" si="17"/>
        <v>664494</v>
      </c>
      <c r="W38" s="127">
        <f t="shared" si="4"/>
        <v>1.0626599201678522</v>
      </c>
      <c r="X38" s="128">
        <f>IFERROR(AVERAGE(W38:W40),"N/A")</f>
        <v>1.1210197036364125</v>
      </c>
      <c r="Y38" s="223">
        <v>0.9</v>
      </c>
      <c r="Z38" s="129">
        <f t="shared" si="18"/>
        <v>562780.80000000005</v>
      </c>
      <c r="AA38" s="124">
        <f t="shared" si="19"/>
        <v>1289806</v>
      </c>
      <c r="AB38" s="130">
        <f t="shared" si="20"/>
        <v>1188092.8</v>
      </c>
      <c r="AC38" s="221">
        <f>1/3*731443</f>
        <v>243814.33333333331</v>
      </c>
      <c r="AD38" s="221">
        <f>2/3*731443</f>
        <v>487628.66666666663</v>
      </c>
      <c r="AE38" s="225">
        <v>243814</v>
      </c>
      <c r="AF38" s="225" t="s">
        <v>78</v>
      </c>
      <c r="AG38" s="225" t="s">
        <v>78</v>
      </c>
      <c r="AH38" s="125">
        <f t="shared" si="25"/>
        <v>975257</v>
      </c>
      <c r="AI38" s="127" t="str">
        <f t="shared" si="26"/>
        <v>-</v>
      </c>
      <c r="AJ38" s="128" t="str">
        <f>IFERROR(AVERAGE(AI38:AI40),"N/A")</f>
        <v>N/A</v>
      </c>
      <c r="AK38" s="421">
        <v>1.8</v>
      </c>
      <c r="AL38" s="131">
        <f t="shared" si="6"/>
        <v>1125561.6000000001</v>
      </c>
      <c r="AM38" s="368">
        <f t="shared" si="7"/>
        <v>975257</v>
      </c>
      <c r="AN38" s="375">
        <f t="shared" si="8"/>
        <v>2265063</v>
      </c>
      <c r="AO38" s="376">
        <f t="shared" si="9"/>
        <v>2313654.4000000004</v>
      </c>
      <c r="AP38" s="394">
        <v>138981</v>
      </c>
      <c r="AQ38" s="395" t="s">
        <v>549</v>
      </c>
      <c r="AR38" s="396">
        <f t="shared" si="10"/>
        <v>138981</v>
      </c>
      <c r="AS38" s="397">
        <f>IFERROR(AVERAGE(AR38:AR40),"N/A")</f>
        <v>126721.33333333333</v>
      </c>
      <c r="AT38" s="401">
        <v>118675</v>
      </c>
      <c r="AU38" s="396" t="str">
        <f t="shared" si="21"/>
        <v>-</v>
      </c>
      <c r="AV38" s="397" t="str">
        <f>IFERROR(AVERAGE(AU38:AU40),"N/A")</f>
        <v>N/A</v>
      </c>
      <c r="AW38" s="124">
        <f t="shared" si="22"/>
        <v>2404044</v>
      </c>
      <c r="AX38" s="126">
        <f t="shared" si="23"/>
        <v>2452635.4000000004</v>
      </c>
      <c r="AY38" s="353" t="s">
        <v>78</v>
      </c>
      <c r="AZ38" s="403" t="s">
        <v>548</v>
      </c>
      <c r="BA38" s="404" t="s">
        <v>353</v>
      </c>
    </row>
    <row r="39" spans="1:55" ht="15" customHeight="1">
      <c r="A39" s="1" t="str">
        <f t="shared" si="11"/>
        <v>TSX:HBM_2024_</v>
      </c>
      <c r="B39" s="1" t="str">
        <f t="shared" si="0"/>
        <v>TSX:HBM_2024_CFO</v>
      </c>
      <c r="C39" s="1" t="str">
        <f t="shared" si="12"/>
        <v>TSX:HBM_2024_</v>
      </c>
      <c r="D39" s="114" t="str">
        <f t="shared" si="24"/>
        <v>TSX:HBM</v>
      </c>
      <c r="E39" s="133" t="str">
        <f>_xll.ciqfunctions.udf.CIQ(D39,"IQ_Company_Name")</f>
        <v>Hudbay Minerals Inc.</v>
      </c>
      <c r="F39" s="114">
        <f t="shared" si="28"/>
        <v>2024</v>
      </c>
      <c r="G39" s="330" t="str">
        <f>F39&amp;"-01-01"</f>
        <v>2024-01-01</v>
      </c>
      <c r="H39" s="330" t="str">
        <f>F39&amp;"-12-31"</f>
        <v>2024-12-31</v>
      </c>
      <c r="I39" s="114">
        <f t="shared" si="13"/>
        <v>12</v>
      </c>
      <c r="J39" s="407" t="s">
        <v>2</v>
      </c>
      <c r="K39" s="439">
        <f t="shared" si="14"/>
        <v>1</v>
      </c>
      <c r="L39" s="445"/>
      <c r="M39" s="445"/>
      <c r="N39" s="122" t="str">
        <f t="shared" ref="N39:P40" si="29">N38</f>
        <v>CFO</v>
      </c>
      <c r="O39" s="123" t="str">
        <f t="shared" si="29"/>
        <v>CFO</v>
      </c>
      <c r="P39" s="132" t="str">
        <f t="shared" si="29"/>
        <v>Eugene Lei</v>
      </c>
      <c r="Q39" s="219">
        <v>551616</v>
      </c>
      <c r="R39" s="125">
        <f t="shared" si="16"/>
        <v>551616</v>
      </c>
      <c r="S39" s="311" t="s">
        <v>78</v>
      </c>
      <c r="T39" s="126" t="str">
        <f t="shared" si="3"/>
        <v>-</v>
      </c>
      <c r="U39" s="221">
        <v>658795</v>
      </c>
      <c r="V39" s="125">
        <f t="shared" si="17"/>
        <v>658795</v>
      </c>
      <c r="W39" s="127">
        <f t="shared" si="4"/>
        <v>1.1943000203039795</v>
      </c>
      <c r="X39" s="128"/>
      <c r="Y39" s="223" t="s">
        <v>78</v>
      </c>
      <c r="Z39" s="129">
        <f t="shared" si="18"/>
        <v>0</v>
      </c>
      <c r="AA39" s="124">
        <f t="shared" si="19"/>
        <v>1210411</v>
      </c>
      <c r="AB39" s="130">
        <f t="shared" si="20"/>
        <v>551616</v>
      </c>
      <c r="AC39" s="221">
        <f>1/3*661939</f>
        <v>220646.33333333331</v>
      </c>
      <c r="AD39" s="221">
        <f>2/3*661939</f>
        <v>441292.66666666663</v>
      </c>
      <c r="AE39" s="225">
        <v>220646</v>
      </c>
      <c r="AF39" s="225" t="s">
        <v>78</v>
      </c>
      <c r="AG39" s="225" t="s">
        <v>78</v>
      </c>
      <c r="AH39" s="125">
        <f t="shared" si="25"/>
        <v>882585</v>
      </c>
      <c r="AI39" s="127" t="str">
        <f t="shared" si="26"/>
        <v>-</v>
      </c>
      <c r="AJ39" s="128"/>
      <c r="AK39" s="223" t="s">
        <v>78</v>
      </c>
      <c r="AL39" s="131">
        <f t="shared" si="6"/>
        <v>0</v>
      </c>
      <c r="AM39" s="368">
        <f t="shared" si="7"/>
        <v>882585</v>
      </c>
      <c r="AN39" s="375">
        <f t="shared" si="8"/>
        <v>2092996</v>
      </c>
      <c r="AO39" s="376">
        <f t="shared" si="9"/>
        <v>551616</v>
      </c>
      <c r="AP39" s="394">
        <v>132222</v>
      </c>
      <c r="AQ39" s="395" t="s">
        <v>549</v>
      </c>
      <c r="AR39" s="396">
        <f t="shared" si="10"/>
        <v>132222</v>
      </c>
      <c r="AS39" s="397"/>
      <c r="AT39" s="401">
        <v>103501</v>
      </c>
      <c r="AU39" s="396" t="str">
        <f t="shared" si="21"/>
        <v>-</v>
      </c>
      <c r="AV39" s="397"/>
      <c r="AW39" s="124">
        <f t="shared" si="22"/>
        <v>2225218</v>
      </c>
      <c r="AX39" s="126">
        <f t="shared" si="23"/>
        <v>683838</v>
      </c>
      <c r="AY39" s="353" t="s">
        <v>78</v>
      </c>
      <c r="AZ39" s="403" t="s">
        <v>548</v>
      </c>
      <c r="BA39" s="404" t="s">
        <v>353</v>
      </c>
    </row>
    <row r="40" spans="1:55" ht="15" customHeight="1">
      <c r="A40" s="1" t="str">
        <f t="shared" si="11"/>
        <v>TSX:HBM_2023_</v>
      </c>
      <c r="B40" s="1" t="str">
        <f t="shared" si="0"/>
        <v>TSX:HBM_2023_CFO</v>
      </c>
      <c r="C40" s="1" t="str">
        <f t="shared" si="12"/>
        <v>TSX:HBM_2023_</v>
      </c>
      <c r="D40" s="114" t="str">
        <f t="shared" si="24"/>
        <v>TSX:HBM</v>
      </c>
      <c r="E40" s="133" t="str">
        <f>_xll.ciqfunctions.udf.CIQ(D40,"IQ_Company_Name")</f>
        <v>Hudbay Minerals Inc.</v>
      </c>
      <c r="F40" s="114">
        <f t="shared" si="28"/>
        <v>2023</v>
      </c>
      <c r="G40" s="114" t="str">
        <f t="shared" ref="G40:G103" si="30">F40&amp;"-01-01"</f>
        <v>2023-01-01</v>
      </c>
      <c r="H40" s="330" t="str">
        <f t="shared" ref="H40:H59" si="31">F40&amp;"-12-31"</f>
        <v>2023-12-31</v>
      </c>
      <c r="I40" s="114">
        <f t="shared" si="13"/>
        <v>12</v>
      </c>
      <c r="J40" s="407" t="s">
        <v>2</v>
      </c>
      <c r="K40" s="439">
        <f t="shared" si="14"/>
        <v>1</v>
      </c>
      <c r="L40" s="445"/>
      <c r="M40" s="445"/>
      <c r="N40" s="122" t="str">
        <f t="shared" si="29"/>
        <v>CFO</v>
      </c>
      <c r="O40" s="123" t="str">
        <f t="shared" si="29"/>
        <v>CFO</v>
      </c>
      <c r="P40" s="132" t="str">
        <f t="shared" si="29"/>
        <v>Eugene Lei</v>
      </c>
      <c r="Q40" s="219">
        <v>530400</v>
      </c>
      <c r="R40" s="125">
        <f t="shared" si="16"/>
        <v>530400</v>
      </c>
      <c r="S40" s="311" t="s">
        <v>78</v>
      </c>
      <c r="T40" s="126" t="str">
        <f t="shared" si="3"/>
        <v>-</v>
      </c>
      <c r="U40" s="221">
        <v>586675</v>
      </c>
      <c r="V40" s="125">
        <f t="shared" si="17"/>
        <v>586675</v>
      </c>
      <c r="W40" s="127">
        <f t="shared" si="4"/>
        <v>1.1060991704374057</v>
      </c>
      <c r="X40" s="128"/>
      <c r="Y40" s="223" t="s">
        <v>78</v>
      </c>
      <c r="Z40" s="129">
        <f t="shared" si="18"/>
        <v>0</v>
      </c>
      <c r="AA40" s="124">
        <f t="shared" si="19"/>
        <v>1117075</v>
      </c>
      <c r="AB40" s="130">
        <f t="shared" si="20"/>
        <v>530400</v>
      </c>
      <c r="AC40" s="221">
        <f>1/3*636480</f>
        <v>212160</v>
      </c>
      <c r="AD40" s="221">
        <f>2/3*636480</f>
        <v>424320</v>
      </c>
      <c r="AE40" s="225">
        <v>212160</v>
      </c>
      <c r="AF40" s="225" t="s">
        <v>78</v>
      </c>
      <c r="AG40" s="225" t="s">
        <v>78</v>
      </c>
      <c r="AH40" s="125">
        <f t="shared" si="25"/>
        <v>848640</v>
      </c>
      <c r="AI40" s="127" t="str">
        <f t="shared" si="26"/>
        <v>-</v>
      </c>
      <c r="AJ40" s="128"/>
      <c r="AK40" s="223" t="s">
        <v>78</v>
      </c>
      <c r="AL40" s="131">
        <f t="shared" si="6"/>
        <v>0</v>
      </c>
      <c r="AM40" s="368">
        <f t="shared" si="7"/>
        <v>848640</v>
      </c>
      <c r="AN40" s="375">
        <f t="shared" si="8"/>
        <v>1965715</v>
      </c>
      <c r="AO40" s="376">
        <f t="shared" si="9"/>
        <v>530400</v>
      </c>
      <c r="AP40" s="394">
        <v>108961</v>
      </c>
      <c r="AQ40" s="395" t="s">
        <v>549</v>
      </c>
      <c r="AR40" s="396">
        <f t="shared" si="10"/>
        <v>108961</v>
      </c>
      <c r="AS40" s="397"/>
      <c r="AT40" s="401">
        <v>141406</v>
      </c>
      <c r="AU40" s="396" t="str">
        <f t="shared" si="21"/>
        <v>-</v>
      </c>
      <c r="AV40" s="397"/>
      <c r="AW40" s="124">
        <f t="shared" si="22"/>
        <v>2074676</v>
      </c>
      <c r="AX40" s="126">
        <f t="shared" si="23"/>
        <v>639361</v>
      </c>
      <c r="AY40" s="353" t="s">
        <v>78</v>
      </c>
      <c r="AZ40" s="403" t="s">
        <v>548</v>
      </c>
      <c r="BA40" s="404" t="s">
        <v>353</v>
      </c>
    </row>
    <row r="41" spans="1:55" ht="15" customHeight="1">
      <c r="A41" s="1" t="str">
        <f t="shared" si="11"/>
        <v>TSX:HBM_2025_Legal</v>
      </c>
      <c r="B41" s="1" t="str">
        <f t="shared" si="0"/>
        <v>TSX:HBM_2025_NEO3</v>
      </c>
      <c r="C41" s="1" t="str">
        <f t="shared" si="12"/>
        <v>TSX:HBM_2025_</v>
      </c>
      <c r="D41" s="114" t="str">
        <f t="shared" si="24"/>
        <v>TSX:HBM</v>
      </c>
      <c r="E41" s="133" t="str">
        <f>_xll.ciqfunctions.udf.CIQ(D41,"IQ_Company_Name")</f>
        <v>Hudbay Minerals Inc.</v>
      </c>
      <c r="F41" s="114">
        <f t="shared" si="28"/>
        <v>2025</v>
      </c>
      <c r="G41" s="114" t="str">
        <f t="shared" si="30"/>
        <v>2025-01-01</v>
      </c>
      <c r="H41" s="330" t="str">
        <f t="shared" si="31"/>
        <v>2025-12-31</v>
      </c>
      <c r="I41" s="114">
        <f t="shared" si="13"/>
        <v>12</v>
      </c>
      <c r="J41" s="407" t="s">
        <v>2</v>
      </c>
      <c r="K41" s="439">
        <f t="shared" si="14"/>
        <v>1</v>
      </c>
      <c r="L41" s="445" t="s">
        <v>360</v>
      </c>
      <c r="M41" s="445"/>
      <c r="N41" s="351" t="s">
        <v>109</v>
      </c>
      <c r="O41" s="217" t="s">
        <v>275</v>
      </c>
      <c r="P41" s="218" t="s">
        <v>276</v>
      </c>
      <c r="Q41" s="219">
        <v>501660</v>
      </c>
      <c r="R41" s="434">
        <v>526743</v>
      </c>
      <c r="S41" s="311">
        <v>526743</v>
      </c>
      <c r="T41" s="126">
        <f t="shared" si="3"/>
        <v>526743</v>
      </c>
      <c r="U41" s="221">
        <v>478583</v>
      </c>
      <c r="V41" s="125">
        <f t="shared" si="17"/>
        <v>478583</v>
      </c>
      <c r="W41" s="127">
        <f t="shared" si="4"/>
        <v>0.90857021355765522</v>
      </c>
      <c r="X41" s="128">
        <f>IFERROR(AVERAGE(W41:W43),"N/A")</f>
        <v>0.91062428836452636</v>
      </c>
      <c r="Y41" s="223">
        <v>0.75</v>
      </c>
      <c r="Z41" s="129">
        <f t="shared" si="18"/>
        <v>395057.25</v>
      </c>
      <c r="AA41" s="124">
        <f t="shared" si="19"/>
        <v>1005326</v>
      </c>
      <c r="AB41" s="130">
        <f t="shared" si="20"/>
        <v>921800.25</v>
      </c>
      <c r="AC41" s="221">
        <f>1/3*564367</f>
        <v>188122.33333333331</v>
      </c>
      <c r="AD41" s="221">
        <f>2/3*564367</f>
        <v>376244.66666666663</v>
      </c>
      <c r="AE41" s="225">
        <v>188122</v>
      </c>
      <c r="AF41" s="225" t="s">
        <v>78</v>
      </c>
      <c r="AG41" s="225" t="s">
        <v>78</v>
      </c>
      <c r="AH41" s="125">
        <f t="shared" si="25"/>
        <v>752489</v>
      </c>
      <c r="AI41" s="127" t="str">
        <f t="shared" si="26"/>
        <v>-</v>
      </c>
      <c r="AJ41" s="128" t="str">
        <f>IFERROR(AVERAGE(AI41:AI43),"N/A")</f>
        <v>N/A</v>
      </c>
      <c r="AK41" s="223">
        <v>1.5</v>
      </c>
      <c r="AL41" s="131">
        <f t="shared" si="6"/>
        <v>790114.5</v>
      </c>
      <c r="AM41" s="368">
        <f t="shared" si="7"/>
        <v>752489</v>
      </c>
      <c r="AN41" s="375">
        <f t="shared" si="8"/>
        <v>1757815</v>
      </c>
      <c r="AO41" s="376">
        <f t="shared" si="9"/>
        <v>1711914.75</v>
      </c>
      <c r="AP41" s="394">
        <v>91935</v>
      </c>
      <c r="AQ41" s="395" t="s">
        <v>277</v>
      </c>
      <c r="AR41" s="396">
        <f t="shared" si="10"/>
        <v>91935</v>
      </c>
      <c r="AS41" s="397">
        <f>IFERROR(AVERAGE(AR41:AR43),"N/A")</f>
        <v>89596</v>
      </c>
      <c r="AT41" s="401">
        <v>92458</v>
      </c>
      <c r="AU41" s="396" t="str">
        <f t="shared" si="21"/>
        <v>-</v>
      </c>
      <c r="AV41" s="397" t="str">
        <f>IFERROR(AVERAGE(AU41:AU43),"N/A")</f>
        <v>N/A</v>
      </c>
      <c r="AW41" s="124">
        <f t="shared" si="22"/>
        <v>1849750</v>
      </c>
      <c r="AX41" s="126">
        <f t="shared" si="23"/>
        <v>1803849.75</v>
      </c>
      <c r="AY41" s="353" t="s">
        <v>78</v>
      </c>
      <c r="AZ41" s="403" t="s">
        <v>548</v>
      </c>
      <c r="BA41" s="404" t="s">
        <v>353</v>
      </c>
    </row>
    <row r="42" spans="1:55" ht="15" customHeight="1">
      <c r="A42" s="1" t="str">
        <f t="shared" si="11"/>
        <v>TSX:HBM_2024_Legal</v>
      </c>
      <c r="B42" s="1" t="str">
        <f t="shared" si="0"/>
        <v>TSX:HBM_2024_NEO3</v>
      </c>
      <c r="C42" s="1" t="str">
        <f t="shared" si="12"/>
        <v>TSX:HBM_2024_</v>
      </c>
      <c r="D42" s="114" t="str">
        <f t="shared" si="24"/>
        <v>TSX:HBM</v>
      </c>
      <c r="E42" s="133" t="str">
        <f>_xll.ciqfunctions.udf.CIQ(D42,"IQ_Company_Name")</f>
        <v>Hudbay Minerals Inc.</v>
      </c>
      <c r="F42" s="114">
        <f t="shared" si="28"/>
        <v>2024</v>
      </c>
      <c r="G42" s="114" t="str">
        <f t="shared" si="30"/>
        <v>2024-01-01</v>
      </c>
      <c r="H42" s="330" t="str">
        <f t="shared" si="31"/>
        <v>2024-12-31</v>
      </c>
      <c r="I42" s="114">
        <f t="shared" si="13"/>
        <v>12</v>
      </c>
      <c r="J42" s="407" t="s">
        <v>2</v>
      </c>
      <c r="K42" s="439">
        <f t="shared" si="14"/>
        <v>1</v>
      </c>
      <c r="L42" s="445" t="s">
        <v>360</v>
      </c>
      <c r="M42" s="445"/>
      <c r="N42" s="122" t="str">
        <f t="shared" ref="N42:P43" si="32">N41</f>
        <v>NEO3</v>
      </c>
      <c r="O42" s="123" t="str">
        <f t="shared" si="32"/>
        <v>SVP, Legal and Organizational Effectiveness</v>
      </c>
      <c r="P42" s="132" t="str">
        <f t="shared" si="32"/>
        <v>Patrick Donnelly</v>
      </c>
      <c r="Q42" s="219">
        <v>487048</v>
      </c>
      <c r="R42" s="125">
        <f t="shared" si="16"/>
        <v>487048</v>
      </c>
      <c r="S42" s="311" t="s">
        <v>78</v>
      </c>
      <c r="T42" s="126" t="str">
        <f t="shared" si="3"/>
        <v>-</v>
      </c>
      <c r="U42" s="221">
        <v>479256</v>
      </c>
      <c r="V42" s="125">
        <f t="shared" si="17"/>
        <v>479256</v>
      </c>
      <c r="W42" s="127">
        <f t="shared" si="4"/>
        <v>0.98400157684663525</v>
      </c>
      <c r="X42" s="128"/>
      <c r="Y42" s="223" t="s">
        <v>78</v>
      </c>
      <c r="Z42" s="129">
        <f t="shared" si="18"/>
        <v>0</v>
      </c>
      <c r="AA42" s="124">
        <f t="shared" si="19"/>
        <v>966304</v>
      </c>
      <c r="AB42" s="130">
        <f t="shared" si="20"/>
        <v>487048</v>
      </c>
      <c r="AC42" s="221">
        <f>1/3*547929</f>
        <v>182643</v>
      </c>
      <c r="AD42" s="221">
        <f>2/3*547929</f>
        <v>365286</v>
      </c>
      <c r="AE42" s="225">
        <v>182643</v>
      </c>
      <c r="AF42" s="225" t="s">
        <v>78</v>
      </c>
      <c r="AG42" s="225" t="s">
        <v>78</v>
      </c>
      <c r="AH42" s="125">
        <f t="shared" si="25"/>
        <v>730572</v>
      </c>
      <c r="AI42" s="127" t="str">
        <f t="shared" si="26"/>
        <v>-</v>
      </c>
      <c r="AJ42" s="128"/>
      <c r="AK42" s="223" t="s">
        <v>78</v>
      </c>
      <c r="AL42" s="131">
        <f t="shared" si="6"/>
        <v>0</v>
      </c>
      <c r="AM42" s="368">
        <f t="shared" si="7"/>
        <v>730572</v>
      </c>
      <c r="AN42" s="375">
        <f t="shared" si="8"/>
        <v>1696876</v>
      </c>
      <c r="AO42" s="376">
        <f t="shared" si="9"/>
        <v>487048</v>
      </c>
      <c r="AP42" s="394">
        <v>122673</v>
      </c>
      <c r="AQ42" s="395" t="s">
        <v>277</v>
      </c>
      <c r="AR42" s="396">
        <f t="shared" si="10"/>
        <v>122673</v>
      </c>
      <c r="AS42" s="397"/>
      <c r="AT42" s="401">
        <v>84863</v>
      </c>
      <c r="AU42" s="396" t="str">
        <f t="shared" si="21"/>
        <v>-</v>
      </c>
      <c r="AV42" s="397"/>
      <c r="AW42" s="124">
        <f t="shared" si="22"/>
        <v>1819549</v>
      </c>
      <c r="AX42" s="126">
        <f t="shared" si="23"/>
        <v>609721</v>
      </c>
      <c r="AY42" s="353" t="s">
        <v>78</v>
      </c>
      <c r="AZ42" s="403" t="s">
        <v>548</v>
      </c>
      <c r="BA42" s="404" t="s">
        <v>353</v>
      </c>
    </row>
    <row r="43" spans="1:55" ht="15" customHeight="1">
      <c r="A43" s="1" t="str">
        <f t="shared" si="11"/>
        <v>TSX:HBM_2023_Legal</v>
      </c>
      <c r="B43" s="1" t="str">
        <f t="shared" si="0"/>
        <v>TSX:HBM_2023_NEO3</v>
      </c>
      <c r="C43" s="1" t="str">
        <f t="shared" si="12"/>
        <v>TSX:HBM_2023_</v>
      </c>
      <c r="D43" s="114" t="str">
        <f t="shared" si="24"/>
        <v>TSX:HBM</v>
      </c>
      <c r="E43" s="133" t="str">
        <f>_xll.ciqfunctions.udf.CIQ(D43,"IQ_Company_Name")</f>
        <v>Hudbay Minerals Inc.</v>
      </c>
      <c r="F43" s="114">
        <f t="shared" si="28"/>
        <v>2023</v>
      </c>
      <c r="G43" s="114" t="str">
        <f t="shared" si="30"/>
        <v>2023-01-01</v>
      </c>
      <c r="H43" s="330" t="str">
        <f t="shared" si="31"/>
        <v>2023-12-31</v>
      </c>
      <c r="I43" s="114">
        <f t="shared" si="13"/>
        <v>12</v>
      </c>
      <c r="J43" s="407" t="s">
        <v>2</v>
      </c>
      <c r="K43" s="439">
        <f t="shared" si="14"/>
        <v>1</v>
      </c>
      <c r="L43" s="445" t="s">
        <v>360</v>
      </c>
      <c r="M43" s="445"/>
      <c r="N43" s="122" t="str">
        <f t="shared" si="32"/>
        <v>NEO3</v>
      </c>
      <c r="O43" s="123" t="str">
        <f t="shared" si="32"/>
        <v>SVP, Legal and Organizational Effectiveness</v>
      </c>
      <c r="P43" s="132" t="str">
        <f t="shared" si="32"/>
        <v>Patrick Donnelly</v>
      </c>
      <c r="Q43" s="219">
        <v>463855</v>
      </c>
      <c r="R43" s="125">
        <f t="shared" si="16"/>
        <v>463855</v>
      </c>
      <c r="S43" s="311" t="s">
        <v>78</v>
      </c>
      <c r="T43" s="126" t="str">
        <f t="shared" si="3"/>
        <v>-</v>
      </c>
      <c r="U43" s="221">
        <v>389314</v>
      </c>
      <c r="V43" s="125">
        <f t="shared" si="17"/>
        <v>389314</v>
      </c>
      <c r="W43" s="127">
        <f t="shared" si="4"/>
        <v>0.83930107468928872</v>
      </c>
      <c r="X43" s="128"/>
      <c r="Y43" s="223" t="s">
        <v>78</v>
      </c>
      <c r="Z43" s="129">
        <f t="shared" si="18"/>
        <v>0</v>
      </c>
      <c r="AA43" s="124">
        <f t="shared" si="19"/>
        <v>853169</v>
      </c>
      <c r="AB43" s="130">
        <f t="shared" si="20"/>
        <v>463855</v>
      </c>
      <c r="AC43" s="221">
        <f>1/3*521883</f>
        <v>173961</v>
      </c>
      <c r="AD43" s="221">
        <f>2/3*521883</f>
        <v>347922</v>
      </c>
      <c r="AE43" s="225">
        <v>173961</v>
      </c>
      <c r="AF43" s="225" t="s">
        <v>78</v>
      </c>
      <c r="AG43" s="225" t="s">
        <v>78</v>
      </c>
      <c r="AH43" s="125">
        <f t="shared" si="25"/>
        <v>695844</v>
      </c>
      <c r="AI43" s="127" t="str">
        <f t="shared" si="26"/>
        <v>-</v>
      </c>
      <c r="AJ43" s="128"/>
      <c r="AK43" s="223" t="s">
        <v>78</v>
      </c>
      <c r="AL43" s="131">
        <f t="shared" si="6"/>
        <v>0</v>
      </c>
      <c r="AM43" s="368">
        <f t="shared" si="7"/>
        <v>695844</v>
      </c>
      <c r="AN43" s="375">
        <f t="shared" si="8"/>
        <v>1549013</v>
      </c>
      <c r="AO43" s="376">
        <f t="shared" si="9"/>
        <v>463855</v>
      </c>
      <c r="AP43" s="394">
        <v>54180</v>
      </c>
      <c r="AQ43" s="395" t="s">
        <v>277</v>
      </c>
      <c r="AR43" s="396">
        <f t="shared" si="10"/>
        <v>54180</v>
      </c>
      <c r="AS43" s="397"/>
      <c r="AT43" s="401">
        <v>104737</v>
      </c>
      <c r="AU43" s="396" t="str">
        <f t="shared" si="21"/>
        <v>-</v>
      </c>
      <c r="AV43" s="397"/>
      <c r="AW43" s="124">
        <f t="shared" si="22"/>
        <v>1603193</v>
      </c>
      <c r="AX43" s="126">
        <f t="shared" si="23"/>
        <v>518035</v>
      </c>
      <c r="AY43" s="353" t="s">
        <v>78</v>
      </c>
      <c r="AZ43" s="403" t="s">
        <v>548</v>
      </c>
      <c r="BA43" s="404" t="s">
        <v>353</v>
      </c>
    </row>
    <row r="44" spans="1:55" ht="15" customHeight="1">
      <c r="A44" s="1" t="str">
        <f t="shared" si="11"/>
        <v>TSX:HBM_2025_Region</v>
      </c>
      <c r="B44" s="1" t="str">
        <f t="shared" si="0"/>
        <v>TSX:HBM_2025_NEO2</v>
      </c>
      <c r="C44" s="1" t="str">
        <f t="shared" si="12"/>
        <v>TSX:HBM_2025_</v>
      </c>
      <c r="D44" s="114" t="str">
        <f>D40</f>
        <v>TSX:HBM</v>
      </c>
      <c r="E44" s="133" t="str">
        <f>_xll.ciqfunctions.udf.CIQ(D44,"IQ_Company_Name")</f>
        <v>Hudbay Minerals Inc.</v>
      </c>
      <c r="F44" s="114">
        <f>F38</f>
        <v>2025</v>
      </c>
      <c r="G44" s="114" t="str">
        <f t="shared" si="30"/>
        <v>2025-01-01</v>
      </c>
      <c r="H44" s="330" t="str">
        <f t="shared" si="31"/>
        <v>2025-12-31</v>
      </c>
      <c r="I44" s="114">
        <f t="shared" si="13"/>
        <v>12</v>
      </c>
      <c r="J44" s="407" t="s">
        <v>2</v>
      </c>
      <c r="K44" s="439">
        <f t="shared" si="14"/>
        <v>1</v>
      </c>
      <c r="L44" s="445" t="s">
        <v>366</v>
      </c>
      <c r="M44" s="445"/>
      <c r="N44" s="351" t="s">
        <v>108</v>
      </c>
      <c r="O44" s="217" t="s">
        <v>278</v>
      </c>
      <c r="P44" s="218" t="s">
        <v>279</v>
      </c>
      <c r="Q44" s="219">
        <v>606683</v>
      </c>
      <c r="R44" s="434">
        <v>639905</v>
      </c>
      <c r="S44" s="434">
        <v>639905</v>
      </c>
      <c r="T44" s="126">
        <f t="shared" si="3"/>
        <v>639905</v>
      </c>
      <c r="U44" s="221">
        <v>468480</v>
      </c>
      <c r="V44" s="125">
        <f t="shared" si="17"/>
        <v>468480</v>
      </c>
      <c r="W44" s="127">
        <f t="shared" si="4"/>
        <v>0.73210867238105659</v>
      </c>
      <c r="X44" s="128">
        <f>IFERROR(AVERAGE(W44:W46),"N/A")</f>
        <v>0.75223656256731275</v>
      </c>
      <c r="Y44" s="223">
        <v>0.6</v>
      </c>
      <c r="Z44" s="129">
        <f t="shared" si="18"/>
        <v>383943</v>
      </c>
      <c r="AA44" s="124">
        <f t="shared" si="19"/>
        <v>1108385</v>
      </c>
      <c r="AB44" s="130">
        <f t="shared" si="20"/>
        <v>1023848</v>
      </c>
      <c r="AC44" s="221">
        <f>1/3*565464</f>
        <v>188488</v>
      </c>
      <c r="AD44" s="221">
        <f>2/3*565464</f>
        <v>376976</v>
      </c>
      <c r="AE44" s="225">
        <v>188488</v>
      </c>
      <c r="AF44" s="225" t="s">
        <v>78</v>
      </c>
      <c r="AG44" s="225" t="s">
        <v>78</v>
      </c>
      <c r="AH44" s="125">
        <f t="shared" si="25"/>
        <v>753952</v>
      </c>
      <c r="AI44" s="127" t="str">
        <f t="shared" si="26"/>
        <v>-</v>
      </c>
      <c r="AJ44" s="128" t="str">
        <f>IFERROR(AVERAGE(AI44:AI46),"N/A")</f>
        <v>N/A</v>
      </c>
      <c r="AK44" s="223">
        <v>1.2</v>
      </c>
      <c r="AL44" s="131">
        <f t="shared" si="6"/>
        <v>767886</v>
      </c>
      <c r="AM44" s="368">
        <f t="shared" si="7"/>
        <v>753952</v>
      </c>
      <c r="AN44" s="375">
        <f t="shared" si="8"/>
        <v>1862337</v>
      </c>
      <c r="AO44" s="376">
        <f t="shared" si="9"/>
        <v>1791734</v>
      </c>
      <c r="AP44" s="394">
        <v>14385</v>
      </c>
      <c r="AQ44" s="395" t="s">
        <v>271</v>
      </c>
      <c r="AR44" s="396">
        <f t="shared" si="10"/>
        <v>14385</v>
      </c>
      <c r="AS44" s="397">
        <f>IFERROR(AVERAGE(AR44:AR46),"N/A")</f>
        <v>13570</v>
      </c>
      <c r="AT44" s="401">
        <v>156358</v>
      </c>
      <c r="AU44" s="396" t="str">
        <f t="shared" si="21"/>
        <v>-</v>
      </c>
      <c r="AV44" s="397" t="str">
        <f>IFERROR(AVERAGE(AU44:AU46),"N/A")</f>
        <v>N/A</v>
      </c>
      <c r="AW44" s="124">
        <f t="shared" si="22"/>
        <v>1876722</v>
      </c>
      <c r="AX44" s="126">
        <f t="shared" si="23"/>
        <v>1806119</v>
      </c>
      <c r="AY44" s="353" t="s">
        <v>78</v>
      </c>
      <c r="AZ44" s="403" t="s">
        <v>548</v>
      </c>
      <c r="BA44" s="404" t="s">
        <v>353</v>
      </c>
      <c r="BC44" s="1">
        <f>R44/Q44 -1</f>
        <v>5.4760064152119092E-2</v>
      </c>
    </row>
    <row r="45" spans="1:55" ht="15" customHeight="1">
      <c r="A45" s="1" t="str">
        <f t="shared" si="11"/>
        <v>TSX:HBM_2024_Region</v>
      </c>
      <c r="B45" s="1" t="str">
        <f t="shared" si="0"/>
        <v>TSX:HBM_2024_NEO2</v>
      </c>
      <c r="C45" s="1" t="str">
        <f t="shared" si="12"/>
        <v>TSX:HBM_2024_</v>
      </c>
      <c r="D45" s="114" t="str">
        <f t="shared" si="24"/>
        <v>TSX:HBM</v>
      </c>
      <c r="E45" s="133" t="str">
        <f>_xll.ciqfunctions.udf.CIQ(D45,"IQ_Company_Name")</f>
        <v>Hudbay Minerals Inc.</v>
      </c>
      <c r="F45" s="114">
        <f>F39</f>
        <v>2024</v>
      </c>
      <c r="G45" s="114" t="str">
        <f t="shared" si="30"/>
        <v>2024-01-01</v>
      </c>
      <c r="H45" s="330" t="str">
        <f t="shared" si="31"/>
        <v>2024-12-31</v>
      </c>
      <c r="I45" s="114">
        <f t="shared" si="13"/>
        <v>12</v>
      </c>
      <c r="J45" s="407" t="s">
        <v>2</v>
      </c>
      <c r="K45" s="439">
        <f t="shared" si="14"/>
        <v>1</v>
      </c>
      <c r="L45" s="445" t="s">
        <v>366</v>
      </c>
      <c r="M45" s="445"/>
      <c r="N45" s="122" t="str">
        <f t="shared" ref="N45:P46" si="33">N44</f>
        <v>NEO2</v>
      </c>
      <c r="O45" s="123" t="str">
        <f t="shared" si="33"/>
        <v>SVP, US Business Unit</v>
      </c>
      <c r="P45" s="132" t="str">
        <f t="shared" si="33"/>
        <v>Javier Del Rio</v>
      </c>
      <c r="Q45" s="219">
        <v>558917</v>
      </c>
      <c r="R45" s="125">
        <f t="shared" si="16"/>
        <v>558917</v>
      </c>
      <c r="S45" s="311" t="s">
        <v>78</v>
      </c>
      <c r="T45" s="126" t="str">
        <f t="shared" si="3"/>
        <v>-</v>
      </c>
      <c r="U45" s="221">
        <v>445010</v>
      </c>
      <c r="V45" s="125">
        <f>IFERROR(U45*(12/$I45)*$K45,"-")</f>
        <v>445010</v>
      </c>
      <c r="W45" s="127">
        <f t="shared" si="4"/>
        <v>0.79620050919904028</v>
      </c>
      <c r="X45" s="128"/>
      <c r="Y45" s="223" t="s">
        <v>78</v>
      </c>
      <c r="Z45" s="129">
        <f t="shared" si="18"/>
        <v>0</v>
      </c>
      <c r="AA45" s="124">
        <f t="shared" si="19"/>
        <v>1003927</v>
      </c>
      <c r="AB45" s="130">
        <f t="shared" si="20"/>
        <v>558917</v>
      </c>
      <c r="AC45" s="221">
        <f>1/3*479373</f>
        <v>159791</v>
      </c>
      <c r="AD45" s="221">
        <f>2/3*479373</f>
        <v>319582</v>
      </c>
      <c r="AE45" s="225">
        <v>159791</v>
      </c>
      <c r="AF45" s="225" t="s">
        <v>78</v>
      </c>
      <c r="AG45" s="225" t="s">
        <v>78</v>
      </c>
      <c r="AH45" s="125">
        <f t="shared" si="25"/>
        <v>639164</v>
      </c>
      <c r="AI45" s="127" t="str">
        <f t="shared" si="26"/>
        <v>-</v>
      </c>
      <c r="AJ45" s="128"/>
      <c r="AK45" s="223" t="s">
        <v>78</v>
      </c>
      <c r="AL45" s="131">
        <f t="shared" si="6"/>
        <v>0</v>
      </c>
      <c r="AM45" s="368">
        <f t="shared" si="7"/>
        <v>639164</v>
      </c>
      <c r="AN45" s="375">
        <f t="shared" si="8"/>
        <v>1643091</v>
      </c>
      <c r="AO45" s="376">
        <f t="shared" si="9"/>
        <v>558917</v>
      </c>
      <c r="AP45" s="394">
        <v>13455</v>
      </c>
      <c r="AQ45" s="395" t="s">
        <v>277</v>
      </c>
      <c r="AR45" s="396">
        <f t="shared" si="10"/>
        <v>13455</v>
      </c>
      <c r="AS45" s="397"/>
      <c r="AT45" s="978">
        <f>523315-421713</f>
        <v>101602</v>
      </c>
      <c r="AU45" s="396" t="str">
        <f t="shared" si="21"/>
        <v>-</v>
      </c>
      <c r="AV45" s="397"/>
      <c r="AW45" s="124">
        <f t="shared" si="22"/>
        <v>1656546</v>
      </c>
      <c r="AX45" s="126">
        <f t="shared" si="23"/>
        <v>572372</v>
      </c>
      <c r="AY45" s="431" t="s">
        <v>502</v>
      </c>
      <c r="AZ45" s="403" t="s">
        <v>548</v>
      </c>
      <c r="BA45" s="404" t="s">
        <v>353</v>
      </c>
    </row>
    <row r="46" spans="1:55" ht="15" customHeight="1">
      <c r="A46" s="1" t="str">
        <f t="shared" si="11"/>
        <v>TSX:HBM_2023_Region</v>
      </c>
      <c r="B46" s="1" t="str">
        <f t="shared" si="0"/>
        <v>TSX:HBM_2023_NEO2</v>
      </c>
      <c r="C46" s="1" t="str">
        <f t="shared" si="12"/>
        <v>TSX:HBM_2023_</v>
      </c>
      <c r="D46" s="114" t="str">
        <f t="shared" si="24"/>
        <v>TSX:HBM</v>
      </c>
      <c r="E46" s="133" t="str">
        <f>_xll.ciqfunctions.udf.CIQ(D46,"IQ_Company_Name")</f>
        <v>Hudbay Minerals Inc.</v>
      </c>
      <c r="F46" s="114">
        <f>F40</f>
        <v>2023</v>
      </c>
      <c r="G46" s="114" t="str">
        <f t="shared" si="30"/>
        <v>2023-01-01</v>
      </c>
      <c r="H46" s="330" t="str">
        <f t="shared" si="31"/>
        <v>2023-12-31</v>
      </c>
      <c r="I46" s="114">
        <f t="shared" si="13"/>
        <v>12</v>
      </c>
      <c r="J46" s="407" t="s">
        <v>2</v>
      </c>
      <c r="K46" s="439">
        <f>IF($J46="CAD",1,IF($J46="USD",VLOOKUP($F46,$G$9:$H$11,2,FALSE),"N/A"))</f>
        <v>1</v>
      </c>
      <c r="L46" s="445" t="s">
        <v>366</v>
      </c>
      <c r="M46" s="445"/>
      <c r="N46" s="122" t="str">
        <f t="shared" si="33"/>
        <v>NEO2</v>
      </c>
      <c r="O46" s="123" t="str">
        <f t="shared" si="33"/>
        <v>SVP, US Business Unit</v>
      </c>
      <c r="P46" s="950" t="str">
        <f t="shared" si="33"/>
        <v>Javier Del Rio</v>
      </c>
      <c r="Q46" s="219">
        <v>537420</v>
      </c>
      <c r="R46" s="125">
        <f t="shared" si="16"/>
        <v>537420</v>
      </c>
      <c r="S46" s="311" t="s">
        <v>78</v>
      </c>
      <c r="T46" s="126" t="str">
        <f t="shared" si="3"/>
        <v>-</v>
      </c>
      <c r="U46" s="221">
        <v>391457</v>
      </c>
      <c r="V46" s="125">
        <f>IFERROR(U46*(12/$I46)*$K46,"-")</f>
        <v>391457</v>
      </c>
      <c r="W46" s="127">
        <f t="shared" si="4"/>
        <v>0.72840050612184137</v>
      </c>
      <c r="X46" s="128"/>
      <c r="Y46" s="223" t="s">
        <v>78</v>
      </c>
      <c r="Z46" s="129">
        <f t="shared" si="18"/>
        <v>0</v>
      </c>
      <c r="AA46" s="124">
        <f t="shared" si="19"/>
        <v>928877</v>
      </c>
      <c r="AB46" s="130">
        <f t="shared" si="20"/>
        <v>537420</v>
      </c>
      <c r="AC46" s="221">
        <f>1/3*462914</f>
        <v>154304.66666666666</v>
      </c>
      <c r="AD46" s="221">
        <f>2/3*462914</f>
        <v>308609.33333333331</v>
      </c>
      <c r="AE46" s="225">
        <v>154305</v>
      </c>
      <c r="AF46" s="225" t="s">
        <v>78</v>
      </c>
      <c r="AG46" s="225" t="s">
        <v>78</v>
      </c>
      <c r="AH46" s="418">
        <f t="shared" si="25"/>
        <v>617219</v>
      </c>
      <c r="AI46" s="127" t="str">
        <f t="shared" si="26"/>
        <v>-</v>
      </c>
      <c r="AJ46" s="128"/>
      <c r="AK46" s="223" t="s">
        <v>78</v>
      </c>
      <c r="AL46" s="131">
        <f t="shared" si="6"/>
        <v>0</v>
      </c>
      <c r="AM46" s="368">
        <f t="shared" si="7"/>
        <v>617219</v>
      </c>
      <c r="AN46" s="375">
        <f t="shared" si="8"/>
        <v>1546096</v>
      </c>
      <c r="AO46" s="376">
        <f t="shared" si="9"/>
        <v>537420</v>
      </c>
      <c r="AP46" s="394">
        <v>12870</v>
      </c>
      <c r="AQ46" s="395" t="s">
        <v>277</v>
      </c>
      <c r="AR46" s="396">
        <f t="shared" si="10"/>
        <v>12870</v>
      </c>
      <c r="AS46" s="397"/>
      <c r="AT46" s="401">
        <v>144308</v>
      </c>
      <c r="AU46" s="396" t="str">
        <f t="shared" si="21"/>
        <v>-</v>
      </c>
      <c r="AV46" s="397"/>
      <c r="AW46" s="124">
        <f t="shared" si="22"/>
        <v>1558966</v>
      </c>
      <c r="AX46" s="126">
        <f t="shared" si="23"/>
        <v>550290</v>
      </c>
      <c r="AY46" s="353" t="s">
        <v>78</v>
      </c>
      <c r="AZ46" s="405" t="s">
        <v>548</v>
      </c>
      <c r="BA46" s="404" t="s">
        <v>353</v>
      </c>
    </row>
    <row r="47" spans="1:55" ht="15" customHeight="1">
      <c r="A47" s="1" t="str">
        <f t="shared" si="11"/>
        <v>TSX:HBM_2025_</v>
      </c>
      <c r="B47" s="1" t="str">
        <f t="shared" si="0"/>
        <v>TSX:HBM_2025_NEO2</v>
      </c>
      <c r="C47" s="1" t="str">
        <f t="shared" si="12"/>
        <v>TSX:HBM_2025_</v>
      </c>
      <c r="D47" s="114" t="str">
        <f>D40</f>
        <v>TSX:HBM</v>
      </c>
      <c r="E47" s="133" t="str">
        <f>_xll.ciqfunctions.udf.CIQ(D47,"IQ_Company_Name")</f>
        <v>Hudbay Minerals Inc.</v>
      </c>
      <c r="F47" s="114">
        <f t="shared" ref="F47:F52" si="34">F38</f>
        <v>2025</v>
      </c>
      <c r="G47" s="114" t="str">
        <f t="shared" si="30"/>
        <v>2025-01-01</v>
      </c>
      <c r="H47" s="330" t="str">
        <f t="shared" si="31"/>
        <v>2025-12-31</v>
      </c>
      <c r="I47" s="114">
        <f t="shared" si="13"/>
        <v>12</v>
      </c>
      <c r="J47" s="407" t="s">
        <v>2</v>
      </c>
      <c r="K47" s="439">
        <f t="shared" si="14"/>
        <v>1</v>
      </c>
      <c r="L47" s="445"/>
      <c r="M47" s="445"/>
      <c r="N47" s="351" t="s">
        <v>108</v>
      </c>
      <c r="O47" s="217" t="s">
        <v>365</v>
      </c>
      <c r="P47" s="218" t="s">
        <v>550</v>
      </c>
      <c r="Q47" s="219">
        <v>467105</v>
      </c>
      <c r="R47" s="434">
        <v>467105</v>
      </c>
      <c r="S47" s="311">
        <f>+Q47</f>
        <v>467105</v>
      </c>
      <c r="T47" s="126">
        <f t="shared" si="3"/>
        <v>467105</v>
      </c>
      <c r="U47" s="221"/>
      <c r="V47" s="125">
        <f t="shared" si="17"/>
        <v>0</v>
      </c>
      <c r="W47" s="127">
        <f t="shared" si="4"/>
        <v>0</v>
      </c>
      <c r="X47" s="128">
        <f>IFERROR(AVERAGE(W47:W49),"N/A")</f>
        <v>0</v>
      </c>
      <c r="Y47" s="223">
        <v>0.6</v>
      </c>
      <c r="Z47" s="129">
        <f t="shared" si="18"/>
        <v>280263</v>
      </c>
      <c r="AA47" s="124">
        <f t="shared" si="19"/>
        <v>467105</v>
      </c>
      <c r="AB47" s="130">
        <f t="shared" si="20"/>
        <v>747368</v>
      </c>
      <c r="AC47" s="221"/>
      <c r="AD47" s="221"/>
      <c r="AE47" s="225"/>
      <c r="AF47" s="225" t="s">
        <v>78</v>
      </c>
      <c r="AG47" s="225" t="s">
        <v>78</v>
      </c>
      <c r="AH47" s="125" t="str">
        <f t="shared" si="25"/>
        <v>-</v>
      </c>
      <c r="AI47" s="127" t="str">
        <f t="shared" si="26"/>
        <v>-</v>
      </c>
      <c r="AJ47" s="128" t="str">
        <f>IFERROR(AVERAGE(AI47:AI49),"N/A")</f>
        <v>N/A</v>
      </c>
      <c r="AK47" s="223">
        <v>1.2</v>
      </c>
      <c r="AL47" s="131">
        <f t="shared" si="6"/>
        <v>560526</v>
      </c>
      <c r="AM47" s="368" t="str">
        <f t="shared" si="7"/>
        <v>-</v>
      </c>
      <c r="AN47" s="375">
        <f t="shared" si="8"/>
        <v>467105</v>
      </c>
      <c r="AO47" s="376">
        <f t="shared" si="9"/>
        <v>1307894</v>
      </c>
      <c r="AP47" s="394"/>
      <c r="AQ47" s="395" t="s">
        <v>271</v>
      </c>
      <c r="AR47" s="396">
        <f t="shared" si="10"/>
        <v>0</v>
      </c>
      <c r="AS47" s="397">
        <f>IFERROR(AVERAGE(AR47:AR49),"N/A")</f>
        <v>0</v>
      </c>
      <c r="AT47" s="401"/>
      <c r="AU47" s="396" t="str">
        <f t="shared" si="21"/>
        <v>-</v>
      </c>
      <c r="AV47" s="397" t="str">
        <f>IFERROR(AVERAGE(AU47:AU49),"N/A")</f>
        <v>N/A</v>
      </c>
      <c r="AW47" s="124">
        <f t="shared" si="22"/>
        <v>467105</v>
      </c>
      <c r="AX47" s="126">
        <f t="shared" si="23"/>
        <v>1307894</v>
      </c>
      <c r="AY47" s="431" t="s">
        <v>551</v>
      </c>
      <c r="AZ47" s="403" t="s">
        <v>548</v>
      </c>
      <c r="BA47" s="404" t="s">
        <v>353</v>
      </c>
    </row>
    <row r="48" spans="1:55" ht="15" customHeight="1">
      <c r="A48" s="1" t="str">
        <f t="shared" si="11"/>
        <v>TSX:HBM_2024_</v>
      </c>
      <c r="B48" s="1" t="str">
        <f t="shared" si="0"/>
        <v>TSX:HBM_2024_NEO2</v>
      </c>
      <c r="C48" s="1" t="str">
        <f t="shared" si="12"/>
        <v>TSX:HBM_2024_</v>
      </c>
      <c r="D48" s="114" t="str">
        <f t="shared" si="24"/>
        <v>TSX:HBM</v>
      </c>
      <c r="E48" s="133" t="str">
        <f>_xll.ciqfunctions.udf.CIQ(D48,"IQ_Company_Name")</f>
        <v>Hudbay Minerals Inc.</v>
      </c>
      <c r="F48" s="114">
        <f t="shared" si="34"/>
        <v>2024</v>
      </c>
      <c r="G48" s="114" t="str">
        <f t="shared" si="30"/>
        <v>2024-01-01</v>
      </c>
      <c r="H48" s="330" t="str">
        <f t="shared" si="31"/>
        <v>2024-12-31</v>
      </c>
      <c r="I48" s="114">
        <f t="shared" si="13"/>
        <v>12</v>
      </c>
      <c r="J48" s="407" t="s">
        <v>2</v>
      </c>
      <c r="K48" s="439">
        <f t="shared" si="14"/>
        <v>1</v>
      </c>
      <c r="L48" s="445"/>
      <c r="M48" s="445"/>
      <c r="N48" s="122" t="str">
        <f t="shared" ref="N48:P49" si="35">N47</f>
        <v>NEO2</v>
      </c>
      <c r="O48" s="123" t="str">
        <f t="shared" si="35"/>
        <v>SVP, Canada</v>
      </c>
      <c r="P48" s="132" t="str">
        <f t="shared" si="35"/>
        <v>Robert Carter</v>
      </c>
      <c r="Q48" s="219"/>
      <c r="R48" s="125">
        <f t="shared" si="16"/>
        <v>0</v>
      </c>
      <c r="S48" s="311" t="s">
        <v>78</v>
      </c>
      <c r="T48" s="126" t="str">
        <f t="shared" si="3"/>
        <v>-</v>
      </c>
      <c r="U48" s="221"/>
      <c r="V48" s="125">
        <f t="shared" si="17"/>
        <v>0</v>
      </c>
      <c r="W48" s="127" t="str">
        <f t="shared" si="4"/>
        <v>-</v>
      </c>
      <c r="X48" s="128"/>
      <c r="Y48" s="223" t="s">
        <v>78</v>
      </c>
      <c r="Z48" s="129">
        <f t="shared" si="18"/>
        <v>0</v>
      </c>
      <c r="AA48" s="124" t="str">
        <f t="shared" si="19"/>
        <v>-</v>
      </c>
      <c r="AB48" s="130" t="str">
        <f t="shared" si="20"/>
        <v>-</v>
      </c>
      <c r="AC48" s="221"/>
      <c r="AD48" s="221"/>
      <c r="AE48" s="225"/>
      <c r="AF48" s="225" t="s">
        <v>78</v>
      </c>
      <c r="AG48" s="225" t="s">
        <v>78</v>
      </c>
      <c r="AH48" s="125" t="str">
        <f t="shared" si="25"/>
        <v>-</v>
      </c>
      <c r="AI48" s="127" t="str">
        <f t="shared" si="26"/>
        <v>-</v>
      </c>
      <c r="AJ48" s="128"/>
      <c r="AK48" s="223" t="s">
        <v>78</v>
      </c>
      <c r="AL48" s="131">
        <f t="shared" si="6"/>
        <v>0</v>
      </c>
      <c r="AM48" s="368" t="str">
        <f t="shared" si="7"/>
        <v>-</v>
      </c>
      <c r="AN48" s="375" t="str">
        <f t="shared" si="8"/>
        <v>-</v>
      </c>
      <c r="AO48" s="376" t="str">
        <f t="shared" si="9"/>
        <v>-</v>
      </c>
      <c r="AP48" s="394"/>
      <c r="AQ48" s="395" t="s">
        <v>277</v>
      </c>
      <c r="AR48" s="396">
        <f t="shared" si="10"/>
        <v>0</v>
      </c>
      <c r="AS48" s="397"/>
      <c r="AT48" s="949"/>
      <c r="AU48" s="396" t="str">
        <f t="shared" si="21"/>
        <v>-</v>
      </c>
      <c r="AV48" s="397"/>
      <c r="AW48" s="124" t="str">
        <f t="shared" si="22"/>
        <v>-</v>
      </c>
      <c r="AX48" s="126" t="str">
        <f t="shared" si="23"/>
        <v>-</v>
      </c>
      <c r="AY48" s="431"/>
      <c r="AZ48" s="403" t="s">
        <v>548</v>
      </c>
      <c r="BA48" s="404" t="s">
        <v>353</v>
      </c>
    </row>
    <row r="49" spans="1:54" ht="15" customHeight="1">
      <c r="A49" s="1" t="str">
        <f t="shared" si="11"/>
        <v>TSX:HBM_2023_</v>
      </c>
      <c r="B49" s="1" t="str">
        <f t="shared" si="0"/>
        <v>TSX:HBM_2023_NEO2</v>
      </c>
      <c r="C49" s="1" t="str">
        <f t="shared" si="12"/>
        <v>TSX:HBM_2023_</v>
      </c>
      <c r="D49" s="114" t="str">
        <f t="shared" si="24"/>
        <v>TSX:HBM</v>
      </c>
      <c r="E49" s="133" t="str">
        <f>_xll.ciqfunctions.udf.CIQ(D49,"IQ_Company_Name")</f>
        <v>Hudbay Minerals Inc.</v>
      </c>
      <c r="F49" s="114">
        <f t="shared" si="34"/>
        <v>2023</v>
      </c>
      <c r="G49" s="114" t="str">
        <f t="shared" si="30"/>
        <v>2023-01-01</v>
      </c>
      <c r="H49" s="330" t="str">
        <f t="shared" si="31"/>
        <v>2023-12-31</v>
      </c>
      <c r="I49" s="114">
        <f t="shared" si="13"/>
        <v>12</v>
      </c>
      <c r="J49" s="407" t="s">
        <v>2</v>
      </c>
      <c r="K49" s="439">
        <f t="shared" si="14"/>
        <v>1</v>
      </c>
      <c r="L49" s="445"/>
      <c r="M49" s="445"/>
      <c r="N49" s="122" t="str">
        <f t="shared" si="35"/>
        <v>NEO2</v>
      </c>
      <c r="O49" s="123" t="str">
        <f t="shared" si="35"/>
        <v>SVP, Canada</v>
      </c>
      <c r="P49" s="950" t="str">
        <f t="shared" si="35"/>
        <v>Robert Carter</v>
      </c>
      <c r="Q49" s="219"/>
      <c r="R49" s="125">
        <f t="shared" si="16"/>
        <v>0</v>
      </c>
      <c r="S49" s="311" t="s">
        <v>78</v>
      </c>
      <c r="T49" s="126" t="str">
        <f t="shared" si="3"/>
        <v>-</v>
      </c>
      <c r="U49" s="221"/>
      <c r="V49" s="125">
        <f t="shared" si="17"/>
        <v>0</v>
      </c>
      <c r="W49" s="127" t="str">
        <f t="shared" si="4"/>
        <v>-</v>
      </c>
      <c r="X49" s="128"/>
      <c r="Y49" s="223" t="s">
        <v>78</v>
      </c>
      <c r="Z49" s="129">
        <f t="shared" si="18"/>
        <v>0</v>
      </c>
      <c r="AA49" s="124" t="str">
        <f t="shared" si="19"/>
        <v>-</v>
      </c>
      <c r="AB49" s="130" t="str">
        <f t="shared" si="20"/>
        <v>-</v>
      </c>
      <c r="AC49" s="221"/>
      <c r="AD49" s="221"/>
      <c r="AE49" s="225"/>
      <c r="AF49" s="225" t="s">
        <v>78</v>
      </c>
      <c r="AG49" s="225" t="s">
        <v>78</v>
      </c>
      <c r="AH49" s="418" t="str">
        <f t="shared" si="25"/>
        <v>-</v>
      </c>
      <c r="AI49" s="127" t="str">
        <f t="shared" si="26"/>
        <v>-</v>
      </c>
      <c r="AJ49" s="128"/>
      <c r="AK49" s="223" t="s">
        <v>78</v>
      </c>
      <c r="AL49" s="131">
        <f t="shared" si="6"/>
        <v>0</v>
      </c>
      <c r="AM49" s="368" t="str">
        <f t="shared" si="7"/>
        <v>-</v>
      </c>
      <c r="AN49" s="375" t="str">
        <f t="shared" si="8"/>
        <v>-</v>
      </c>
      <c r="AO49" s="376" t="str">
        <f t="shared" si="9"/>
        <v>-</v>
      </c>
      <c r="AP49" s="394"/>
      <c r="AQ49" s="395" t="s">
        <v>277</v>
      </c>
      <c r="AR49" s="396">
        <f t="shared" si="10"/>
        <v>0</v>
      </c>
      <c r="AS49" s="397"/>
      <c r="AT49" s="401"/>
      <c r="AU49" s="396" t="str">
        <f t="shared" si="21"/>
        <v>-</v>
      </c>
      <c r="AV49" s="397"/>
      <c r="AW49" s="124" t="str">
        <f t="shared" si="22"/>
        <v>-</v>
      </c>
      <c r="AX49" s="126" t="str">
        <f t="shared" si="23"/>
        <v>-</v>
      </c>
      <c r="AY49" s="353"/>
      <c r="AZ49" s="405" t="s">
        <v>548</v>
      </c>
      <c r="BA49" s="404" t="s">
        <v>353</v>
      </c>
    </row>
    <row r="50" spans="1:54" ht="15" customHeight="1">
      <c r="A50" s="1" t="str">
        <f t="shared" si="11"/>
        <v>TSX:HBM_2025_Tech</v>
      </c>
      <c r="B50" s="1" t="str">
        <f t="shared" si="0"/>
        <v>TSX:HBM_2025_NEO4</v>
      </c>
      <c r="C50" s="1" t="str">
        <f t="shared" si="12"/>
        <v>TSX:HBM_2025_</v>
      </c>
      <c r="D50" s="114" t="str">
        <f>D43</f>
        <v>TSX:HBM</v>
      </c>
      <c r="E50" s="133" t="str">
        <f>_xll.ciqfunctions.udf.CIQ(D50,"IQ_Company_Name")</f>
        <v>Hudbay Minerals Inc.</v>
      </c>
      <c r="F50" s="114">
        <f t="shared" si="34"/>
        <v>2025</v>
      </c>
      <c r="G50" s="114" t="str">
        <f t="shared" si="30"/>
        <v>2025-01-01</v>
      </c>
      <c r="H50" s="330" t="str">
        <f t="shared" si="31"/>
        <v>2025-12-31</v>
      </c>
      <c r="I50" s="114">
        <f t="shared" si="13"/>
        <v>12</v>
      </c>
      <c r="J50" s="407" t="s">
        <v>2</v>
      </c>
      <c r="K50" s="439">
        <f t="shared" si="14"/>
        <v>1</v>
      </c>
      <c r="L50" s="445" t="s">
        <v>361</v>
      </c>
      <c r="M50" s="445"/>
      <c r="N50" s="351" t="s">
        <v>351</v>
      </c>
      <c r="O50" s="217" t="s">
        <v>415</v>
      </c>
      <c r="P50" s="218" t="s">
        <v>362</v>
      </c>
      <c r="Q50" s="219">
        <v>484484</v>
      </c>
      <c r="R50" s="434">
        <v>484484</v>
      </c>
      <c r="S50" s="311">
        <f>+Q50</f>
        <v>484484</v>
      </c>
      <c r="T50" s="126">
        <f t="shared" si="3"/>
        <v>484484</v>
      </c>
      <c r="U50" s="221"/>
      <c r="V50" s="125">
        <f t="shared" si="17"/>
        <v>0</v>
      </c>
      <c r="W50" s="127">
        <f t="shared" si="4"/>
        <v>0</v>
      </c>
      <c r="X50" s="128">
        <f>IFERROR(AVERAGE(W50:W52),"N/A")</f>
        <v>0</v>
      </c>
      <c r="Y50" s="223">
        <v>0.6</v>
      </c>
      <c r="Z50" s="129">
        <f t="shared" si="18"/>
        <v>290690.39999999997</v>
      </c>
      <c r="AA50" s="124">
        <f t="shared" si="19"/>
        <v>484484</v>
      </c>
      <c r="AB50" s="130">
        <f t="shared" si="20"/>
        <v>775174.39999999991</v>
      </c>
      <c r="AC50" s="221"/>
      <c r="AD50" s="221"/>
      <c r="AE50" s="225"/>
      <c r="AF50" s="225" t="s">
        <v>78</v>
      </c>
      <c r="AG50" s="225" t="s">
        <v>78</v>
      </c>
      <c r="AH50" s="125" t="str">
        <f t="shared" si="25"/>
        <v>-</v>
      </c>
      <c r="AI50" s="127" t="str">
        <f t="shared" si="26"/>
        <v>-</v>
      </c>
      <c r="AJ50" s="128" t="str">
        <f>IFERROR(AVERAGE(AI50:AI52),"N/A")</f>
        <v>N/A</v>
      </c>
      <c r="AK50" s="223">
        <v>1.2</v>
      </c>
      <c r="AL50" s="131">
        <f t="shared" si="6"/>
        <v>581380.79999999993</v>
      </c>
      <c r="AM50" s="368" t="str">
        <f t="shared" si="7"/>
        <v>-</v>
      </c>
      <c r="AN50" s="375">
        <f t="shared" si="8"/>
        <v>484484</v>
      </c>
      <c r="AO50" s="376">
        <f t="shared" si="9"/>
        <v>1356555.1999999997</v>
      </c>
      <c r="AP50" s="394"/>
      <c r="AQ50" s="395" t="s">
        <v>271</v>
      </c>
      <c r="AR50" s="396">
        <f t="shared" si="10"/>
        <v>0</v>
      </c>
      <c r="AS50" s="397">
        <f>IFERROR(AVERAGE(AR50:AR52),"N/A")</f>
        <v>0</v>
      </c>
      <c r="AT50" s="401"/>
      <c r="AU50" s="396" t="str">
        <f t="shared" si="21"/>
        <v>-</v>
      </c>
      <c r="AV50" s="397" t="str">
        <f>IFERROR(AVERAGE(AU50:AU52),"N/A")</f>
        <v>N/A</v>
      </c>
      <c r="AW50" s="124">
        <f t="shared" si="22"/>
        <v>484484</v>
      </c>
      <c r="AX50" s="126">
        <f t="shared" si="23"/>
        <v>1356555.1999999997</v>
      </c>
      <c r="AY50" s="431" t="s">
        <v>551</v>
      </c>
      <c r="AZ50" s="403" t="s">
        <v>548</v>
      </c>
      <c r="BA50" s="404" t="s">
        <v>353</v>
      </c>
    </row>
    <row r="51" spans="1:54" ht="15" customHeight="1">
      <c r="A51" s="1" t="str">
        <f t="shared" si="11"/>
        <v>TSX:HBM_2024_Tech</v>
      </c>
      <c r="B51" s="1" t="str">
        <f t="shared" si="0"/>
        <v>TSX:HBM_2024_NEO4</v>
      </c>
      <c r="C51" s="1" t="str">
        <f t="shared" si="12"/>
        <v>TSX:HBM_2024_</v>
      </c>
      <c r="D51" s="114" t="str">
        <f t="shared" si="24"/>
        <v>TSX:HBM</v>
      </c>
      <c r="E51" s="133" t="str">
        <f>_xll.ciqfunctions.udf.CIQ(D51,"IQ_Company_Name")</f>
        <v>Hudbay Minerals Inc.</v>
      </c>
      <c r="F51" s="114">
        <f t="shared" si="34"/>
        <v>2024</v>
      </c>
      <c r="G51" s="114" t="str">
        <f t="shared" si="30"/>
        <v>2024-01-01</v>
      </c>
      <c r="H51" s="330" t="str">
        <f t="shared" si="31"/>
        <v>2024-12-31</v>
      </c>
      <c r="I51" s="114">
        <f t="shared" si="13"/>
        <v>12</v>
      </c>
      <c r="J51" s="407" t="s">
        <v>2</v>
      </c>
      <c r="K51" s="439">
        <f t="shared" si="14"/>
        <v>1</v>
      </c>
      <c r="L51" s="445" t="s">
        <v>361</v>
      </c>
      <c r="M51" s="445"/>
      <c r="N51" s="122" t="str">
        <f t="shared" ref="N51:P52" si="36">N50</f>
        <v>NEO4</v>
      </c>
      <c r="O51" s="123" t="str">
        <f t="shared" si="36"/>
        <v>SVP, Exploration &amp; Technical Services</v>
      </c>
      <c r="P51" s="132" t="str">
        <f t="shared" si="36"/>
        <v>Olivier Tavchandjian</v>
      </c>
      <c r="Q51" s="219"/>
      <c r="R51" s="125">
        <f t="shared" si="16"/>
        <v>0</v>
      </c>
      <c r="S51" s="311" t="s">
        <v>78</v>
      </c>
      <c r="T51" s="126" t="str">
        <f t="shared" si="3"/>
        <v>-</v>
      </c>
      <c r="U51" s="221"/>
      <c r="V51" s="125">
        <f t="shared" si="17"/>
        <v>0</v>
      </c>
      <c r="W51" s="127" t="str">
        <f t="shared" si="4"/>
        <v>-</v>
      </c>
      <c r="X51" s="128"/>
      <c r="Y51" s="223" t="s">
        <v>78</v>
      </c>
      <c r="Z51" s="129">
        <f t="shared" si="18"/>
        <v>0</v>
      </c>
      <c r="AA51" s="124" t="str">
        <f t="shared" si="19"/>
        <v>-</v>
      </c>
      <c r="AB51" s="130" t="str">
        <f t="shared" si="20"/>
        <v>-</v>
      </c>
      <c r="AC51" s="221"/>
      <c r="AD51" s="221"/>
      <c r="AE51" s="225"/>
      <c r="AF51" s="225" t="s">
        <v>78</v>
      </c>
      <c r="AG51" s="225" t="s">
        <v>78</v>
      </c>
      <c r="AH51" s="125" t="str">
        <f t="shared" si="25"/>
        <v>-</v>
      </c>
      <c r="AI51" s="127" t="str">
        <f t="shared" si="26"/>
        <v>-</v>
      </c>
      <c r="AJ51" s="128"/>
      <c r="AK51" s="223" t="s">
        <v>78</v>
      </c>
      <c r="AL51" s="131">
        <f t="shared" si="6"/>
        <v>0</v>
      </c>
      <c r="AM51" s="368" t="str">
        <f t="shared" si="7"/>
        <v>-</v>
      </c>
      <c r="AN51" s="375" t="str">
        <f t="shared" si="8"/>
        <v>-</v>
      </c>
      <c r="AO51" s="376" t="str">
        <f t="shared" si="9"/>
        <v>-</v>
      </c>
      <c r="AP51" s="394"/>
      <c r="AQ51" s="395" t="s">
        <v>277</v>
      </c>
      <c r="AR51" s="396">
        <f t="shared" si="10"/>
        <v>0</v>
      </c>
      <c r="AS51" s="397"/>
      <c r="AT51" s="949"/>
      <c r="AU51" s="396" t="str">
        <f t="shared" si="21"/>
        <v>-</v>
      </c>
      <c r="AV51" s="397"/>
      <c r="AW51" s="124" t="str">
        <f t="shared" si="22"/>
        <v>-</v>
      </c>
      <c r="AX51" s="126" t="str">
        <f t="shared" si="23"/>
        <v>-</v>
      </c>
      <c r="AY51" s="431"/>
      <c r="AZ51" s="403" t="s">
        <v>548</v>
      </c>
      <c r="BA51" s="404" t="s">
        <v>353</v>
      </c>
    </row>
    <row r="52" spans="1:54" ht="15" customHeight="1">
      <c r="A52" s="1" t="str">
        <f t="shared" si="11"/>
        <v>TSX:HBM_2023_Tech</v>
      </c>
      <c r="B52" s="1" t="str">
        <f t="shared" si="0"/>
        <v>TSX:HBM_2023_NEO4</v>
      </c>
      <c r="C52" s="1" t="str">
        <f t="shared" si="12"/>
        <v>TSX:HBM_2023_</v>
      </c>
      <c r="D52" s="114" t="str">
        <f t="shared" si="24"/>
        <v>TSX:HBM</v>
      </c>
      <c r="E52" s="133" t="str">
        <f>_xll.ciqfunctions.udf.CIQ(D52,"IQ_Company_Name")</f>
        <v>Hudbay Minerals Inc.</v>
      </c>
      <c r="F52" s="114">
        <f t="shared" si="34"/>
        <v>2023</v>
      </c>
      <c r="G52" s="114" t="str">
        <f t="shared" si="30"/>
        <v>2023-01-01</v>
      </c>
      <c r="H52" s="330" t="str">
        <f t="shared" si="31"/>
        <v>2023-12-31</v>
      </c>
      <c r="I52" s="114">
        <f t="shared" si="13"/>
        <v>12</v>
      </c>
      <c r="J52" s="407" t="s">
        <v>2</v>
      </c>
      <c r="K52" s="439">
        <f t="shared" si="14"/>
        <v>1</v>
      </c>
      <c r="L52" s="445" t="s">
        <v>361</v>
      </c>
      <c r="M52" s="445"/>
      <c r="N52" s="122" t="str">
        <f t="shared" si="36"/>
        <v>NEO4</v>
      </c>
      <c r="O52" s="123" t="str">
        <f t="shared" si="36"/>
        <v>SVP, Exploration &amp; Technical Services</v>
      </c>
      <c r="P52" s="950" t="str">
        <f t="shared" si="36"/>
        <v>Olivier Tavchandjian</v>
      </c>
      <c r="Q52" s="219"/>
      <c r="R52" s="125">
        <f t="shared" si="16"/>
        <v>0</v>
      </c>
      <c r="S52" s="311" t="s">
        <v>78</v>
      </c>
      <c r="T52" s="126" t="str">
        <f t="shared" si="3"/>
        <v>-</v>
      </c>
      <c r="U52" s="221"/>
      <c r="V52" s="125">
        <f t="shared" si="17"/>
        <v>0</v>
      </c>
      <c r="W52" s="127" t="str">
        <f t="shared" si="4"/>
        <v>-</v>
      </c>
      <c r="X52" s="449"/>
      <c r="Y52" s="223" t="s">
        <v>78</v>
      </c>
      <c r="Z52" s="129">
        <f t="shared" si="18"/>
        <v>0</v>
      </c>
      <c r="AA52" s="450" t="str">
        <f t="shared" si="19"/>
        <v>-</v>
      </c>
      <c r="AB52" s="451" t="str">
        <f t="shared" si="20"/>
        <v>-</v>
      </c>
      <c r="AC52" s="221"/>
      <c r="AD52" s="221"/>
      <c r="AE52" s="225"/>
      <c r="AF52" s="225" t="s">
        <v>78</v>
      </c>
      <c r="AG52" s="225" t="s">
        <v>78</v>
      </c>
      <c r="AH52" s="418" t="str">
        <f t="shared" si="25"/>
        <v>-</v>
      </c>
      <c r="AI52" s="432" t="str">
        <f t="shared" si="26"/>
        <v>-</v>
      </c>
      <c r="AJ52" s="449"/>
      <c r="AK52" s="223" t="s">
        <v>78</v>
      </c>
      <c r="AL52" s="1034">
        <f t="shared" si="6"/>
        <v>0</v>
      </c>
      <c r="AM52" s="1035" t="str">
        <f t="shared" si="7"/>
        <v>-</v>
      </c>
      <c r="AN52" s="1036" t="str">
        <f t="shared" si="8"/>
        <v>-</v>
      </c>
      <c r="AO52" s="1037" t="str">
        <f t="shared" si="9"/>
        <v>-</v>
      </c>
      <c r="AP52" s="394"/>
      <c r="AQ52" s="395" t="s">
        <v>277</v>
      </c>
      <c r="AR52" s="396">
        <f t="shared" si="10"/>
        <v>0</v>
      </c>
      <c r="AS52" s="453"/>
      <c r="AT52" s="401"/>
      <c r="AU52" s="951" t="str">
        <f t="shared" si="21"/>
        <v>-</v>
      </c>
      <c r="AV52" s="453"/>
      <c r="AW52" s="450" t="str">
        <f t="shared" si="22"/>
        <v>-</v>
      </c>
      <c r="AX52" s="329" t="str">
        <f t="shared" si="23"/>
        <v>-</v>
      </c>
      <c r="AY52" s="353"/>
      <c r="AZ52" s="405" t="s">
        <v>548</v>
      </c>
      <c r="BA52" s="404" t="s">
        <v>353</v>
      </c>
    </row>
    <row r="53" spans="1:54" ht="15" customHeight="1">
      <c r="A53" s="1" t="str">
        <f t="shared" si="11"/>
        <v>TSX:K_2025_</v>
      </c>
      <c r="B53" s="1" t="str">
        <f t="shared" si="0"/>
        <v>TSX:K_2025_CEO</v>
      </c>
      <c r="C53" s="1" t="str">
        <f t="shared" si="12"/>
        <v>TSX:K_2025_</v>
      </c>
      <c r="D53" s="412" t="str">
        <f>E5</f>
        <v>TSX:K</v>
      </c>
      <c r="E53" s="413" t="str">
        <f>_xll.ciqfunctions.udf.CIQ(D53,"IQ_Company_Name")</f>
        <v>Kinross Gold Corporation</v>
      </c>
      <c r="F53" s="414">
        <f>$G$9</f>
        <v>2025</v>
      </c>
      <c r="G53" s="415" t="str">
        <f t="shared" si="30"/>
        <v>2025-01-01</v>
      </c>
      <c r="H53" s="415" t="str">
        <f t="shared" si="31"/>
        <v>2025-12-31</v>
      </c>
      <c r="I53" s="416">
        <f>_xlfn.DAYS(H53,G53)/_xlfn.DAYS(F53&amp;"-12-31",F53&amp;"-01-01")*12</f>
        <v>12</v>
      </c>
      <c r="J53" s="414" t="s">
        <v>285</v>
      </c>
      <c r="K53" s="440">
        <f t="shared" si="14"/>
        <v>1.3974500000000001</v>
      </c>
      <c r="L53" s="446"/>
      <c r="M53" s="446"/>
      <c r="N53" s="955" t="s">
        <v>79</v>
      </c>
      <c r="O53" s="958" t="s">
        <v>79</v>
      </c>
      <c r="P53" s="218" t="s">
        <v>313</v>
      </c>
      <c r="Q53" s="960">
        <v>1240320</v>
      </c>
      <c r="R53" s="961">
        <f t="shared" si="16"/>
        <v>1733285.1840000001</v>
      </c>
      <c r="S53" s="964" t="s">
        <v>78</v>
      </c>
      <c r="T53" s="965" t="str">
        <f t="shared" si="3"/>
        <v>-</v>
      </c>
      <c r="U53" s="966">
        <v>2302344</v>
      </c>
      <c r="V53" s="125">
        <f>IFERROR(U53*(12/$I53)*$K53,"-")</f>
        <v>3217410.6228</v>
      </c>
      <c r="W53" s="127">
        <f t="shared" ref="W53:W116" si="37">IFERROR($V53/$R53,"-")</f>
        <v>1.85625</v>
      </c>
      <c r="X53" s="128">
        <f>IFERROR(AVERAGE(W53:W55),"N/A")</f>
        <v>1.8375002056676657</v>
      </c>
      <c r="Y53" s="969">
        <v>1.5</v>
      </c>
      <c r="Z53" s="129">
        <f t="shared" ref="Z53:Z116" si="38">IFERROR(IF(ISNUMBER($Y53)=TRUE, $Y53*$R53,$X53*$R53),"-")</f>
        <v>2599927.7760000001</v>
      </c>
      <c r="AA53" s="124">
        <f>IFERROR(IF(SUM(R53,V53)=0,"-",SUM(R53,V53)),"-")</f>
        <v>4950695.8068000004</v>
      </c>
      <c r="AB53" s="130">
        <f>IFERROR(IF(SUM(R53,Z53)=0,"-",SUM(R53,Z53)),"-")</f>
        <v>4333212.96</v>
      </c>
      <c r="AC53" s="966">
        <f>0.45*4589184</f>
        <v>2065132.8</v>
      </c>
      <c r="AD53" s="966">
        <f>0.55*4589184</f>
        <v>2524051.2000000002</v>
      </c>
      <c r="AE53" s="970" t="s">
        <v>78</v>
      </c>
      <c r="AF53" s="970" t="s">
        <v>78</v>
      </c>
      <c r="AG53" s="970" t="s">
        <v>78</v>
      </c>
      <c r="AH53" s="125">
        <f t="shared" ref="AH53:AH102" si="39">IFERROR(IF(SUM(AC53:AG53)=0,IF(COUNTIF($AC53:$AG53,"=0")&gt;0,"$0","-"),SUM(AC53:AG53)),"-")</f>
        <v>4589184</v>
      </c>
      <c r="AI53" s="127">
        <f>IFERROR($AM53/$R53,"-")</f>
        <v>3.6999999999999997</v>
      </c>
      <c r="AJ53" s="128">
        <f>IFERROR(AVERAGE(AI53:AI55),"N/A")</f>
        <v>3.1533335298945784</v>
      </c>
      <c r="AK53" s="969" t="s">
        <v>78</v>
      </c>
      <c r="AL53" s="131">
        <f t="shared" ref="AL53:AL116" si="40">IFERROR(IF(ISNUMBER($AK53)=TRUE, $AK53*$R53, $AJ53*$R53), "-")</f>
        <v>5465626.287576694</v>
      </c>
      <c r="AM53" s="368">
        <f t="shared" ref="AM53:AM66" si="41">IFERROR($AH53*$K53,"-")</f>
        <v>6413155.1808000002</v>
      </c>
      <c r="AN53" s="375">
        <f>IFERROR(IF(SUM(AA53,AM53)=0,"-",SUM(AA53,AM53)),"-")</f>
        <v>11363850.987600001</v>
      </c>
      <c r="AO53" s="376">
        <f>IFERROR(IF(SUM($AB53,$AL53)=0,"-",SUM($AB53,$AL53)),"-")</f>
        <v>9798839.2475766949</v>
      </c>
      <c r="AP53" s="974">
        <v>558144</v>
      </c>
      <c r="AQ53" s="975" t="s">
        <v>271</v>
      </c>
      <c r="AR53" s="396">
        <f t="shared" ref="AR53:AR96" si="42">IFERROR(AP53*(12/$I53)*$K53,"-")</f>
        <v>779978.33280000009</v>
      </c>
      <c r="AS53" s="409">
        <f>IFERROR(AVERAGE(AR53:AR55),"N/A")</f>
        <v>743122.49748333346</v>
      </c>
      <c r="AT53" s="977">
        <v>300964</v>
      </c>
      <c r="AU53" s="396">
        <f t="shared" ref="AU53:AU96" si="43">IFERROR(AT53*(12/$I53)*$K53,"-")</f>
        <v>420582.14180000004</v>
      </c>
      <c r="AV53" s="409">
        <f>IFERROR(AVERAGE(AU53:AU55),"N/A")</f>
        <v>417683.11920333334</v>
      </c>
      <c r="AW53" s="124">
        <f>IFERROR(IF(SUM(AN53,AR53,AU53)=0,"-",SUM(AN53,AR53,AU53)),"-")</f>
        <v>12564411.462200001</v>
      </c>
      <c r="AX53" s="126">
        <f>IFERROR(IF(SUM(AO53,AR53,AU53)=0,"-",SUM(AO53,AR53,AU53)),"-")</f>
        <v>10999399.722176695</v>
      </c>
      <c r="AY53" s="979" t="s">
        <v>78</v>
      </c>
      <c r="AZ53" s="403" t="s">
        <v>548</v>
      </c>
      <c r="BA53" s="417" t="s">
        <v>353</v>
      </c>
    </row>
    <row r="54" spans="1:54" ht="15" customHeight="1">
      <c r="A54" s="1" t="str">
        <f t="shared" si="11"/>
        <v>TSX:K_2024_</v>
      </c>
      <c r="B54" s="1" t="str">
        <f t="shared" si="0"/>
        <v>TSX:K_2024_CEO</v>
      </c>
      <c r="C54" s="1" t="str">
        <f t="shared" si="12"/>
        <v>TSX:K_2024_</v>
      </c>
      <c r="D54" s="114" t="str">
        <f>D53</f>
        <v>TSX:K</v>
      </c>
      <c r="E54" s="133" t="str">
        <f>_xll.ciqfunctions.udf.CIQ(D54,"IQ_Company_Name")</f>
        <v>Kinross Gold Corporation</v>
      </c>
      <c r="F54" s="328">
        <f>$G$10</f>
        <v>2024</v>
      </c>
      <c r="G54" s="330" t="str">
        <f t="shared" si="30"/>
        <v>2024-01-01</v>
      </c>
      <c r="H54" s="330" t="str">
        <f t="shared" si="31"/>
        <v>2024-12-31</v>
      </c>
      <c r="I54" s="114">
        <f t="shared" ref="I54:I117" si="44">_xlfn.DAYS(H54,G54)/_xlfn.DAYS(F54&amp;"-12-31",F54&amp;"-01-01")*12</f>
        <v>12</v>
      </c>
      <c r="J54" s="407" t="s">
        <v>285</v>
      </c>
      <c r="K54" s="439">
        <f t="shared" si="14"/>
        <v>1.3701700000000001</v>
      </c>
      <c r="L54" s="445"/>
      <c r="M54" s="445"/>
      <c r="N54" s="122" t="str">
        <f t="shared" ref="N54:P55" si="45">N53</f>
        <v>CEO</v>
      </c>
      <c r="O54" s="123" t="str">
        <f t="shared" si="45"/>
        <v>CEO</v>
      </c>
      <c r="P54" s="132" t="str">
        <f t="shared" si="45"/>
        <v>J. Paul Rollinson</v>
      </c>
      <c r="Q54" s="219">
        <v>1181500</v>
      </c>
      <c r="R54" s="125">
        <f t="shared" si="16"/>
        <v>1618855.8550000002</v>
      </c>
      <c r="S54" s="311" t="s">
        <v>78</v>
      </c>
      <c r="T54" s="126" t="str">
        <f t="shared" si="3"/>
        <v>-</v>
      </c>
      <c r="U54" s="221">
        <v>2259619</v>
      </c>
      <c r="V54" s="125">
        <f t="shared" ref="V54:V65" si="46">IFERROR(U54*(12/$I54)*$K54,"-")</f>
        <v>3096062.1652300004</v>
      </c>
      <c r="W54" s="127">
        <f t="shared" si="37"/>
        <v>1.9125002115954295</v>
      </c>
      <c r="X54" s="128"/>
      <c r="Y54" s="223" t="s">
        <v>78</v>
      </c>
      <c r="Z54" s="129">
        <f t="shared" si="38"/>
        <v>0</v>
      </c>
      <c r="AA54" s="124">
        <f t="shared" ref="AA54:AA117" si="47">IFERROR(IF(SUM(R54,V54)=0,"-",SUM(R54,V54)),"-")</f>
        <v>4714918.0202300008</v>
      </c>
      <c r="AB54" s="130">
        <f t="shared" ref="AB54:AB117" si="48">IFERROR(IF(SUM(R54,Z54)=0,"-",SUM(R54,Z54)),"-")</f>
        <v>1618855.8550000002</v>
      </c>
      <c r="AC54" s="221">
        <f>0.45*3379090</f>
        <v>1520590.5</v>
      </c>
      <c r="AD54" s="221">
        <f>0.55*3379090</f>
        <v>1858499.5000000002</v>
      </c>
      <c r="AE54" s="225" t="s">
        <v>78</v>
      </c>
      <c r="AF54" s="225" t="s">
        <v>78</v>
      </c>
      <c r="AG54" s="225" t="s">
        <v>78</v>
      </c>
      <c r="AH54" s="125">
        <f t="shared" si="39"/>
        <v>3379090</v>
      </c>
      <c r="AI54" s="127">
        <f t="shared" ref="AI54:AI116" si="49">IFERROR($AM54/$R54,"-")</f>
        <v>2.86</v>
      </c>
      <c r="AJ54" s="128"/>
      <c r="AK54" s="223" t="s">
        <v>78</v>
      </c>
      <c r="AL54" s="131">
        <f t="shared" si="40"/>
        <v>0</v>
      </c>
      <c r="AM54" s="368">
        <f t="shared" si="41"/>
        <v>4629927.7453000005</v>
      </c>
      <c r="AN54" s="375">
        <f>IFERROR(IF(SUM(AA54,AM54)=0,"-",SUM(AA54,AM54)),"-")</f>
        <v>9344845.7655300014</v>
      </c>
      <c r="AO54" s="376">
        <f t="shared" ref="AO54:AO117" si="50">IFERROR(IF(SUM($AB54,$AL54)=0,"-",SUM($AB54,$AL54)),"-")</f>
        <v>1618855.8550000002</v>
      </c>
      <c r="AP54" s="394">
        <v>531675</v>
      </c>
      <c r="AQ54" s="395" t="s">
        <v>271</v>
      </c>
      <c r="AR54" s="396">
        <f t="shared" si="42"/>
        <v>728485.13475000008</v>
      </c>
      <c r="AS54" s="397"/>
      <c r="AT54" s="401">
        <v>300233</v>
      </c>
      <c r="AU54" s="396">
        <f t="shared" si="43"/>
        <v>411370.24961000006</v>
      </c>
      <c r="AV54" s="397"/>
      <c r="AW54" s="124">
        <f t="shared" ref="AW54:AW117" si="51">IFERROR(IF(SUM(AN54,AR54,AU54)=0,"-",SUM(AN54,AR54,AU54)),"-")</f>
        <v>10484701.14989</v>
      </c>
      <c r="AX54" s="126">
        <f t="shared" ref="AX54:AX117" si="52">IFERROR(IF(SUM(AO54,AR54,AU54)=0,"-",SUM(AO54,AR54,AU54)),"-")</f>
        <v>2758711.23936</v>
      </c>
      <c r="AY54" s="353" t="s">
        <v>78</v>
      </c>
      <c r="AZ54" s="403" t="s">
        <v>548</v>
      </c>
      <c r="BA54" s="417" t="s">
        <v>353</v>
      </c>
    </row>
    <row r="55" spans="1:54" ht="15" customHeight="1">
      <c r="A55" s="1" t="str">
        <f t="shared" si="11"/>
        <v>TSX:K_2023_</v>
      </c>
      <c r="B55" s="1" t="str">
        <f t="shared" si="0"/>
        <v>TSX:K_2023_CEO</v>
      </c>
      <c r="C55" s="1" t="str">
        <f t="shared" si="12"/>
        <v>TSX:K_2023_</v>
      </c>
      <c r="D55" s="114" t="str">
        <f t="shared" ref="D55:D67" si="53">D54</f>
        <v>TSX:K</v>
      </c>
      <c r="E55" s="133" t="str">
        <f>_xll.ciqfunctions.udf.CIQ(D55,"IQ_Company_Name")</f>
        <v>Kinross Gold Corporation</v>
      </c>
      <c r="F55" s="328">
        <f>$G$11</f>
        <v>2023</v>
      </c>
      <c r="G55" s="114" t="str">
        <f t="shared" si="30"/>
        <v>2023-01-01</v>
      </c>
      <c r="H55" s="330" t="str">
        <f t="shared" si="31"/>
        <v>2023-12-31</v>
      </c>
      <c r="I55" s="114">
        <f t="shared" si="44"/>
        <v>12</v>
      </c>
      <c r="J55" s="407" t="s">
        <v>285</v>
      </c>
      <c r="K55" s="439">
        <f t="shared" si="14"/>
        <v>1.34954</v>
      </c>
      <c r="L55" s="445"/>
      <c r="M55" s="445"/>
      <c r="N55" s="122" t="str">
        <f t="shared" si="45"/>
        <v>CEO</v>
      </c>
      <c r="O55" s="123" t="str">
        <f t="shared" si="45"/>
        <v>CEO</v>
      </c>
      <c r="P55" s="132" t="str">
        <f t="shared" si="45"/>
        <v>J. Paul Rollinson</v>
      </c>
      <c r="Q55" s="219">
        <v>1187077</v>
      </c>
      <c r="R55" s="125">
        <f t="shared" si="16"/>
        <v>1602007.8945799998</v>
      </c>
      <c r="S55" s="311" t="s">
        <v>78</v>
      </c>
      <c r="T55" s="126" t="str">
        <f t="shared" si="3"/>
        <v>-</v>
      </c>
      <c r="U55" s="221">
        <v>2069966</v>
      </c>
      <c r="V55" s="125">
        <f t="shared" si="46"/>
        <v>2793501.9156399998</v>
      </c>
      <c r="W55" s="127">
        <f t="shared" si="37"/>
        <v>1.7437504054075683</v>
      </c>
      <c r="X55" s="128"/>
      <c r="Y55" s="223" t="s">
        <v>78</v>
      </c>
      <c r="Z55" s="129">
        <f t="shared" si="38"/>
        <v>0</v>
      </c>
      <c r="AA55" s="124">
        <f t="shared" si="47"/>
        <v>4395509.8102199994</v>
      </c>
      <c r="AB55" s="130">
        <f t="shared" si="48"/>
        <v>1602007.8945799998</v>
      </c>
      <c r="AC55" s="221">
        <f>0.45*3442524</f>
        <v>1549135.8</v>
      </c>
      <c r="AD55" s="221">
        <f>0.55*3442524</f>
        <v>1893388.2000000002</v>
      </c>
      <c r="AE55" s="225" t="s">
        <v>78</v>
      </c>
      <c r="AF55" s="225" t="s">
        <v>78</v>
      </c>
      <c r="AG55" s="225" t="s">
        <v>78</v>
      </c>
      <c r="AH55" s="125">
        <f t="shared" si="39"/>
        <v>3442524</v>
      </c>
      <c r="AI55" s="127">
        <f t="shared" si="49"/>
        <v>2.9000005896837364</v>
      </c>
      <c r="AJ55" s="128"/>
      <c r="AK55" s="223" t="s">
        <v>78</v>
      </c>
      <c r="AL55" s="131">
        <f t="shared" si="40"/>
        <v>0</v>
      </c>
      <c r="AM55" s="368">
        <f t="shared" si="41"/>
        <v>4645823.8389600003</v>
      </c>
      <c r="AN55" s="375">
        <f t="shared" ref="AN55:AN117" si="54">IFERROR(IF(SUM(AA55,AM55)=0,"-",SUM(AA55,AM55)),"-")</f>
        <v>9041333.6491799988</v>
      </c>
      <c r="AO55" s="376">
        <f t="shared" si="50"/>
        <v>1602007.8945799998</v>
      </c>
      <c r="AP55" s="394">
        <v>534185</v>
      </c>
      <c r="AQ55" s="395" t="s">
        <v>271</v>
      </c>
      <c r="AR55" s="396">
        <f t="shared" si="42"/>
        <v>720904.02489999996</v>
      </c>
      <c r="AS55" s="397"/>
      <c r="AT55" s="401">
        <v>312030</v>
      </c>
      <c r="AU55" s="396">
        <f t="shared" si="43"/>
        <v>421096.96619999997</v>
      </c>
      <c r="AV55" s="397"/>
      <c r="AW55" s="124">
        <f t="shared" si="51"/>
        <v>10183334.640279999</v>
      </c>
      <c r="AX55" s="126">
        <f t="shared" ref="AX55:AX65" si="55">IFERROR(IF(SUM(AO55,AR55,AU55)=0,"-",SUM(AO55,AR55,AU55)),"-")</f>
        <v>2744008.8856799998</v>
      </c>
      <c r="AY55" s="353" t="s">
        <v>78</v>
      </c>
      <c r="AZ55" s="403" t="s">
        <v>548</v>
      </c>
      <c r="BA55" s="417" t="s">
        <v>353</v>
      </c>
    </row>
    <row r="56" spans="1:54" ht="15" customHeight="1">
      <c r="A56" s="1" t="str">
        <f t="shared" si="11"/>
        <v>TSX:K_2025_</v>
      </c>
      <c r="B56" s="1" t="str">
        <f t="shared" si="0"/>
        <v>TSX:K_2025_CFO</v>
      </c>
      <c r="C56" s="1" t="str">
        <f t="shared" si="12"/>
        <v>TSX:K_2025_</v>
      </c>
      <c r="D56" s="114" t="str">
        <f t="shared" si="53"/>
        <v>TSX:K</v>
      </c>
      <c r="E56" s="133" t="str">
        <f>_xll.ciqfunctions.udf.CIQ(D56,"IQ_Company_Name")</f>
        <v>Kinross Gold Corporation</v>
      </c>
      <c r="F56" s="114">
        <f>F53</f>
        <v>2025</v>
      </c>
      <c r="G56" s="114" t="str">
        <f t="shared" si="30"/>
        <v>2025-01-01</v>
      </c>
      <c r="H56" s="330" t="str">
        <f t="shared" si="31"/>
        <v>2025-12-31</v>
      </c>
      <c r="I56" s="114">
        <f t="shared" si="44"/>
        <v>12</v>
      </c>
      <c r="J56" s="407" t="s">
        <v>285</v>
      </c>
      <c r="K56" s="439">
        <f t="shared" si="14"/>
        <v>1.3974500000000001</v>
      </c>
      <c r="L56" s="445"/>
      <c r="M56" s="445"/>
      <c r="N56" s="351" t="s">
        <v>106</v>
      </c>
      <c r="O56" s="217" t="s">
        <v>106</v>
      </c>
      <c r="P56" s="218" t="s">
        <v>314</v>
      </c>
      <c r="Q56" s="219">
        <v>488832</v>
      </c>
      <c r="R56" s="125">
        <f t="shared" si="16"/>
        <v>683118.27840000007</v>
      </c>
      <c r="S56" s="311" t="s">
        <v>78</v>
      </c>
      <c r="T56" s="126" t="str">
        <f t="shared" si="3"/>
        <v>-</v>
      </c>
      <c r="U56" s="221">
        <v>549936</v>
      </c>
      <c r="V56" s="125">
        <f t="shared" si="46"/>
        <v>768508.06320000009</v>
      </c>
      <c r="W56" s="127">
        <f t="shared" si="37"/>
        <v>1.125</v>
      </c>
      <c r="X56" s="128">
        <f>IFERROR(AVERAGE(W56:W58),"N/A")</f>
        <v>1.0852237958236215</v>
      </c>
      <c r="Y56" s="223">
        <v>0.9</v>
      </c>
      <c r="Z56" s="129">
        <f t="shared" si="38"/>
        <v>614806.45056000003</v>
      </c>
      <c r="AA56" s="124">
        <f t="shared" si="47"/>
        <v>1451626.3416000002</v>
      </c>
      <c r="AB56" s="130">
        <f t="shared" si="48"/>
        <v>1297924.72896</v>
      </c>
      <c r="AC56" s="221">
        <f>0.45*1143867</f>
        <v>514740.15</v>
      </c>
      <c r="AD56" s="221">
        <f>0.55*1143867</f>
        <v>629126.85000000009</v>
      </c>
      <c r="AE56" s="225" t="s">
        <v>78</v>
      </c>
      <c r="AF56" s="225" t="s">
        <v>78</v>
      </c>
      <c r="AG56" s="225" t="s">
        <v>78</v>
      </c>
      <c r="AH56" s="125">
        <f t="shared" si="39"/>
        <v>1143867</v>
      </c>
      <c r="AI56" s="127">
        <f t="shared" si="49"/>
        <v>2.3400002454831106</v>
      </c>
      <c r="AJ56" s="128">
        <f>IFERROR(AVERAGE(AI56:AI58),"N/A")</f>
        <v>2.1443587574231944</v>
      </c>
      <c r="AK56" s="223" t="s">
        <v>78</v>
      </c>
      <c r="AL56" s="131">
        <f t="shared" si="40"/>
        <v>1464850.6626428959</v>
      </c>
      <c r="AM56" s="368">
        <f t="shared" si="41"/>
        <v>1598496.93915</v>
      </c>
      <c r="AN56" s="375">
        <f t="shared" si="54"/>
        <v>3050123.2807499999</v>
      </c>
      <c r="AO56" s="376">
        <f t="shared" si="50"/>
        <v>2762775.3916028962</v>
      </c>
      <c r="AP56" s="394">
        <v>167181</v>
      </c>
      <c r="AQ56" s="395" t="s">
        <v>271</v>
      </c>
      <c r="AR56" s="396">
        <f t="shared" si="42"/>
        <v>233627.08845000001</v>
      </c>
      <c r="AS56" s="397">
        <f>IFERROR(AVERAGE(AR56:AR58),"N/A")</f>
        <v>203165.44799000002</v>
      </c>
      <c r="AT56" s="401">
        <v>64868</v>
      </c>
      <c r="AU56" s="396">
        <f t="shared" si="43"/>
        <v>90649.786600000007</v>
      </c>
      <c r="AV56" s="397">
        <f>IFERROR(AVERAGE(AU56:AU58),"N/A")</f>
        <v>94974.174503333343</v>
      </c>
      <c r="AW56" s="124">
        <f t="shared" si="51"/>
        <v>3374400.1558000003</v>
      </c>
      <c r="AX56" s="126">
        <f t="shared" si="55"/>
        <v>3087052.2666528965</v>
      </c>
      <c r="AY56" s="353" t="s">
        <v>321</v>
      </c>
      <c r="AZ56" s="403" t="s">
        <v>548</v>
      </c>
      <c r="BA56" s="417" t="s">
        <v>353</v>
      </c>
    </row>
    <row r="57" spans="1:54" ht="15" customHeight="1">
      <c r="A57" s="1" t="str">
        <f t="shared" si="11"/>
        <v>TSX:K_2024_</v>
      </c>
      <c r="B57" s="1" t="str">
        <f t="shared" si="0"/>
        <v>TSX:K_2024_CFO</v>
      </c>
      <c r="C57" s="1" t="str">
        <f t="shared" si="12"/>
        <v>TSX:K_2024_</v>
      </c>
      <c r="D57" s="114" t="str">
        <f t="shared" si="53"/>
        <v>TSX:K</v>
      </c>
      <c r="E57" s="133" t="str">
        <f>_xll.ciqfunctions.udf.CIQ(D57,"IQ_Company_Name")</f>
        <v>Kinross Gold Corporation</v>
      </c>
      <c r="F57" s="114">
        <f>F54</f>
        <v>2024</v>
      </c>
      <c r="G57" s="114" t="str">
        <f t="shared" si="30"/>
        <v>2024-01-01</v>
      </c>
      <c r="H57" s="330" t="str">
        <f t="shared" si="31"/>
        <v>2024-12-31</v>
      </c>
      <c r="I57" s="114">
        <f t="shared" si="44"/>
        <v>12</v>
      </c>
      <c r="J57" s="407" t="s">
        <v>285</v>
      </c>
      <c r="K57" s="439">
        <f t="shared" si="14"/>
        <v>1.3701700000000001</v>
      </c>
      <c r="L57" s="445"/>
      <c r="M57" s="445"/>
      <c r="N57" s="122" t="str">
        <f t="shared" ref="N57:P58" si="56">N56</f>
        <v>CFO</v>
      </c>
      <c r="O57" s="123" t="str">
        <f t="shared" si="56"/>
        <v>CFO</v>
      </c>
      <c r="P57" s="132" t="str">
        <f t="shared" si="56"/>
        <v>Andrea S. Freeborough</v>
      </c>
      <c r="Q57" s="219">
        <v>451750</v>
      </c>
      <c r="R57" s="125">
        <f t="shared" si="16"/>
        <v>618974.2975000001</v>
      </c>
      <c r="S57" s="311" t="s">
        <v>78</v>
      </c>
      <c r="T57" s="126" t="str">
        <f t="shared" si="3"/>
        <v>-</v>
      </c>
      <c r="U57" s="221">
        <v>489888</v>
      </c>
      <c r="V57" s="125">
        <f t="shared" si="46"/>
        <v>671229.84096000006</v>
      </c>
      <c r="W57" s="127">
        <f t="shared" si="37"/>
        <v>1.0844228002213614</v>
      </c>
      <c r="X57" s="128"/>
      <c r="Y57" s="223" t="s">
        <v>78</v>
      </c>
      <c r="Z57" s="129">
        <f t="shared" si="38"/>
        <v>0</v>
      </c>
      <c r="AA57" s="124">
        <f t="shared" si="47"/>
        <v>1290204.13846</v>
      </c>
      <c r="AB57" s="130">
        <f t="shared" si="48"/>
        <v>618974.2975000001</v>
      </c>
      <c r="AC57" s="221">
        <f>0.45*941030</f>
        <v>423463.5</v>
      </c>
      <c r="AD57" s="221">
        <f>0.55*941030</f>
        <v>517566.50000000006</v>
      </c>
      <c r="AE57" s="225" t="s">
        <v>78</v>
      </c>
      <c r="AF57" s="225" t="s">
        <v>78</v>
      </c>
      <c r="AG57" s="225" t="s">
        <v>78</v>
      </c>
      <c r="AH57" s="125">
        <f t="shared" si="39"/>
        <v>941030</v>
      </c>
      <c r="AI57" s="127">
        <f t="shared" si="49"/>
        <v>2.0830769230769226</v>
      </c>
      <c r="AJ57" s="128"/>
      <c r="AK57" s="223" t="s">
        <v>78</v>
      </c>
      <c r="AL57" s="131">
        <f t="shared" si="40"/>
        <v>0</v>
      </c>
      <c r="AM57" s="368">
        <f t="shared" si="41"/>
        <v>1289371.0751</v>
      </c>
      <c r="AN57" s="375">
        <f t="shared" si="54"/>
        <v>2579575.2135600001</v>
      </c>
      <c r="AO57" s="376">
        <f t="shared" si="50"/>
        <v>618974.2975000001</v>
      </c>
      <c r="AP57" s="394">
        <v>145916</v>
      </c>
      <c r="AQ57" s="395" t="s">
        <v>271</v>
      </c>
      <c r="AR57" s="396">
        <f t="shared" si="42"/>
        <v>199929.72572000002</v>
      </c>
      <c r="AS57" s="397"/>
      <c r="AT57" s="401">
        <v>79205</v>
      </c>
      <c r="AU57" s="396">
        <f t="shared" si="43"/>
        <v>108524.31485000001</v>
      </c>
      <c r="AV57" s="397"/>
      <c r="AW57" s="124">
        <f t="shared" si="51"/>
        <v>2888029.2541300002</v>
      </c>
      <c r="AX57" s="126">
        <f t="shared" si="55"/>
        <v>927428.33807000006</v>
      </c>
      <c r="AY57" s="353" t="s">
        <v>78</v>
      </c>
      <c r="AZ57" s="403" t="s">
        <v>548</v>
      </c>
      <c r="BA57" s="417" t="s">
        <v>353</v>
      </c>
    </row>
    <row r="58" spans="1:54" ht="15" customHeight="1">
      <c r="A58" s="1" t="str">
        <f t="shared" si="11"/>
        <v>TSX:K_2023_</v>
      </c>
      <c r="B58" s="1" t="str">
        <f t="shared" si="0"/>
        <v>TSX:K_2023_CFO</v>
      </c>
      <c r="C58" s="1" t="str">
        <f t="shared" si="12"/>
        <v>TSX:K_2023_</v>
      </c>
      <c r="D58" s="114" t="str">
        <f t="shared" si="53"/>
        <v>TSX:K</v>
      </c>
      <c r="E58" s="133" t="str">
        <f>_xll.ciqfunctions.udf.CIQ(D58,"IQ_Company_Name")</f>
        <v>Kinross Gold Corporation</v>
      </c>
      <c r="F58" s="114">
        <f>F55</f>
        <v>2023</v>
      </c>
      <c r="G58" s="114" t="str">
        <f t="shared" si="30"/>
        <v>2023-01-01</v>
      </c>
      <c r="H58" s="330" t="str">
        <f t="shared" si="31"/>
        <v>2023-12-31</v>
      </c>
      <c r="I58" s="114">
        <f t="shared" si="44"/>
        <v>12</v>
      </c>
      <c r="J58" s="407" t="s">
        <v>285</v>
      </c>
      <c r="K58" s="439">
        <f t="shared" si="14"/>
        <v>1.34954</v>
      </c>
      <c r="L58" s="445"/>
      <c r="M58" s="445"/>
      <c r="N58" s="122" t="str">
        <f t="shared" si="56"/>
        <v>CFO</v>
      </c>
      <c r="O58" s="123" t="str">
        <f t="shared" si="56"/>
        <v>CFO</v>
      </c>
      <c r="P58" s="132" t="str">
        <f t="shared" si="56"/>
        <v>Andrea S. Freeborough</v>
      </c>
      <c r="Q58" s="219">
        <v>457441</v>
      </c>
      <c r="R58" s="125">
        <f t="shared" si="16"/>
        <v>617334.92713999993</v>
      </c>
      <c r="S58" s="311" t="s">
        <v>78</v>
      </c>
      <c r="T58" s="126" t="str">
        <f t="shared" si="3"/>
        <v>-</v>
      </c>
      <c r="U58" s="221">
        <v>478597</v>
      </c>
      <c r="V58" s="125">
        <f t="shared" si="46"/>
        <v>645885.79538000003</v>
      </c>
      <c r="W58" s="127">
        <f t="shared" si="37"/>
        <v>1.0462485872495033</v>
      </c>
      <c r="X58" s="128"/>
      <c r="Y58" s="223" t="s">
        <v>78</v>
      </c>
      <c r="Z58" s="129">
        <f t="shared" si="38"/>
        <v>0</v>
      </c>
      <c r="AA58" s="124">
        <f t="shared" si="47"/>
        <v>1263220.7225199998</v>
      </c>
      <c r="AB58" s="130">
        <f t="shared" si="48"/>
        <v>617334.92713999993</v>
      </c>
      <c r="AC58" s="221">
        <f>0.45*919456</f>
        <v>413755.2</v>
      </c>
      <c r="AD58" s="221">
        <f>0.55*919456</f>
        <v>505700.80000000005</v>
      </c>
      <c r="AE58" s="225" t="s">
        <v>78</v>
      </c>
      <c r="AF58" s="225" t="s">
        <v>78</v>
      </c>
      <c r="AG58" s="225" t="s">
        <v>78</v>
      </c>
      <c r="AH58" s="125">
        <f t="shared" si="39"/>
        <v>919456</v>
      </c>
      <c r="AI58" s="127">
        <f t="shared" si="49"/>
        <v>2.0099991037095495</v>
      </c>
      <c r="AJ58" s="128"/>
      <c r="AK58" s="223" t="s">
        <v>78</v>
      </c>
      <c r="AL58" s="131">
        <f t="shared" si="40"/>
        <v>0</v>
      </c>
      <c r="AM58" s="368">
        <f t="shared" si="41"/>
        <v>1240842.6502399999</v>
      </c>
      <c r="AN58" s="375">
        <f t="shared" si="54"/>
        <v>2504063.3727599997</v>
      </c>
      <c r="AO58" s="376">
        <f t="shared" si="50"/>
        <v>617334.92713999993</v>
      </c>
      <c r="AP58" s="394">
        <v>130370</v>
      </c>
      <c r="AQ58" s="395" t="s">
        <v>271</v>
      </c>
      <c r="AR58" s="396">
        <f t="shared" si="42"/>
        <v>175939.52979999999</v>
      </c>
      <c r="AS58" s="397"/>
      <c r="AT58" s="401">
        <v>63539</v>
      </c>
      <c r="AU58" s="396">
        <f t="shared" si="43"/>
        <v>85748.422059999997</v>
      </c>
      <c r="AV58" s="397"/>
      <c r="AW58" s="124">
        <f t="shared" si="51"/>
        <v>2765751.3246199996</v>
      </c>
      <c r="AX58" s="126">
        <f t="shared" si="55"/>
        <v>879022.87899999996</v>
      </c>
      <c r="AY58" s="353" t="s">
        <v>78</v>
      </c>
      <c r="AZ58" s="403" t="s">
        <v>548</v>
      </c>
      <c r="BA58" s="417" t="s">
        <v>353</v>
      </c>
    </row>
    <row r="59" spans="1:54" ht="15" customHeight="1">
      <c r="A59" s="1" t="str">
        <f t="shared" si="11"/>
        <v>TSX:K_2025_</v>
      </c>
      <c r="B59" s="1" t="str">
        <f t="shared" si="0"/>
        <v>TSX:K_2025_NEO1</v>
      </c>
      <c r="C59" s="1" t="str">
        <f t="shared" si="12"/>
        <v>TSX:K_2025_2nd Highest</v>
      </c>
      <c r="D59" s="114" t="str">
        <f t="shared" si="53"/>
        <v>TSX:K</v>
      </c>
      <c r="E59" s="133" t="str">
        <f>_xll.ciqfunctions.udf.CIQ(D59,"IQ_Company_Name")</f>
        <v>Kinross Gold Corporation</v>
      </c>
      <c r="F59" s="114">
        <f t="shared" ref="F59:F122" si="57">F56</f>
        <v>2025</v>
      </c>
      <c r="G59" s="330" t="str">
        <f t="shared" si="30"/>
        <v>2025-01-01</v>
      </c>
      <c r="H59" s="330" t="str">
        <f t="shared" si="31"/>
        <v>2025-12-31</v>
      </c>
      <c r="I59" s="114">
        <f t="shared" si="44"/>
        <v>12</v>
      </c>
      <c r="J59" s="407" t="s">
        <v>285</v>
      </c>
      <c r="K59" s="439">
        <f t="shared" si="14"/>
        <v>1.3974500000000001</v>
      </c>
      <c r="L59" s="445"/>
      <c r="M59" s="445" t="s">
        <v>669</v>
      </c>
      <c r="N59" s="351" t="s">
        <v>107</v>
      </c>
      <c r="O59" s="217" t="s">
        <v>317</v>
      </c>
      <c r="P59" s="218" t="s">
        <v>315</v>
      </c>
      <c r="Q59" s="219">
        <v>656640</v>
      </c>
      <c r="R59" s="125">
        <f t="shared" si="16"/>
        <v>917621.56800000009</v>
      </c>
      <c r="S59" s="311" t="s">
        <v>78</v>
      </c>
      <c r="T59" s="126" t="str">
        <f t="shared" si="3"/>
        <v>-</v>
      </c>
      <c r="U59" s="221">
        <v>1149120</v>
      </c>
      <c r="V59" s="125">
        <f t="shared" si="46"/>
        <v>1605837.7440000002</v>
      </c>
      <c r="W59" s="127">
        <f t="shared" si="37"/>
        <v>1.75</v>
      </c>
      <c r="X59" s="128">
        <f>IFERROR(AVERAGE(W59:W61),"N/A")</f>
        <v>1.6563884892086331</v>
      </c>
      <c r="Y59" s="223">
        <v>1.4</v>
      </c>
      <c r="Z59" s="129">
        <f t="shared" si="38"/>
        <v>1284670.1952</v>
      </c>
      <c r="AA59" s="124">
        <f t="shared" si="47"/>
        <v>2523459.3120000004</v>
      </c>
      <c r="AB59" s="130">
        <f t="shared" si="48"/>
        <v>2202291.7631999999</v>
      </c>
      <c r="AC59" s="221">
        <f>0.45*1904256</f>
        <v>856915.20000000007</v>
      </c>
      <c r="AD59" s="221">
        <f>0.55*1904256</f>
        <v>1047340.8</v>
      </c>
      <c r="AE59" s="225" t="s">
        <v>78</v>
      </c>
      <c r="AF59" s="225" t="s">
        <v>78</v>
      </c>
      <c r="AG59" s="225" t="s">
        <v>78</v>
      </c>
      <c r="AH59" s="125">
        <f t="shared" si="39"/>
        <v>1904256</v>
      </c>
      <c r="AI59" s="127">
        <f t="shared" si="49"/>
        <v>2.9000000000000004</v>
      </c>
      <c r="AJ59" s="128">
        <f>IFERROR(AVERAGE(AI59:AI61),"N/A")</f>
        <v>2.7311111111111113</v>
      </c>
      <c r="AK59" s="223" t="s">
        <v>78</v>
      </c>
      <c r="AL59" s="131">
        <f t="shared" si="40"/>
        <v>2506126.4601600002</v>
      </c>
      <c r="AM59" s="368">
        <f t="shared" si="41"/>
        <v>2661102.5472000004</v>
      </c>
      <c r="AN59" s="375">
        <f t="shared" si="54"/>
        <v>5184561.8592000008</v>
      </c>
      <c r="AO59" s="376">
        <f t="shared" si="50"/>
        <v>4708418.2233600002</v>
      </c>
      <c r="AP59" s="394">
        <v>295488</v>
      </c>
      <c r="AQ59" s="395" t="s">
        <v>271</v>
      </c>
      <c r="AR59" s="396">
        <f t="shared" si="42"/>
        <v>412929.70560000004</v>
      </c>
      <c r="AS59" s="397">
        <f>IFERROR(AVERAGE(AR59:AR61),"N/A")</f>
        <v>399299.15317500004</v>
      </c>
      <c r="AT59" s="401">
        <v>95581</v>
      </c>
      <c r="AU59" s="396">
        <f t="shared" si="43"/>
        <v>133569.66845</v>
      </c>
      <c r="AV59" s="397">
        <f>IFERROR(AVERAGE(AU59:AU61),"N/A")</f>
        <v>138792.74840500002</v>
      </c>
      <c r="AW59" s="124">
        <f t="shared" si="51"/>
        <v>5731061.2332500005</v>
      </c>
      <c r="AX59" s="126">
        <f t="shared" si="55"/>
        <v>5254917.5974099999</v>
      </c>
      <c r="AY59" s="353" t="s">
        <v>320</v>
      </c>
      <c r="AZ59" s="403" t="s">
        <v>548</v>
      </c>
      <c r="BA59" s="417" t="s">
        <v>353</v>
      </c>
      <c r="BB59" s="1" t="s">
        <v>654</v>
      </c>
    </row>
    <row r="60" spans="1:54" ht="15" customHeight="1">
      <c r="A60" s="1" t="str">
        <f t="shared" si="11"/>
        <v>TSX:K_2024_</v>
      </c>
      <c r="B60" s="1" t="str">
        <f t="shared" si="0"/>
        <v>TSX:K_2024_NEO1</v>
      </c>
      <c r="C60" s="1" t="str">
        <f t="shared" si="12"/>
        <v>TSX:K_2024_</v>
      </c>
      <c r="D60" s="114" t="str">
        <f t="shared" si="53"/>
        <v>TSX:K</v>
      </c>
      <c r="E60" s="133" t="str">
        <f>_xll.ciqfunctions.udf.CIQ(D60,"IQ_Company_Name")</f>
        <v>Kinross Gold Corporation</v>
      </c>
      <c r="F60" s="114">
        <f t="shared" si="57"/>
        <v>2024</v>
      </c>
      <c r="G60" s="330" t="str">
        <f>F60&amp;"-01-01"</f>
        <v>2024-01-01</v>
      </c>
      <c r="H60" s="330" t="str">
        <f>F60&amp;"-12-31"</f>
        <v>2024-12-31</v>
      </c>
      <c r="I60" s="114">
        <f t="shared" si="44"/>
        <v>12</v>
      </c>
      <c r="J60" s="407" t="s">
        <v>285</v>
      </c>
      <c r="K60" s="439">
        <f t="shared" si="14"/>
        <v>1.3701700000000001</v>
      </c>
      <c r="L60" s="445"/>
      <c r="M60" s="445"/>
      <c r="N60" s="122" t="str">
        <f t="shared" ref="N60:P61" si="58">N59</f>
        <v>NEO1</v>
      </c>
      <c r="O60" s="123" t="str">
        <f t="shared" si="58"/>
        <v>President</v>
      </c>
      <c r="P60" s="132" t="str">
        <f t="shared" si="58"/>
        <v>Geoffrey P. Gold</v>
      </c>
      <c r="Q60" s="219">
        <v>625500</v>
      </c>
      <c r="R60" s="125">
        <f t="shared" si="16"/>
        <v>857041.33500000008</v>
      </c>
      <c r="S60" s="311" t="s">
        <v>78</v>
      </c>
      <c r="T60" s="126" t="str">
        <f t="shared" si="3"/>
        <v>-</v>
      </c>
      <c r="U60" s="221">
        <v>977517</v>
      </c>
      <c r="V60" s="125">
        <f t="shared" si="46"/>
        <v>1339364.4678900002</v>
      </c>
      <c r="W60" s="127">
        <f t="shared" si="37"/>
        <v>1.5627769784172663</v>
      </c>
      <c r="X60" s="128"/>
      <c r="Y60" s="223" t="s">
        <v>78</v>
      </c>
      <c r="Z60" s="129">
        <f t="shared" si="38"/>
        <v>0</v>
      </c>
      <c r="AA60" s="124">
        <f t="shared" si="47"/>
        <v>2196405.8028900004</v>
      </c>
      <c r="AB60" s="130">
        <f t="shared" si="48"/>
        <v>857041.33500000008</v>
      </c>
      <c r="AC60" s="221">
        <f>0.45*1602670</f>
        <v>721201.5</v>
      </c>
      <c r="AD60" s="221">
        <f>0.55*1602670</f>
        <v>881468.50000000012</v>
      </c>
      <c r="AE60" s="225" t="s">
        <v>78</v>
      </c>
      <c r="AF60" s="225" t="s">
        <v>78</v>
      </c>
      <c r="AG60" s="225" t="s">
        <v>78</v>
      </c>
      <c r="AH60" s="125">
        <f t="shared" si="39"/>
        <v>1602670</v>
      </c>
      <c r="AI60" s="127">
        <f t="shared" si="49"/>
        <v>2.5622222222222222</v>
      </c>
      <c r="AJ60" s="128"/>
      <c r="AK60" s="223" t="s">
        <v>78</v>
      </c>
      <c r="AL60" s="131">
        <f t="shared" si="40"/>
        <v>0</v>
      </c>
      <c r="AM60" s="368">
        <f t="shared" si="41"/>
        <v>2195930.3539</v>
      </c>
      <c r="AN60" s="375">
        <f t="shared" si="54"/>
        <v>4392336.1567900004</v>
      </c>
      <c r="AO60" s="376">
        <f t="shared" si="50"/>
        <v>857041.33500000008</v>
      </c>
      <c r="AP60" s="394">
        <v>281475</v>
      </c>
      <c r="AQ60" s="395" t="s">
        <v>271</v>
      </c>
      <c r="AR60" s="396">
        <f t="shared" si="42"/>
        <v>385668.60075000004</v>
      </c>
      <c r="AS60" s="397"/>
      <c r="AT60" s="401">
        <v>105108</v>
      </c>
      <c r="AU60" s="396">
        <f t="shared" si="43"/>
        <v>144015.82836000001</v>
      </c>
      <c r="AV60" s="397"/>
      <c r="AW60" s="124">
        <f t="shared" si="51"/>
        <v>4922020.5859000003</v>
      </c>
      <c r="AX60" s="126">
        <f t="shared" si="55"/>
        <v>1386725.7641100001</v>
      </c>
      <c r="AY60" s="353" t="s">
        <v>610</v>
      </c>
      <c r="AZ60" s="403" t="s">
        <v>548</v>
      </c>
      <c r="BA60" s="417" t="s">
        <v>353</v>
      </c>
    </row>
    <row r="61" spans="1:54" ht="15" customHeight="1">
      <c r="A61" s="1" t="str">
        <f t="shared" si="11"/>
        <v>TSX:K_2023_</v>
      </c>
      <c r="B61" s="1" t="str">
        <f t="shared" si="0"/>
        <v>TSX:K_2023_NEO1</v>
      </c>
      <c r="C61" s="1" t="str">
        <f t="shared" si="12"/>
        <v>TSX:K_2023_</v>
      </c>
      <c r="D61" s="114" t="str">
        <f t="shared" si="53"/>
        <v>TSX:K</v>
      </c>
      <c r="E61" s="133" t="str">
        <f>_xll.ciqfunctions.udf.CIQ(D61,"IQ_Company_Name")</f>
        <v>Kinross Gold Corporation</v>
      </c>
      <c r="F61" s="114">
        <f t="shared" si="57"/>
        <v>2023</v>
      </c>
      <c r="G61" s="114" t="str">
        <f t="shared" si="30"/>
        <v>2023-01-01</v>
      </c>
      <c r="H61" s="330" t="str">
        <f t="shared" ref="H61:H122" si="59">F61&amp;"-12-31"</f>
        <v>2023-12-31</v>
      </c>
      <c r="I61" s="114">
        <f t="shared" si="44"/>
        <v>12</v>
      </c>
      <c r="J61" s="407" t="s">
        <v>285</v>
      </c>
      <c r="K61" s="439">
        <f t="shared" si="14"/>
        <v>1.34954</v>
      </c>
      <c r="L61" s="445"/>
      <c r="M61" s="445"/>
      <c r="N61" s="122" t="str">
        <f t="shared" si="58"/>
        <v>NEO1</v>
      </c>
      <c r="O61" s="123" t="str">
        <f t="shared" si="58"/>
        <v>President</v>
      </c>
      <c r="P61" s="132" t="str">
        <f t="shared" si="58"/>
        <v>Geoffrey P. Gold</v>
      </c>
      <c r="Q61" s="219" t="s">
        <v>78</v>
      </c>
      <c r="R61" s="125" t="str">
        <f t="shared" si="16"/>
        <v>-</v>
      </c>
      <c r="S61" s="311" t="s">
        <v>78</v>
      </c>
      <c r="T61" s="126" t="str">
        <f t="shared" si="3"/>
        <v>-</v>
      </c>
      <c r="U61" s="221" t="s">
        <v>78</v>
      </c>
      <c r="V61" s="125" t="str">
        <f t="shared" si="46"/>
        <v>-</v>
      </c>
      <c r="W61" s="127" t="str">
        <f t="shared" si="37"/>
        <v>-</v>
      </c>
      <c r="X61" s="128"/>
      <c r="Y61" s="223" t="s">
        <v>78</v>
      </c>
      <c r="Z61" s="129" t="str">
        <f t="shared" si="38"/>
        <v>-</v>
      </c>
      <c r="AA61" s="124" t="str">
        <f t="shared" si="47"/>
        <v>-</v>
      </c>
      <c r="AB61" s="130" t="str">
        <f t="shared" si="48"/>
        <v>-</v>
      </c>
      <c r="AC61" s="221" t="s">
        <v>78</v>
      </c>
      <c r="AD61" s="221" t="s">
        <v>78</v>
      </c>
      <c r="AE61" s="225" t="s">
        <v>78</v>
      </c>
      <c r="AF61" s="225" t="s">
        <v>78</v>
      </c>
      <c r="AG61" s="225" t="s">
        <v>78</v>
      </c>
      <c r="AH61" s="125" t="str">
        <f t="shared" si="39"/>
        <v>-</v>
      </c>
      <c r="AI61" s="127" t="str">
        <f t="shared" si="49"/>
        <v>-</v>
      </c>
      <c r="AJ61" s="128"/>
      <c r="AK61" s="223" t="s">
        <v>78</v>
      </c>
      <c r="AL61" s="131" t="str">
        <f t="shared" si="40"/>
        <v>-</v>
      </c>
      <c r="AM61" s="368" t="str">
        <f t="shared" si="41"/>
        <v>-</v>
      </c>
      <c r="AN61" s="375" t="str">
        <f t="shared" si="54"/>
        <v>-</v>
      </c>
      <c r="AO61" s="376" t="str">
        <f t="shared" si="50"/>
        <v>-</v>
      </c>
      <c r="AP61" s="394" t="s">
        <v>78</v>
      </c>
      <c r="AQ61" s="395" t="s">
        <v>271</v>
      </c>
      <c r="AR61" s="396" t="str">
        <f t="shared" si="42"/>
        <v>-</v>
      </c>
      <c r="AS61" s="397"/>
      <c r="AT61" s="401" t="s">
        <v>78</v>
      </c>
      <c r="AU61" s="396" t="str">
        <f t="shared" si="43"/>
        <v>-</v>
      </c>
      <c r="AV61" s="397"/>
      <c r="AW61" s="124" t="str">
        <f t="shared" si="51"/>
        <v>-</v>
      </c>
      <c r="AX61" s="126" t="str">
        <f t="shared" si="55"/>
        <v>-</v>
      </c>
      <c r="AY61" s="353" t="s">
        <v>78</v>
      </c>
      <c r="AZ61" s="403" t="s">
        <v>548</v>
      </c>
      <c r="BA61" s="417" t="s">
        <v>353</v>
      </c>
    </row>
    <row r="62" spans="1:54" ht="15" customHeight="1">
      <c r="A62" s="1" t="str">
        <f t="shared" si="11"/>
        <v>TSX:K_2025_COO</v>
      </c>
      <c r="B62" s="1" t="str">
        <f t="shared" si="0"/>
        <v>TSX:K_2025_NEO2</v>
      </c>
      <c r="C62" s="1" t="str">
        <f t="shared" si="12"/>
        <v>TSX:K_2025_</v>
      </c>
      <c r="D62" s="114" t="str">
        <f t="shared" si="53"/>
        <v>TSX:K</v>
      </c>
      <c r="E62" s="133" t="str">
        <f>_xll.ciqfunctions.udf.CIQ(D62,"IQ_Company_Name")</f>
        <v>Kinross Gold Corporation</v>
      </c>
      <c r="F62" s="114">
        <f t="shared" si="57"/>
        <v>2025</v>
      </c>
      <c r="G62" s="114" t="str">
        <f t="shared" si="30"/>
        <v>2025-01-01</v>
      </c>
      <c r="H62" s="330" t="str">
        <f t="shared" si="59"/>
        <v>2025-12-31</v>
      </c>
      <c r="I62" s="114">
        <f t="shared" si="44"/>
        <v>12</v>
      </c>
      <c r="J62" s="407" t="s">
        <v>285</v>
      </c>
      <c r="K62" s="439">
        <f t="shared" si="14"/>
        <v>1.3974500000000001</v>
      </c>
      <c r="L62" s="445" t="s">
        <v>272</v>
      </c>
      <c r="M62" s="445"/>
      <c r="N62" s="351" t="s">
        <v>108</v>
      </c>
      <c r="O62" s="217" t="s">
        <v>318</v>
      </c>
      <c r="P62" s="218" t="s">
        <v>316</v>
      </c>
      <c r="Q62" s="219">
        <v>488832</v>
      </c>
      <c r="R62" s="125">
        <f t="shared" si="16"/>
        <v>683118.27840000007</v>
      </c>
      <c r="S62" s="311" t="s">
        <v>78</v>
      </c>
      <c r="T62" s="126" t="str">
        <f t="shared" si="3"/>
        <v>-</v>
      </c>
      <c r="U62" s="221">
        <v>544437</v>
      </c>
      <c r="V62" s="125">
        <f t="shared" si="46"/>
        <v>760823.48565000005</v>
      </c>
      <c r="W62" s="127">
        <f t="shared" si="37"/>
        <v>1.1137507364493322</v>
      </c>
      <c r="X62" s="128">
        <f>IFERROR(AVERAGE(W62:W64),"N/A")</f>
        <v>1.1100004190189079</v>
      </c>
      <c r="Y62" s="223">
        <v>0.9</v>
      </c>
      <c r="Z62" s="129">
        <f t="shared" si="38"/>
        <v>614806.45056000003</v>
      </c>
      <c r="AA62" s="124">
        <f t="shared" si="47"/>
        <v>1443941.7640500001</v>
      </c>
      <c r="AB62" s="130">
        <f t="shared" si="48"/>
        <v>1297924.72896</v>
      </c>
      <c r="AC62" s="221">
        <f>0.45*1222080</f>
        <v>549936</v>
      </c>
      <c r="AD62" s="221">
        <f>0.55*1222080</f>
        <v>672144</v>
      </c>
      <c r="AE62" s="225" t="s">
        <v>78</v>
      </c>
      <c r="AF62" s="225" t="s">
        <v>78</v>
      </c>
      <c r="AG62" s="225" t="s">
        <v>78</v>
      </c>
      <c r="AH62" s="125">
        <f t="shared" si="39"/>
        <v>1222080</v>
      </c>
      <c r="AI62" s="127">
        <f t="shared" si="49"/>
        <v>2.4999999999999996</v>
      </c>
      <c r="AJ62" s="128">
        <f>IFERROR(AVERAGE(AI62:AI64),"N/A")</f>
        <v>2.2866666666666666</v>
      </c>
      <c r="AK62" s="223" t="s">
        <v>78</v>
      </c>
      <c r="AL62" s="131">
        <f t="shared" si="40"/>
        <v>1562063.7966080001</v>
      </c>
      <c r="AM62" s="368">
        <f t="shared" si="41"/>
        <v>1707795.696</v>
      </c>
      <c r="AN62" s="375">
        <f t="shared" si="54"/>
        <v>3151737.4600499999</v>
      </c>
      <c r="AO62" s="376">
        <f t="shared" si="50"/>
        <v>2859988.525568</v>
      </c>
      <c r="AP62" s="394">
        <v>139319</v>
      </c>
      <c r="AQ62" s="395" t="s">
        <v>271</v>
      </c>
      <c r="AR62" s="396">
        <f t="shared" si="42"/>
        <v>194691.33655000001</v>
      </c>
      <c r="AS62" s="397">
        <f>IFERROR(AVERAGE(AR62:AR64),"N/A")</f>
        <v>181862.26642333335</v>
      </c>
      <c r="AT62" s="401">
        <v>76532</v>
      </c>
      <c r="AU62" s="396">
        <f t="shared" si="43"/>
        <v>106949.6434</v>
      </c>
      <c r="AV62" s="397">
        <f>IFERROR(AVERAGE(AU62:AU64),"N/A")</f>
        <v>150583.57904333333</v>
      </c>
      <c r="AW62" s="124">
        <f t="shared" si="51"/>
        <v>3453378.44</v>
      </c>
      <c r="AX62" s="126">
        <f t="shared" si="55"/>
        <v>3161629.5055180001</v>
      </c>
      <c r="AY62" s="353" t="s">
        <v>78</v>
      </c>
      <c r="AZ62" s="403" t="s">
        <v>548</v>
      </c>
      <c r="BA62" s="417" t="s">
        <v>353</v>
      </c>
    </row>
    <row r="63" spans="1:54" ht="15" customHeight="1">
      <c r="A63" s="1" t="str">
        <f t="shared" si="11"/>
        <v>TSX:K_2024_COO</v>
      </c>
      <c r="B63" s="1" t="str">
        <f t="shared" si="0"/>
        <v>TSX:K_2024_NEO2</v>
      </c>
      <c r="C63" s="1" t="str">
        <f t="shared" si="12"/>
        <v>TSX:K_2024_</v>
      </c>
      <c r="D63" s="114" t="str">
        <f t="shared" si="53"/>
        <v>TSX:K</v>
      </c>
      <c r="E63" s="133" t="str">
        <f>_xll.ciqfunctions.udf.CIQ(D63,"IQ_Company_Name")</f>
        <v>Kinross Gold Corporation</v>
      </c>
      <c r="F63" s="114">
        <f t="shared" si="57"/>
        <v>2024</v>
      </c>
      <c r="G63" s="114" t="str">
        <f t="shared" si="30"/>
        <v>2024-01-01</v>
      </c>
      <c r="H63" s="330" t="str">
        <f t="shared" si="59"/>
        <v>2024-12-31</v>
      </c>
      <c r="I63" s="114">
        <f t="shared" si="44"/>
        <v>12</v>
      </c>
      <c r="J63" s="407" t="s">
        <v>285</v>
      </c>
      <c r="K63" s="439">
        <f t="shared" si="14"/>
        <v>1.3701700000000001</v>
      </c>
      <c r="L63" s="445" t="s">
        <v>272</v>
      </c>
      <c r="M63" s="445"/>
      <c r="N63" s="122" t="str">
        <f t="shared" ref="N63:P64" si="60">N62</f>
        <v>NEO2</v>
      </c>
      <c r="O63" s="123" t="str">
        <f t="shared" si="60"/>
        <v>EVP &amp; COO</v>
      </c>
      <c r="P63" s="132" t="str">
        <f t="shared" si="60"/>
        <v>Claude J.S. Schimper</v>
      </c>
      <c r="Q63" s="219">
        <v>451750</v>
      </c>
      <c r="R63" s="125">
        <f t="shared" si="16"/>
        <v>618974.2975000001</v>
      </c>
      <c r="S63" s="311" t="s">
        <v>78</v>
      </c>
      <c r="T63" s="126" t="str">
        <f t="shared" si="3"/>
        <v>-</v>
      </c>
      <c r="U63" s="221">
        <v>523465</v>
      </c>
      <c r="V63" s="125">
        <f t="shared" si="46"/>
        <v>717236.03905000002</v>
      </c>
      <c r="W63" s="127">
        <f t="shared" si="37"/>
        <v>1.158749308245711</v>
      </c>
      <c r="X63" s="128"/>
      <c r="Y63" s="223" t="s">
        <v>78</v>
      </c>
      <c r="Z63" s="129">
        <f t="shared" si="38"/>
        <v>0</v>
      </c>
      <c r="AA63" s="124">
        <f t="shared" si="47"/>
        <v>1336210.3365500001</v>
      </c>
      <c r="AB63" s="130">
        <f t="shared" si="48"/>
        <v>618974.2975000001</v>
      </c>
      <c r="AC63" s="221">
        <f>0.45*975780</f>
        <v>439101</v>
      </c>
      <c r="AD63" s="221">
        <f>0.55*975780</f>
        <v>536679</v>
      </c>
      <c r="AE63" s="225" t="s">
        <v>78</v>
      </c>
      <c r="AF63" s="225" t="s">
        <v>78</v>
      </c>
      <c r="AG63" s="225" t="s">
        <v>78</v>
      </c>
      <c r="AH63" s="125">
        <f t="shared" si="39"/>
        <v>975780</v>
      </c>
      <c r="AI63" s="127">
        <f t="shared" si="49"/>
        <v>2.16</v>
      </c>
      <c r="AJ63" s="128"/>
      <c r="AK63" s="223" t="s">
        <v>78</v>
      </c>
      <c r="AL63" s="131">
        <f t="shared" si="40"/>
        <v>0</v>
      </c>
      <c r="AM63" s="368">
        <f t="shared" si="41"/>
        <v>1336984.4826000002</v>
      </c>
      <c r="AN63" s="375">
        <f t="shared" si="54"/>
        <v>2673194.8191500003</v>
      </c>
      <c r="AO63" s="376">
        <f t="shared" si="50"/>
        <v>618974.2975000001</v>
      </c>
      <c r="AP63" s="394">
        <v>128750</v>
      </c>
      <c r="AQ63" s="395" t="s">
        <v>271</v>
      </c>
      <c r="AR63" s="396">
        <f t="shared" si="42"/>
        <v>176409.38750000001</v>
      </c>
      <c r="AS63" s="397"/>
      <c r="AT63" s="401">
        <v>97423</v>
      </c>
      <c r="AU63" s="396">
        <f t="shared" si="43"/>
        <v>133486.07191</v>
      </c>
      <c r="AV63" s="397"/>
      <c r="AW63" s="124">
        <f t="shared" si="51"/>
        <v>2983090.2785600005</v>
      </c>
      <c r="AX63" s="126">
        <f t="shared" si="55"/>
        <v>928869.75691</v>
      </c>
      <c r="AY63" s="353" t="s">
        <v>78</v>
      </c>
      <c r="AZ63" s="403" t="s">
        <v>548</v>
      </c>
      <c r="BA63" s="417" t="s">
        <v>353</v>
      </c>
    </row>
    <row r="64" spans="1:54" ht="15" customHeight="1">
      <c r="A64" s="1" t="str">
        <f t="shared" si="11"/>
        <v>TSX:K_2023_COO</v>
      </c>
      <c r="B64" s="1" t="str">
        <f t="shared" si="0"/>
        <v>TSX:K_2023_NEO2</v>
      </c>
      <c r="C64" s="1" t="str">
        <f t="shared" si="12"/>
        <v>TSX:K_2023_</v>
      </c>
      <c r="D64" s="114" t="str">
        <f t="shared" si="53"/>
        <v>TSX:K</v>
      </c>
      <c r="E64" s="133" t="str">
        <f>_xll.ciqfunctions.udf.CIQ(D64,"IQ_Company_Name")</f>
        <v>Kinross Gold Corporation</v>
      </c>
      <c r="F64" s="114">
        <f t="shared" si="57"/>
        <v>2023</v>
      </c>
      <c r="G64" s="114" t="str">
        <f t="shared" si="30"/>
        <v>2023-01-01</v>
      </c>
      <c r="H64" s="330" t="str">
        <f t="shared" si="59"/>
        <v>2023-12-31</v>
      </c>
      <c r="I64" s="114">
        <f t="shared" si="44"/>
        <v>12</v>
      </c>
      <c r="J64" s="407" t="s">
        <v>285</v>
      </c>
      <c r="K64" s="439">
        <f t="shared" si="14"/>
        <v>1.34954</v>
      </c>
      <c r="L64" s="445" t="s">
        <v>272</v>
      </c>
      <c r="M64" s="445"/>
      <c r="N64" s="122" t="str">
        <f t="shared" si="60"/>
        <v>NEO2</v>
      </c>
      <c r="O64" s="123" t="str">
        <f t="shared" si="60"/>
        <v>EVP &amp; COO</v>
      </c>
      <c r="P64" s="132" t="str">
        <f t="shared" si="60"/>
        <v>Claude J.S. Schimper</v>
      </c>
      <c r="Q64" s="219">
        <v>453660</v>
      </c>
      <c r="R64" s="125">
        <f t="shared" si="16"/>
        <v>612232.31640000001</v>
      </c>
      <c r="S64" s="311" t="s">
        <v>78</v>
      </c>
      <c r="T64" s="126" t="str">
        <f t="shared" si="3"/>
        <v>-</v>
      </c>
      <c r="U64" s="221">
        <v>479746</v>
      </c>
      <c r="V64" s="125">
        <f t="shared" si="46"/>
        <v>647436.41683999996</v>
      </c>
      <c r="W64" s="127">
        <f t="shared" si="37"/>
        <v>1.0575012123616805</v>
      </c>
      <c r="X64" s="128"/>
      <c r="Y64" s="223" t="s">
        <v>78</v>
      </c>
      <c r="Z64" s="129">
        <f t="shared" si="38"/>
        <v>0</v>
      </c>
      <c r="AA64" s="124">
        <f t="shared" si="47"/>
        <v>1259668.73324</v>
      </c>
      <c r="AB64" s="130">
        <f t="shared" si="48"/>
        <v>612232.31640000001</v>
      </c>
      <c r="AC64" s="221">
        <f>0.45*998052</f>
        <v>449123.4</v>
      </c>
      <c r="AD64" s="221">
        <f>0.55*998052</f>
        <v>548928.60000000009</v>
      </c>
      <c r="AE64" s="225" t="s">
        <v>78</v>
      </c>
      <c r="AF64" s="225" t="s">
        <v>78</v>
      </c>
      <c r="AG64" s="225" t="s">
        <v>78</v>
      </c>
      <c r="AH64" s="125">
        <f t="shared" si="39"/>
        <v>998052.00000000012</v>
      </c>
      <c r="AI64" s="127">
        <f t="shared" si="49"/>
        <v>2.2000000000000002</v>
      </c>
      <c r="AJ64" s="128"/>
      <c r="AK64" s="223" t="s">
        <v>78</v>
      </c>
      <c r="AL64" s="131">
        <f t="shared" si="40"/>
        <v>0</v>
      </c>
      <c r="AM64" s="368">
        <f t="shared" si="41"/>
        <v>1346911.09608</v>
      </c>
      <c r="AN64" s="375">
        <f t="shared" si="54"/>
        <v>2606579.82932</v>
      </c>
      <c r="AO64" s="376">
        <f t="shared" si="50"/>
        <v>612232.31640000001</v>
      </c>
      <c r="AP64" s="394">
        <v>129293</v>
      </c>
      <c r="AQ64" s="395" t="s">
        <v>271</v>
      </c>
      <c r="AR64" s="396">
        <f t="shared" si="42"/>
        <v>174486.07522</v>
      </c>
      <c r="AS64" s="397"/>
      <c r="AT64" s="401">
        <v>156583</v>
      </c>
      <c r="AU64" s="396">
        <f t="shared" si="43"/>
        <v>211315.02181999999</v>
      </c>
      <c r="AV64" s="397"/>
      <c r="AW64" s="124">
        <f t="shared" si="51"/>
        <v>2992380.9263599999</v>
      </c>
      <c r="AX64" s="126">
        <f t="shared" si="55"/>
        <v>998033.41344000003</v>
      </c>
      <c r="AY64" s="353" t="s">
        <v>78</v>
      </c>
      <c r="AZ64" s="403" t="s">
        <v>548</v>
      </c>
      <c r="BA64" s="417" t="s">
        <v>353</v>
      </c>
    </row>
    <row r="65" spans="1:53" ht="15" customHeight="1">
      <c r="A65" s="1" t="str">
        <f t="shared" si="11"/>
        <v>TSX:K_2025_</v>
      </c>
      <c r="B65" s="1" t="str">
        <f t="shared" si="0"/>
        <v>TSX:K_2025_NEO3</v>
      </c>
      <c r="C65" s="1" t="str">
        <f t="shared" si="12"/>
        <v>TSX:K_2025_</v>
      </c>
      <c r="D65" s="114" t="str">
        <f t="shared" si="53"/>
        <v>TSX:K</v>
      </c>
      <c r="E65" s="133" t="str">
        <f>_xll.ciqfunctions.udf.CIQ(D65,"IQ_Company_Name")</f>
        <v>Kinross Gold Corporation</v>
      </c>
      <c r="F65" s="114">
        <f t="shared" si="57"/>
        <v>2025</v>
      </c>
      <c r="G65" s="114" t="str">
        <f t="shared" si="30"/>
        <v>2025-01-01</v>
      </c>
      <c r="H65" s="330" t="str">
        <f t="shared" si="59"/>
        <v>2025-12-31</v>
      </c>
      <c r="I65" s="114">
        <f t="shared" si="44"/>
        <v>12</v>
      </c>
      <c r="J65" s="407" t="s">
        <v>285</v>
      </c>
      <c r="K65" s="439">
        <f t="shared" si="14"/>
        <v>1.3974500000000001</v>
      </c>
      <c r="L65" s="445"/>
      <c r="M65" s="445"/>
      <c r="N65" s="351" t="s">
        <v>109</v>
      </c>
      <c r="O65" s="217" t="s">
        <v>552</v>
      </c>
      <c r="P65" s="218" t="s">
        <v>584</v>
      </c>
      <c r="Q65" s="219">
        <v>474240</v>
      </c>
      <c r="R65" s="125">
        <f t="shared" si="16"/>
        <v>662726.68800000008</v>
      </c>
      <c r="S65" s="311" t="s">
        <v>78</v>
      </c>
      <c r="T65" s="126" t="str">
        <f t="shared" si="3"/>
        <v>-</v>
      </c>
      <c r="U65" s="221">
        <v>517514</v>
      </c>
      <c r="V65" s="125">
        <f t="shared" si="46"/>
        <v>723199.93930000009</v>
      </c>
      <c r="W65" s="127">
        <f t="shared" si="37"/>
        <v>1.0912491565452092</v>
      </c>
      <c r="X65" s="128">
        <f>IFERROR(AVERAGE(W65:W67),"N/A")</f>
        <v>1.0912491565452092</v>
      </c>
      <c r="Y65" s="223">
        <v>0.9</v>
      </c>
      <c r="Z65" s="129">
        <f t="shared" si="38"/>
        <v>596454.0192000001</v>
      </c>
      <c r="AA65" s="124">
        <f t="shared" si="47"/>
        <v>1385926.6273000003</v>
      </c>
      <c r="AB65" s="130">
        <f t="shared" si="48"/>
        <v>1259180.7072000001</v>
      </c>
      <c r="AC65" s="221">
        <f>0.45*972192</f>
        <v>437486.4</v>
      </c>
      <c r="AD65" s="221">
        <f>0.55*972192</f>
        <v>534705.60000000009</v>
      </c>
      <c r="AE65" s="225" t="s">
        <v>78</v>
      </c>
      <c r="AF65" s="225" t="s">
        <v>78</v>
      </c>
      <c r="AG65" s="225" t="s">
        <v>78</v>
      </c>
      <c r="AH65" s="125">
        <f t="shared" si="39"/>
        <v>972192.00000000012</v>
      </c>
      <c r="AI65" s="127">
        <f t="shared" si="49"/>
        <v>2.0500000000000003</v>
      </c>
      <c r="AJ65" s="128">
        <f>IFERROR(AVERAGE(AI65:AI67),"N/A")</f>
        <v>2.0500000000000003</v>
      </c>
      <c r="AK65" s="223" t="s">
        <v>78</v>
      </c>
      <c r="AL65" s="131">
        <f t="shared" si="40"/>
        <v>1358589.7104000004</v>
      </c>
      <c r="AM65" s="368">
        <f t="shared" si="41"/>
        <v>1358589.7104000002</v>
      </c>
      <c r="AN65" s="375">
        <f t="shared" si="54"/>
        <v>2744516.3377000005</v>
      </c>
      <c r="AO65" s="376">
        <f t="shared" si="50"/>
        <v>2617770.4176000003</v>
      </c>
      <c r="AP65" s="394">
        <v>135160</v>
      </c>
      <c r="AQ65" s="395" t="s">
        <v>271</v>
      </c>
      <c r="AR65" s="396">
        <f t="shared" si="42"/>
        <v>188879.342</v>
      </c>
      <c r="AS65" s="397">
        <f>IFERROR(AVERAGE(AR65:AR67),"N/A")</f>
        <v>188879.342</v>
      </c>
      <c r="AT65" s="401">
        <v>70966</v>
      </c>
      <c r="AU65" s="396">
        <f t="shared" si="43"/>
        <v>99171.436700000006</v>
      </c>
      <c r="AV65" s="397">
        <f>IFERROR(AVERAGE(AU65:AU67),"N/A")</f>
        <v>99171.436700000006</v>
      </c>
      <c r="AW65" s="124">
        <f t="shared" si="51"/>
        <v>3032567.1164000006</v>
      </c>
      <c r="AX65" s="126">
        <f t="shared" si="55"/>
        <v>2905821.1963000004</v>
      </c>
      <c r="AY65" s="353" t="s">
        <v>611</v>
      </c>
      <c r="AZ65" s="403" t="s">
        <v>548</v>
      </c>
      <c r="BA65" s="417" t="s">
        <v>353</v>
      </c>
    </row>
    <row r="66" spans="1:53" ht="15" customHeight="1">
      <c r="A66" s="1" t="str">
        <f t="shared" si="11"/>
        <v>TSX:K_2024_</v>
      </c>
      <c r="B66" s="1" t="str">
        <f t="shared" si="0"/>
        <v>TSX:K_2024_NEO3</v>
      </c>
      <c r="C66" s="1" t="str">
        <f t="shared" si="12"/>
        <v>TSX:K_2024_</v>
      </c>
      <c r="D66" s="114" t="str">
        <f t="shared" si="53"/>
        <v>TSX:K</v>
      </c>
      <c r="E66" s="133" t="str">
        <f>_xll.ciqfunctions.udf.CIQ(D66,"IQ_Company_Name")</f>
        <v>Kinross Gold Corporation</v>
      </c>
      <c r="F66" s="114">
        <f t="shared" si="57"/>
        <v>2024</v>
      </c>
      <c r="G66" s="952" t="str">
        <f>F66&amp;"-12-01"</f>
        <v>2024-12-01</v>
      </c>
      <c r="H66" s="330" t="str">
        <f t="shared" si="59"/>
        <v>2024-12-31</v>
      </c>
      <c r="I66" s="114">
        <f t="shared" si="44"/>
        <v>0.98630136986301364</v>
      </c>
      <c r="J66" s="407" t="s">
        <v>285</v>
      </c>
      <c r="K66" s="439">
        <f t="shared" si="14"/>
        <v>1.3701700000000001</v>
      </c>
      <c r="L66" s="445"/>
      <c r="M66" s="445"/>
      <c r="N66" s="122" t="str">
        <f t="shared" ref="N66:P67" si="61">N65</f>
        <v>NEO3</v>
      </c>
      <c r="O66" s="123" t="str">
        <f t="shared" si="61"/>
        <v>EVP, Corporate Development</v>
      </c>
      <c r="P66" s="132" t="str">
        <f t="shared" si="61"/>
        <v>Ryan J. Latinovich</v>
      </c>
      <c r="Q66" s="219" t="s">
        <v>78</v>
      </c>
      <c r="R66" s="125" t="str">
        <f t="shared" si="16"/>
        <v>-</v>
      </c>
      <c r="S66" s="311" t="s">
        <v>78</v>
      </c>
      <c r="T66" s="126" t="str">
        <f t="shared" si="3"/>
        <v>-</v>
      </c>
      <c r="U66" s="221" t="s">
        <v>78</v>
      </c>
      <c r="V66" s="125"/>
      <c r="W66" s="127" t="str">
        <f t="shared" si="37"/>
        <v>-</v>
      </c>
      <c r="X66" s="128"/>
      <c r="Y66" s="223" t="s">
        <v>78</v>
      </c>
      <c r="Z66" s="129" t="str">
        <f t="shared" si="38"/>
        <v>-</v>
      </c>
      <c r="AA66" s="124" t="str">
        <f t="shared" ref="AA66:AA76" si="62">IFERROR(IF(SUM(R66,V66)=0,"-",SUM(R66,V66)),"-")</f>
        <v>-</v>
      </c>
      <c r="AB66" s="130" t="str">
        <f t="shared" si="48"/>
        <v>-</v>
      </c>
      <c r="AC66" s="221" t="s">
        <v>78</v>
      </c>
      <c r="AD66" s="225" t="s">
        <v>78</v>
      </c>
      <c r="AE66" s="225" t="s">
        <v>78</v>
      </c>
      <c r="AF66" s="225" t="s">
        <v>78</v>
      </c>
      <c r="AG66" s="225" t="s">
        <v>78</v>
      </c>
      <c r="AH66" s="125" t="str">
        <f t="shared" si="39"/>
        <v>-</v>
      </c>
      <c r="AI66" s="127" t="str">
        <f t="shared" si="49"/>
        <v>-</v>
      </c>
      <c r="AJ66" s="128"/>
      <c r="AK66" s="223" t="s">
        <v>78</v>
      </c>
      <c r="AL66" s="131" t="str">
        <f t="shared" si="40"/>
        <v>-</v>
      </c>
      <c r="AM66" s="368" t="str">
        <f t="shared" si="41"/>
        <v>-</v>
      </c>
      <c r="AN66" s="375" t="str">
        <f t="shared" si="54"/>
        <v>-</v>
      </c>
      <c r="AO66" s="376" t="str">
        <f t="shared" si="50"/>
        <v>-</v>
      </c>
      <c r="AP66" s="394" t="s">
        <v>78</v>
      </c>
      <c r="AQ66" s="395" t="s">
        <v>78</v>
      </c>
      <c r="AR66" s="396" t="str">
        <f t="shared" si="42"/>
        <v>-</v>
      </c>
      <c r="AS66" s="397"/>
      <c r="AT66" s="401" t="s">
        <v>78</v>
      </c>
      <c r="AU66" s="396" t="str">
        <f t="shared" si="43"/>
        <v>-</v>
      </c>
      <c r="AV66" s="397"/>
      <c r="AW66" s="124"/>
      <c r="AX66" s="126"/>
      <c r="AY66" s="353" t="s">
        <v>78</v>
      </c>
      <c r="AZ66" s="403" t="s">
        <v>548</v>
      </c>
      <c r="BA66" s="417" t="s">
        <v>353</v>
      </c>
    </row>
    <row r="67" spans="1:53" ht="15" customHeight="1">
      <c r="A67" s="1" t="str">
        <f t="shared" si="11"/>
        <v>TSX:K_2023_</v>
      </c>
      <c r="B67" s="1" t="str">
        <f t="shared" si="0"/>
        <v>TSX:K_2023_NEO3</v>
      </c>
      <c r="C67" s="1" t="str">
        <f t="shared" si="12"/>
        <v>TSX:K_2023_</v>
      </c>
      <c r="D67" s="203" t="str">
        <f t="shared" si="53"/>
        <v>TSX:K</v>
      </c>
      <c r="E67" s="205" t="str">
        <f>_xll.ciqfunctions.udf.CIQ(D67,"IQ_Company_Name")</f>
        <v>Kinross Gold Corporation</v>
      </c>
      <c r="F67" s="204">
        <f t="shared" si="57"/>
        <v>2023</v>
      </c>
      <c r="G67" s="204" t="str">
        <f t="shared" si="30"/>
        <v>2023-01-01</v>
      </c>
      <c r="H67" s="331" t="str">
        <f t="shared" si="59"/>
        <v>2023-12-31</v>
      </c>
      <c r="I67" s="204">
        <f t="shared" si="44"/>
        <v>12</v>
      </c>
      <c r="J67" s="408" t="s">
        <v>285</v>
      </c>
      <c r="K67" s="441">
        <f t="shared" si="14"/>
        <v>1.34954</v>
      </c>
      <c r="L67" s="447"/>
      <c r="M67" s="447"/>
      <c r="N67" s="956" t="str">
        <f t="shared" si="61"/>
        <v>NEO3</v>
      </c>
      <c r="O67" s="206" t="str">
        <f t="shared" si="61"/>
        <v>EVP, Corporate Development</v>
      </c>
      <c r="P67" s="207" t="str">
        <f t="shared" si="61"/>
        <v>Ryan J. Latinovich</v>
      </c>
      <c r="Q67" s="220" t="s">
        <v>78</v>
      </c>
      <c r="R67" s="209" t="str">
        <f t="shared" si="16"/>
        <v>-</v>
      </c>
      <c r="S67" s="312" t="s">
        <v>78</v>
      </c>
      <c r="T67" s="329" t="str">
        <f t="shared" si="3"/>
        <v>-</v>
      </c>
      <c r="U67" s="222" t="s">
        <v>78</v>
      </c>
      <c r="V67" s="209"/>
      <c r="W67" s="211"/>
      <c r="X67" s="212"/>
      <c r="Y67" s="224" t="s">
        <v>78</v>
      </c>
      <c r="Z67" s="213"/>
      <c r="AA67" s="208"/>
      <c r="AB67" s="214"/>
      <c r="AC67" s="222" t="s">
        <v>78</v>
      </c>
      <c r="AD67" s="226" t="s">
        <v>78</v>
      </c>
      <c r="AE67" s="226" t="s">
        <v>78</v>
      </c>
      <c r="AF67" s="226" t="s">
        <v>78</v>
      </c>
      <c r="AG67" s="226" t="s">
        <v>78</v>
      </c>
      <c r="AH67" s="418"/>
      <c r="AI67" s="211"/>
      <c r="AJ67" s="212"/>
      <c r="AK67" s="224" t="s">
        <v>78</v>
      </c>
      <c r="AL67" s="215"/>
      <c r="AM67" s="369"/>
      <c r="AN67" s="377"/>
      <c r="AO67" s="378"/>
      <c r="AP67" s="398" t="s">
        <v>78</v>
      </c>
      <c r="AQ67" s="399" t="s">
        <v>78</v>
      </c>
      <c r="AR67" s="396" t="str">
        <f t="shared" si="42"/>
        <v>-</v>
      </c>
      <c r="AS67" s="400"/>
      <c r="AT67" s="402" t="s">
        <v>78</v>
      </c>
      <c r="AU67" s="396" t="str">
        <f t="shared" si="43"/>
        <v>-</v>
      </c>
      <c r="AV67" s="400"/>
      <c r="AW67" s="208"/>
      <c r="AX67" s="210"/>
      <c r="AY67" s="354" t="s">
        <v>78</v>
      </c>
      <c r="AZ67" s="405" t="s">
        <v>548</v>
      </c>
      <c r="BA67" s="417" t="s">
        <v>353</v>
      </c>
    </row>
    <row r="68" spans="1:53" ht="15" customHeight="1">
      <c r="A68" s="1" t="str">
        <f t="shared" si="11"/>
        <v>TSX:LUN_2025_</v>
      </c>
      <c r="B68" s="1" t="str">
        <f t="shared" si="0"/>
        <v>TSX:LUN_2025_CEO</v>
      </c>
      <c r="C68" s="1" t="str">
        <f t="shared" si="12"/>
        <v>TSX:LUN_2025_</v>
      </c>
      <c r="D68" s="216" t="str">
        <f>E6</f>
        <v>TSX:LUN</v>
      </c>
      <c r="E68" s="133" t="str">
        <f>_xll.ciqfunctions.udf.CIQ(D68,"IQ_Company_Name")</f>
        <v>Lundin Mining Corporation</v>
      </c>
      <c r="F68" s="328">
        <f>$G$9</f>
        <v>2025</v>
      </c>
      <c r="G68" s="330" t="str">
        <f t="shared" si="30"/>
        <v>2025-01-01</v>
      </c>
      <c r="H68" s="330" t="str">
        <f t="shared" si="59"/>
        <v>2025-12-31</v>
      </c>
      <c r="I68" s="114">
        <f t="shared" si="44"/>
        <v>12</v>
      </c>
      <c r="J68" s="328" t="s">
        <v>285</v>
      </c>
      <c r="K68" s="439">
        <f t="shared" si="14"/>
        <v>1.3974500000000001</v>
      </c>
      <c r="L68" s="445"/>
      <c r="M68" s="445"/>
      <c r="N68" s="351" t="s">
        <v>79</v>
      </c>
      <c r="O68" s="217" t="s">
        <v>79</v>
      </c>
      <c r="P68" s="218" t="s">
        <v>322</v>
      </c>
      <c r="Q68" s="219">
        <v>608235</v>
      </c>
      <c r="R68" s="962">
        <v>850000</v>
      </c>
      <c r="S68" s="311">
        <v>644013</v>
      </c>
      <c r="T68" s="968">
        <v>900000</v>
      </c>
      <c r="U68" s="221">
        <v>974607</v>
      </c>
      <c r="V68" s="125">
        <f>IFERROR(U68*(12/$I68)*$K68,"-")</f>
        <v>1361964.5521500001</v>
      </c>
      <c r="W68" s="127">
        <f t="shared" si="37"/>
        <v>1.6023112378235296</v>
      </c>
      <c r="X68" s="128">
        <f>IFERROR(AVERAGE(W68:W70),"N/A")</f>
        <v>1.9805665305807409</v>
      </c>
      <c r="Y68" s="223">
        <v>1.2</v>
      </c>
      <c r="Z68" s="129">
        <f t="shared" si="38"/>
        <v>1020000</v>
      </c>
      <c r="AA68" s="124">
        <f t="shared" si="62"/>
        <v>2211964.5521499999</v>
      </c>
      <c r="AB68" s="130">
        <f t="shared" si="48"/>
        <v>1870000</v>
      </c>
      <c r="AC68" s="221" t="s">
        <v>78</v>
      </c>
      <c r="AD68" s="225">
        <v>1853781</v>
      </c>
      <c r="AE68" s="225">
        <v>1852964</v>
      </c>
      <c r="AF68" s="225" t="s">
        <v>78</v>
      </c>
      <c r="AG68" s="225" t="s">
        <v>78</v>
      </c>
      <c r="AH68" s="125">
        <f t="shared" si="39"/>
        <v>3706745</v>
      </c>
      <c r="AI68" s="127">
        <f t="shared" si="49"/>
        <v>6.0941068238235294</v>
      </c>
      <c r="AJ68" s="128">
        <f>IFERROR(AVERAGE(AI68:AI70),"N/A")</f>
        <v>4.5233271381854907</v>
      </c>
      <c r="AK68" s="223">
        <v>4</v>
      </c>
      <c r="AL68" s="131">
        <f t="shared" si="40"/>
        <v>3400000</v>
      </c>
      <c r="AM68" s="368">
        <f t="shared" ref="AM68:AM99" si="63">IFERROR($AH68*$K68,"-")</f>
        <v>5179990.8002500003</v>
      </c>
      <c r="AN68" s="375">
        <f t="shared" si="54"/>
        <v>7391955.3524000002</v>
      </c>
      <c r="AO68" s="376">
        <f t="shared" si="50"/>
        <v>5270000</v>
      </c>
      <c r="AP68" s="394" t="s">
        <v>489</v>
      </c>
      <c r="AQ68" s="394" t="s">
        <v>489</v>
      </c>
      <c r="AR68" s="396" t="str">
        <f t="shared" si="42"/>
        <v>-</v>
      </c>
      <c r="AS68" s="409">
        <f>IFERROR(AVERAGE(AR68:AR70),"N/A")</f>
        <v>0</v>
      </c>
      <c r="AT68" s="401">
        <v>30732</v>
      </c>
      <c r="AU68" s="396">
        <f t="shared" si="43"/>
        <v>42946.433400000002</v>
      </c>
      <c r="AV68" s="409">
        <f>IFERROR(AVERAGE(AU68:AU70),"N/A")</f>
        <v>29571.407303333337</v>
      </c>
      <c r="AW68" s="386">
        <f>IFERROR(IF(SUM(AN68,AR68,AU68)=0,"-",SUM(AN68,AR68,AU68)),"-")</f>
        <v>7434901.7858000007</v>
      </c>
      <c r="AX68" s="387">
        <f t="shared" si="52"/>
        <v>5312946.4334000004</v>
      </c>
      <c r="AY68" s="353" t="s">
        <v>612</v>
      </c>
      <c r="AZ68" s="403" t="s">
        <v>548</v>
      </c>
      <c r="BA68" s="404" t="s">
        <v>353</v>
      </c>
    </row>
    <row r="69" spans="1:53" ht="15" customHeight="1">
      <c r="A69" s="1" t="str">
        <f t="shared" si="11"/>
        <v>TSX:LUN_2024_</v>
      </c>
      <c r="B69" s="1" t="str">
        <f t="shared" si="0"/>
        <v>TSX:LUN_2024_CEO</v>
      </c>
      <c r="C69" s="1" t="str">
        <f t="shared" si="12"/>
        <v>TSX:LUN_2024_</v>
      </c>
      <c r="D69" s="114" t="str">
        <f>D68</f>
        <v>TSX:LUN</v>
      </c>
      <c r="E69" s="133" t="str">
        <f>_xll.ciqfunctions.udf.CIQ(D69,"IQ_Company_Name")</f>
        <v>Lundin Mining Corporation</v>
      </c>
      <c r="F69" s="328">
        <f>$G$10</f>
        <v>2024</v>
      </c>
      <c r="G69" s="330" t="str">
        <f t="shared" si="30"/>
        <v>2024-01-01</v>
      </c>
      <c r="H69" s="330" t="str">
        <f t="shared" si="59"/>
        <v>2024-12-31</v>
      </c>
      <c r="I69" s="114">
        <f t="shared" si="44"/>
        <v>12</v>
      </c>
      <c r="J69" s="407" t="s">
        <v>285</v>
      </c>
      <c r="K69" s="439">
        <f t="shared" si="14"/>
        <v>1.3701700000000001</v>
      </c>
      <c r="L69" s="445"/>
      <c r="M69" s="445"/>
      <c r="N69" s="122" t="str">
        <f t="shared" ref="N69:P70" si="64">N68</f>
        <v>CEO</v>
      </c>
      <c r="O69" s="123" t="str">
        <f t="shared" si="64"/>
        <v>CEO</v>
      </c>
      <c r="P69" s="132" t="str">
        <f t="shared" si="64"/>
        <v>Jack Lundin</v>
      </c>
      <c r="Q69" s="219">
        <v>620620</v>
      </c>
      <c r="R69" s="125">
        <f>IFERROR(Q69*(12/$I69)*$K69,"-")</f>
        <v>850354.90540000005</v>
      </c>
      <c r="S69" s="311" t="s">
        <v>78</v>
      </c>
      <c r="T69" s="126" t="str">
        <f>IFERROR(IF((S69*$K69)=0,"-",(S69*$K69)),"-")</f>
        <v>-</v>
      </c>
      <c r="U69" s="221">
        <v>1463932</v>
      </c>
      <c r="V69" s="125">
        <f t="shared" ref="V69:V127" si="65">IFERROR(U69*(12/$I69)*$K69,"-")</f>
        <v>2005835.7084400002</v>
      </c>
      <c r="W69" s="127">
        <f t="shared" si="37"/>
        <v>2.3588218233379523</v>
      </c>
      <c r="X69" s="128"/>
      <c r="Y69" s="223" t="s">
        <v>78</v>
      </c>
      <c r="Z69" s="129">
        <f t="shared" si="38"/>
        <v>0</v>
      </c>
      <c r="AA69" s="124">
        <f t="shared" si="62"/>
        <v>2856190.6138400002</v>
      </c>
      <c r="AB69" s="130">
        <f t="shared" si="48"/>
        <v>850354.90540000005</v>
      </c>
      <c r="AC69" s="221" t="s">
        <v>78</v>
      </c>
      <c r="AD69" s="225">
        <f>915876</f>
        <v>915876</v>
      </c>
      <c r="AE69" s="225">
        <v>916534</v>
      </c>
      <c r="AF69" s="225" t="s">
        <v>78</v>
      </c>
      <c r="AG69" s="225" t="s">
        <v>78</v>
      </c>
      <c r="AH69" s="125">
        <f t="shared" si="39"/>
        <v>1832410</v>
      </c>
      <c r="AI69" s="127">
        <f t="shared" si="49"/>
        <v>2.9525474525474524</v>
      </c>
      <c r="AJ69" s="128"/>
      <c r="AK69" s="223" t="s">
        <v>78</v>
      </c>
      <c r="AL69" s="131">
        <f t="shared" si="40"/>
        <v>0</v>
      </c>
      <c r="AM69" s="368">
        <f t="shared" si="63"/>
        <v>2510713.2097</v>
      </c>
      <c r="AN69" s="375">
        <f t="shared" si="54"/>
        <v>5366903.8235400002</v>
      </c>
      <c r="AO69" s="376">
        <f t="shared" si="50"/>
        <v>850354.90540000005</v>
      </c>
      <c r="AP69" s="394" t="s">
        <v>489</v>
      </c>
      <c r="AQ69" s="394" t="s">
        <v>489</v>
      </c>
      <c r="AR69" s="396" t="str">
        <f t="shared" si="42"/>
        <v>-</v>
      </c>
      <c r="AS69" s="397"/>
      <c r="AT69" s="401">
        <v>33403</v>
      </c>
      <c r="AU69" s="396">
        <f t="shared" si="43"/>
        <v>45767.788510000006</v>
      </c>
      <c r="AV69" s="397"/>
      <c r="AW69" s="388">
        <f>IFERROR(IF(SUM(AN69,AR69,AU69)=0,"-",SUM(AN69,AR69,AU69)),"-")</f>
        <v>5412671.6120500006</v>
      </c>
      <c r="AX69" s="389">
        <f t="shared" si="52"/>
        <v>896122.69391000003</v>
      </c>
      <c r="AY69" s="353" t="s">
        <v>78</v>
      </c>
      <c r="AZ69" s="403" t="s">
        <v>548</v>
      </c>
      <c r="BA69" s="404" t="s">
        <v>353</v>
      </c>
    </row>
    <row r="70" spans="1:53" ht="15" customHeight="1">
      <c r="A70" s="1" t="str">
        <f t="shared" si="11"/>
        <v>TSX:LUN_2023_</v>
      </c>
      <c r="B70" s="1" t="str">
        <f t="shared" si="0"/>
        <v>TSX:LUN_2023_CEO</v>
      </c>
      <c r="C70" s="1" t="str">
        <f t="shared" si="12"/>
        <v>TSX:LUN_2023_</v>
      </c>
      <c r="D70" s="114" t="str">
        <f>D69</f>
        <v>TSX:LUN</v>
      </c>
      <c r="E70" s="133" t="str">
        <f>_xll.ciqfunctions.udf.CIQ(D70,"IQ_Company_Name")</f>
        <v>Lundin Mining Corporation</v>
      </c>
      <c r="F70" s="328">
        <f>$G$11</f>
        <v>2023</v>
      </c>
      <c r="G70" s="952" t="str">
        <f>F70&amp;"-12-01"</f>
        <v>2023-12-01</v>
      </c>
      <c r="H70" s="330" t="str">
        <f t="shared" si="59"/>
        <v>2023-12-31</v>
      </c>
      <c r="I70" s="114">
        <f t="shared" si="44"/>
        <v>0.98901098901098905</v>
      </c>
      <c r="J70" s="407" t="s">
        <v>285</v>
      </c>
      <c r="K70" s="439">
        <f t="shared" si="14"/>
        <v>1.34954</v>
      </c>
      <c r="L70" s="445"/>
      <c r="M70" s="445"/>
      <c r="N70" s="122" t="str">
        <f t="shared" si="64"/>
        <v>CEO</v>
      </c>
      <c r="O70" s="123" t="str">
        <f t="shared" si="64"/>
        <v>CEO</v>
      </c>
      <c r="P70" s="132" t="str">
        <f t="shared" si="64"/>
        <v>Jack Lundin</v>
      </c>
      <c r="Q70" s="219" t="s">
        <v>78</v>
      </c>
      <c r="R70" s="125" t="str">
        <f>IFERROR(Q70*(12/$I70)*$K70,"-")</f>
        <v>-</v>
      </c>
      <c r="S70" s="311" t="s">
        <v>78</v>
      </c>
      <c r="T70" s="126" t="str">
        <f>IFERROR(IF((S70*$K70)=0,"-",(S70*$K70)),"-")</f>
        <v>-</v>
      </c>
      <c r="U70" s="221"/>
      <c r="V70" s="125">
        <f t="shared" si="65"/>
        <v>0</v>
      </c>
      <c r="W70" s="127" t="str">
        <f t="shared" si="37"/>
        <v>-</v>
      </c>
      <c r="X70" s="128"/>
      <c r="Y70" s="223" t="s">
        <v>78</v>
      </c>
      <c r="Z70" s="129" t="str">
        <f t="shared" si="38"/>
        <v>-</v>
      </c>
      <c r="AA70" s="124" t="str">
        <f t="shared" si="62"/>
        <v>-</v>
      </c>
      <c r="AB70" s="130" t="str">
        <f t="shared" si="48"/>
        <v>-</v>
      </c>
      <c r="AC70" s="424"/>
      <c r="AD70" s="424"/>
      <c r="AE70" s="225"/>
      <c r="AF70" s="225" t="s">
        <v>78</v>
      </c>
      <c r="AG70" s="225" t="s">
        <v>78</v>
      </c>
      <c r="AH70" s="125" t="str">
        <f t="shared" si="39"/>
        <v>-</v>
      </c>
      <c r="AI70" s="127" t="str">
        <f t="shared" si="49"/>
        <v>-</v>
      </c>
      <c r="AJ70" s="128"/>
      <c r="AK70" s="223" t="s">
        <v>78</v>
      </c>
      <c r="AL70" s="131" t="str">
        <f t="shared" si="40"/>
        <v>-</v>
      </c>
      <c r="AM70" s="368" t="str">
        <f t="shared" si="63"/>
        <v>-</v>
      </c>
      <c r="AN70" s="375" t="str">
        <f t="shared" si="54"/>
        <v>-</v>
      </c>
      <c r="AO70" s="376" t="str">
        <f t="shared" si="50"/>
        <v>-</v>
      </c>
      <c r="AP70" s="394"/>
      <c r="AQ70" s="394"/>
      <c r="AR70" s="396">
        <f t="shared" si="42"/>
        <v>0</v>
      </c>
      <c r="AS70" s="397"/>
      <c r="AT70" s="401"/>
      <c r="AU70" s="396">
        <f t="shared" si="43"/>
        <v>0</v>
      </c>
      <c r="AV70" s="397"/>
      <c r="AW70" s="388" t="str">
        <f>IFERROR(IF(SUM(AN70,AR70,AU70)=0,"-",SUM(AN70,AR70,AU70)),"-")</f>
        <v>-</v>
      </c>
      <c r="AX70" s="389" t="str">
        <f t="shared" si="52"/>
        <v>-</v>
      </c>
      <c r="AY70" s="353" t="s">
        <v>78</v>
      </c>
      <c r="AZ70" s="403" t="s">
        <v>548</v>
      </c>
      <c r="BA70" s="404" t="s">
        <v>353</v>
      </c>
    </row>
    <row r="71" spans="1:53" ht="15" customHeight="1">
      <c r="A71" s="1" t="str">
        <f t="shared" si="11"/>
        <v>TSX:LUN_2025_</v>
      </c>
      <c r="B71" s="1" t="str">
        <f t="shared" si="0"/>
        <v>TSX:LUN_2025_CFO</v>
      </c>
      <c r="C71" s="1" t="str">
        <f t="shared" si="12"/>
        <v>TSX:LUN_2025_</v>
      </c>
      <c r="D71" s="114" t="str">
        <f>D70</f>
        <v>TSX:LUN</v>
      </c>
      <c r="E71" s="133" t="str">
        <f>_xll.ciqfunctions.udf.CIQ(D71,"IQ_Company_Name")</f>
        <v>Lundin Mining Corporation</v>
      </c>
      <c r="F71" s="114">
        <f t="shared" si="57"/>
        <v>2025</v>
      </c>
      <c r="G71" s="114" t="str">
        <f t="shared" si="30"/>
        <v>2025-01-01</v>
      </c>
      <c r="H71" s="330" t="str">
        <f t="shared" si="59"/>
        <v>2025-12-31</v>
      </c>
      <c r="I71" s="114">
        <f t="shared" si="44"/>
        <v>12</v>
      </c>
      <c r="J71" s="407" t="s">
        <v>285</v>
      </c>
      <c r="K71" s="439">
        <f t="shared" si="14"/>
        <v>1.3974500000000001</v>
      </c>
      <c r="L71" s="445"/>
      <c r="M71" s="445"/>
      <c r="N71" s="351" t="s">
        <v>106</v>
      </c>
      <c r="O71" s="217" t="s">
        <v>106</v>
      </c>
      <c r="P71" s="218" t="s">
        <v>323</v>
      </c>
      <c r="Q71" s="219">
        <v>542402</v>
      </c>
      <c r="R71" s="962">
        <v>758000</v>
      </c>
      <c r="S71" s="311">
        <v>599648</v>
      </c>
      <c r="T71" s="968">
        <v>838000</v>
      </c>
      <c r="U71" s="221">
        <v>579612</v>
      </c>
      <c r="V71" s="125">
        <f t="shared" si="65"/>
        <v>809978.78940000001</v>
      </c>
      <c r="W71" s="127">
        <f t="shared" si="37"/>
        <v>1.0685736007915567</v>
      </c>
      <c r="X71" s="128">
        <f>IFERROR(AVERAGE(W71:W73),"N/A")</f>
        <v>1.2892132249813932</v>
      </c>
      <c r="Y71" s="223">
        <v>0.8</v>
      </c>
      <c r="Z71" s="129">
        <f t="shared" si="38"/>
        <v>606400</v>
      </c>
      <c r="AA71" s="124">
        <f t="shared" si="62"/>
        <v>1567978.7894000001</v>
      </c>
      <c r="AB71" s="130">
        <f t="shared" si="48"/>
        <v>1364400</v>
      </c>
      <c r="AC71" s="221" t="s">
        <v>78</v>
      </c>
      <c r="AD71" s="225">
        <v>862993</v>
      </c>
      <c r="AE71" s="225">
        <v>862629</v>
      </c>
      <c r="AF71" s="225" t="s">
        <v>78</v>
      </c>
      <c r="AG71" s="225" t="s">
        <v>78</v>
      </c>
      <c r="AH71" s="125">
        <f t="shared" si="39"/>
        <v>1725622</v>
      </c>
      <c r="AI71" s="127">
        <f t="shared" si="49"/>
        <v>3.1813594510554095</v>
      </c>
      <c r="AJ71" s="128">
        <f>IFERROR(AVERAGE(AI71:AI73),"N/A")</f>
        <v>2.1400920640873013</v>
      </c>
      <c r="AK71" s="223" t="s">
        <v>78</v>
      </c>
      <c r="AL71" s="131">
        <f t="shared" si="40"/>
        <v>1622189.7845781744</v>
      </c>
      <c r="AM71" s="368">
        <f t="shared" si="63"/>
        <v>2411470.4639000003</v>
      </c>
      <c r="AN71" s="375">
        <f t="shared" si="54"/>
        <v>3979449.2533000004</v>
      </c>
      <c r="AO71" s="376">
        <f t="shared" si="50"/>
        <v>2986589.7845781744</v>
      </c>
      <c r="AP71" s="394" t="s">
        <v>489</v>
      </c>
      <c r="AQ71" s="394" t="s">
        <v>489</v>
      </c>
      <c r="AR71" s="396" t="str">
        <f t="shared" si="42"/>
        <v>-</v>
      </c>
      <c r="AS71" s="397" t="str">
        <f>IFERROR(AVERAGE(AR71:AR73),"N/A")</f>
        <v>N/A</v>
      </c>
      <c r="AT71" s="401">
        <v>28676</v>
      </c>
      <c r="AU71" s="396">
        <f t="shared" si="43"/>
        <v>40073.2762</v>
      </c>
      <c r="AV71" s="397">
        <f>IFERROR(AVERAGE(AU71:AU73),"N/A")</f>
        <v>96656.932053333338</v>
      </c>
      <c r="AW71" s="388">
        <f>IFERROR(IF(SUM(AN71,AR71,AU71)=0,"-",SUM(AN71,AR71,AU71)),"-")</f>
        <v>4019522.5295000006</v>
      </c>
      <c r="AX71" s="389">
        <f t="shared" si="52"/>
        <v>3026663.0607781745</v>
      </c>
      <c r="AY71" s="353" t="s">
        <v>78</v>
      </c>
      <c r="AZ71" s="403" t="s">
        <v>548</v>
      </c>
      <c r="BA71" s="404" t="s">
        <v>353</v>
      </c>
    </row>
    <row r="72" spans="1:53" ht="15" customHeight="1">
      <c r="A72" s="1" t="str">
        <f t="shared" si="11"/>
        <v>TSX:LUN_2024_</v>
      </c>
      <c r="B72" s="1" t="str">
        <f t="shared" si="0"/>
        <v>TSX:LUN_2024_CFO</v>
      </c>
      <c r="C72" s="1" t="str">
        <f t="shared" si="12"/>
        <v>TSX:LUN_2024_</v>
      </c>
      <c r="D72" s="114" t="str">
        <f>D71</f>
        <v>TSX:LUN</v>
      </c>
      <c r="E72" s="133" t="str">
        <f>_xll.ciqfunctions.udf.CIQ(D72,"IQ_Company_Name")</f>
        <v>Lundin Mining Corporation</v>
      </c>
      <c r="F72" s="114">
        <f t="shared" si="57"/>
        <v>2024</v>
      </c>
      <c r="G72" s="114" t="str">
        <f t="shared" si="30"/>
        <v>2024-01-01</v>
      </c>
      <c r="H72" s="330" t="str">
        <f t="shared" si="59"/>
        <v>2024-12-31</v>
      </c>
      <c r="I72" s="114">
        <f t="shared" si="44"/>
        <v>12</v>
      </c>
      <c r="J72" s="407" t="s">
        <v>285</v>
      </c>
      <c r="K72" s="439">
        <f t="shared" si="14"/>
        <v>1.3701700000000001</v>
      </c>
      <c r="L72" s="445"/>
      <c r="M72" s="445"/>
      <c r="N72" s="122" t="str">
        <f t="shared" ref="N72:P73" si="66">N71</f>
        <v>CFO</v>
      </c>
      <c r="O72" s="123" t="str">
        <f t="shared" si="66"/>
        <v>CFO</v>
      </c>
      <c r="P72" s="132" t="str">
        <f t="shared" si="66"/>
        <v>Teitur Poulsen</v>
      </c>
      <c r="Q72" s="219">
        <v>529352</v>
      </c>
      <c r="R72" s="125">
        <f>IFERROR(Q72*(12/$I72)*$K72,"-")</f>
        <v>725302.22984000004</v>
      </c>
      <c r="S72" s="311" t="s">
        <v>78</v>
      </c>
      <c r="T72" s="126" t="str">
        <f>IFERROR(IF((S72*$K72)=0,"-",(S72*$K72)),"-")</f>
        <v>-</v>
      </c>
      <c r="U72" s="221">
        <v>1009055</v>
      </c>
      <c r="V72" s="125">
        <f t="shared" si="65"/>
        <v>1382576.8893500001</v>
      </c>
      <c r="W72" s="127">
        <f t="shared" si="37"/>
        <v>1.9062079674772174</v>
      </c>
      <c r="X72" s="128"/>
      <c r="Y72" s="223" t="s">
        <v>78</v>
      </c>
      <c r="Z72" s="129">
        <f t="shared" si="38"/>
        <v>0</v>
      </c>
      <c r="AA72" s="124">
        <f t="shared" si="62"/>
        <v>2107879.11919</v>
      </c>
      <c r="AB72" s="130">
        <f t="shared" si="48"/>
        <v>725302.22984000004</v>
      </c>
      <c r="AC72" s="221" t="s">
        <v>78</v>
      </c>
      <c r="AD72" s="225">
        <f>435613</f>
        <v>435613</v>
      </c>
      <c r="AE72" s="225">
        <v>435910</v>
      </c>
      <c r="AF72" s="225" t="s">
        <v>78</v>
      </c>
      <c r="AG72" s="225" t="s">
        <v>78</v>
      </c>
      <c r="AH72" s="125">
        <f t="shared" si="39"/>
        <v>871523</v>
      </c>
      <c r="AI72" s="127">
        <f t="shared" si="49"/>
        <v>1.6463959709229397</v>
      </c>
      <c r="AJ72" s="128"/>
      <c r="AK72" s="223" t="s">
        <v>78</v>
      </c>
      <c r="AL72" s="131">
        <f t="shared" si="40"/>
        <v>0</v>
      </c>
      <c r="AM72" s="368">
        <f t="shared" si="63"/>
        <v>1194134.66891</v>
      </c>
      <c r="AN72" s="375">
        <f t="shared" si="54"/>
        <v>3302013.7881</v>
      </c>
      <c r="AO72" s="376">
        <f t="shared" si="50"/>
        <v>725302.22984000004</v>
      </c>
      <c r="AP72" s="394" t="s">
        <v>489</v>
      </c>
      <c r="AQ72" s="394" t="s">
        <v>489</v>
      </c>
      <c r="AR72" s="396" t="str">
        <f t="shared" si="42"/>
        <v>-</v>
      </c>
      <c r="AS72" s="397"/>
      <c r="AT72" s="401">
        <v>102270</v>
      </c>
      <c r="AU72" s="396">
        <f t="shared" si="43"/>
        <v>140127.28590000002</v>
      </c>
      <c r="AV72" s="397"/>
      <c r="AW72" s="388">
        <f>IFERROR(IF(SUM(AN72,AR72,AU72)=0,"-",SUM(AN72,AR72,AU72)),"-")</f>
        <v>3442141.074</v>
      </c>
      <c r="AX72" s="389">
        <f t="shared" si="52"/>
        <v>865429.51574000006</v>
      </c>
      <c r="AY72" s="353" t="s">
        <v>78</v>
      </c>
      <c r="AZ72" s="403" t="s">
        <v>548</v>
      </c>
      <c r="BA72" s="404" t="s">
        <v>353</v>
      </c>
    </row>
    <row r="73" spans="1:53" ht="15" customHeight="1">
      <c r="A73" s="1" t="str">
        <f t="shared" si="11"/>
        <v>TSX:LUN_2023_</v>
      </c>
      <c r="B73" s="1" t="str">
        <f t="shared" si="0"/>
        <v>TSX:LUN_2023_CFO</v>
      </c>
      <c r="C73" s="1" t="str">
        <f t="shared" si="12"/>
        <v>TSX:LUN_2023_</v>
      </c>
      <c r="D73" s="114" t="str">
        <f t="shared" ref="D73:D132" si="67">D72</f>
        <v>TSX:LUN</v>
      </c>
      <c r="E73" s="133" t="str">
        <f>_xll.ciqfunctions.udf.CIQ(D73,"IQ_Company_Name")</f>
        <v>Lundin Mining Corporation</v>
      </c>
      <c r="F73" s="114">
        <f t="shared" si="57"/>
        <v>2023</v>
      </c>
      <c r="G73" s="114" t="str">
        <f t="shared" si="30"/>
        <v>2023-01-01</v>
      </c>
      <c r="H73" s="330" t="str">
        <f t="shared" si="59"/>
        <v>2023-12-31</v>
      </c>
      <c r="I73" s="114">
        <f t="shared" si="44"/>
        <v>12</v>
      </c>
      <c r="J73" s="407" t="s">
        <v>285</v>
      </c>
      <c r="K73" s="439">
        <f t="shared" si="14"/>
        <v>1.34954</v>
      </c>
      <c r="L73" s="445"/>
      <c r="M73" s="445"/>
      <c r="N73" s="122" t="str">
        <f t="shared" si="66"/>
        <v>CFO</v>
      </c>
      <c r="O73" s="123" t="str">
        <f t="shared" si="66"/>
        <v>CFO</v>
      </c>
      <c r="P73" s="132" t="str">
        <f t="shared" si="66"/>
        <v>Teitur Poulsen</v>
      </c>
      <c r="Q73" s="219">
        <v>518770</v>
      </c>
      <c r="R73" s="125">
        <f>IFERROR(Q73*(12/$I73)*$K73,"-")</f>
        <v>700100.86580000003</v>
      </c>
      <c r="S73" s="311" t="s">
        <v>78</v>
      </c>
      <c r="T73" s="126" t="str">
        <f>IFERROR(IF((S73*$K73)=0,"-",(S73*$K73)),"-")</f>
        <v>-</v>
      </c>
      <c r="U73" s="221">
        <v>463188</v>
      </c>
      <c r="V73" s="125">
        <f t="shared" si="65"/>
        <v>625090.73352000001</v>
      </c>
      <c r="W73" s="127">
        <f t="shared" si="37"/>
        <v>0.89285810667540522</v>
      </c>
      <c r="X73" s="128"/>
      <c r="Y73" s="223" t="s">
        <v>78</v>
      </c>
      <c r="Z73" s="129">
        <f t="shared" si="38"/>
        <v>0</v>
      </c>
      <c r="AA73" s="124">
        <f t="shared" si="62"/>
        <v>1325191.59932</v>
      </c>
      <c r="AB73" s="130">
        <f t="shared" si="48"/>
        <v>700100.86580000003</v>
      </c>
      <c r="AC73" s="424">
        <f>0.33*621702</f>
        <v>205161.66</v>
      </c>
      <c r="AD73" s="424">
        <f>0.67*621702</f>
        <v>416540.34</v>
      </c>
      <c r="AE73" s="225">
        <v>204450</v>
      </c>
      <c r="AF73" s="225" t="s">
        <v>78</v>
      </c>
      <c r="AG73" s="225" t="s">
        <v>78</v>
      </c>
      <c r="AH73" s="125">
        <f t="shared" si="39"/>
        <v>826152</v>
      </c>
      <c r="AI73" s="127">
        <f t="shared" si="49"/>
        <v>1.5925207702835553</v>
      </c>
      <c r="AJ73" s="128"/>
      <c r="AK73" s="223" t="s">
        <v>78</v>
      </c>
      <c r="AL73" s="131">
        <f t="shared" si="40"/>
        <v>0</v>
      </c>
      <c r="AM73" s="368">
        <f t="shared" si="63"/>
        <v>1114925.1700800001</v>
      </c>
      <c r="AN73" s="375">
        <f t="shared" si="54"/>
        <v>2440116.7694000001</v>
      </c>
      <c r="AO73" s="376">
        <f t="shared" si="50"/>
        <v>700100.86580000003</v>
      </c>
      <c r="AP73" s="394" t="s">
        <v>489</v>
      </c>
      <c r="AQ73" s="394" t="s">
        <v>489</v>
      </c>
      <c r="AR73" s="396" t="str">
        <f t="shared" si="42"/>
        <v>-</v>
      </c>
      <c r="AS73" s="397"/>
      <c r="AT73" s="401">
        <v>81339</v>
      </c>
      <c r="AU73" s="396">
        <f t="shared" si="43"/>
        <v>109770.23406</v>
      </c>
      <c r="AV73" s="397"/>
      <c r="AW73" s="388">
        <f t="shared" si="51"/>
        <v>2549887.0034600003</v>
      </c>
      <c r="AX73" s="389">
        <f t="shared" si="52"/>
        <v>809871.09986000007</v>
      </c>
      <c r="AY73" s="353" t="s">
        <v>78</v>
      </c>
      <c r="AZ73" s="403" t="s">
        <v>548</v>
      </c>
      <c r="BA73" s="404" t="s">
        <v>353</v>
      </c>
    </row>
    <row r="74" spans="1:53" ht="15" customHeight="1">
      <c r="A74" s="1" t="str">
        <f t="shared" si="11"/>
        <v>TSX:LUN_2025_COO</v>
      </c>
      <c r="B74" s="1" t="str">
        <f t="shared" si="0"/>
        <v>TSX:LUN_2025_NEO1</v>
      </c>
      <c r="C74" s="1" t="str">
        <f t="shared" si="12"/>
        <v>TSX:LUN_2025_2nd Highest</v>
      </c>
      <c r="D74" s="114" t="str">
        <f t="shared" si="67"/>
        <v>TSX:LUN</v>
      </c>
      <c r="E74" s="133" t="str">
        <f>_xll.ciqfunctions.udf.CIQ(D74,"IQ_Company_Name")</f>
        <v>Lundin Mining Corporation</v>
      </c>
      <c r="F74" s="114">
        <f t="shared" si="57"/>
        <v>2025</v>
      </c>
      <c r="G74" s="330" t="str">
        <f t="shared" si="30"/>
        <v>2025-01-01</v>
      </c>
      <c r="H74" s="330" t="str">
        <f t="shared" si="59"/>
        <v>2025-12-31</v>
      </c>
      <c r="I74" s="114">
        <f t="shared" si="44"/>
        <v>12</v>
      </c>
      <c r="J74" s="407" t="s">
        <v>285</v>
      </c>
      <c r="K74" s="439">
        <f t="shared" si="14"/>
        <v>1.3974500000000001</v>
      </c>
      <c r="L74" s="445" t="s">
        <v>272</v>
      </c>
      <c r="M74" s="445" t="s">
        <v>669</v>
      </c>
      <c r="N74" s="351" t="s">
        <v>107</v>
      </c>
      <c r="O74" s="217" t="s">
        <v>272</v>
      </c>
      <c r="P74" s="218" t="s">
        <v>324</v>
      </c>
      <c r="Q74" s="219">
        <v>590781</v>
      </c>
      <c r="R74" s="125">
        <f>IFERROR(Q74*(12/$I74)*$K74,"-")</f>
        <v>825586.9084500001</v>
      </c>
      <c r="S74" s="311">
        <v>623273</v>
      </c>
      <c r="T74" s="126">
        <f>IFERROR(IF((S74*$K74)=0,"-",(S74*$K74)),"-")</f>
        <v>870992.85385000007</v>
      </c>
      <c r="U74" s="221">
        <v>630954</v>
      </c>
      <c r="V74" s="125">
        <f t="shared" si="65"/>
        <v>881726.66730000009</v>
      </c>
      <c r="W74" s="127">
        <f t="shared" si="37"/>
        <v>1.0679998171911418</v>
      </c>
      <c r="X74" s="128">
        <f>IFERROR(AVERAGE(W74:W76),"N/A")</f>
        <v>1.1346669985552322</v>
      </c>
      <c r="Y74" s="223">
        <v>0.8</v>
      </c>
      <c r="Z74" s="129">
        <f t="shared" si="38"/>
        <v>660469.52676000015</v>
      </c>
      <c r="AA74" s="124">
        <f t="shared" si="62"/>
        <v>1707313.5757500003</v>
      </c>
      <c r="AB74" s="130">
        <f t="shared" si="48"/>
        <v>1486056.4352100003</v>
      </c>
      <c r="AC74" s="221" t="s">
        <v>78</v>
      </c>
      <c r="AD74" s="225">
        <v>896614</v>
      </c>
      <c r="AE74" s="225">
        <v>630954</v>
      </c>
      <c r="AF74" s="225" t="s">
        <v>78</v>
      </c>
      <c r="AG74" s="225" t="s">
        <v>78</v>
      </c>
      <c r="AH74" s="125">
        <f t="shared" si="39"/>
        <v>1527568</v>
      </c>
      <c r="AI74" s="127">
        <f t="shared" si="49"/>
        <v>2.5856755718278004</v>
      </c>
      <c r="AJ74" s="128">
        <f>IFERROR(AVERAGE(AI74:AI76),"N/A")</f>
        <v>1.9486686197370029</v>
      </c>
      <c r="AK74" s="223" t="s">
        <v>78</v>
      </c>
      <c r="AL74" s="131">
        <f t="shared" si="40"/>
        <v>1608795.3013622011</v>
      </c>
      <c r="AM74" s="368">
        <f t="shared" si="63"/>
        <v>2134699.9016</v>
      </c>
      <c r="AN74" s="375">
        <f t="shared" si="54"/>
        <v>3842013.4773500003</v>
      </c>
      <c r="AO74" s="376">
        <f t="shared" si="50"/>
        <v>3094851.7365722014</v>
      </c>
      <c r="AP74" s="394" t="s">
        <v>489</v>
      </c>
      <c r="AQ74" s="394" t="s">
        <v>489</v>
      </c>
      <c r="AR74" s="396" t="str">
        <f t="shared" si="42"/>
        <v>-</v>
      </c>
      <c r="AS74" s="397" t="str">
        <f>IFERROR(AVERAGE(AR74:AR76),"N/A")</f>
        <v>N/A</v>
      </c>
      <c r="AT74" s="401">
        <v>4219</v>
      </c>
      <c r="AU74" s="396">
        <f t="shared" si="43"/>
        <v>5895.8415500000001</v>
      </c>
      <c r="AV74" s="397">
        <f>IFERROR(AVERAGE(AU74:AU76),"N/A")</f>
        <v>3285.3152033333336</v>
      </c>
      <c r="AW74" s="388">
        <f t="shared" si="51"/>
        <v>3847909.3189000003</v>
      </c>
      <c r="AX74" s="389">
        <f t="shared" si="52"/>
        <v>3100747.5781222014</v>
      </c>
      <c r="AY74" s="353" t="s">
        <v>78</v>
      </c>
      <c r="AZ74" s="403" t="s">
        <v>548</v>
      </c>
      <c r="BA74" s="404" t="s">
        <v>353</v>
      </c>
    </row>
    <row r="75" spans="1:53" ht="15" customHeight="1">
      <c r="A75" s="1" t="str">
        <f t="shared" si="11"/>
        <v>TSX:LUN_2024_COO</v>
      </c>
      <c r="B75" s="1" t="str">
        <f t="shared" si="0"/>
        <v>TSX:LUN_2024_NEO1</v>
      </c>
      <c r="C75" s="1" t="str">
        <f t="shared" si="12"/>
        <v>TSX:LUN_2024_</v>
      </c>
      <c r="D75" s="114" t="str">
        <f t="shared" si="67"/>
        <v>TSX:LUN</v>
      </c>
      <c r="E75" s="133" t="str">
        <f>_xll.ciqfunctions.udf.CIQ(D75,"IQ_Company_Name")</f>
        <v>Lundin Mining Corporation</v>
      </c>
      <c r="F75" s="114">
        <f t="shared" si="57"/>
        <v>2024</v>
      </c>
      <c r="G75" s="330" t="str">
        <f t="shared" si="30"/>
        <v>2024-01-01</v>
      </c>
      <c r="H75" s="330" t="str">
        <f t="shared" si="59"/>
        <v>2024-12-31</v>
      </c>
      <c r="I75" s="114">
        <f t="shared" si="44"/>
        <v>12</v>
      </c>
      <c r="J75" s="407" t="s">
        <v>285</v>
      </c>
      <c r="K75" s="439">
        <f t="shared" si="14"/>
        <v>1.3701700000000001</v>
      </c>
      <c r="L75" s="445" t="s">
        <v>272</v>
      </c>
      <c r="M75" s="445"/>
      <c r="N75" s="122" t="str">
        <f t="shared" ref="N75:P76" si="68">N74</f>
        <v>NEO1</v>
      </c>
      <c r="O75" s="123" t="str">
        <f t="shared" si="68"/>
        <v>COO</v>
      </c>
      <c r="P75" s="132" t="str">
        <f t="shared" si="68"/>
        <v>Juan Andres Morel</v>
      </c>
      <c r="Q75" s="219">
        <v>562287</v>
      </c>
      <c r="R75" s="125">
        <f>IFERROR(Q75*(12/$I75)*$K75,"-")</f>
        <v>770428.77879000001</v>
      </c>
      <c r="S75" s="311" t="s">
        <v>78</v>
      </c>
      <c r="T75" s="126" t="str">
        <f>IFERROR(IF((S75*$K75)=0,"-",(S75*$K75)),"-")</f>
        <v>-</v>
      </c>
      <c r="U75" s="221">
        <v>790576</v>
      </c>
      <c r="V75" s="125">
        <f t="shared" si="65"/>
        <v>1083223.51792</v>
      </c>
      <c r="W75" s="127">
        <f t="shared" si="37"/>
        <v>1.4060008500996821</v>
      </c>
      <c r="X75" s="128"/>
      <c r="Y75" s="223" t="s">
        <v>78</v>
      </c>
      <c r="Z75" s="129">
        <f t="shared" si="38"/>
        <v>0</v>
      </c>
      <c r="AA75" s="124">
        <f t="shared" si="62"/>
        <v>1853652.2967099999</v>
      </c>
      <c r="AB75" s="130">
        <f t="shared" si="48"/>
        <v>770428.77879000001</v>
      </c>
      <c r="AC75" s="221" t="s">
        <v>78</v>
      </c>
      <c r="AD75" s="221">
        <f>468351</f>
        <v>468351</v>
      </c>
      <c r="AE75" s="225">
        <v>468695</v>
      </c>
      <c r="AF75" s="225" t="s">
        <v>78</v>
      </c>
      <c r="AG75" s="225" t="s">
        <v>78</v>
      </c>
      <c r="AH75" s="125">
        <f t="shared" si="39"/>
        <v>937046</v>
      </c>
      <c r="AI75" s="127">
        <f t="shared" si="49"/>
        <v>1.6664905999960873</v>
      </c>
      <c r="AJ75" s="128"/>
      <c r="AK75" s="223" t="s">
        <v>78</v>
      </c>
      <c r="AL75" s="131">
        <f t="shared" si="40"/>
        <v>0</v>
      </c>
      <c r="AM75" s="368">
        <f t="shared" si="63"/>
        <v>1283912.31782</v>
      </c>
      <c r="AN75" s="375">
        <f t="shared" si="54"/>
        <v>3137564.6145299999</v>
      </c>
      <c r="AO75" s="376">
        <f t="shared" si="50"/>
        <v>770428.77879000001</v>
      </c>
      <c r="AP75" s="394" t="s">
        <v>489</v>
      </c>
      <c r="AQ75" s="394" t="s">
        <v>489</v>
      </c>
      <c r="AR75" s="396" t="str">
        <f t="shared" si="42"/>
        <v>-</v>
      </c>
      <c r="AS75" s="397"/>
      <c r="AT75" s="401">
        <v>1466</v>
      </c>
      <c r="AU75" s="396">
        <f t="shared" si="43"/>
        <v>2008.6692200000002</v>
      </c>
      <c r="AV75" s="397"/>
      <c r="AW75" s="388">
        <f t="shared" si="51"/>
        <v>3139573.2837499999</v>
      </c>
      <c r="AX75" s="389">
        <f t="shared" si="52"/>
        <v>772437.44801000005</v>
      </c>
      <c r="AY75" s="353" t="s">
        <v>78</v>
      </c>
      <c r="AZ75" s="403" t="s">
        <v>548</v>
      </c>
      <c r="BA75" s="404" t="s">
        <v>353</v>
      </c>
    </row>
    <row r="76" spans="1:53" ht="15" customHeight="1">
      <c r="A76" s="1" t="str">
        <f t="shared" si="11"/>
        <v>TSX:LUN_2023_COO</v>
      </c>
      <c r="B76" s="1" t="str">
        <f t="shared" si="0"/>
        <v>TSX:LUN_2023_NEO1</v>
      </c>
      <c r="C76" s="1" t="str">
        <f t="shared" si="12"/>
        <v>TSX:LUN_2023_</v>
      </c>
      <c r="D76" s="114" t="str">
        <f t="shared" si="67"/>
        <v>TSX:LUN</v>
      </c>
      <c r="E76" s="133" t="str">
        <f>_xll.ciqfunctions.udf.CIQ(D76,"IQ_Company_Name")</f>
        <v>Lundin Mining Corporation</v>
      </c>
      <c r="F76" s="114">
        <f t="shared" si="57"/>
        <v>2023</v>
      </c>
      <c r="G76" s="114" t="str">
        <f t="shared" si="30"/>
        <v>2023-01-01</v>
      </c>
      <c r="H76" s="330" t="str">
        <f t="shared" si="59"/>
        <v>2023-12-31</v>
      </c>
      <c r="I76" s="114">
        <f t="shared" si="44"/>
        <v>12</v>
      </c>
      <c r="J76" s="407" t="s">
        <v>285</v>
      </c>
      <c r="K76" s="439">
        <f t="shared" si="14"/>
        <v>1.34954</v>
      </c>
      <c r="L76" s="445" t="s">
        <v>272</v>
      </c>
      <c r="M76" s="445"/>
      <c r="N76" s="122" t="str">
        <f t="shared" si="68"/>
        <v>NEO1</v>
      </c>
      <c r="O76" s="123" t="str">
        <f t="shared" si="68"/>
        <v>COO</v>
      </c>
      <c r="P76" s="132" t="str">
        <f t="shared" si="68"/>
        <v>Juan Andres Morel</v>
      </c>
      <c r="Q76" s="219">
        <v>609060</v>
      </c>
      <c r="R76" s="125">
        <f>IFERROR(Q76*(12/$I76)*$K76,"-")</f>
        <v>821950.83239999996</v>
      </c>
      <c r="S76" s="311" t="s">
        <v>78</v>
      </c>
      <c r="T76" s="126" t="str">
        <f>IFERROR(IF((S76*$K76)=0,"-",(S76*$K76)),"-")</f>
        <v>-</v>
      </c>
      <c r="U76" s="221">
        <v>566426</v>
      </c>
      <c r="V76" s="125">
        <f t="shared" si="65"/>
        <v>764414.54403999995</v>
      </c>
      <c r="W76" s="127">
        <f t="shared" si="37"/>
        <v>0.93000032837487279</v>
      </c>
      <c r="X76" s="128"/>
      <c r="Y76" s="223" t="s">
        <v>78</v>
      </c>
      <c r="Z76" s="129">
        <f t="shared" si="38"/>
        <v>0</v>
      </c>
      <c r="AA76" s="124">
        <f t="shared" si="62"/>
        <v>1586365.3764399998</v>
      </c>
      <c r="AB76" s="130">
        <f t="shared" si="48"/>
        <v>821950.83239999996</v>
      </c>
      <c r="AC76" s="424">
        <f>0.33*730480</f>
        <v>241058.40000000002</v>
      </c>
      <c r="AD76" s="424">
        <f>0.67*730480</f>
        <v>489421.60000000003</v>
      </c>
      <c r="AE76" s="225">
        <v>240264</v>
      </c>
      <c r="AF76" s="225" t="s">
        <v>78</v>
      </c>
      <c r="AG76" s="225" t="s">
        <v>78</v>
      </c>
      <c r="AH76" s="125">
        <f t="shared" si="39"/>
        <v>970744</v>
      </c>
      <c r="AI76" s="127">
        <f t="shared" si="49"/>
        <v>1.5938396873871212</v>
      </c>
      <c r="AJ76" s="128"/>
      <c r="AK76" s="223" t="s">
        <v>78</v>
      </c>
      <c r="AL76" s="131">
        <f t="shared" si="40"/>
        <v>0</v>
      </c>
      <c r="AM76" s="368">
        <f t="shared" si="63"/>
        <v>1310057.85776</v>
      </c>
      <c r="AN76" s="375">
        <f t="shared" si="54"/>
        <v>2896423.2341999998</v>
      </c>
      <c r="AO76" s="376">
        <f t="shared" si="50"/>
        <v>821950.83239999996</v>
      </c>
      <c r="AP76" s="394" t="s">
        <v>489</v>
      </c>
      <c r="AQ76" s="394" t="s">
        <v>489</v>
      </c>
      <c r="AR76" s="396" t="str">
        <f t="shared" si="42"/>
        <v>-</v>
      </c>
      <c r="AS76" s="397"/>
      <c r="AT76" s="401">
        <v>1446</v>
      </c>
      <c r="AU76" s="396">
        <f t="shared" si="43"/>
        <v>1951.4348399999999</v>
      </c>
      <c r="AV76" s="397"/>
      <c r="AW76" s="388">
        <f t="shared" si="51"/>
        <v>2898374.6690399996</v>
      </c>
      <c r="AX76" s="389">
        <f t="shared" si="52"/>
        <v>823902.26723999996</v>
      </c>
      <c r="AY76" s="353" t="s">
        <v>78</v>
      </c>
      <c r="AZ76" s="403" t="s">
        <v>548</v>
      </c>
      <c r="BA76" s="404" t="s">
        <v>353</v>
      </c>
    </row>
    <row r="77" spans="1:53" ht="15" customHeight="1">
      <c r="A77" s="1" t="str">
        <f t="shared" si="11"/>
        <v>TSX:LUN_2025_Legal</v>
      </c>
      <c r="B77" s="1" t="str">
        <f t="shared" si="0"/>
        <v>TSX:LUN_2025_NEO2</v>
      </c>
      <c r="C77" s="1" t="str">
        <f t="shared" si="12"/>
        <v>TSX:LUN_2025_</v>
      </c>
      <c r="D77" s="114" t="str">
        <f t="shared" si="67"/>
        <v>TSX:LUN</v>
      </c>
      <c r="E77" s="133" t="str">
        <f>_xll.ciqfunctions.udf.CIQ(D77,"IQ_Company_Name")</f>
        <v>Lundin Mining Corporation</v>
      </c>
      <c r="F77" s="114">
        <f t="shared" si="57"/>
        <v>2025</v>
      </c>
      <c r="G77" s="114" t="str">
        <f t="shared" si="30"/>
        <v>2025-01-01</v>
      </c>
      <c r="H77" s="330" t="str">
        <f t="shared" si="59"/>
        <v>2025-12-31</v>
      </c>
      <c r="I77" s="114">
        <f t="shared" si="44"/>
        <v>12</v>
      </c>
      <c r="J77" s="407" t="s">
        <v>285</v>
      </c>
      <c r="K77" s="439">
        <f t="shared" si="14"/>
        <v>1.3974500000000001</v>
      </c>
      <c r="L77" s="445" t="s">
        <v>360</v>
      </c>
      <c r="M77" s="445"/>
      <c r="N77" s="351" t="s">
        <v>108</v>
      </c>
      <c r="O77" s="217" t="s">
        <v>326</v>
      </c>
      <c r="P77" s="218" t="s">
        <v>325</v>
      </c>
      <c r="Q77" s="219">
        <v>450809</v>
      </c>
      <c r="R77" s="962">
        <v>630000</v>
      </c>
      <c r="S77" s="311">
        <v>450809</v>
      </c>
      <c r="T77" s="968">
        <v>630000</v>
      </c>
      <c r="U77" s="424">
        <f>434351-100000/K77</f>
        <v>362792.08912662347</v>
      </c>
      <c r="V77" s="125">
        <f t="shared" si="65"/>
        <v>506983.80495000002</v>
      </c>
      <c r="W77" s="127">
        <f t="shared" si="37"/>
        <v>0.80473619833333332</v>
      </c>
      <c r="X77" s="128">
        <f>IFERROR(AVERAGE(W77:W79),"N/A")</f>
        <v>0.8984166614513952</v>
      </c>
      <c r="Y77" s="223">
        <v>0.75</v>
      </c>
      <c r="Z77" s="129">
        <f t="shared" si="38"/>
        <v>472500</v>
      </c>
      <c r="AA77" s="124">
        <f t="shared" si="47"/>
        <v>1136983.80495</v>
      </c>
      <c r="AB77" s="130">
        <f t="shared" si="48"/>
        <v>1102500</v>
      </c>
      <c r="AC77" s="221" t="s">
        <v>78</v>
      </c>
      <c r="AD77" s="225">
        <v>518839</v>
      </c>
      <c r="AE77" s="225">
        <v>434351</v>
      </c>
      <c r="AF77" s="225" t="s">
        <v>78</v>
      </c>
      <c r="AG77" s="225" t="s">
        <v>78</v>
      </c>
      <c r="AH77" s="125">
        <f t="shared" si="39"/>
        <v>953190</v>
      </c>
      <c r="AI77" s="127">
        <f t="shared" si="49"/>
        <v>2.1143418500000002</v>
      </c>
      <c r="AJ77" s="128">
        <f>IFERROR(AVERAGE(AI77:AI79),"N/A")</f>
        <v>1.6558519761689148</v>
      </c>
      <c r="AK77" s="223" t="s">
        <v>78</v>
      </c>
      <c r="AL77" s="131">
        <f t="shared" si="40"/>
        <v>1043186.7449864163</v>
      </c>
      <c r="AM77" s="368">
        <f t="shared" si="63"/>
        <v>1332035.3655000001</v>
      </c>
      <c r="AN77" s="375">
        <f t="shared" si="54"/>
        <v>2469019.1704500001</v>
      </c>
      <c r="AO77" s="376">
        <f t="shared" si="50"/>
        <v>2145686.7449864163</v>
      </c>
      <c r="AP77" s="394" t="s">
        <v>489</v>
      </c>
      <c r="AQ77" s="394" t="s">
        <v>489</v>
      </c>
      <c r="AR77" s="396" t="str">
        <f t="shared" si="42"/>
        <v>-</v>
      </c>
      <c r="AS77" s="397" t="str">
        <f>IFERROR(AVERAGE(AR77:AR79),"N/A")</f>
        <v>N/A</v>
      </c>
      <c r="AT77" s="401">
        <v>103128</v>
      </c>
      <c r="AU77" s="396">
        <f t="shared" si="43"/>
        <v>144116.2236</v>
      </c>
      <c r="AV77" s="397">
        <f>IFERROR(AVERAGE(AU77:AU79),"N/A")</f>
        <v>279776.45914548822</v>
      </c>
      <c r="AW77" s="388">
        <f t="shared" si="51"/>
        <v>2613135.3940500002</v>
      </c>
      <c r="AX77" s="389">
        <f t="shared" si="52"/>
        <v>2289802.9685864164</v>
      </c>
      <c r="AY77" s="423" t="s">
        <v>613</v>
      </c>
      <c r="AZ77" s="403" t="s">
        <v>548</v>
      </c>
      <c r="BA77" s="404" t="s">
        <v>353</v>
      </c>
    </row>
    <row r="78" spans="1:53" ht="15" customHeight="1">
      <c r="A78" s="1" t="str">
        <f t="shared" si="11"/>
        <v>TSX:LUN_2024_Legal</v>
      </c>
      <c r="B78" s="1" t="str">
        <f t="shared" si="0"/>
        <v>TSX:LUN_2024_NEO2</v>
      </c>
      <c r="C78" s="1" t="str">
        <f t="shared" si="12"/>
        <v>TSX:LUN_2024_</v>
      </c>
      <c r="D78" s="114" t="str">
        <f t="shared" si="67"/>
        <v>TSX:LUN</v>
      </c>
      <c r="E78" s="133" t="str">
        <f>_xll.ciqfunctions.udf.CIQ(D78,"IQ_Company_Name")</f>
        <v>Lundin Mining Corporation</v>
      </c>
      <c r="F78" s="114">
        <f t="shared" si="57"/>
        <v>2024</v>
      </c>
      <c r="G78" s="114" t="str">
        <f t="shared" si="30"/>
        <v>2024-01-01</v>
      </c>
      <c r="H78" s="330" t="str">
        <f t="shared" si="59"/>
        <v>2024-12-31</v>
      </c>
      <c r="I78" s="114">
        <f t="shared" si="44"/>
        <v>12</v>
      </c>
      <c r="J78" s="407" t="s">
        <v>285</v>
      </c>
      <c r="K78" s="439">
        <f t="shared" si="14"/>
        <v>1.3701700000000001</v>
      </c>
      <c r="L78" s="445" t="s">
        <v>360</v>
      </c>
      <c r="M78" s="445"/>
      <c r="N78" s="122" t="str">
        <f t="shared" ref="N78:P79" si="69">N77</f>
        <v>NEO2</v>
      </c>
      <c r="O78" s="123" t="str">
        <f t="shared" si="69"/>
        <v>General Counsel</v>
      </c>
      <c r="P78" s="132" t="str">
        <f t="shared" si="69"/>
        <v>Peter Brady</v>
      </c>
      <c r="Q78" s="219">
        <v>449037</v>
      </c>
      <c r="R78" s="125">
        <f>IFERROR(Q78*(12/$I78)*$K78,"-")</f>
        <v>615257.02629000007</v>
      </c>
      <c r="S78" s="311" t="s">
        <v>78</v>
      </c>
      <c r="T78" s="126" t="str">
        <f>IFERROR(IF((S78*$K78)=0,"-",(S78*$K78)),"-")</f>
        <v>-</v>
      </c>
      <c r="U78" s="424">
        <f>813377-100000/K78</f>
        <v>740393.35563470225</v>
      </c>
      <c r="V78" s="125">
        <f t="shared" si="65"/>
        <v>1014464.7640900001</v>
      </c>
      <c r="W78" s="127">
        <f t="shared" si="37"/>
        <v>1.6488471008729844</v>
      </c>
      <c r="X78" s="128"/>
      <c r="Y78" s="223" t="s">
        <v>78</v>
      </c>
      <c r="Z78" s="129">
        <f t="shared" si="38"/>
        <v>0</v>
      </c>
      <c r="AA78" s="124">
        <f t="shared" si="47"/>
        <v>1629721.7903800001</v>
      </c>
      <c r="AB78" s="130">
        <f t="shared" si="48"/>
        <v>615257.02629000007</v>
      </c>
      <c r="AC78" s="221" t="s">
        <v>78</v>
      </c>
      <c r="AD78" s="221">
        <f>339458</f>
        <v>339458</v>
      </c>
      <c r="AE78" s="225">
        <v>339661</v>
      </c>
      <c r="AF78" s="225" t="s">
        <v>78</v>
      </c>
      <c r="AG78" s="225" t="s">
        <v>78</v>
      </c>
      <c r="AH78" s="125">
        <f t="shared" si="39"/>
        <v>679119</v>
      </c>
      <c r="AI78" s="127">
        <f t="shared" si="49"/>
        <v>1.5123898476072128</v>
      </c>
      <c r="AJ78" s="128"/>
      <c r="AK78" s="223" t="s">
        <v>78</v>
      </c>
      <c r="AL78" s="131">
        <f t="shared" si="40"/>
        <v>0</v>
      </c>
      <c r="AM78" s="368">
        <f t="shared" si="63"/>
        <v>930508.4802300001</v>
      </c>
      <c r="AN78" s="375">
        <f t="shared" si="54"/>
        <v>2560230.27061</v>
      </c>
      <c r="AO78" s="376">
        <f t="shared" si="50"/>
        <v>615257.02629000007</v>
      </c>
      <c r="AP78" s="394" t="s">
        <v>489</v>
      </c>
      <c r="AQ78" s="394" t="s">
        <v>489</v>
      </c>
      <c r="AR78" s="396" t="str">
        <f t="shared" si="42"/>
        <v>-</v>
      </c>
      <c r="AS78" s="397"/>
      <c r="AT78" s="401">
        <v>205055</v>
      </c>
      <c r="AU78" s="396">
        <f t="shared" si="43"/>
        <v>280960.20935000002</v>
      </c>
      <c r="AV78" s="397"/>
      <c r="AW78" s="388">
        <f t="shared" si="51"/>
        <v>2841190.4799600001</v>
      </c>
      <c r="AX78" s="389">
        <f t="shared" si="52"/>
        <v>896217.23564000009</v>
      </c>
      <c r="AY78" s="353" t="s">
        <v>78</v>
      </c>
      <c r="AZ78" s="403" t="s">
        <v>548</v>
      </c>
      <c r="BA78" s="404" t="s">
        <v>353</v>
      </c>
    </row>
    <row r="79" spans="1:53" ht="15" customHeight="1">
      <c r="A79" s="1" t="str">
        <f t="shared" si="11"/>
        <v>TSX:LUN_2023_Legal</v>
      </c>
      <c r="B79" s="1" t="str">
        <f t="shared" si="0"/>
        <v>TSX:LUN_2023_NEO2</v>
      </c>
      <c r="C79" s="1" t="str">
        <f t="shared" si="12"/>
        <v>TSX:LUN_2023_</v>
      </c>
      <c r="D79" s="114" t="str">
        <f t="shared" si="67"/>
        <v>TSX:LUN</v>
      </c>
      <c r="E79" s="133" t="str">
        <f>_xll.ciqfunctions.udf.CIQ(D79,"IQ_Company_Name")</f>
        <v>Lundin Mining Corporation</v>
      </c>
      <c r="F79" s="114">
        <f t="shared" si="57"/>
        <v>2023</v>
      </c>
      <c r="G79" s="438">
        <v>45192</v>
      </c>
      <c r="H79" s="330" t="str">
        <f t="shared" si="59"/>
        <v>2023-12-31</v>
      </c>
      <c r="I79" s="114">
        <f t="shared" si="44"/>
        <v>3.2637362637362637</v>
      </c>
      <c r="J79" s="407" t="s">
        <v>285</v>
      </c>
      <c r="K79" s="439">
        <f t="shared" si="14"/>
        <v>1.34954</v>
      </c>
      <c r="L79" s="445" t="s">
        <v>360</v>
      </c>
      <c r="M79" s="445"/>
      <c r="N79" s="122" t="str">
        <f t="shared" si="69"/>
        <v>NEO2</v>
      </c>
      <c r="O79" s="123" t="str">
        <f t="shared" si="69"/>
        <v>General Counsel</v>
      </c>
      <c r="P79" s="132" t="str">
        <f t="shared" si="69"/>
        <v>Peter Brady</v>
      </c>
      <c r="Q79" s="219">
        <v>122709</v>
      </c>
      <c r="R79" s="125">
        <f>IFERROR(Q79*(12/$I79)*$K79,"-")</f>
        <v>608875.31520242419</v>
      </c>
      <c r="S79" s="311" t="s">
        <v>78</v>
      </c>
      <c r="T79" s="126" t="str">
        <f>IFERROR(IF((S79*$K79)=0,"-",(S79*$K79)),"-")</f>
        <v>-</v>
      </c>
      <c r="U79" s="424">
        <f>103754-100000/K79</f>
        <v>29654.677267809777</v>
      </c>
      <c r="V79" s="125">
        <f t="shared" si="65"/>
        <v>147144.87909333335</v>
      </c>
      <c r="W79" s="127">
        <f t="shared" si="37"/>
        <v>0.24166668514786835</v>
      </c>
      <c r="X79" s="128"/>
      <c r="Y79" s="223" t="s">
        <v>78</v>
      </c>
      <c r="Z79" s="129">
        <f t="shared" si="38"/>
        <v>0</v>
      </c>
      <c r="AA79" s="124">
        <f t="shared" si="47"/>
        <v>756020.19429575757</v>
      </c>
      <c r="AB79" s="130">
        <f t="shared" si="48"/>
        <v>608875.31520242419</v>
      </c>
      <c r="AC79" s="424">
        <f>0.33*987814-37000*6.71</f>
        <v>77708.62</v>
      </c>
      <c r="AD79" s="424">
        <f>0.67*987814-37000*6.71</f>
        <v>413565.38</v>
      </c>
      <c r="AE79" s="225">
        <v>113669</v>
      </c>
      <c r="AF79" s="225" t="s">
        <v>78</v>
      </c>
      <c r="AG79" s="225" t="s">
        <v>78</v>
      </c>
      <c r="AH79" s="125">
        <f t="shared" si="39"/>
        <v>604943</v>
      </c>
      <c r="AI79" s="127">
        <f t="shared" si="49"/>
        <v>1.3408242308995311</v>
      </c>
      <c r="AJ79" s="128"/>
      <c r="AK79" s="223" t="s">
        <v>78</v>
      </c>
      <c r="AL79" s="131">
        <f t="shared" si="40"/>
        <v>0</v>
      </c>
      <c r="AM79" s="368">
        <f t="shared" si="63"/>
        <v>816394.77622</v>
      </c>
      <c r="AN79" s="375">
        <f t="shared" si="54"/>
        <v>1572414.9705157576</v>
      </c>
      <c r="AO79" s="376">
        <f t="shared" si="50"/>
        <v>608875.31520242419</v>
      </c>
      <c r="AP79" s="394" t="s">
        <v>489</v>
      </c>
      <c r="AQ79" s="394" t="s">
        <v>489</v>
      </c>
      <c r="AR79" s="396" t="str">
        <f t="shared" si="42"/>
        <v>-</v>
      </c>
      <c r="AS79" s="397"/>
      <c r="AT79" s="401">
        <v>83486</v>
      </c>
      <c r="AU79" s="396">
        <f t="shared" si="43"/>
        <v>414252.94448646461</v>
      </c>
      <c r="AV79" s="397"/>
      <c r="AW79" s="388">
        <f t="shared" si="51"/>
        <v>1986667.9150022222</v>
      </c>
      <c r="AX79" s="389">
        <f t="shared" si="52"/>
        <v>1023128.2596888888</v>
      </c>
      <c r="AY79" s="353" t="s">
        <v>78</v>
      </c>
      <c r="AZ79" s="403" t="s">
        <v>548</v>
      </c>
      <c r="BA79" s="404" t="s">
        <v>353</v>
      </c>
    </row>
    <row r="80" spans="1:53" ht="15" customHeight="1">
      <c r="A80" s="1" t="str">
        <f t="shared" si="11"/>
        <v>TSX:LUN_2025_</v>
      </c>
      <c r="B80" s="1" t="str">
        <f t="shared" si="0"/>
        <v>TSX:LUN_2025_NEO3</v>
      </c>
      <c r="C80" s="1" t="str">
        <f t="shared" si="12"/>
        <v>TSX:LUN_2025_</v>
      </c>
      <c r="D80" s="114" t="str">
        <f t="shared" si="67"/>
        <v>TSX:LUN</v>
      </c>
      <c r="E80" s="133" t="str">
        <f>_xll.ciqfunctions.udf.CIQ(D80,"IQ_Company_Name")</f>
        <v>Lundin Mining Corporation</v>
      </c>
      <c r="F80" s="114">
        <f t="shared" si="57"/>
        <v>2025</v>
      </c>
      <c r="G80" s="114" t="str">
        <f t="shared" si="30"/>
        <v>2025-01-01</v>
      </c>
      <c r="H80" s="330" t="str">
        <f t="shared" si="59"/>
        <v>2025-12-31</v>
      </c>
      <c r="I80" s="114">
        <f t="shared" si="44"/>
        <v>12</v>
      </c>
      <c r="J80" s="407" t="s">
        <v>285</v>
      </c>
      <c r="K80" s="439">
        <f t="shared" si="14"/>
        <v>1.3974500000000001</v>
      </c>
      <c r="L80" s="445"/>
      <c r="M80" s="445"/>
      <c r="N80" s="351" t="s">
        <v>109</v>
      </c>
      <c r="O80" s="217" t="s">
        <v>553</v>
      </c>
      <c r="P80" s="218" t="s">
        <v>585</v>
      </c>
      <c r="Q80" s="219">
        <v>300539</v>
      </c>
      <c r="R80" s="962">
        <v>420000</v>
      </c>
      <c r="S80" s="311">
        <v>304117</v>
      </c>
      <c r="T80" s="968">
        <v>425000</v>
      </c>
      <c r="U80" s="424">
        <f>178821-150000/K80</f>
        <v>71482.633689935246</v>
      </c>
      <c r="V80" s="125">
        <f t="shared" si="65"/>
        <v>99893.406450000009</v>
      </c>
      <c r="W80" s="127">
        <f t="shared" si="37"/>
        <v>0.23784144392857146</v>
      </c>
      <c r="X80" s="128">
        <f>IFERROR(AVERAGE(W80:W82),"N/A")</f>
        <v>0.26079993620726949</v>
      </c>
      <c r="Y80" s="223">
        <v>0.5</v>
      </c>
      <c r="Z80" s="129">
        <f t="shared" si="38"/>
        <v>210000</v>
      </c>
      <c r="AA80" s="124">
        <f t="shared" si="47"/>
        <v>519893.40645000001</v>
      </c>
      <c r="AB80" s="130">
        <f t="shared" si="48"/>
        <v>630000</v>
      </c>
      <c r="AC80" s="221">
        <f>315170*0.333333333</f>
        <v>105056.66656161001</v>
      </c>
      <c r="AD80" s="221">
        <f>315170*0.6666666667</f>
        <v>210113.33334383898</v>
      </c>
      <c r="AE80" s="225">
        <v>209999</v>
      </c>
      <c r="AF80" s="225" t="s">
        <v>78</v>
      </c>
      <c r="AG80" s="225" t="s">
        <v>78</v>
      </c>
      <c r="AH80" s="125">
        <f t="shared" si="39"/>
        <v>525168.99990544899</v>
      </c>
      <c r="AI80" s="127">
        <f t="shared" si="49"/>
        <v>1.7473748069473087</v>
      </c>
      <c r="AJ80" s="128">
        <f>IFERROR(AVERAGE(AI80:AI82),"N/A")</f>
        <v>1.3776224912405859</v>
      </c>
      <c r="AK80" s="223" t="s">
        <v>78</v>
      </c>
      <c r="AL80" s="131">
        <f t="shared" si="40"/>
        <v>578601.4463210461</v>
      </c>
      <c r="AM80" s="368">
        <f t="shared" si="63"/>
        <v>733897.41891786968</v>
      </c>
      <c r="AN80" s="375">
        <f t="shared" si="54"/>
        <v>1253790.8253678698</v>
      </c>
      <c r="AO80" s="376">
        <f t="shared" si="50"/>
        <v>1208601.446321046</v>
      </c>
      <c r="AP80" s="394" t="s">
        <v>489</v>
      </c>
      <c r="AQ80" s="394" t="s">
        <v>489</v>
      </c>
      <c r="AR80" s="396" t="str">
        <f t="shared" si="42"/>
        <v>-</v>
      </c>
      <c r="AS80" s="397" t="str">
        <f>IFERROR(AVERAGE(AR80:AR82),"N/A")</f>
        <v>N/A</v>
      </c>
      <c r="AT80" s="401">
        <v>166905</v>
      </c>
      <c r="AU80" s="396">
        <f t="shared" si="43"/>
        <v>233241.39225</v>
      </c>
      <c r="AV80" s="397">
        <f>IFERROR(AVERAGE(AU80:AU82),"N/A")</f>
        <v>197785.45641500002</v>
      </c>
      <c r="AW80" s="388">
        <f t="shared" si="51"/>
        <v>1487032.2176178698</v>
      </c>
      <c r="AX80" s="389">
        <f t="shared" si="52"/>
        <v>1441842.838571046</v>
      </c>
      <c r="AY80" s="353" t="s">
        <v>614</v>
      </c>
      <c r="AZ80" s="403" t="s">
        <v>548</v>
      </c>
      <c r="BA80" s="404" t="s">
        <v>353</v>
      </c>
    </row>
    <row r="81" spans="1:54" ht="15" customHeight="1">
      <c r="A81" s="1" t="str">
        <f t="shared" si="11"/>
        <v>TSX:LUN_2024_</v>
      </c>
      <c r="B81" s="1" t="str">
        <f t="shared" si="0"/>
        <v>TSX:LUN_2024_NEO3</v>
      </c>
      <c r="C81" s="1" t="str">
        <f t="shared" si="12"/>
        <v>TSX:LUN_2024_</v>
      </c>
      <c r="D81" s="114" t="str">
        <f t="shared" si="67"/>
        <v>TSX:LUN</v>
      </c>
      <c r="E81" s="133" t="str">
        <f>_xll.ciqfunctions.udf.CIQ(D81,"IQ_Company_Name")</f>
        <v>Lundin Mining Corporation</v>
      </c>
      <c r="F81" s="114">
        <f t="shared" si="57"/>
        <v>2024</v>
      </c>
      <c r="G81" s="114" t="str">
        <f t="shared" si="30"/>
        <v>2024-01-01</v>
      </c>
      <c r="H81" s="330" t="str">
        <f t="shared" si="59"/>
        <v>2024-12-31</v>
      </c>
      <c r="I81" s="114">
        <f t="shared" si="44"/>
        <v>12</v>
      </c>
      <c r="J81" s="407" t="s">
        <v>285</v>
      </c>
      <c r="K81" s="439">
        <f t="shared" si="14"/>
        <v>1.3701700000000001</v>
      </c>
      <c r="L81" s="445"/>
      <c r="M81" s="445"/>
      <c r="N81" s="122" t="str">
        <f t="shared" ref="N81:P82" si="70">N80</f>
        <v>NEO3</v>
      </c>
      <c r="O81" s="123" t="str">
        <f t="shared" si="70"/>
        <v>VP, Sustainability</v>
      </c>
      <c r="P81" s="132" t="str">
        <f t="shared" si="70"/>
        <v>Nathan Monash</v>
      </c>
      <c r="Q81" s="219">
        <v>299358</v>
      </c>
      <c r="R81" s="125">
        <f t="shared" ref="R81:R94" si="71">IFERROR(Q81*(12/$I81)*$K81,"-")</f>
        <v>410171.35086000001</v>
      </c>
      <c r="S81" s="311" t="s">
        <v>78</v>
      </c>
      <c r="T81" s="126" t="str">
        <f t="shared" ref="T81:T144" si="72">IFERROR(IF((S81*$K81)=0,"-",(S81*$K81)),"-")</f>
        <v>-</v>
      </c>
      <c r="U81" s="424">
        <f>157929-100000/K81</f>
        <v>84945.355634702268</v>
      </c>
      <c r="V81" s="125">
        <f t="shared" si="65"/>
        <v>116389.57793000001</v>
      </c>
      <c r="W81" s="127">
        <f t="shared" si="37"/>
        <v>0.28375842848596755</v>
      </c>
      <c r="X81" s="128"/>
      <c r="Y81" s="223" t="s">
        <v>78</v>
      </c>
      <c r="Z81" s="129">
        <f t="shared" si="38"/>
        <v>0</v>
      </c>
      <c r="AA81" s="124">
        <f t="shared" si="47"/>
        <v>526560.92879000003</v>
      </c>
      <c r="AB81" s="130">
        <f t="shared" si="48"/>
        <v>410171.35086000001</v>
      </c>
      <c r="AC81" s="225">
        <f>0.333333333333*226248</f>
        <v>75415.999999924592</v>
      </c>
      <c r="AD81" s="225">
        <f>0.6666666667*226248</f>
        <v>150832.00000754159</v>
      </c>
      <c r="AE81" s="225">
        <v>75466</v>
      </c>
      <c r="AF81" s="225" t="s">
        <v>78</v>
      </c>
      <c r="AG81" s="225" t="s">
        <v>78</v>
      </c>
      <c r="AH81" s="125">
        <f t="shared" si="39"/>
        <v>301714.00000746618</v>
      </c>
      <c r="AI81" s="127">
        <f t="shared" si="49"/>
        <v>1.007870175533863</v>
      </c>
      <c r="AJ81" s="128"/>
      <c r="AK81" s="223" t="s">
        <v>78</v>
      </c>
      <c r="AL81" s="131">
        <f t="shared" si="40"/>
        <v>0</v>
      </c>
      <c r="AM81" s="368">
        <f t="shared" si="63"/>
        <v>413399.47139022994</v>
      </c>
      <c r="AN81" s="375">
        <f t="shared" si="54"/>
        <v>939960.40018022992</v>
      </c>
      <c r="AO81" s="376">
        <f t="shared" si="50"/>
        <v>410171.35086000001</v>
      </c>
      <c r="AP81" s="394" t="s">
        <v>489</v>
      </c>
      <c r="AQ81" s="394" t="s">
        <v>489</v>
      </c>
      <c r="AR81" s="396" t="str">
        <f t="shared" si="42"/>
        <v>-</v>
      </c>
      <c r="AS81" s="397"/>
      <c r="AT81" s="401">
        <v>118474</v>
      </c>
      <c r="AU81" s="396">
        <f t="shared" si="43"/>
        <v>162329.52058000001</v>
      </c>
      <c r="AV81" s="397"/>
      <c r="AW81" s="388">
        <f t="shared" si="51"/>
        <v>1102289.9207602299</v>
      </c>
      <c r="AX81" s="389">
        <f t="shared" si="52"/>
        <v>572500.87144000002</v>
      </c>
      <c r="AY81" s="353" t="s">
        <v>78</v>
      </c>
      <c r="AZ81" s="403" t="s">
        <v>548</v>
      </c>
      <c r="BA81" s="404" t="s">
        <v>353</v>
      </c>
    </row>
    <row r="82" spans="1:54" ht="15" customHeight="1">
      <c r="A82" s="1" t="str">
        <f t="shared" si="11"/>
        <v>TSX:LUN_2023_</v>
      </c>
      <c r="B82" s="1" t="str">
        <f t="shared" si="0"/>
        <v>TSX:LUN_2023_NEO3</v>
      </c>
      <c r="C82" s="1" t="str">
        <f t="shared" si="12"/>
        <v>TSX:LUN_2023_</v>
      </c>
      <c r="D82" s="203" t="str">
        <f t="shared" si="67"/>
        <v>TSX:LUN</v>
      </c>
      <c r="E82" s="205" t="str">
        <f>_xll.ciqfunctions.udf.CIQ(D82,"IQ_Company_Name")</f>
        <v>Lundin Mining Corporation</v>
      </c>
      <c r="F82" s="204">
        <f t="shared" si="57"/>
        <v>2023</v>
      </c>
      <c r="G82" s="953" t="str">
        <f>F82&amp;"-09-01"</f>
        <v>2023-09-01</v>
      </c>
      <c r="H82" s="331" t="str">
        <f t="shared" si="59"/>
        <v>2023-12-31</v>
      </c>
      <c r="I82" s="204">
        <f t="shared" si="44"/>
        <v>3.9890109890109891</v>
      </c>
      <c r="J82" s="408" t="s">
        <v>285</v>
      </c>
      <c r="K82" s="441">
        <f t="shared" si="14"/>
        <v>1.34954</v>
      </c>
      <c r="L82" s="454"/>
      <c r="M82" s="454"/>
      <c r="N82" s="956" t="str">
        <f t="shared" si="70"/>
        <v>NEO3</v>
      </c>
      <c r="O82" s="206" t="str">
        <f t="shared" si="70"/>
        <v>VP, Sustainability</v>
      </c>
      <c r="P82" s="207" t="str">
        <f t="shared" si="70"/>
        <v>Nathan Monash</v>
      </c>
      <c r="Q82" s="220" t="s">
        <v>78</v>
      </c>
      <c r="R82" s="209" t="str">
        <f t="shared" si="71"/>
        <v>-</v>
      </c>
      <c r="S82" s="312" t="s">
        <v>78</v>
      </c>
      <c r="T82" s="329" t="str">
        <f t="shared" si="72"/>
        <v>-</v>
      </c>
      <c r="U82" s="222" t="s">
        <v>78</v>
      </c>
      <c r="V82" s="209" t="str">
        <f t="shared" si="65"/>
        <v>-</v>
      </c>
      <c r="W82" s="211" t="str">
        <f t="shared" si="37"/>
        <v>-</v>
      </c>
      <c r="X82" s="212"/>
      <c r="Y82" s="224" t="s">
        <v>78</v>
      </c>
      <c r="Z82" s="213" t="str">
        <f t="shared" si="38"/>
        <v>-</v>
      </c>
      <c r="AA82" s="208" t="str">
        <f t="shared" si="47"/>
        <v>-</v>
      </c>
      <c r="AB82" s="214" t="str">
        <f t="shared" si="48"/>
        <v>-</v>
      </c>
      <c r="AC82" s="222" t="s">
        <v>78</v>
      </c>
      <c r="AD82" s="226" t="s">
        <v>78</v>
      </c>
      <c r="AE82" s="226" t="s">
        <v>78</v>
      </c>
      <c r="AF82" s="226" t="s">
        <v>78</v>
      </c>
      <c r="AG82" s="226" t="s">
        <v>78</v>
      </c>
      <c r="AH82" s="418" t="str">
        <f t="shared" si="39"/>
        <v>-</v>
      </c>
      <c r="AI82" s="211" t="str">
        <f t="shared" si="49"/>
        <v>-</v>
      </c>
      <c r="AJ82" s="212"/>
      <c r="AK82" s="224" t="s">
        <v>78</v>
      </c>
      <c r="AL82" s="215" t="str">
        <f t="shared" si="40"/>
        <v>-</v>
      </c>
      <c r="AM82" s="369" t="str">
        <f t="shared" si="63"/>
        <v>-</v>
      </c>
      <c r="AN82" s="377" t="str">
        <f t="shared" si="54"/>
        <v>-</v>
      </c>
      <c r="AO82" s="378" t="str">
        <f t="shared" si="50"/>
        <v>-</v>
      </c>
      <c r="AP82" s="398" t="s">
        <v>78</v>
      </c>
      <c r="AQ82" s="399" t="s">
        <v>78</v>
      </c>
      <c r="AR82" s="951" t="str">
        <f t="shared" si="42"/>
        <v>-</v>
      </c>
      <c r="AS82" s="400"/>
      <c r="AT82" s="402" t="s">
        <v>78</v>
      </c>
      <c r="AU82" s="396" t="str">
        <f t="shared" si="43"/>
        <v>-</v>
      </c>
      <c r="AV82" s="400"/>
      <c r="AW82" s="390" t="str">
        <f t="shared" si="51"/>
        <v>-</v>
      </c>
      <c r="AX82" s="391" t="str">
        <f t="shared" si="52"/>
        <v>-</v>
      </c>
      <c r="AY82" s="354" t="s">
        <v>78</v>
      </c>
      <c r="AZ82" s="405" t="s">
        <v>548</v>
      </c>
      <c r="BA82" s="404" t="s">
        <v>353</v>
      </c>
    </row>
    <row r="83" spans="1:54" ht="15" customHeight="1">
      <c r="A83" s="1" t="str">
        <f t="shared" si="11"/>
        <v>TSX:PAAS_2025_</v>
      </c>
      <c r="B83" s="1" t="str">
        <f t="shared" si="0"/>
        <v>TSX:PAAS_2025_CEO</v>
      </c>
      <c r="C83" s="1" t="str">
        <f t="shared" si="12"/>
        <v>TSX:PAAS_2025_</v>
      </c>
      <c r="D83" s="216" t="str">
        <f>E7</f>
        <v>TSX:PAAS</v>
      </c>
      <c r="E83" s="133" t="str">
        <f>_xll.ciqfunctions.udf.CIQ(D83,"IQ_Company_Name")</f>
        <v>Pan American Silver Corp.</v>
      </c>
      <c r="F83" s="328">
        <f>$G$9</f>
        <v>2025</v>
      </c>
      <c r="G83" s="330" t="str">
        <f t="shared" si="30"/>
        <v>2025-01-01</v>
      </c>
      <c r="H83" s="330" t="str">
        <f t="shared" si="59"/>
        <v>2025-12-31</v>
      </c>
      <c r="I83" s="114">
        <f t="shared" si="44"/>
        <v>12</v>
      </c>
      <c r="J83" s="328" t="s">
        <v>2</v>
      </c>
      <c r="K83" s="439">
        <f t="shared" si="14"/>
        <v>1</v>
      </c>
      <c r="L83" s="445"/>
      <c r="M83" s="445"/>
      <c r="N83" s="351" t="s">
        <v>79</v>
      </c>
      <c r="O83" s="217" t="s">
        <v>269</v>
      </c>
      <c r="P83" s="218" t="s">
        <v>331</v>
      </c>
      <c r="Q83" s="219">
        <v>1562300</v>
      </c>
      <c r="R83" s="125">
        <f t="shared" si="71"/>
        <v>1562300</v>
      </c>
      <c r="S83" s="434" t="s">
        <v>78</v>
      </c>
      <c r="T83" s="126" t="str">
        <f t="shared" si="72"/>
        <v>-</v>
      </c>
      <c r="U83" s="221">
        <v>2856080</v>
      </c>
      <c r="V83" s="125">
        <f t="shared" si="65"/>
        <v>2856080</v>
      </c>
      <c r="W83" s="127">
        <f t="shared" si="37"/>
        <v>1.8281252000256032</v>
      </c>
      <c r="X83" s="128">
        <f>IFERROR(AVERAGE(W83:W85),"N/A")</f>
        <v>1.4841238271505344</v>
      </c>
      <c r="Y83" s="223">
        <v>1.25</v>
      </c>
      <c r="Z83" s="129">
        <f t="shared" si="38"/>
        <v>1952875</v>
      </c>
      <c r="AA83" s="124">
        <f t="shared" si="47"/>
        <v>4418380</v>
      </c>
      <c r="AB83" s="130">
        <f t="shared" si="48"/>
        <v>3515175</v>
      </c>
      <c r="AC83" s="424">
        <v>1952700</v>
      </c>
      <c r="AD83" s="225">
        <v>2734200</v>
      </c>
      <c r="AE83" s="225" t="s">
        <v>78</v>
      </c>
      <c r="AF83" s="225" t="s">
        <v>78</v>
      </c>
      <c r="AG83" s="225" t="s">
        <v>78</v>
      </c>
      <c r="AH83" s="125">
        <f t="shared" si="39"/>
        <v>4686900</v>
      </c>
      <c r="AI83" s="127">
        <f t="shared" si="49"/>
        <v>3</v>
      </c>
      <c r="AJ83" s="128">
        <f>IFERROR(AVERAGE(AI83:AI85),"N/A")</f>
        <v>2.916711690377205</v>
      </c>
      <c r="AK83" s="223">
        <v>3</v>
      </c>
      <c r="AL83" s="131">
        <f t="shared" si="40"/>
        <v>4686900</v>
      </c>
      <c r="AM83" s="368">
        <f t="shared" si="63"/>
        <v>4686900</v>
      </c>
      <c r="AN83" s="375">
        <f t="shared" si="54"/>
        <v>9105280</v>
      </c>
      <c r="AO83" s="376">
        <f t="shared" si="50"/>
        <v>8202075</v>
      </c>
      <c r="AP83" s="394">
        <v>703035</v>
      </c>
      <c r="AQ83" s="395" t="s">
        <v>271</v>
      </c>
      <c r="AR83" s="396">
        <f t="shared" si="42"/>
        <v>703035</v>
      </c>
      <c r="AS83" s="409">
        <f>IFERROR(AVERAGE(AR83:AR85),"N/A")</f>
        <v>663150</v>
      </c>
      <c r="AT83" s="401" t="s">
        <v>78</v>
      </c>
      <c r="AU83" s="396" t="str">
        <f t="shared" si="43"/>
        <v>-</v>
      </c>
      <c r="AV83" s="409" t="str">
        <f>IFERROR(AVERAGE(AU83:AU85),"N/A")</f>
        <v>N/A</v>
      </c>
      <c r="AW83" s="388">
        <f t="shared" si="51"/>
        <v>9808315</v>
      </c>
      <c r="AX83" s="389">
        <f t="shared" si="52"/>
        <v>8905110</v>
      </c>
      <c r="AY83" s="353" t="s">
        <v>615</v>
      </c>
      <c r="AZ83" s="403" t="s">
        <v>548</v>
      </c>
      <c r="BA83" s="404" t="s">
        <v>353</v>
      </c>
    </row>
    <row r="84" spans="1:54" ht="15" customHeight="1">
      <c r="A84" s="1" t="str">
        <f t="shared" si="11"/>
        <v>TSX:PAAS_2024_</v>
      </c>
      <c r="B84" s="1" t="str">
        <f t="shared" si="0"/>
        <v>TSX:PAAS_2024_CEO</v>
      </c>
      <c r="C84" s="1" t="str">
        <f t="shared" si="12"/>
        <v>TSX:PAAS_2024_</v>
      </c>
      <c r="D84" s="114" t="str">
        <f>D83</f>
        <v>TSX:PAAS</v>
      </c>
      <c r="E84" s="133" t="str">
        <f>_xll.ciqfunctions.udf.CIQ(D84,"IQ_Company_Name")</f>
        <v>Pan American Silver Corp.</v>
      </c>
      <c r="F84" s="328">
        <f>$G$10</f>
        <v>2024</v>
      </c>
      <c r="G84" s="330" t="str">
        <f t="shared" si="30"/>
        <v>2024-01-01</v>
      </c>
      <c r="H84" s="330" t="str">
        <f t="shared" si="59"/>
        <v>2024-12-31</v>
      </c>
      <c r="I84" s="114">
        <f t="shared" si="44"/>
        <v>12</v>
      </c>
      <c r="J84" s="407" t="s">
        <v>2</v>
      </c>
      <c r="K84" s="439">
        <f t="shared" si="14"/>
        <v>1</v>
      </c>
      <c r="L84" s="445"/>
      <c r="M84" s="445"/>
      <c r="N84" s="122" t="str">
        <f t="shared" ref="N84:P85" si="73">N83</f>
        <v>CEO</v>
      </c>
      <c r="O84" s="123" t="str">
        <f t="shared" si="73"/>
        <v>President &amp; CEO</v>
      </c>
      <c r="P84" s="132" t="str">
        <f t="shared" si="73"/>
        <v>Michael Steinmann</v>
      </c>
      <c r="Q84" s="219">
        <v>1508000</v>
      </c>
      <c r="R84" s="125">
        <f t="shared" si="71"/>
        <v>1508000</v>
      </c>
      <c r="S84" s="434" t="s">
        <v>78</v>
      </c>
      <c r="T84" s="126" t="str">
        <f t="shared" si="72"/>
        <v>-</v>
      </c>
      <c r="U84" s="221">
        <v>1932130</v>
      </c>
      <c r="V84" s="125">
        <f t="shared" si="65"/>
        <v>1932130</v>
      </c>
      <c r="W84" s="127">
        <f t="shared" si="37"/>
        <v>1.2812533156498673</v>
      </c>
      <c r="X84" s="128"/>
      <c r="Y84" s="223" t="s">
        <v>78</v>
      </c>
      <c r="Z84" s="129">
        <f t="shared" si="38"/>
        <v>0</v>
      </c>
      <c r="AA84" s="124">
        <f t="shared" si="47"/>
        <v>3440130</v>
      </c>
      <c r="AB84" s="130">
        <f t="shared" si="48"/>
        <v>1508000</v>
      </c>
      <c r="AC84" s="221">
        <v>1885000</v>
      </c>
      <c r="AD84" s="225">
        <v>2412800</v>
      </c>
      <c r="AE84" s="225" t="s">
        <v>78</v>
      </c>
      <c r="AF84" s="225" t="s">
        <v>78</v>
      </c>
      <c r="AG84" s="225" t="s">
        <v>78</v>
      </c>
      <c r="AH84" s="125">
        <f t="shared" si="39"/>
        <v>4297800</v>
      </c>
      <c r="AI84" s="127">
        <f t="shared" si="49"/>
        <v>2.85</v>
      </c>
      <c r="AJ84" s="128"/>
      <c r="AK84" s="223" t="s">
        <v>78</v>
      </c>
      <c r="AL84" s="131">
        <f t="shared" si="40"/>
        <v>0</v>
      </c>
      <c r="AM84" s="368">
        <f t="shared" si="63"/>
        <v>4297800</v>
      </c>
      <c r="AN84" s="375">
        <f t="shared" si="54"/>
        <v>7737930</v>
      </c>
      <c r="AO84" s="376">
        <f t="shared" si="50"/>
        <v>1508000</v>
      </c>
      <c r="AP84" s="394">
        <v>678600</v>
      </c>
      <c r="AQ84" s="395" t="s">
        <v>271</v>
      </c>
      <c r="AR84" s="396">
        <f t="shared" si="42"/>
        <v>678600</v>
      </c>
      <c r="AS84" s="397"/>
      <c r="AT84" s="401" t="s">
        <v>78</v>
      </c>
      <c r="AU84" s="396" t="str">
        <f t="shared" si="43"/>
        <v>-</v>
      </c>
      <c r="AV84" s="397"/>
      <c r="AW84" s="388">
        <f t="shared" si="51"/>
        <v>8416530</v>
      </c>
      <c r="AX84" s="389">
        <f t="shared" si="52"/>
        <v>2186600</v>
      </c>
      <c r="AY84" s="353" t="s">
        <v>78</v>
      </c>
      <c r="AZ84" s="403" t="s">
        <v>548</v>
      </c>
      <c r="BA84" s="404" t="s">
        <v>353</v>
      </c>
    </row>
    <row r="85" spans="1:54" ht="15" customHeight="1">
      <c r="A85" s="1" t="str">
        <f t="shared" si="11"/>
        <v>TSX:PAAS_2023_</v>
      </c>
      <c r="B85" s="1" t="str">
        <f t="shared" si="0"/>
        <v>TSX:PAAS_2023_CEO</v>
      </c>
      <c r="C85" s="1" t="str">
        <f t="shared" si="12"/>
        <v>TSX:PAAS_2023_</v>
      </c>
      <c r="D85" s="114" t="str">
        <f t="shared" si="67"/>
        <v>TSX:PAAS</v>
      </c>
      <c r="E85" s="133" t="str">
        <f>_xll.ciqfunctions.udf.CIQ(D85,"IQ_Company_Name")</f>
        <v>Pan American Silver Corp.</v>
      </c>
      <c r="F85" s="328">
        <f>$G$11</f>
        <v>2023</v>
      </c>
      <c r="G85" s="114" t="str">
        <f t="shared" si="30"/>
        <v>2023-01-01</v>
      </c>
      <c r="H85" s="330" t="str">
        <f t="shared" si="59"/>
        <v>2023-12-31</v>
      </c>
      <c r="I85" s="114">
        <f t="shared" si="44"/>
        <v>12</v>
      </c>
      <c r="J85" s="407" t="s">
        <v>2</v>
      </c>
      <c r="K85" s="439">
        <f t="shared" si="14"/>
        <v>1</v>
      </c>
      <c r="L85" s="445"/>
      <c r="M85" s="445"/>
      <c r="N85" s="122" t="str">
        <f t="shared" si="73"/>
        <v>CEO</v>
      </c>
      <c r="O85" s="123" t="str">
        <f t="shared" si="73"/>
        <v>President &amp; CEO</v>
      </c>
      <c r="P85" s="132" t="str">
        <f t="shared" si="73"/>
        <v>Michael Steinmann</v>
      </c>
      <c r="Q85" s="219">
        <v>1425175</v>
      </c>
      <c r="R85" s="125">
        <f t="shared" si="71"/>
        <v>1425175</v>
      </c>
      <c r="S85" s="434" t="s">
        <v>78</v>
      </c>
      <c r="T85" s="126" t="str">
        <f t="shared" si="72"/>
        <v>-</v>
      </c>
      <c r="U85" s="221">
        <v>1914000</v>
      </c>
      <c r="V85" s="125">
        <f t="shared" si="65"/>
        <v>1914000</v>
      </c>
      <c r="W85" s="127">
        <f t="shared" si="37"/>
        <v>1.3429929657761328</v>
      </c>
      <c r="X85" s="128"/>
      <c r="Y85" s="223" t="s">
        <v>78</v>
      </c>
      <c r="Z85" s="129">
        <f t="shared" si="38"/>
        <v>0</v>
      </c>
      <c r="AA85" s="124">
        <f t="shared" si="47"/>
        <v>3339175</v>
      </c>
      <c r="AB85" s="130">
        <f t="shared" si="48"/>
        <v>1425175</v>
      </c>
      <c r="AC85" s="424">
        <f>(5483200-1350000)*0.11</f>
        <v>454652</v>
      </c>
      <c r="AD85" s="424">
        <f>(5483200-1350000)*0.56</f>
        <v>2314592</v>
      </c>
      <c r="AE85" s="225" t="s">
        <v>78</v>
      </c>
      <c r="AF85" s="420">
        <f>(5483200-1350000)*0.33</f>
        <v>1363956</v>
      </c>
      <c r="AG85" s="225" t="s">
        <v>78</v>
      </c>
      <c r="AH85" s="125">
        <f t="shared" si="39"/>
        <v>4133200</v>
      </c>
      <c r="AI85" s="127">
        <f t="shared" si="49"/>
        <v>2.9001350711316154</v>
      </c>
      <c r="AJ85" s="128"/>
      <c r="AK85" s="223" t="s">
        <v>78</v>
      </c>
      <c r="AL85" s="131">
        <f t="shared" si="40"/>
        <v>0</v>
      </c>
      <c r="AM85" s="368">
        <f t="shared" si="63"/>
        <v>4133200</v>
      </c>
      <c r="AN85" s="375">
        <f t="shared" si="54"/>
        <v>7472375</v>
      </c>
      <c r="AO85" s="376">
        <f t="shared" si="50"/>
        <v>1425175</v>
      </c>
      <c r="AP85" s="394">
        <v>607815</v>
      </c>
      <c r="AQ85" s="395" t="s">
        <v>271</v>
      </c>
      <c r="AR85" s="396">
        <f t="shared" si="42"/>
        <v>607815</v>
      </c>
      <c r="AS85" s="397"/>
      <c r="AT85" s="401" t="s">
        <v>78</v>
      </c>
      <c r="AU85" s="396" t="str">
        <f t="shared" si="43"/>
        <v>-</v>
      </c>
      <c r="AV85" s="397"/>
      <c r="AW85" s="388">
        <f t="shared" si="51"/>
        <v>8080190</v>
      </c>
      <c r="AX85" s="389">
        <f t="shared" si="52"/>
        <v>2032990</v>
      </c>
      <c r="AY85" s="353" t="s">
        <v>78</v>
      </c>
      <c r="AZ85" s="403" t="s">
        <v>548</v>
      </c>
      <c r="BA85" s="404" t="s">
        <v>353</v>
      </c>
    </row>
    <row r="86" spans="1:54" ht="15" customHeight="1">
      <c r="A86" s="1" t="str">
        <f t="shared" si="11"/>
        <v>TSX:PAAS_2025_</v>
      </c>
      <c r="B86" s="1" t="str">
        <f t="shared" si="0"/>
        <v>TSX:PAAS_2025_CFO</v>
      </c>
      <c r="C86" s="1" t="str">
        <f t="shared" si="12"/>
        <v>TSX:PAAS_2025_</v>
      </c>
      <c r="D86" s="114" t="str">
        <f t="shared" si="67"/>
        <v>TSX:PAAS</v>
      </c>
      <c r="E86" s="133" t="str">
        <f>_xll.ciqfunctions.udf.CIQ(D86,"IQ_Company_Name")</f>
        <v>Pan American Silver Corp.</v>
      </c>
      <c r="F86" s="114">
        <f t="shared" si="57"/>
        <v>2025</v>
      </c>
      <c r="G86" s="114" t="str">
        <f t="shared" si="30"/>
        <v>2025-01-01</v>
      </c>
      <c r="H86" s="330" t="str">
        <f t="shared" si="59"/>
        <v>2025-12-31</v>
      </c>
      <c r="I86" s="114">
        <f t="shared" si="44"/>
        <v>12</v>
      </c>
      <c r="J86" s="407" t="s">
        <v>2</v>
      </c>
      <c r="K86" s="439">
        <f t="shared" si="14"/>
        <v>1</v>
      </c>
      <c r="L86" s="445"/>
      <c r="M86" s="445"/>
      <c r="N86" s="351" t="s">
        <v>106</v>
      </c>
      <c r="O86" s="217" t="s">
        <v>106</v>
      </c>
      <c r="P86" s="218" t="s">
        <v>333</v>
      </c>
      <c r="Q86" s="219">
        <v>650000</v>
      </c>
      <c r="R86" s="125">
        <f t="shared" si="71"/>
        <v>650000</v>
      </c>
      <c r="S86" s="434" t="s">
        <v>78</v>
      </c>
      <c r="T86" s="126" t="str">
        <f t="shared" si="72"/>
        <v>-</v>
      </c>
      <c r="U86" s="221">
        <v>758875</v>
      </c>
      <c r="V86" s="125">
        <f t="shared" si="65"/>
        <v>758875</v>
      </c>
      <c r="W86" s="127">
        <f t="shared" si="37"/>
        <v>1.1675</v>
      </c>
      <c r="X86" s="128">
        <f>IFERROR(AVERAGE(W86:W88),"N/A")</f>
        <v>1.0040643020594966</v>
      </c>
      <c r="Y86" s="223">
        <v>0.8</v>
      </c>
      <c r="Z86" s="129">
        <f t="shared" si="38"/>
        <v>520000</v>
      </c>
      <c r="AA86" s="124">
        <f t="shared" si="47"/>
        <v>1408875</v>
      </c>
      <c r="AB86" s="130">
        <f t="shared" si="48"/>
        <v>1170000</v>
      </c>
      <c r="AC86" s="221">
        <v>780000</v>
      </c>
      <c r="AD86" s="225">
        <v>650000</v>
      </c>
      <c r="AE86" s="225" t="s">
        <v>78</v>
      </c>
      <c r="AF86" s="225" t="s">
        <v>78</v>
      </c>
      <c r="AG86" s="225" t="s">
        <v>78</v>
      </c>
      <c r="AH86" s="125">
        <f t="shared" si="39"/>
        <v>1430000</v>
      </c>
      <c r="AI86" s="127">
        <f t="shared" si="49"/>
        <v>2.2000000000000002</v>
      </c>
      <c r="AJ86" s="128">
        <f>IFERROR(AVERAGE(AI86:AI88),"N/A")</f>
        <v>1.8773600668337511</v>
      </c>
      <c r="AK86" s="223">
        <v>2.2000000000000002</v>
      </c>
      <c r="AL86" s="131">
        <f t="shared" si="40"/>
        <v>1430000</v>
      </c>
      <c r="AM86" s="368">
        <f t="shared" si="63"/>
        <v>1430000</v>
      </c>
      <c r="AN86" s="375">
        <f t="shared" si="54"/>
        <v>2838875</v>
      </c>
      <c r="AO86" s="376">
        <f t="shared" si="50"/>
        <v>2600000</v>
      </c>
      <c r="AP86" s="394">
        <v>292500</v>
      </c>
      <c r="AQ86" s="395" t="s">
        <v>271</v>
      </c>
      <c r="AR86" s="396">
        <f t="shared" si="42"/>
        <v>292500</v>
      </c>
      <c r="AS86" s="397">
        <f>IFERROR(AVERAGE(AR86:AR88),"N/A")</f>
        <v>180416.66666666666</v>
      </c>
      <c r="AT86" s="401" t="s">
        <v>78</v>
      </c>
      <c r="AU86" s="396" t="str">
        <f t="shared" si="43"/>
        <v>-</v>
      </c>
      <c r="AV86" s="397" t="str">
        <f>IFERROR(AVERAGE(AU86:AU88),"N/A")</f>
        <v>N/A</v>
      </c>
      <c r="AW86" s="388">
        <f t="shared" si="51"/>
        <v>3131375</v>
      </c>
      <c r="AX86" s="389">
        <f t="shared" si="52"/>
        <v>2892500</v>
      </c>
      <c r="AY86" s="353" t="s">
        <v>78</v>
      </c>
      <c r="AZ86" s="403" t="s">
        <v>548</v>
      </c>
      <c r="BA86" s="404" t="s">
        <v>353</v>
      </c>
    </row>
    <row r="87" spans="1:54" ht="15" customHeight="1">
      <c r="A87" s="1" t="str">
        <f t="shared" si="11"/>
        <v>TSX:PAAS_2024_</v>
      </c>
      <c r="B87" s="1" t="str">
        <f t="shared" si="0"/>
        <v>TSX:PAAS_2024_CFO</v>
      </c>
      <c r="C87" s="1" t="str">
        <f t="shared" si="12"/>
        <v>TSX:PAAS_2024_</v>
      </c>
      <c r="D87" s="114" t="str">
        <f t="shared" si="67"/>
        <v>TSX:PAAS</v>
      </c>
      <c r="E87" s="133" t="str">
        <f>_xll.ciqfunctions.udf.CIQ(D87,"IQ_Company_Name")</f>
        <v>Pan American Silver Corp.</v>
      </c>
      <c r="F87" s="114">
        <f t="shared" si="57"/>
        <v>2024</v>
      </c>
      <c r="G87" s="114" t="str">
        <f t="shared" si="30"/>
        <v>2024-01-01</v>
      </c>
      <c r="H87" s="330" t="str">
        <f t="shared" si="59"/>
        <v>2024-12-31</v>
      </c>
      <c r="I87" s="114">
        <f t="shared" si="44"/>
        <v>12</v>
      </c>
      <c r="J87" s="407" t="s">
        <v>2</v>
      </c>
      <c r="K87" s="439">
        <f t="shared" si="14"/>
        <v>1</v>
      </c>
      <c r="L87" s="445"/>
      <c r="M87" s="445"/>
      <c r="N87" s="122" t="str">
        <f t="shared" ref="N87:P88" si="74">N86</f>
        <v>CFO</v>
      </c>
      <c r="O87" s="123" t="str">
        <f t="shared" si="74"/>
        <v>CFO</v>
      </c>
      <c r="P87" s="132" t="str">
        <f t="shared" si="74"/>
        <v>Ignacio Couturier</v>
      </c>
      <c r="Q87" s="219">
        <v>575000</v>
      </c>
      <c r="R87" s="125">
        <f t="shared" si="71"/>
        <v>575000</v>
      </c>
      <c r="S87" s="434" t="s">
        <v>78</v>
      </c>
      <c r="T87" s="126" t="str">
        <f t="shared" si="72"/>
        <v>-</v>
      </c>
      <c r="U87" s="221">
        <v>507730</v>
      </c>
      <c r="V87" s="125">
        <f t="shared" si="65"/>
        <v>507730</v>
      </c>
      <c r="W87" s="127">
        <f t="shared" si="37"/>
        <v>0.88300869565217388</v>
      </c>
      <c r="X87" s="128"/>
      <c r="Y87" s="223" t="s">
        <v>78</v>
      </c>
      <c r="Z87" s="129">
        <f t="shared" si="38"/>
        <v>0</v>
      </c>
      <c r="AA87" s="124">
        <f t="shared" si="47"/>
        <v>1082730</v>
      </c>
      <c r="AB87" s="130">
        <f t="shared" si="48"/>
        <v>575000</v>
      </c>
      <c r="AC87" s="221">
        <v>575000</v>
      </c>
      <c r="AD87" s="225">
        <v>460000</v>
      </c>
      <c r="AE87" s="225" t="s">
        <v>78</v>
      </c>
      <c r="AF87" s="225" t="s">
        <v>78</v>
      </c>
      <c r="AG87" s="225" t="s">
        <v>78</v>
      </c>
      <c r="AH87" s="125">
        <f t="shared" si="39"/>
        <v>1035000</v>
      </c>
      <c r="AI87" s="127">
        <f t="shared" si="49"/>
        <v>1.8</v>
      </c>
      <c r="AJ87" s="128"/>
      <c r="AK87" s="223" t="s">
        <v>78</v>
      </c>
      <c r="AL87" s="131">
        <f t="shared" si="40"/>
        <v>0</v>
      </c>
      <c r="AM87" s="368">
        <f t="shared" si="63"/>
        <v>1035000</v>
      </c>
      <c r="AN87" s="375">
        <f t="shared" si="54"/>
        <v>2117730</v>
      </c>
      <c r="AO87" s="376">
        <f t="shared" si="50"/>
        <v>575000</v>
      </c>
      <c r="AP87" s="394">
        <v>143750</v>
      </c>
      <c r="AQ87" s="395" t="s">
        <v>271</v>
      </c>
      <c r="AR87" s="396">
        <f t="shared" si="42"/>
        <v>143750</v>
      </c>
      <c r="AS87" s="397"/>
      <c r="AT87" s="401" t="s">
        <v>78</v>
      </c>
      <c r="AU87" s="396" t="str">
        <f t="shared" si="43"/>
        <v>-</v>
      </c>
      <c r="AV87" s="397"/>
      <c r="AW87" s="388">
        <f t="shared" si="51"/>
        <v>2261480</v>
      </c>
      <c r="AX87" s="389">
        <f t="shared" si="52"/>
        <v>718750</v>
      </c>
      <c r="AY87" s="353" t="s">
        <v>78</v>
      </c>
      <c r="AZ87" s="403" t="s">
        <v>548</v>
      </c>
      <c r="BA87" s="404" t="s">
        <v>353</v>
      </c>
    </row>
    <row r="88" spans="1:54" ht="15" customHeight="1">
      <c r="A88" s="1" t="str">
        <f t="shared" si="11"/>
        <v>TSX:PAAS_2023_</v>
      </c>
      <c r="B88" s="1" t="str">
        <f t="shared" si="0"/>
        <v>TSX:PAAS_2023_CFO</v>
      </c>
      <c r="C88" s="1" t="str">
        <f t="shared" si="12"/>
        <v>TSX:PAAS_2023_</v>
      </c>
      <c r="D88" s="114" t="str">
        <f t="shared" si="67"/>
        <v>TSX:PAAS</v>
      </c>
      <c r="E88" s="133" t="str">
        <f>_xll.ciqfunctions.udf.CIQ(D88,"IQ_Company_Name")</f>
        <v>Pan American Silver Corp.</v>
      </c>
      <c r="F88" s="114">
        <f t="shared" si="57"/>
        <v>2023</v>
      </c>
      <c r="G88" s="114" t="str">
        <f t="shared" si="30"/>
        <v>2023-01-01</v>
      </c>
      <c r="H88" s="330" t="str">
        <f t="shared" si="59"/>
        <v>2023-12-31</v>
      </c>
      <c r="I88" s="114">
        <f t="shared" si="44"/>
        <v>12</v>
      </c>
      <c r="J88" s="407" t="s">
        <v>2</v>
      </c>
      <c r="K88" s="439">
        <f t="shared" si="14"/>
        <v>1</v>
      </c>
      <c r="L88" s="445"/>
      <c r="M88" s="445"/>
      <c r="N88" s="122" t="str">
        <f t="shared" si="74"/>
        <v>CFO</v>
      </c>
      <c r="O88" s="123" t="str">
        <f t="shared" si="74"/>
        <v>CFO</v>
      </c>
      <c r="P88" s="132" t="str">
        <f t="shared" si="74"/>
        <v>Ignacio Couturier</v>
      </c>
      <c r="Q88" s="219">
        <v>498750</v>
      </c>
      <c r="R88" s="125">
        <f t="shared" si="71"/>
        <v>498750</v>
      </c>
      <c r="S88" s="434" t="s">
        <v>78</v>
      </c>
      <c r="T88" s="126" t="str">
        <f t="shared" si="72"/>
        <v>-</v>
      </c>
      <c r="U88" s="221">
        <v>479640</v>
      </c>
      <c r="V88" s="125">
        <f t="shared" si="65"/>
        <v>479640</v>
      </c>
      <c r="W88" s="127">
        <f t="shared" si="37"/>
        <v>0.96168421052631581</v>
      </c>
      <c r="X88" s="128"/>
      <c r="Y88" s="223" t="s">
        <v>78</v>
      </c>
      <c r="Z88" s="129">
        <f t="shared" si="38"/>
        <v>0</v>
      </c>
      <c r="AA88" s="124">
        <f t="shared" si="47"/>
        <v>978390</v>
      </c>
      <c r="AB88" s="130">
        <f t="shared" si="48"/>
        <v>498750</v>
      </c>
      <c r="AC88" s="424">
        <f>(939750-126000-131250)*0.49</f>
        <v>334425</v>
      </c>
      <c r="AD88" s="424">
        <f>(939750-126000-131250)*0.51</f>
        <v>348075</v>
      </c>
      <c r="AE88" s="420">
        <v>131500</v>
      </c>
      <c r="AF88" s="225" t="s">
        <v>78</v>
      </c>
      <c r="AG88" s="225" t="s">
        <v>78</v>
      </c>
      <c r="AH88" s="125">
        <f t="shared" si="39"/>
        <v>814000</v>
      </c>
      <c r="AI88" s="127">
        <f t="shared" si="49"/>
        <v>1.6320802005012531</v>
      </c>
      <c r="AJ88" s="128"/>
      <c r="AK88" s="223" t="s">
        <v>78</v>
      </c>
      <c r="AL88" s="131">
        <f t="shared" si="40"/>
        <v>0</v>
      </c>
      <c r="AM88" s="368">
        <f t="shared" si="63"/>
        <v>814000</v>
      </c>
      <c r="AN88" s="375">
        <f t="shared" si="54"/>
        <v>1792390</v>
      </c>
      <c r="AO88" s="376">
        <f t="shared" si="50"/>
        <v>498750</v>
      </c>
      <c r="AP88" s="394">
        <v>105000</v>
      </c>
      <c r="AQ88" s="395" t="s">
        <v>271</v>
      </c>
      <c r="AR88" s="396">
        <f t="shared" si="42"/>
        <v>105000</v>
      </c>
      <c r="AS88" s="397"/>
      <c r="AT88" s="401" t="s">
        <v>78</v>
      </c>
      <c r="AU88" s="396" t="str">
        <f t="shared" si="43"/>
        <v>-</v>
      </c>
      <c r="AV88" s="397"/>
      <c r="AW88" s="388">
        <f t="shared" si="51"/>
        <v>1897390</v>
      </c>
      <c r="AX88" s="389">
        <f t="shared" si="52"/>
        <v>603750</v>
      </c>
      <c r="AY88" s="353" t="s">
        <v>78</v>
      </c>
      <c r="AZ88" s="403" t="s">
        <v>548</v>
      </c>
      <c r="BA88" s="404" t="s">
        <v>353</v>
      </c>
    </row>
    <row r="89" spans="1:54" ht="15" customHeight="1">
      <c r="A89" s="1" t="str">
        <f t="shared" si="11"/>
        <v>TSX:PAAS_2025_</v>
      </c>
      <c r="B89" s="1" t="str">
        <f t="shared" si="0"/>
        <v>TSX:PAAS_2025_-</v>
      </c>
      <c r="C89" s="1" t="str">
        <f t="shared" si="12"/>
        <v>TSX:PAAS_2025_2nd Highest</v>
      </c>
      <c r="D89" s="114" t="str">
        <f t="shared" si="67"/>
        <v>TSX:PAAS</v>
      </c>
      <c r="E89" s="133" t="str">
        <f>_xll.ciqfunctions.udf.CIQ(D89,"IQ_Company_Name")</f>
        <v>Pan American Silver Corp.</v>
      </c>
      <c r="F89" s="114">
        <f t="shared" si="57"/>
        <v>2025</v>
      </c>
      <c r="G89" s="330" t="str">
        <f t="shared" si="30"/>
        <v>2025-01-01</v>
      </c>
      <c r="H89" s="330" t="str">
        <f t="shared" si="59"/>
        <v>2025-12-31</v>
      </c>
      <c r="I89" s="114">
        <f t="shared" si="44"/>
        <v>12</v>
      </c>
      <c r="J89" s="407" t="s">
        <v>2</v>
      </c>
      <c r="K89" s="439">
        <f t="shared" si="14"/>
        <v>1</v>
      </c>
      <c r="L89" s="445"/>
      <c r="M89" s="445" t="s">
        <v>669</v>
      </c>
      <c r="N89" s="351" t="s">
        <v>78</v>
      </c>
      <c r="O89" s="217" t="s">
        <v>554</v>
      </c>
      <c r="P89" s="218" t="s">
        <v>332</v>
      </c>
      <c r="Q89" s="219">
        <v>808100</v>
      </c>
      <c r="R89" s="125">
        <f t="shared" si="71"/>
        <v>808100</v>
      </c>
      <c r="S89" s="434" t="s">
        <v>78</v>
      </c>
      <c r="T89" s="126" t="str">
        <f t="shared" si="72"/>
        <v>-</v>
      </c>
      <c r="U89" s="221">
        <v>945477</v>
      </c>
      <c r="V89" s="125">
        <f t="shared" si="65"/>
        <v>945477</v>
      </c>
      <c r="W89" s="127">
        <f t="shared" si="37"/>
        <v>1.17</v>
      </c>
      <c r="X89" s="128">
        <f>IFERROR(AVERAGE(W89:W91),"N/A")</f>
        <v>0.94709104309709458</v>
      </c>
      <c r="Y89" s="223">
        <v>0.8</v>
      </c>
      <c r="Z89" s="129">
        <f t="shared" si="38"/>
        <v>646480</v>
      </c>
      <c r="AA89" s="124">
        <f t="shared" si="47"/>
        <v>1753577</v>
      </c>
      <c r="AB89" s="130">
        <f t="shared" si="48"/>
        <v>1454580</v>
      </c>
      <c r="AC89" s="221">
        <v>969700</v>
      </c>
      <c r="AD89" s="225">
        <v>808100</v>
      </c>
      <c r="AE89" s="225" t="s">
        <v>78</v>
      </c>
      <c r="AF89" s="225" t="s">
        <v>78</v>
      </c>
      <c r="AG89" s="225" t="s">
        <v>78</v>
      </c>
      <c r="AH89" s="125">
        <f t="shared" si="39"/>
        <v>1777800</v>
      </c>
      <c r="AI89" s="127">
        <f t="shared" si="49"/>
        <v>2.1999752505877987</v>
      </c>
      <c r="AJ89" s="128">
        <f>IFERROR(AVERAGE(AI89:AI91),"N/A")</f>
        <v>2.2062785210817961</v>
      </c>
      <c r="AK89" s="223">
        <v>2.2000000000000002</v>
      </c>
      <c r="AL89" s="131">
        <f t="shared" si="40"/>
        <v>1777820.0000000002</v>
      </c>
      <c r="AM89" s="368">
        <f t="shared" si="63"/>
        <v>1777800</v>
      </c>
      <c r="AN89" s="375">
        <f t="shared" si="54"/>
        <v>3531377</v>
      </c>
      <c r="AO89" s="376">
        <f t="shared" si="50"/>
        <v>3232400</v>
      </c>
      <c r="AP89" s="394">
        <v>363645</v>
      </c>
      <c r="AQ89" s="395" t="s">
        <v>271</v>
      </c>
      <c r="AR89" s="396">
        <f t="shared" si="42"/>
        <v>363645</v>
      </c>
      <c r="AS89" s="397">
        <f>IFERROR(AVERAGE(AR89:AR91),"N/A")</f>
        <v>346890</v>
      </c>
      <c r="AT89" s="401" t="s">
        <v>78</v>
      </c>
      <c r="AU89" s="396" t="str">
        <f t="shared" si="43"/>
        <v>-</v>
      </c>
      <c r="AV89" s="397" t="str">
        <f>IFERROR(AVERAGE(AU89:AU91),"N/A")</f>
        <v>N/A</v>
      </c>
      <c r="AW89" s="388">
        <f t="shared" si="51"/>
        <v>3895022</v>
      </c>
      <c r="AX89" s="389">
        <f t="shared" si="52"/>
        <v>3596045</v>
      </c>
      <c r="AY89" s="437" t="s">
        <v>616</v>
      </c>
      <c r="AZ89" s="403" t="s">
        <v>548</v>
      </c>
      <c r="BA89" s="404" t="s">
        <v>353</v>
      </c>
      <c r="BB89" s="1" t="s">
        <v>554</v>
      </c>
    </row>
    <row r="90" spans="1:54" ht="15" customHeight="1">
      <c r="A90" s="1" t="str">
        <f t="shared" si="11"/>
        <v>TSX:PAAS_2024_</v>
      </c>
      <c r="B90" s="1" t="str">
        <f t="shared" si="0"/>
        <v>TSX:PAAS_2024_-</v>
      </c>
      <c r="C90" s="1" t="str">
        <f t="shared" si="12"/>
        <v>TSX:PAAS_2024_</v>
      </c>
      <c r="D90" s="114" t="str">
        <f t="shared" si="67"/>
        <v>TSX:PAAS</v>
      </c>
      <c r="E90" s="133" t="str">
        <f>_xll.ciqfunctions.udf.CIQ(D90,"IQ_Company_Name")</f>
        <v>Pan American Silver Corp.</v>
      </c>
      <c r="F90" s="114">
        <f t="shared" si="57"/>
        <v>2024</v>
      </c>
      <c r="G90" s="330" t="str">
        <f t="shared" si="30"/>
        <v>2024-01-01</v>
      </c>
      <c r="H90" s="330" t="str">
        <f t="shared" si="59"/>
        <v>2024-12-31</v>
      </c>
      <c r="I90" s="114">
        <f t="shared" si="44"/>
        <v>12</v>
      </c>
      <c r="J90" s="407" t="s">
        <v>2</v>
      </c>
      <c r="K90" s="439">
        <f t="shared" si="14"/>
        <v>1</v>
      </c>
      <c r="L90" s="445"/>
      <c r="M90" s="445"/>
      <c r="N90" s="122" t="str">
        <f t="shared" ref="N90:P91" si="75">N89</f>
        <v>-</v>
      </c>
      <c r="O90" s="123" t="str">
        <f t="shared" si="75"/>
        <v>Former COO</v>
      </c>
      <c r="P90" s="132" t="str">
        <f t="shared" si="75"/>
        <v>Steven Busby</v>
      </c>
      <c r="Q90" s="219">
        <v>780000</v>
      </c>
      <c r="R90" s="125">
        <f t="shared" si="71"/>
        <v>780000</v>
      </c>
      <c r="S90" s="434" t="s">
        <v>78</v>
      </c>
      <c r="T90" s="126" t="str">
        <f t="shared" si="72"/>
        <v>-</v>
      </c>
      <c r="U90" s="221">
        <v>639000</v>
      </c>
      <c r="V90" s="125">
        <f t="shared" si="65"/>
        <v>639000</v>
      </c>
      <c r="W90" s="127">
        <f t="shared" si="37"/>
        <v>0.81923076923076921</v>
      </c>
      <c r="X90" s="128"/>
      <c r="Y90" s="223" t="s">
        <v>78</v>
      </c>
      <c r="Z90" s="129">
        <f t="shared" si="38"/>
        <v>0</v>
      </c>
      <c r="AA90" s="124">
        <f t="shared" si="47"/>
        <v>1419000</v>
      </c>
      <c r="AB90" s="130">
        <f t="shared" si="48"/>
        <v>780000</v>
      </c>
      <c r="AC90" s="221">
        <v>936000</v>
      </c>
      <c r="AD90" s="225">
        <v>780000</v>
      </c>
      <c r="AE90" s="225" t="s">
        <v>78</v>
      </c>
      <c r="AF90" s="225" t="s">
        <v>78</v>
      </c>
      <c r="AG90" s="225" t="s">
        <v>78</v>
      </c>
      <c r="AH90" s="125">
        <f t="shared" si="39"/>
        <v>1716000</v>
      </c>
      <c r="AI90" s="127">
        <f t="shared" si="49"/>
        <v>2.2000000000000002</v>
      </c>
      <c r="AJ90" s="128"/>
      <c r="AK90" s="223" t="s">
        <v>78</v>
      </c>
      <c r="AL90" s="131">
        <f t="shared" si="40"/>
        <v>0</v>
      </c>
      <c r="AM90" s="368">
        <f t="shared" si="63"/>
        <v>1716000</v>
      </c>
      <c r="AN90" s="375">
        <f t="shared" si="54"/>
        <v>3135000</v>
      </c>
      <c r="AO90" s="376">
        <f t="shared" si="50"/>
        <v>780000</v>
      </c>
      <c r="AP90" s="394">
        <v>351000</v>
      </c>
      <c r="AQ90" s="395" t="s">
        <v>271</v>
      </c>
      <c r="AR90" s="396">
        <f t="shared" si="42"/>
        <v>351000</v>
      </c>
      <c r="AS90" s="397"/>
      <c r="AT90" s="401" t="s">
        <v>78</v>
      </c>
      <c r="AU90" s="396" t="str">
        <f t="shared" si="43"/>
        <v>-</v>
      </c>
      <c r="AV90" s="397"/>
      <c r="AW90" s="388">
        <f t="shared" si="51"/>
        <v>3486000</v>
      </c>
      <c r="AX90" s="389">
        <f t="shared" si="52"/>
        <v>1131000</v>
      </c>
      <c r="AY90" s="353" t="s">
        <v>78</v>
      </c>
      <c r="AZ90" s="403" t="s">
        <v>548</v>
      </c>
      <c r="BA90" s="404" t="s">
        <v>353</v>
      </c>
    </row>
    <row r="91" spans="1:54" ht="15" customHeight="1">
      <c r="A91" s="1" t="str">
        <f t="shared" si="11"/>
        <v>TSX:PAAS_2023_</v>
      </c>
      <c r="B91" s="1" t="str">
        <f t="shared" si="0"/>
        <v>TSX:PAAS_2023_-</v>
      </c>
      <c r="C91" s="1" t="str">
        <f t="shared" si="12"/>
        <v>TSX:PAAS_2023_</v>
      </c>
      <c r="D91" s="114" t="str">
        <f t="shared" si="67"/>
        <v>TSX:PAAS</v>
      </c>
      <c r="E91" s="133" t="str">
        <f>_xll.ciqfunctions.udf.CIQ(D91,"IQ_Company_Name")</f>
        <v>Pan American Silver Corp.</v>
      </c>
      <c r="F91" s="114">
        <f t="shared" si="57"/>
        <v>2023</v>
      </c>
      <c r="G91" s="114" t="str">
        <f t="shared" si="30"/>
        <v>2023-01-01</v>
      </c>
      <c r="H91" s="330" t="str">
        <f t="shared" si="59"/>
        <v>2023-12-31</v>
      </c>
      <c r="I91" s="114">
        <f t="shared" si="44"/>
        <v>12</v>
      </c>
      <c r="J91" s="407" t="s">
        <v>2</v>
      </c>
      <c r="K91" s="439">
        <f t="shared" si="14"/>
        <v>1</v>
      </c>
      <c r="L91" s="445"/>
      <c r="M91" s="445"/>
      <c r="N91" s="122" t="str">
        <f t="shared" si="75"/>
        <v>-</v>
      </c>
      <c r="O91" s="123" t="str">
        <f t="shared" si="75"/>
        <v>Former COO</v>
      </c>
      <c r="P91" s="132" t="str">
        <f t="shared" si="75"/>
        <v>Steven Busby</v>
      </c>
      <c r="Q91" s="219">
        <v>743625</v>
      </c>
      <c r="R91" s="125">
        <f t="shared" si="71"/>
        <v>743625</v>
      </c>
      <c r="S91" s="434" t="s">
        <v>78</v>
      </c>
      <c r="T91" s="126" t="str">
        <f t="shared" si="72"/>
        <v>-</v>
      </c>
      <c r="U91" s="221">
        <v>633600</v>
      </c>
      <c r="V91" s="125">
        <f t="shared" si="65"/>
        <v>633600</v>
      </c>
      <c r="W91" s="127">
        <f t="shared" si="37"/>
        <v>0.85204236006051437</v>
      </c>
      <c r="X91" s="128"/>
      <c r="Y91" s="223" t="s">
        <v>78</v>
      </c>
      <c r="Z91" s="129">
        <f t="shared" si="38"/>
        <v>0</v>
      </c>
      <c r="AA91" s="124">
        <f t="shared" si="47"/>
        <v>1377225</v>
      </c>
      <c r="AB91" s="130">
        <f t="shared" si="48"/>
        <v>743625</v>
      </c>
      <c r="AC91" s="424">
        <f>(2374500-724500)*0.14</f>
        <v>231000.00000000003</v>
      </c>
      <c r="AD91" s="424">
        <f>(2374500-724500)*0.45</f>
        <v>742500</v>
      </c>
      <c r="AE91" s="225" t="s">
        <v>78</v>
      </c>
      <c r="AF91" s="424">
        <f>(2374500-724500)*0.41</f>
        <v>676500</v>
      </c>
      <c r="AG91" s="225" t="s">
        <v>78</v>
      </c>
      <c r="AH91" s="125">
        <f t="shared" si="39"/>
        <v>1650000</v>
      </c>
      <c r="AI91" s="127">
        <f t="shared" si="49"/>
        <v>2.2188603126575894</v>
      </c>
      <c r="AJ91" s="128"/>
      <c r="AK91" s="223" t="s">
        <v>78</v>
      </c>
      <c r="AL91" s="131">
        <f t="shared" si="40"/>
        <v>0</v>
      </c>
      <c r="AM91" s="368">
        <f t="shared" si="63"/>
        <v>1650000</v>
      </c>
      <c r="AN91" s="375">
        <f t="shared" si="54"/>
        <v>3027225</v>
      </c>
      <c r="AO91" s="376">
        <f t="shared" si="50"/>
        <v>743625</v>
      </c>
      <c r="AP91" s="394">
        <v>326025</v>
      </c>
      <c r="AQ91" s="395" t="s">
        <v>271</v>
      </c>
      <c r="AR91" s="396">
        <f t="shared" si="42"/>
        <v>326025</v>
      </c>
      <c r="AS91" s="397"/>
      <c r="AT91" s="401" t="s">
        <v>78</v>
      </c>
      <c r="AU91" s="396" t="str">
        <f t="shared" si="43"/>
        <v>-</v>
      </c>
      <c r="AV91" s="397"/>
      <c r="AW91" s="388">
        <f t="shared" si="51"/>
        <v>3353250</v>
      </c>
      <c r="AX91" s="389">
        <f t="shared" si="52"/>
        <v>1069650</v>
      </c>
      <c r="AY91" s="353" t="s">
        <v>78</v>
      </c>
      <c r="AZ91" s="403" t="s">
        <v>548</v>
      </c>
      <c r="BA91" s="404" t="s">
        <v>353</v>
      </c>
    </row>
    <row r="92" spans="1:54" ht="15" customHeight="1">
      <c r="A92" s="1" t="str">
        <f t="shared" si="11"/>
        <v>TSX:PAAS_2025_Legal</v>
      </c>
      <c r="B92" s="1" t="str">
        <f t="shared" si="0"/>
        <v>TSX:PAAS_2025_NEO2</v>
      </c>
      <c r="C92" s="1" t="str">
        <f t="shared" si="12"/>
        <v>TSX:PAAS_2025_</v>
      </c>
      <c r="D92" s="114" t="str">
        <f t="shared" si="67"/>
        <v>TSX:PAAS</v>
      </c>
      <c r="E92" s="133" t="str">
        <f>_xll.ciqfunctions.udf.CIQ(D92,"IQ_Company_Name")</f>
        <v>Pan American Silver Corp.</v>
      </c>
      <c r="F92" s="114">
        <f t="shared" si="57"/>
        <v>2025</v>
      </c>
      <c r="G92" s="114" t="str">
        <f t="shared" si="30"/>
        <v>2025-01-01</v>
      </c>
      <c r="H92" s="330" t="str">
        <f t="shared" si="59"/>
        <v>2025-12-31</v>
      </c>
      <c r="I92" s="114">
        <f t="shared" si="44"/>
        <v>12</v>
      </c>
      <c r="J92" s="407" t="s">
        <v>2</v>
      </c>
      <c r="K92" s="439">
        <f t="shared" si="14"/>
        <v>1</v>
      </c>
      <c r="L92" s="445" t="s">
        <v>360</v>
      </c>
      <c r="M92" s="445"/>
      <c r="N92" s="351" t="s">
        <v>108</v>
      </c>
      <c r="O92" s="217" t="s">
        <v>326</v>
      </c>
      <c r="P92" s="218" t="s">
        <v>334</v>
      </c>
      <c r="Q92" s="219">
        <v>700000</v>
      </c>
      <c r="R92" s="125">
        <f t="shared" si="71"/>
        <v>700000</v>
      </c>
      <c r="S92" s="434" t="s">
        <v>78</v>
      </c>
      <c r="T92" s="126" t="str">
        <f t="shared" si="72"/>
        <v>-</v>
      </c>
      <c r="U92" s="221">
        <v>824250</v>
      </c>
      <c r="V92" s="125">
        <f t="shared" si="65"/>
        <v>824250</v>
      </c>
      <c r="W92" s="127">
        <f t="shared" si="37"/>
        <v>1.1775</v>
      </c>
      <c r="X92" s="128">
        <f>IFERROR(AVERAGE(W92:W94),"N/A")</f>
        <v>1.0042077214448406</v>
      </c>
      <c r="Y92" s="223">
        <v>0.8</v>
      </c>
      <c r="Z92" s="129">
        <f t="shared" si="38"/>
        <v>560000</v>
      </c>
      <c r="AA92" s="124">
        <f t="shared" si="47"/>
        <v>1524250</v>
      </c>
      <c r="AB92" s="130">
        <f t="shared" si="48"/>
        <v>1260000</v>
      </c>
      <c r="AC92" s="221">
        <v>840000</v>
      </c>
      <c r="AD92" s="225">
        <v>700000</v>
      </c>
      <c r="AE92" s="225" t="s">
        <v>78</v>
      </c>
      <c r="AF92" s="225" t="s">
        <v>78</v>
      </c>
      <c r="AG92" s="225" t="s">
        <v>78</v>
      </c>
      <c r="AH92" s="125">
        <f t="shared" si="39"/>
        <v>1540000</v>
      </c>
      <c r="AI92" s="127">
        <f t="shared" si="49"/>
        <v>2.2000000000000002</v>
      </c>
      <c r="AJ92" s="128">
        <f>IFERROR(AVERAGE(AI92:AI94),"N/A")</f>
        <v>2.2175094065153234</v>
      </c>
      <c r="AK92" s="223">
        <v>2.2000000000000002</v>
      </c>
      <c r="AL92" s="131">
        <f t="shared" si="40"/>
        <v>1540000.0000000002</v>
      </c>
      <c r="AM92" s="368">
        <f t="shared" si="63"/>
        <v>1540000</v>
      </c>
      <c r="AN92" s="375">
        <f t="shared" si="54"/>
        <v>3064250</v>
      </c>
      <c r="AO92" s="376">
        <f t="shared" si="50"/>
        <v>2800000</v>
      </c>
      <c r="AP92" s="394">
        <v>315000</v>
      </c>
      <c r="AQ92" s="395" t="s">
        <v>271</v>
      </c>
      <c r="AR92" s="396">
        <f t="shared" si="42"/>
        <v>315000</v>
      </c>
      <c r="AS92" s="397">
        <f>IFERROR(AVERAGE(AR92:AR94),"N/A")</f>
        <v>246251.66666666666</v>
      </c>
      <c r="AT92" s="401" t="s">
        <v>78</v>
      </c>
      <c r="AU92" s="396" t="str">
        <f t="shared" si="43"/>
        <v>-</v>
      </c>
      <c r="AV92" s="397" t="str">
        <f>IFERROR(AVERAGE(AU92:AU94),"N/A")</f>
        <v>N/A</v>
      </c>
      <c r="AW92" s="388">
        <f t="shared" si="51"/>
        <v>3379250</v>
      </c>
      <c r="AX92" s="389">
        <f t="shared" si="52"/>
        <v>3115000</v>
      </c>
      <c r="AY92" s="353" t="s">
        <v>78</v>
      </c>
      <c r="AZ92" s="403" t="s">
        <v>548</v>
      </c>
      <c r="BA92" s="404" t="s">
        <v>353</v>
      </c>
    </row>
    <row r="93" spans="1:54" ht="15" customHeight="1">
      <c r="A93" s="1" t="str">
        <f t="shared" si="11"/>
        <v>TSX:PAAS_2024_Legal</v>
      </c>
      <c r="B93" s="1" t="str">
        <f t="shared" si="0"/>
        <v>TSX:PAAS_2024_NEO2</v>
      </c>
      <c r="C93" s="1" t="str">
        <f t="shared" si="12"/>
        <v>TSX:PAAS_2024_</v>
      </c>
      <c r="D93" s="114" t="str">
        <f t="shared" si="67"/>
        <v>TSX:PAAS</v>
      </c>
      <c r="E93" s="133" t="str">
        <f>_xll.ciqfunctions.udf.CIQ(D93,"IQ_Company_Name")</f>
        <v>Pan American Silver Corp.</v>
      </c>
      <c r="F93" s="114">
        <f t="shared" si="57"/>
        <v>2024</v>
      </c>
      <c r="G93" s="114" t="str">
        <f t="shared" si="30"/>
        <v>2024-01-01</v>
      </c>
      <c r="H93" s="330" t="str">
        <f t="shared" si="59"/>
        <v>2024-12-31</v>
      </c>
      <c r="I93" s="114">
        <f t="shared" si="44"/>
        <v>12</v>
      </c>
      <c r="J93" s="407" t="s">
        <v>2</v>
      </c>
      <c r="K93" s="439">
        <f t="shared" si="14"/>
        <v>1</v>
      </c>
      <c r="L93" s="445" t="s">
        <v>360</v>
      </c>
      <c r="M93" s="445"/>
      <c r="N93" s="122" t="str">
        <f t="shared" ref="N93:P94" si="76">N92</f>
        <v>NEO2</v>
      </c>
      <c r="O93" s="123" t="str">
        <f t="shared" si="76"/>
        <v>General Counsel</v>
      </c>
      <c r="P93" s="132" t="str">
        <f t="shared" si="76"/>
        <v>Christopher Lemon</v>
      </c>
      <c r="Q93" s="219">
        <v>634400</v>
      </c>
      <c r="R93" s="125">
        <f t="shared" si="71"/>
        <v>634400</v>
      </c>
      <c r="S93" s="434" t="s">
        <v>78</v>
      </c>
      <c r="T93" s="126" t="str">
        <f t="shared" si="72"/>
        <v>-</v>
      </c>
      <c r="U93" s="221">
        <v>567790</v>
      </c>
      <c r="V93" s="125">
        <f t="shared" si="65"/>
        <v>567790</v>
      </c>
      <c r="W93" s="127">
        <f t="shared" si="37"/>
        <v>0.89500315258511975</v>
      </c>
      <c r="X93" s="128"/>
      <c r="Y93" s="223" t="s">
        <v>78</v>
      </c>
      <c r="Z93" s="129">
        <f t="shared" si="38"/>
        <v>0</v>
      </c>
      <c r="AA93" s="124">
        <f t="shared" si="47"/>
        <v>1202190</v>
      </c>
      <c r="AB93" s="130">
        <f t="shared" si="48"/>
        <v>634400</v>
      </c>
      <c r="AC93" s="221">
        <v>761280</v>
      </c>
      <c r="AD93" s="225">
        <v>634400</v>
      </c>
      <c r="AE93" s="225" t="s">
        <v>78</v>
      </c>
      <c r="AF93" s="225" t="s">
        <v>78</v>
      </c>
      <c r="AG93" s="225" t="s">
        <v>78</v>
      </c>
      <c r="AH93" s="125">
        <f t="shared" si="39"/>
        <v>1395680</v>
      </c>
      <c r="AI93" s="127">
        <f t="shared" si="49"/>
        <v>2.2000000000000002</v>
      </c>
      <c r="AJ93" s="128"/>
      <c r="AK93" s="223" t="s">
        <v>78</v>
      </c>
      <c r="AL93" s="131">
        <f t="shared" si="40"/>
        <v>0</v>
      </c>
      <c r="AM93" s="368">
        <f t="shared" si="63"/>
        <v>1395680</v>
      </c>
      <c r="AN93" s="375">
        <f t="shared" si="54"/>
        <v>2597870</v>
      </c>
      <c r="AO93" s="376">
        <f t="shared" si="50"/>
        <v>634400</v>
      </c>
      <c r="AP93" s="394">
        <v>285480</v>
      </c>
      <c r="AQ93" s="395" t="s">
        <v>271</v>
      </c>
      <c r="AR93" s="396">
        <f t="shared" si="42"/>
        <v>285480</v>
      </c>
      <c r="AS93" s="397"/>
      <c r="AT93" s="401" t="s">
        <v>78</v>
      </c>
      <c r="AU93" s="396" t="str">
        <f t="shared" si="43"/>
        <v>-</v>
      </c>
      <c r="AV93" s="397"/>
      <c r="AW93" s="388">
        <f t="shared" si="51"/>
        <v>2883350</v>
      </c>
      <c r="AX93" s="389">
        <f t="shared" si="52"/>
        <v>919880</v>
      </c>
      <c r="AY93" s="353" t="s">
        <v>78</v>
      </c>
      <c r="AZ93" s="403" t="s">
        <v>548</v>
      </c>
      <c r="BA93" s="404" t="s">
        <v>353</v>
      </c>
    </row>
    <row r="94" spans="1:54" ht="15" customHeight="1">
      <c r="A94" s="1" t="str">
        <f t="shared" si="11"/>
        <v>TSX:PAAS_2023_Legal</v>
      </c>
      <c r="B94" s="1" t="str">
        <f t="shared" si="0"/>
        <v>TSX:PAAS_2023_NEO2</v>
      </c>
      <c r="C94" s="1" t="str">
        <f t="shared" si="12"/>
        <v>TSX:PAAS_2023_</v>
      </c>
      <c r="D94" s="114" t="str">
        <f t="shared" si="67"/>
        <v>TSX:PAAS</v>
      </c>
      <c r="E94" s="133" t="str">
        <f>_xll.ciqfunctions.udf.CIQ(D94,"IQ_Company_Name")</f>
        <v>Pan American Silver Corp.</v>
      </c>
      <c r="F94" s="114">
        <f t="shared" si="57"/>
        <v>2023</v>
      </c>
      <c r="G94" s="114" t="str">
        <f t="shared" si="30"/>
        <v>2023-01-01</v>
      </c>
      <c r="H94" s="330" t="str">
        <f t="shared" si="59"/>
        <v>2023-12-31</v>
      </c>
      <c r="I94" s="114">
        <f t="shared" si="44"/>
        <v>12</v>
      </c>
      <c r="J94" s="407" t="s">
        <v>2</v>
      </c>
      <c r="K94" s="439">
        <f t="shared" si="14"/>
        <v>1</v>
      </c>
      <c r="L94" s="445" t="s">
        <v>360</v>
      </c>
      <c r="M94" s="445"/>
      <c r="N94" s="122" t="str">
        <f t="shared" si="76"/>
        <v>NEO2</v>
      </c>
      <c r="O94" s="123" t="str">
        <f t="shared" si="76"/>
        <v>General Counsel</v>
      </c>
      <c r="P94" s="132" t="str">
        <f t="shared" si="76"/>
        <v>Christopher Lemon</v>
      </c>
      <c r="Q94" s="219">
        <v>595775</v>
      </c>
      <c r="R94" s="125">
        <f t="shared" si="71"/>
        <v>595775</v>
      </c>
      <c r="S94" s="434" t="s">
        <v>78</v>
      </c>
      <c r="T94" s="126" t="str">
        <f t="shared" si="72"/>
        <v>-</v>
      </c>
      <c r="U94" s="221">
        <v>560100</v>
      </c>
      <c r="V94" s="125">
        <f t="shared" si="65"/>
        <v>560100</v>
      </c>
      <c r="W94" s="127">
        <f t="shared" si="37"/>
        <v>0.94012001174940207</v>
      </c>
      <c r="X94" s="128"/>
      <c r="Y94" s="223" t="s">
        <v>78</v>
      </c>
      <c r="Z94" s="129">
        <f t="shared" si="38"/>
        <v>0</v>
      </c>
      <c r="AA94" s="124">
        <f t="shared" si="47"/>
        <v>1155875</v>
      </c>
      <c r="AB94" s="130">
        <f t="shared" si="48"/>
        <v>595775</v>
      </c>
      <c r="AC94" s="424">
        <f>(1895100-553100)*0.55</f>
        <v>738100.00000000012</v>
      </c>
      <c r="AD94" s="424">
        <f>(1895100-553100)*0.45</f>
        <v>603900</v>
      </c>
      <c r="AE94" s="225" t="s">
        <v>78</v>
      </c>
      <c r="AF94" s="225" t="s">
        <v>78</v>
      </c>
      <c r="AG94" s="225" t="s">
        <v>78</v>
      </c>
      <c r="AH94" s="125">
        <f t="shared" si="39"/>
        <v>1342000</v>
      </c>
      <c r="AI94" s="127">
        <f t="shared" si="49"/>
        <v>2.2525282195459697</v>
      </c>
      <c r="AJ94" s="128"/>
      <c r="AK94" s="223" t="s">
        <v>78</v>
      </c>
      <c r="AL94" s="131">
        <f t="shared" si="40"/>
        <v>0</v>
      </c>
      <c r="AM94" s="368">
        <f t="shared" si="63"/>
        <v>1342000</v>
      </c>
      <c r="AN94" s="375">
        <f t="shared" si="54"/>
        <v>2497875</v>
      </c>
      <c r="AO94" s="376">
        <f t="shared" si="50"/>
        <v>595775</v>
      </c>
      <c r="AP94" s="394">
        <v>138275</v>
      </c>
      <c r="AQ94" s="395" t="s">
        <v>271</v>
      </c>
      <c r="AR94" s="396">
        <f t="shared" si="42"/>
        <v>138275</v>
      </c>
      <c r="AS94" s="397"/>
      <c r="AT94" s="401" t="s">
        <v>78</v>
      </c>
      <c r="AU94" s="396" t="str">
        <f t="shared" si="43"/>
        <v>-</v>
      </c>
      <c r="AV94" s="397"/>
      <c r="AW94" s="388">
        <f t="shared" si="51"/>
        <v>2636150</v>
      </c>
      <c r="AX94" s="389">
        <f t="shared" si="52"/>
        <v>734050</v>
      </c>
      <c r="AY94" s="353" t="s">
        <v>78</v>
      </c>
      <c r="AZ94" s="403" t="s">
        <v>548</v>
      </c>
      <c r="BA94" s="404" t="s">
        <v>353</v>
      </c>
    </row>
    <row r="95" spans="1:54" ht="15" customHeight="1">
      <c r="A95" s="1" t="str">
        <f t="shared" si="11"/>
        <v>TSX:PAAS_2025_COO</v>
      </c>
      <c r="B95" s="1" t="str">
        <f t="shared" si="0"/>
        <v>TSX:PAAS_2025_NEO1</v>
      </c>
      <c r="C95" s="1" t="str">
        <f t="shared" si="12"/>
        <v>TSX:PAAS_2025_</v>
      </c>
      <c r="D95" s="114" t="str">
        <f t="shared" si="67"/>
        <v>TSX:PAAS</v>
      </c>
      <c r="E95" s="133" t="str">
        <f>_xll.ciqfunctions.udf.CIQ(D95,"IQ_Company_Name")</f>
        <v>Pan American Silver Corp.</v>
      </c>
      <c r="F95" s="114">
        <f t="shared" si="57"/>
        <v>2025</v>
      </c>
      <c r="G95" s="952" t="str">
        <f>F95&amp;"-10-20"</f>
        <v>2025-10-20</v>
      </c>
      <c r="H95" s="330" t="str">
        <f t="shared" si="59"/>
        <v>2025-12-31</v>
      </c>
      <c r="I95" s="952">
        <v>12</v>
      </c>
      <c r="J95" s="407" t="s">
        <v>2</v>
      </c>
      <c r="K95" s="439">
        <f t="shared" si="14"/>
        <v>1</v>
      </c>
      <c r="L95" s="445" t="s">
        <v>272</v>
      </c>
      <c r="M95" s="445"/>
      <c r="N95" s="957" t="s">
        <v>107</v>
      </c>
      <c r="O95" s="217" t="s">
        <v>272</v>
      </c>
      <c r="P95" s="218" t="s">
        <v>586</v>
      </c>
      <c r="Q95" s="219">
        <v>632222</v>
      </c>
      <c r="R95" s="420">
        <v>760000</v>
      </c>
      <c r="S95" s="434" t="s">
        <v>78</v>
      </c>
      <c r="T95" s="126" t="str">
        <f t="shared" si="72"/>
        <v>-</v>
      </c>
      <c r="U95" s="221">
        <v>879700</v>
      </c>
      <c r="V95" s="125">
        <f t="shared" si="65"/>
        <v>879700</v>
      </c>
      <c r="W95" s="127">
        <f t="shared" si="37"/>
        <v>1.1575</v>
      </c>
      <c r="X95" s="128">
        <f>IFERROR(AVERAGE(W95:W97),"N/A")</f>
        <v>1.1575</v>
      </c>
      <c r="Y95" s="223">
        <v>0.8</v>
      </c>
      <c r="Z95" s="129">
        <f t="shared" si="38"/>
        <v>608000</v>
      </c>
      <c r="AA95" s="124">
        <f t="shared" si="47"/>
        <v>1639700</v>
      </c>
      <c r="AB95" s="130">
        <f t="shared" si="48"/>
        <v>1368000</v>
      </c>
      <c r="AC95" s="221">
        <v>912000</v>
      </c>
      <c r="AD95" s="225">
        <v>760000</v>
      </c>
      <c r="AE95" s="225" t="s">
        <v>78</v>
      </c>
      <c r="AF95" s="225" t="s">
        <v>78</v>
      </c>
      <c r="AG95" s="225" t="s">
        <v>78</v>
      </c>
      <c r="AH95" s="125">
        <f t="shared" si="39"/>
        <v>1672000</v>
      </c>
      <c r="AI95" s="127">
        <f t="shared" si="49"/>
        <v>2.2000000000000002</v>
      </c>
      <c r="AJ95" s="128">
        <f>IFERROR(AVERAGE(AI95:AI97),"N/A")</f>
        <v>2.2000000000000002</v>
      </c>
      <c r="AK95" s="223">
        <v>2.2000000000000002</v>
      </c>
      <c r="AL95" s="131">
        <f t="shared" si="40"/>
        <v>1672000.0000000002</v>
      </c>
      <c r="AM95" s="368">
        <f t="shared" si="63"/>
        <v>1672000</v>
      </c>
      <c r="AN95" s="375">
        <f t="shared" si="54"/>
        <v>3311700</v>
      </c>
      <c r="AO95" s="376">
        <f t="shared" si="50"/>
        <v>3040000</v>
      </c>
      <c r="AP95" s="394">
        <v>150000</v>
      </c>
      <c r="AQ95" s="395" t="s">
        <v>271</v>
      </c>
      <c r="AR95" s="396">
        <f t="shared" si="42"/>
        <v>150000</v>
      </c>
      <c r="AS95" s="397">
        <f>IFERROR(AVERAGE(AR95:AR97),"N/A")</f>
        <v>150000</v>
      </c>
      <c r="AT95" s="401" t="s">
        <v>78</v>
      </c>
      <c r="AU95" s="396" t="str">
        <f t="shared" si="43"/>
        <v>-</v>
      </c>
      <c r="AV95" s="397" t="str">
        <f>IFERROR(AVERAGE(AU95:AU97),"N/A")</f>
        <v>N/A</v>
      </c>
      <c r="AW95" s="388">
        <f t="shared" si="51"/>
        <v>3461700</v>
      </c>
      <c r="AX95" s="389">
        <f t="shared" si="52"/>
        <v>3190000</v>
      </c>
      <c r="AY95" s="353" t="s">
        <v>617</v>
      </c>
      <c r="AZ95" s="403" t="s">
        <v>548</v>
      </c>
      <c r="BA95" s="404" t="s">
        <v>353</v>
      </c>
      <c r="BB95" s="1" t="s">
        <v>655</v>
      </c>
    </row>
    <row r="96" spans="1:54" ht="15" customHeight="1">
      <c r="A96" s="1" t="str">
        <f t="shared" si="11"/>
        <v>TSX:PAAS_2024_COO</v>
      </c>
      <c r="B96" s="1" t="str">
        <f t="shared" si="0"/>
        <v>TSX:PAAS_2024_NEO1</v>
      </c>
      <c r="C96" s="1" t="str">
        <f t="shared" si="12"/>
        <v>TSX:PAAS_2024_</v>
      </c>
      <c r="D96" s="114" t="str">
        <f t="shared" si="67"/>
        <v>TSX:PAAS</v>
      </c>
      <c r="E96" s="133" t="str">
        <f>_xll.ciqfunctions.udf.CIQ(D96,"IQ_Company_Name")</f>
        <v>Pan American Silver Corp.</v>
      </c>
      <c r="F96" s="114">
        <f t="shared" si="57"/>
        <v>2024</v>
      </c>
      <c r="G96" s="114" t="str">
        <f t="shared" si="30"/>
        <v>2024-01-01</v>
      </c>
      <c r="H96" s="330" t="str">
        <f t="shared" si="59"/>
        <v>2024-12-31</v>
      </c>
      <c r="I96" s="114">
        <f t="shared" si="44"/>
        <v>12</v>
      </c>
      <c r="J96" s="407" t="s">
        <v>2</v>
      </c>
      <c r="K96" s="439">
        <f t="shared" si="14"/>
        <v>1</v>
      </c>
      <c r="L96" s="445" t="s">
        <v>272</v>
      </c>
      <c r="M96" s="445"/>
      <c r="N96" s="122" t="str">
        <f t="shared" ref="N96:P97" si="77">N95</f>
        <v>NEO1</v>
      </c>
      <c r="O96" s="123" t="str">
        <f t="shared" si="77"/>
        <v>COO</v>
      </c>
      <c r="P96" s="132" t="str">
        <f t="shared" si="77"/>
        <v>Scott Campbell</v>
      </c>
      <c r="Q96" s="219" t="s">
        <v>78</v>
      </c>
      <c r="R96" s="125" t="str">
        <f t="shared" ref="R96:R121" si="78">IFERROR(Q96*(12/$I96)*$K96,"-")</f>
        <v>-</v>
      </c>
      <c r="S96" s="434" t="s">
        <v>78</v>
      </c>
      <c r="T96" s="126" t="str">
        <f t="shared" si="72"/>
        <v>-</v>
      </c>
      <c r="U96" s="221" t="s">
        <v>78</v>
      </c>
      <c r="V96" s="125" t="str">
        <f t="shared" si="65"/>
        <v>-</v>
      </c>
      <c r="W96" s="127" t="str">
        <f t="shared" si="37"/>
        <v>-</v>
      </c>
      <c r="X96" s="128"/>
      <c r="Y96" s="223" t="s">
        <v>78</v>
      </c>
      <c r="Z96" s="129" t="str">
        <f t="shared" si="38"/>
        <v>-</v>
      </c>
      <c r="AA96" s="124" t="str">
        <f t="shared" si="47"/>
        <v>-</v>
      </c>
      <c r="AB96" s="130" t="str">
        <f t="shared" si="48"/>
        <v>-</v>
      </c>
      <c r="AC96" s="221" t="s">
        <v>78</v>
      </c>
      <c r="AD96" s="225" t="s">
        <v>78</v>
      </c>
      <c r="AE96" s="225" t="s">
        <v>78</v>
      </c>
      <c r="AF96" s="225" t="s">
        <v>78</v>
      </c>
      <c r="AG96" s="225" t="s">
        <v>78</v>
      </c>
      <c r="AH96" s="125" t="str">
        <f t="shared" si="39"/>
        <v>-</v>
      </c>
      <c r="AI96" s="127" t="str">
        <f t="shared" si="49"/>
        <v>-</v>
      </c>
      <c r="AJ96" s="128"/>
      <c r="AK96" s="223" t="s">
        <v>78</v>
      </c>
      <c r="AL96" s="131" t="str">
        <f t="shared" si="40"/>
        <v>-</v>
      </c>
      <c r="AM96" s="368" t="str">
        <f t="shared" si="63"/>
        <v>-</v>
      </c>
      <c r="AN96" s="375" t="str">
        <f t="shared" si="54"/>
        <v>-</v>
      </c>
      <c r="AO96" s="376" t="str">
        <f t="shared" si="50"/>
        <v>-</v>
      </c>
      <c r="AP96" s="394" t="s">
        <v>78</v>
      </c>
      <c r="AQ96" s="395" t="s">
        <v>78</v>
      </c>
      <c r="AR96" s="396" t="str">
        <f t="shared" si="42"/>
        <v>-</v>
      </c>
      <c r="AS96" s="397"/>
      <c r="AT96" s="401" t="s">
        <v>78</v>
      </c>
      <c r="AU96" s="396" t="str">
        <f t="shared" si="43"/>
        <v>-</v>
      </c>
      <c r="AV96" s="397"/>
      <c r="AW96" s="388" t="str">
        <f t="shared" si="51"/>
        <v>-</v>
      </c>
      <c r="AX96" s="389" t="str">
        <f t="shared" si="52"/>
        <v>-</v>
      </c>
      <c r="AY96" s="353" t="s">
        <v>78</v>
      </c>
      <c r="AZ96" s="403" t="s">
        <v>548</v>
      </c>
      <c r="BA96" s="404" t="s">
        <v>353</v>
      </c>
    </row>
    <row r="97" spans="1:53" ht="15" customHeight="1">
      <c r="A97" s="1" t="str">
        <f t="shared" ref="A97:A160" si="79">$D97&amp;"_"&amp;$F97&amp;"_"&amp;$L97</f>
        <v>TSX:PAAS_2023_COO</v>
      </c>
      <c r="B97" s="1" t="str">
        <f t="shared" si="0"/>
        <v>TSX:PAAS_2023_NEO1</v>
      </c>
      <c r="C97" s="1" t="str">
        <f t="shared" ref="C97:C160" si="80">$D97&amp;"_"&amp;$F97&amp;"_"&amp;$M97</f>
        <v>TSX:PAAS_2023_</v>
      </c>
      <c r="D97" s="203" t="str">
        <f t="shared" si="67"/>
        <v>TSX:PAAS</v>
      </c>
      <c r="E97" s="205" t="str">
        <f>_xll.ciqfunctions.udf.CIQ(D97,"IQ_Company_Name")</f>
        <v>Pan American Silver Corp.</v>
      </c>
      <c r="F97" s="204">
        <f t="shared" si="57"/>
        <v>2023</v>
      </c>
      <c r="G97" s="203" t="str">
        <f t="shared" si="30"/>
        <v>2023-01-01</v>
      </c>
      <c r="H97" s="331" t="str">
        <f t="shared" si="59"/>
        <v>2023-12-31</v>
      </c>
      <c r="I97" s="204">
        <f t="shared" si="44"/>
        <v>12</v>
      </c>
      <c r="J97" s="408" t="s">
        <v>2</v>
      </c>
      <c r="K97" s="441">
        <f t="shared" si="14"/>
        <v>1</v>
      </c>
      <c r="L97" s="454" t="s">
        <v>272</v>
      </c>
      <c r="M97" s="454"/>
      <c r="N97" s="956" t="str">
        <f t="shared" si="77"/>
        <v>NEO1</v>
      </c>
      <c r="O97" s="206" t="str">
        <f t="shared" si="77"/>
        <v>COO</v>
      </c>
      <c r="P97" s="207" t="str">
        <f t="shared" si="77"/>
        <v>Scott Campbell</v>
      </c>
      <c r="Q97" s="220" t="s">
        <v>78</v>
      </c>
      <c r="R97" s="209" t="str">
        <f t="shared" si="78"/>
        <v>-</v>
      </c>
      <c r="S97" s="435" t="s">
        <v>78</v>
      </c>
      <c r="T97" s="329" t="str">
        <f t="shared" si="72"/>
        <v>-</v>
      </c>
      <c r="U97" s="222" t="s">
        <v>78</v>
      </c>
      <c r="V97" s="209" t="str">
        <f t="shared" si="65"/>
        <v>-</v>
      </c>
      <c r="W97" s="211" t="str">
        <f t="shared" si="37"/>
        <v>-</v>
      </c>
      <c r="X97" s="212"/>
      <c r="Y97" s="224" t="s">
        <v>78</v>
      </c>
      <c r="Z97" s="213" t="str">
        <f t="shared" si="38"/>
        <v>-</v>
      </c>
      <c r="AA97" s="208" t="str">
        <f t="shared" si="47"/>
        <v>-</v>
      </c>
      <c r="AB97" s="214" t="str">
        <f t="shared" si="48"/>
        <v>-</v>
      </c>
      <c r="AC97" s="222" t="s">
        <v>78</v>
      </c>
      <c r="AD97" s="226" t="s">
        <v>78</v>
      </c>
      <c r="AE97" s="226" t="s">
        <v>78</v>
      </c>
      <c r="AF97" s="226" t="s">
        <v>78</v>
      </c>
      <c r="AG97" s="226" t="s">
        <v>78</v>
      </c>
      <c r="AH97" s="418" t="str">
        <f t="shared" si="39"/>
        <v>-</v>
      </c>
      <c r="AI97" s="211" t="str">
        <f t="shared" si="49"/>
        <v>-</v>
      </c>
      <c r="AJ97" s="212"/>
      <c r="AK97" s="224" t="s">
        <v>78</v>
      </c>
      <c r="AL97" s="215" t="str">
        <f t="shared" si="40"/>
        <v>-</v>
      </c>
      <c r="AM97" s="369" t="str">
        <f t="shared" si="63"/>
        <v>-</v>
      </c>
      <c r="AN97" s="377" t="str">
        <f t="shared" si="54"/>
        <v>-</v>
      </c>
      <c r="AO97" s="378" t="str">
        <f t="shared" si="50"/>
        <v>-</v>
      </c>
      <c r="AP97" s="398" t="s">
        <v>78</v>
      </c>
      <c r="AQ97" s="399" t="s">
        <v>78</v>
      </c>
      <c r="AR97" s="951" t="str">
        <f t="shared" ref="AR97:AR160" si="81">IFERROR(AP97*(12/$I97)*$K97,"-")</f>
        <v>-</v>
      </c>
      <c r="AS97" s="400"/>
      <c r="AT97" s="402" t="s">
        <v>78</v>
      </c>
      <c r="AU97" s="396" t="str">
        <f t="shared" ref="AU97:AU160" si="82">IFERROR(AT97*(12/$I97)*$K97,"-")</f>
        <v>-</v>
      </c>
      <c r="AV97" s="400"/>
      <c r="AW97" s="390" t="str">
        <f t="shared" si="51"/>
        <v>-</v>
      </c>
      <c r="AX97" s="391" t="str">
        <f t="shared" si="52"/>
        <v>-</v>
      </c>
      <c r="AY97" s="354" t="s">
        <v>78</v>
      </c>
      <c r="AZ97" s="405" t="s">
        <v>548</v>
      </c>
      <c r="BA97" s="404" t="s">
        <v>353</v>
      </c>
    </row>
    <row r="98" spans="1:53" ht="15" customHeight="1">
      <c r="A98" s="1" t="str">
        <f t="shared" si="79"/>
        <v>TSX:BTO_2025_</v>
      </c>
      <c r="B98" s="1" t="str">
        <f t="shared" si="0"/>
        <v>TSX:BTO_2025_CEO</v>
      </c>
      <c r="C98" s="1" t="str">
        <f t="shared" si="80"/>
        <v>TSX:BTO_2025_</v>
      </c>
      <c r="D98" s="216" t="str">
        <f>E8</f>
        <v>TSX:BTO</v>
      </c>
      <c r="E98" s="133" t="str">
        <f>_xll.ciqfunctions.udf.CIQ(D98,"IQ_Company_Name")</f>
        <v>B2Gold Corp.</v>
      </c>
      <c r="F98" s="328">
        <f>$G$9</f>
        <v>2025</v>
      </c>
      <c r="G98" s="330" t="str">
        <f t="shared" si="30"/>
        <v>2025-01-01</v>
      </c>
      <c r="H98" s="330" t="str">
        <f t="shared" si="59"/>
        <v>2025-12-31</v>
      </c>
      <c r="I98" s="114">
        <f t="shared" si="44"/>
        <v>12</v>
      </c>
      <c r="J98" s="328" t="s">
        <v>285</v>
      </c>
      <c r="K98" s="439">
        <f t="shared" si="14"/>
        <v>1.3974500000000001</v>
      </c>
      <c r="L98" s="445"/>
      <c r="M98" s="445"/>
      <c r="N98" s="351" t="s">
        <v>79</v>
      </c>
      <c r="O98" s="217" t="s">
        <v>555</v>
      </c>
      <c r="P98" s="218" t="s">
        <v>341</v>
      </c>
      <c r="Q98" s="219">
        <v>949000</v>
      </c>
      <c r="R98" s="125">
        <f t="shared" si="78"/>
        <v>1326180.05</v>
      </c>
      <c r="S98" s="311" t="s">
        <v>78</v>
      </c>
      <c r="T98" s="126" t="str">
        <f t="shared" si="72"/>
        <v>-</v>
      </c>
      <c r="U98" s="221">
        <v>1010685</v>
      </c>
      <c r="V98" s="125">
        <f t="shared" si="65"/>
        <v>1412381.7532500001</v>
      </c>
      <c r="W98" s="127">
        <f t="shared" si="37"/>
        <v>1.0649999999999999</v>
      </c>
      <c r="X98" s="128">
        <f>IFERROR(AVERAGE(W98:W100),"N/A")</f>
        <v>0.72512820512820519</v>
      </c>
      <c r="Y98" s="223">
        <v>1</v>
      </c>
      <c r="Z98" s="129">
        <f t="shared" si="38"/>
        <v>1326180.05</v>
      </c>
      <c r="AA98" s="124">
        <f t="shared" si="47"/>
        <v>2738561.8032499999</v>
      </c>
      <c r="AB98" s="130">
        <f t="shared" si="48"/>
        <v>2652360.1</v>
      </c>
      <c r="AC98" s="221">
        <v>2729835</v>
      </c>
      <c r="AD98" s="225" t="s">
        <v>78</v>
      </c>
      <c r="AE98" s="225" t="s">
        <v>78</v>
      </c>
      <c r="AF98" s="225" t="s">
        <v>78</v>
      </c>
      <c r="AG98" s="225" t="s">
        <v>78</v>
      </c>
      <c r="AH98" s="125">
        <f t="shared" si="39"/>
        <v>2729835</v>
      </c>
      <c r="AI98" s="127">
        <f t="shared" si="49"/>
        <v>2.8765384615384613</v>
      </c>
      <c r="AJ98" s="128">
        <f>IFERROR(AVERAGE(AI98:AI100),"N/A")</f>
        <v>2.7537179487179486</v>
      </c>
      <c r="AK98" s="223">
        <f>0.54/0.23</f>
        <v>2.347826086956522</v>
      </c>
      <c r="AL98" s="131">
        <f t="shared" si="40"/>
        <v>3113640.1173913046</v>
      </c>
      <c r="AM98" s="368">
        <f t="shared" si="63"/>
        <v>3814807.92075</v>
      </c>
      <c r="AN98" s="375">
        <f t="shared" si="54"/>
        <v>6553369.7239999995</v>
      </c>
      <c r="AO98" s="376">
        <f t="shared" si="50"/>
        <v>5766000.2173913047</v>
      </c>
      <c r="AP98" s="394" t="s">
        <v>489</v>
      </c>
      <c r="AQ98" s="394" t="s">
        <v>489</v>
      </c>
      <c r="AR98" s="396" t="str">
        <f t="shared" si="81"/>
        <v>-</v>
      </c>
      <c r="AS98" s="409" t="str">
        <f>IFERROR(AVERAGE(AR98:AR100),"N/A")</f>
        <v>N/A</v>
      </c>
      <c r="AT98" s="401">
        <f>149833-144602</f>
        <v>5231</v>
      </c>
      <c r="AU98" s="396">
        <f t="shared" si="82"/>
        <v>7310.06095</v>
      </c>
      <c r="AV98" s="409">
        <f>IFERROR(AVERAGE(AU98:AU100),"N/A")</f>
        <v>8739.6114700000016</v>
      </c>
      <c r="AW98" s="388">
        <f t="shared" si="51"/>
        <v>6560679.7849499993</v>
      </c>
      <c r="AX98" s="389">
        <f t="shared" si="52"/>
        <v>5773310.2783413045</v>
      </c>
      <c r="AY98" s="353" t="s">
        <v>618</v>
      </c>
      <c r="AZ98" s="403" t="s">
        <v>548</v>
      </c>
      <c r="BA98" s="404" t="s">
        <v>353</v>
      </c>
    </row>
    <row r="99" spans="1:53" ht="15" customHeight="1">
      <c r="A99" s="1" t="str">
        <f t="shared" si="79"/>
        <v>TSX:BTO_2024_</v>
      </c>
      <c r="B99" s="1" t="str">
        <f t="shared" si="0"/>
        <v>TSX:BTO_2024_CEO</v>
      </c>
      <c r="C99" s="1" t="str">
        <f t="shared" si="80"/>
        <v>TSX:BTO_2024_</v>
      </c>
      <c r="D99" s="114" t="str">
        <f>D98</f>
        <v>TSX:BTO</v>
      </c>
      <c r="E99" s="133" t="str">
        <f>_xll.ciqfunctions.udf.CIQ(D99,"IQ_Company_Name")</f>
        <v>B2Gold Corp.</v>
      </c>
      <c r="F99" s="328">
        <f>$G$10</f>
        <v>2024</v>
      </c>
      <c r="G99" s="330" t="str">
        <f t="shared" si="30"/>
        <v>2024-01-01</v>
      </c>
      <c r="H99" s="330" t="str">
        <f t="shared" si="59"/>
        <v>2024-12-31</v>
      </c>
      <c r="I99" s="114">
        <f t="shared" si="44"/>
        <v>12</v>
      </c>
      <c r="J99" s="407" t="s">
        <v>285</v>
      </c>
      <c r="K99" s="439">
        <f t="shared" si="14"/>
        <v>1.3701700000000001</v>
      </c>
      <c r="L99" s="445"/>
      <c r="M99" s="445"/>
      <c r="N99" s="122" t="str">
        <f t="shared" ref="N99:P100" si="83">N98</f>
        <v>CEO</v>
      </c>
      <c r="O99" s="123" t="str">
        <f t="shared" si="83"/>
        <v>Director, President, &amp; CEO</v>
      </c>
      <c r="P99" s="132" t="str">
        <f t="shared" si="83"/>
        <v>Clive Johnson</v>
      </c>
      <c r="Q99" s="219">
        <v>949000</v>
      </c>
      <c r="R99" s="125">
        <f t="shared" si="78"/>
        <v>1300291.33</v>
      </c>
      <c r="S99" s="311"/>
      <c r="T99" s="126" t="str">
        <f t="shared" si="72"/>
        <v>-</v>
      </c>
      <c r="U99" s="221">
        <v>469755</v>
      </c>
      <c r="V99" s="125">
        <f t="shared" si="65"/>
        <v>643644.20835000009</v>
      </c>
      <c r="W99" s="127">
        <f t="shared" si="37"/>
        <v>0.49500000000000005</v>
      </c>
      <c r="X99" s="128"/>
      <c r="Y99" s="223" t="s">
        <v>78</v>
      </c>
      <c r="Z99" s="129">
        <f t="shared" si="38"/>
        <v>0</v>
      </c>
      <c r="AA99" s="124">
        <f t="shared" si="47"/>
        <v>1943935.53835</v>
      </c>
      <c r="AB99" s="130">
        <f t="shared" si="48"/>
        <v>1300291.33</v>
      </c>
      <c r="AC99" s="221">
        <f>0.4*2555000</f>
        <v>1022000</v>
      </c>
      <c r="AD99" s="221">
        <f>0.6*2555000</f>
        <v>1533000</v>
      </c>
      <c r="AE99" s="225" t="s">
        <v>78</v>
      </c>
      <c r="AF99" s="225" t="s">
        <v>78</v>
      </c>
      <c r="AG99" s="225" t="s">
        <v>78</v>
      </c>
      <c r="AH99" s="125">
        <f t="shared" si="39"/>
        <v>2555000</v>
      </c>
      <c r="AI99" s="127">
        <f t="shared" si="49"/>
        <v>2.6923076923076921</v>
      </c>
      <c r="AJ99" s="128"/>
      <c r="AK99" s="223" t="s">
        <v>78</v>
      </c>
      <c r="AL99" s="131">
        <f t="shared" si="40"/>
        <v>0</v>
      </c>
      <c r="AM99" s="368">
        <f t="shared" si="63"/>
        <v>3500784.35</v>
      </c>
      <c r="AN99" s="375">
        <f t="shared" si="54"/>
        <v>5444719.8883500006</v>
      </c>
      <c r="AO99" s="376">
        <f t="shared" si="50"/>
        <v>1300291.33</v>
      </c>
      <c r="AP99" s="394" t="s">
        <v>489</v>
      </c>
      <c r="AQ99" s="394" t="s">
        <v>489</v>
      </c>
      <c r="AR99" s="396" t="str">
        <f t="shared" si="81"/>
        <v>-</v>
      </c>
      <c r="AS99" s="397"/>
      <c r="AT99" s="429">
        <f>303652-162438-134262</f>
        <v>6952</v>
      </c>
      <c r="AU99" s="396">
        <f t="shared" si="82"/>
        <v>9525.4218400000009</v>
      </c>
      <c r="AV99" s="397"/>
      <c r="AW99" s="388">
        <f t="shared" si="51"/>
        <v>5454245.3101900006</v>
      </c>
      <c r="AX99" s="389">
        <f t="shared" si="52"/>
        <v>1309816.75184</v>
      </c>
      <c r="AY99" s="353" t="s">
        <v>78</v>
      </c>
      <c r="AZ99" s="403" t="s">
        <v>548</v>
      </c>
      <c r="BA99" s="404" t="s">
        <v>353</v>
      </c>
    </row>
    <row r="100" spans="1:53" ht="15" customHeight="1">
      <c r="A100" s="1" t="str">
        <f t="shared" si="79"/>
        <v>TSX:BTO_2023_</v>
      </c>
      <c r="B100" s="1" t="str">
        <f t="shared" si="0"/>
        <v>TSX:BTO_2023_CEO</v>
      </c>
      <c r="C100" s="1" t="str">
        <f t="shared" si="80"/>
        <v>TSX:BTO_2023_</v>
      </c>
      <c r="D100" s="114" t="str">
        <f t="shared" si="67"/>
        <v>TSX:BTO</v>
      </c>
      <c r="E100" s="133" t="str">
        <f>_xll.ciqfunctions.udf.CIQ(D100,"IQ_Company_Name")</f>
        <v>B2Gold Corp.</v>
      </c>
      <c r="F100" s="328">
        <f>$G$11</f>
        <v>2023</v>
      </c>
      <c r="G100" s="114" t="str">
        <f t="shared" si="30"/>
        <v>2023-01-01</v>
      </c>
      <c r="H100" s="330" t="str">
        <f t="shared" si="59"/>
        <v>2023-12-31</v>
      </c>
      <c r="I100" s="114">
        <f t="shared" si="44"/>
        <v>12</v>
      </c>
      <c r="J100" s="407" t="s">
        <v>285</v>
      </c>
      <c r="K100" s="439">
        <f t="shared" si="14"/>
        <v>1.34954</v>
      </c>
      <c r="L100" s="445"/>
      <c r="M100" s="445"/>
      <c r="N100" s="122" t="str">
        <f t="shared" si="83"/>
        <v>CEO</v>
      </c>
      <c r="O100" s="123" t="str">
        <f t="shared" si="83"/>
        <v>Director, President, &amp; CEO</v>
      </c>
      <c r="P100" s="132" t="str">
        <f t="shared" si="83"/>
        <v>Clive Johnson</v>
      </c>
      <c r="Q100" s="219">
        <v>949000</v>
      </c>
      <c r="R100" s="125">
        <f t="shared" si="78"/>
        <v>1280713.46</v>
      </c>
      <c r="S100" s="311"/>
      <c r="T100" s="126" t="str">
        <f t="shared" si="72"/>
        <v>-</v>
      </c>
      <c r="U100" s="221">
        <v>584000</v>
      </c>
      <c r="V100" s="125">
        <f t="shared" si="65"/>
        <v>788131.36</v>
      </c>
      <c r="W100" s="127">
        <f t="shared" si="37"/>
        <v>0.61538461538461542</v>
      </c>
      <c r="X100" s="128"/>
      <c r="Y100" s="223" t="s">
        <v>78</v>
      </c>
      <c r="Z100" s="129">
        <f t="shared" si="38"/>
        <v>0</v>
      </c>
      <c r="AA100" s="124">
        <f t="shared" si="47"/>
        <v>2068844.8199999998</v>
      </c>
      <c r="AB100" s="130">
        <f t="shared" si="48"/>
        <v>1280713.46</v>
      </c>
      <c r="AC100" s="221">
        <f>0.5*2555000</f>
        <v>1277500</v>
      </c>
      <c r="AD100" s="221">
        <f>0.5*2555000</f>
        <v>1277500</v>
      </c>
      <c r="AE100" s="225" t="s">
        <v>78</v>
      </c>
      <c r="AF100" s="225" t="s">
        <v>78</v>
      </c>
      <c r="AG100" s="225" t="s">
        <v>78</v>
      </c>
      <c r="AH100" s="125">
        <f t="shared" si="39"/>
        <v>2555000</v>
      </c>
      <c r="AI100" s="127">
        <f t="shared" si="49"/>
        <v>2.6923076923076921</v>
      </c>
      <c r="AJ100" s="128"/>
      <c r="AK100" s="223" t="s">
        <v>78</v>
      </c>
      <c r="AL100" s="131">
        <f t="shared" si="40"/>
        <v>0</v>
      </c>
      <c r="AM100" s="368">
        <f t="shared" ref="AM100:AM142" si="84">IFERROR($AH100*$K100,"-")</f>
        <v>3448074.6999999997</v>
      </c>
      <c r="AN100" s="375">
        <f t="shared" si="54"/>
        <v>5516919.5199999996</v>
      </c>
      <c r="AO100" s="376">
        <f t="shared" si="50"/>
        <v>1280713.46</v>
      </c>
      <c r="AP100" s="394" t="s">
        <v>489</v>
      </c>
      <c r="AQ100" s="394" t="s">
        <v>489</v>
      </c>
      <c r="AR100" s="396" t="str">
        <f t="shared" si="81"/>
        <v>-</v>
      </c>
      <c r="AS100" s="397"/>
      <c r="AT100" s="429">
        <f>510558-201179-302426</f>
        <v>6953</v>
      </c>
      <c r="AU100" s="396">
        <f t="shared" si="82"/>
        <v>9383.3516199999995</v>
      </c>
      <c r="AV100" s="397"/>
      <c r="AW100" s="388">
        <f t="shared" si="51"/>
        <v>5526302.8716199994</v>
      </c>
      <c r="AX100" s="389">
        <f t="shared" si="52"/>
        <v>1290096.8116200001</v>
      </c>
      <c r="AY100" s="353" t="s">
        <v>78</v>
      </c>
      <c r="AZ100" s="403" t="s">
        <v>548</v>
      </c>
      <c r="BA100" s="404" t="s">
        <v>353</v>
      </c>
    </row>
    <row r="101" spans="1:53" ht="15" customHeight="1">
      <c r="A101" s="1" t="str">
        <f t="shared" si="79"/>
        <v>TSX:BTO_2025_</v>
      </c>
      <c r="B101" s="1" t="str">
        <f t="shared" si="0"/>
        <v>TSX:BTO_2025_CFO</v>
      </c>
      <c r="C101" s="1" t="str">
        <f t="shared" si="80"/>
        <v>TSX:BTO_2025_2nd Highest</v>
      </c>
      <c r="D101" s="114" t="str">
        <f t="shared" si="67"/>
        <v>TSX:BTO</v>
      </c>
      <c r="E101" s="133" t="str">
        <f>_xll.ciqfunctions.udf.CIQ(D101,"IQ_Company_Name")</f>
        <v>B2Gold Corp.</v>
      </c>
      <c r="F101" s="114">
        <f t="shared" si="57"/>
        <v>2025</v>
      </c>
      <c r="G101" s="114" t="str">
        <f t="shared" si="30"/>
        <v>2025-01-01</v>
      </c>
      <c r="H101" s="330" t="str">
        <f t="shared" si="59"/>
        <v>2025-12-31</v>
      </c>
      <c r="I101" s="114">
        <f t="shared" si="44"/>
        <v>12</v>
      </c>
      <c r="J101" s="407" t="s">
        <v>285</v>
      </c>
      <c r="K101" s="439">
        <f t="shared" si="14"/>
        <v>1.3974500000000001</v>
      </c>
      <c r="L101" s="445"/>
      <c r="M101" s="445" t="s">
        <v>669</v>
      </c>
      <c r="N101" s="351" t="s">
        <v>106</v>
      </c>
      <c r="O101" s="217" t="s">
        <v>556</v>
      </c>
      <c r="P101" s="218" t="s">
        <v>342</v>
      </c>
      <c r="Q101" s="219">
        <v>474500</v>
      </c>
      <c r="R101" s="125">
        <f t="shared" si="78"/>
        <v>663090.02500000002</v>
      </c>
      <c r="S101" s="311"/>
      <c r="T101" s="126" t="str">
        <f t="shared" si="72"/>
        <v>-</v>
      </c>
      <c r="U101" s="221">
        <v>379007</v>
      </c>
      <c r="V101" s="125">
        <f t="shared" si="65"/>
        <v>529643.33215000003</v>
      </c>
      <c r="W101" s="127">
        <f t="shared" si="37"/>
        <v>0.79875026343519495</v>
      </c>
      <c r="X101" s="128">
        <f>IFERROR(AVERAGE(W101:W103),"N/A")</f>
        <v>0.68125043905865823</v>
      </c>
      <c r="Y101" s="223">
        <v>0.75</v>
      </c>
      <c r="Z101" s="129">
        <f t="shared" si="38"/>
        <v>497317.51875000005</v>
      </c>
      <c r="AA101" s="124">
        <f t="shared" si="47"/>
        <v>1192733.3571500001</v>
      </c>
      <c r="AB101" s="130">
        <f t="shared" si="48"/>
        <v>1160407.5437500002</v>
      </c>
      <c r="AC101" s="221">
        <f>0.5*1547418</f>
        <v>773709</v>
      </c>
      <c r="AD101" s="221">
        <f>0.5*1547418</f>
        <v>773709</v>
      </c>
      <c r="AE101" s="225" t="s">
        <v>78</v>
      </c>
      <c r="AF101" s="225" t="s">
        <v>78</v>
      </c>
      <c r="AG101" s="225" t="s">
        <v>78</v>
      </c>
      <c r="AH101" s="125">
        <f t="shared" si="39"/>
        <v>1547418</v>
      </c>
      <c r="AI101" s="127">
        <f t="shared" si="49"/>
        <v>3.2611548998946263</v>
      </c>
      <c r="AJ101" s="128">
        <f>IFERROR(AVERAGE(AI101:AI103),"N/A")</f>
        <v>2.8819234281700035</v>
      </c>
      <c r="AK101" s="223" t="s">
        <v>78</v>
      </c>
      <c r="AL101" s="131">
        <f t="shared" si="40"/>
        <v>1910974.6780333333</v>
      </c>
      <c r="AM101" s="368">
        <f t="shared" si="84"/>
        <v>2162439.2841000003</v>
      </c>
      <c r="AN101" s="375">
        <f t="shared" si="54"/>
        <v>3355172.6412500003</v>
      </c>
      <c r="AO101" s="376">
        <f t="shared" si="50"/>
        <v>3071382.2217833335</v>
      </c>
      <c r="AP101" s="394" t="s">
        <v>489</v>
      </c>
      <c r="AQ101" s="394" t="s">
        <v>489</v>
      </c>
      <c r="AR101" s="396" t="str">
        <f t="shared" si="81"/>
        <v>-</v>
      </c>
      <c r="AS101" s="397" t="str">
        <f>IFERROR(AVERAGE(AR101:AR103),"N/A")</f>
        <v>N/A</v>
      </c>
      <c r="AT101" s="401">
        <f>59018-53787</f>
        <v>5231</v>
      </c>
      <c r="AU101" s="396">
        <f t="shared" si="82"/>
        <v>7310.06095</v>
      </c>
      <c r="AV101" s="397">
        <f>IFERROR(AVERAGE(AU101:AU103),"N/A")</f>
        <v>8739.6114700000016</v>
      </c>
      <c r="AW101" s="388">
        <f t="shared" si="51"/>
        <v>3362482.7022000002</v>
      </c>
      <c r="AX101" s="389">
        <f t="shared" si="52"/>
        <v>3078692.2827333333</v>
      </c>
      <c r="AY101" s="353" t="s">
        <v>78</v>
      </c>
      <c r="AZ101" s="403" t="s">
        <v>548</v>
      </c>
      <c r="BA101" s="404" t="s">
        <v>353</v>
      </c>
    </row>
    <row r="102" spans="1:53" ht="15" customHeight="1">
      <c r="A102" s="1" t="str">
        <f t="shared" si="79"/>
        <v>TSX:BTO_2024_</v>
      </c>
      <c r="B102" s="1" t="str">
        <f t="shared" ref="B102:B165" si="85">$D102&amp;"_"&amp;$F102&amp;"_"&amp;$N102</f>
        <v>TSX:BTO_2024_CFO</v>
      </c>
      <c r="C102" s="1" t="str">
        <f t="shared" si="80"/>
        <v>TSX:BTO_2024_</v>
      </c>
      <c r="D102" s="114" t="str">
        <f t="shared" si="67"/>
        <v>TSX:BTO</v>
      </c>
      <c r="E102" s="133" t="str">
        <f>_xll.ciqfunctions.udf.CIQ(D102,"IQ_Company_Name")</f>
        <v>B2Gold Corp.</v>
      </c>
      <c r="F102" s="114">
        <f t="shared" si="57"/>
        <v>2024</v>
      </c>
      <c r="G102" s="114" t="str">
        <f t="shared" si="30"/>
        <v>2024-01-01</v>
      </c>
      <c r="H102" s="330" t="str">
        <f t="shared" si="59"/>
        <v>2024-12-31</v>
      </c>
      <c r="I102" s="114">
        <f t="shared" si="44"/>
        <v>12</v>
      </c>
      <c r="J102" s="407" t="s">
        <v>285</v>
      </c>
      <c r="K102" s="439">
        <f t="shared" si="14"/>
        <v>1.3701700000000001</v>
      </c>
      <c r="L102" s="445"/>
      <c r="M102" s="445"/>
      <c r="N102" s="122" t="str">
        <f t="shared" ref="N102:P103" si="86">N101</f>
        <v>CFO</v>
      </c>
      <c r="O102" s="123" t="str">
        <f t="shared" si="86"/>
        <v>Senior VP Finance &amp; CFO</v>
      </c>
      <c r="P102" s="132" t="str">
        <f t="shared" si="86"/>
        <v>Michael Cinnamond</v>
      </c>
      <c r="Q102" s="219">
        <v>474500</v>
      </c>
      <c r="R102" s="125">
        <f t="shared" si="78"/>
        <v>650145.66500000004</v>
      </c>
      <c r="S102" s="311" t="s">
        <v>78</v>
      </c>
      <c r="T102" s="126" t="str">
        <f t="shared" si="72"/>
        <v>-</v>
      </c>
      <c r="U102" s="221">
        <v>234878</v>
      </c>
      <c r="V102" s="125">
        <f t="shared" si="65"/>
        <v>321822.78926000005</v>
      </c>
      <c r="W102" s="127">
        <f t="shared" si="37"/>
        <v>0.4950010537407798</v>
      </c>
      <c r="X102" s="128"/>
      <c r="Y102" s="223" t="s">
        <v>78</v>
      </c>
      <c r="Z102" s="129">
        <f t="shared" si="38"/>
        <v>0</v>
      </c>
      <c r="AA102" s="124">
        <f t="shared" si="47"/>
        <v>971968.45426000003</v>
      </c>
      <c r="AB102" s="130">
        <f t="shared" si="48"/>
        <v>650145.66500000004</v>
      </c>
      <c r="AC102" s="221">
        <f>0.5*1277500</f>
        <v>638750</v>
      </c>
      <c r="AD102" s="221">
        <f>0.5*1277500</f>
        <v>638750</v>
      </c>
      <c r="AE102" s="971" t="s">
        <v>78</v>
      </c>
      <c r="AF102" s="225" t="s">
        <v>78</v>
      </c>
      <c r="AG102" s="225" t="s">
        <v>78</v>
      </c>
      <c r="AH102" s="125">
        <f t="shared" si="39"/>
        <v>1277500</v>
      </c>
      <c r="AI102" s="127">
        <f t="shared" si="49"/>
        <v>2.6923076923076921</v>
      </c>
      <c r="AJ102" s="128"/>
      <c r="AK102" s="223" t="s">
        <v>78</v>
      </c>
      <c r="AL102" s="131">
        <f t="shared" si="40"/>
        <v>0</v>
      </c>
      <c r="AM102" s="368">
        <f t="shared" si="84"/>
        <v>1750392.175</v>
      </c>
      <c r="AN102" s="375">
        <f t="shared" si="54"/>
        <v>2722360.6292599998</v>
      </c>
      <c r="AO102" s="376">
        <f t="shared" si="50"/>
        <v>650145.66500000004</v>
      </c>
      <c r="AP102" s="394" t="s">
        <v>489</v>
      </c>
      <c r="AQ102" s="394" t="s">
        <v>489</v>
      </c>
      <c r="AR102" s="396" t="str">
        <f t="shared" si="81"/>
        <v>-</v>
      </c>
      <c r="AS102" s="397"/>
      <c r="AT102" s="429">
        <f>97563-50321-40290</f>
        <v>6952</v>
      </c>
      <c r="AU102" s="396">
        <f t="shared" si="82"/>
        <v>9525.4218400000009</v>
      </c>
      <c r="AV102" s="397"/>
      <c r="AW102" s="388">
        <f t="shared" si="51"/>
        <v>2731886.0510999998</v>
      </c>
      <c r="AX102" s="389">
        <f t="shared" si="52"/>
        <v>659671.08684</v>
      </c>
      <c r="AY102" s="353" t="s">
        <v>78</v>
      </c>
      <c r="AZ102" s="403" t="s">
        <v>548</v>
      </c>
      <c r="BA102" s="404" t="s">
        <v>353</v>
      </c>
    </row>
    <row r="103" spans="1:53" ht="15" customHeight="1">
      <c r="A103" s="1" t="str">
        <f t="shared" si="79"/>
        <v>TSX:BTO_2023_</v>
      </c>
      <c r="B103" s="1" t="str">
        <f t="shared" si="85"/>
        <v>TSX:BTO_2023_CFO</v>
      </c>
      <c r="C103" s="1" t="str">
        <f t="shared" si="80"/>
        <v>TSX:BTO_2023_</v>
      </c>
      <c r="D103" s="114" t="str">
        <f t="shared" si="67"/>
        <v>TSX:BTO</v>
      </c>
      <c r="E103" s="133" t="str">
        <f>_xll.ciqfunctions.udf.CIQ(D103,"IQ_Company_Name")</f>
        <v>B2Gold Corp.</v>
      </c>
      <c r="F103" s="114">
        <f t="shared" si="57"/>
        <v>2023</v>
      </c>
      <c r="G103" s="114" t="str">
        <f t="shared" si="30"/>
        <v>2023-01-01</v>
      </c>
      <c r="H103" s="330" t="str">
        <f t="shared" si="59"/>
        <v>2023-12-31</v>
      </c>
      <c r="I103" s="114">
        <f t="shared" si="44"/>
        <v>12</v>
      </c>
      <c r="J103" s="407" t="s">
        <v>285</v>
      </c>
      <c r="K103" s="439">
        <f t="shared" ref="K103:K166" si="87">IF($J103="CAD",1,IF($J103="USD",VLOOKUP($F103,$G$9:$H$11,2,FALSE),"N/A"))</f>
        <v>1.34954</v>
      </c>
      <c r="L103" s="445"/>
      <c r="M103" s="445"/>
      <c r="N103" s="122" t="str">
        <f t="shared" si="86"/>
        <v>CFO</v>
      </c>
      <c r="O103" s="123" t="str">
        <f t="shared" si="86"/>
        <v>Senior VP Finance &amp; CFO</v>
      </c>
      <c r="P103" s="132" t="str">
        <f t="shared" si="86"/>
        <v>Michael Cinnamond</v>
      </c>
      <c r="Q103" s="219">
        <v>474500</v>
      </c>
      <c r="R103" s="125">
        <f t="shared" si="78"/>
        <v>640356.73</v>
      </c>
      <c r="S103" s="311" t="s">
        <v>78</v>
      </c>
      <c r="T103" s="126" t="str">
        <f t="shared" si="72"/>
        <v>-</v>
      </c>
      <c r="U103" s="221">
        <v>355875</v>
      </c>
      <c r="V103" s="125">
        <f t="shared" si="65"/>
        <v>480267.54749999999</v>
      </c>
      <c r="W103" s="127">
        <f t="shared" si="37"/>
        <v>0.75</v>
      </c>
      <c r="X103" s="128"/>
      <c r="Y103" s="223" t="s">
        <v>78</v>
      </c>
      <c r="Z103" s="129">
        <f t="shared" si="38"/>
        <v>0</v>
      </c>
      <c r="AA103" s="124">
        <f t="shared" si="47"/>
        <v>1120624.2774999999</v>
      </c>
      <c r="AB103" s="130">
        <f t="shared" si="48"/>
        <v>640356.73</v>
      </c>
      <c r="AC103" s="221">
        <f>0.5*1277500</f>
        <v>638750</v>
      </c>
      <c r="AD103" s="221">
        <f>0.5*1277500</f>
        <v>638750</v>
      </c>
      <c r="AE103" s="225" t="s">
        <v>78</v>
      </c>
      <c r="AF103" s="225" t="s">
        <v>78</v>
      </c>
      <c r="AG103" s="225" t="s">
        <v>78</v>
      </c>
      <c r="AH103" s="125">
        <f t="shared" ref="AH103:AH157" si="88">IFERROR(IF(SUM(AC103:AG103)=0,IF(COUNTIF($AC103:$AG103,"=0")&gt;0,"$0","-"),SUM(AC103:AG103)),"-")</f>
        <v>1277500</v>
      </c>
      <c r="AI103" s="127">
        <f t="shared" si="49"/>
        <v>2.6923076923076921</v>
      </c>
      <c r="AJ103" s="128"/>
      <c r="AK103" s="223" t="s">
        <v>78</v>
      </c>
      <c r="AL103" s="131">
        <f t="shared" si="40"/>
        <v>0</v>
      </c>
      <c r="AM103" s="368">
        <f t="shared" si="84"/>
        <v>1724037.3499999999</v>
      </c>
      <c r="AN103" s="375">
        <f t="shared" si="54"/>
        <v>2844661.6274999995</v>
      </c>
      <c r="AO103" s="376">
        <f t="shared" si="50"/>
        <v>640356.73</v>
      </c>
      <c r="AP103" s="394" t="s">
        <v>489</v>
      </c>
      <c r="AQ103" s="394" t="s">
        <v>489</v>
      </c>
      <c r="AR103" s="396" t="str">
        <f t="shared" si="81"/>
        <v>-</v>
      </c>
      <c r="AS103" s="397"/>
      <c r="AT103" s="429">
        <f>165924-64292-94679</f>
        <v>6953</v>
      </c>
      <c r="AU103" s="396">
        <f t="shared" si="82"/>
        <v>9383.3516199999995</v>
      </c>
      <c r="AV103" s="397"/>
      <c r="AW103" s="388">
        <f t="shared" si="51"/>
        <v>2854044.9791199993</v>
      </c>
      <c r="AX103" s="389">
        <f t="shared" si="52"/>
        <v>649740.08161999995</v>
      </c>
      <c r="AY103" s="353" t="s">
        <v>78</v>
      </c>
      <c r="AZ103" s="403" t="s">
        <v>548</v>
      </c>
      <c r="BA103" s="404" t="s">
        <v>353</v>
      </c>
    </row>
    <row r="104" spans="1:53" ht="15" customHeight="1">
      <c r="A104" s="1" t="str">
        <f t="shared" si="79"/>
        <v>TSX:BTO_2025_COO</v>
      </c>
      <c r="B104" s="1" t="str">
        <f t="shared" si="85"/>
        <v>TSX:BTO_2025_NEO1</v>
      </c>
      <c r="C104" s="1" t="str">
        <f t="shared" si="80"/>
        <v>TSX:BTO_2025_</v>
      </c>
      <c r="D104" s="114" t="str">
        <f t="shared" si="67"/>
        <v>TSX:BTO</v>
      </c>
      <c r="E104" s="133" t="str">
        <f>_xll.ciqfunctions.udf.CIQ(D104,"IQ_Company_Name")</f>
        <v>B2Gold Corp.</v>
      </c>
      <c r="F104" s="114">
        <f t="shared" si="57"/>
        <v>2025</v>
      </c>
      <c r="G104" s="330" t="str">
        <f t="shared" ref="G104:G167" si="89">F104&amp;"-01-01"</f>
        <v>2025-01-01</v>
      </c>
      <c r="H104" s="330" t="str">
        <f t="shared" si="59"/>
        <v>2025-12-31</v>
      </c>
      <c r="I104" s="114">
        <f t="shared" si="44"/>
        <v>12</v>
      </c>
      <c r="J104" s="407" t="s">
        <v>285</v>
      </c>
      <c r="K104" s="439">
        <f t="shared" si="87"/>
        <v>1.3974500000000001</v>
      </c>
      <c r="L104" s="445" t="s">
        <v>272</v>
      </c>
      <c r="M104" s="445"/>
      <c r="N104" s="351" t="s">
        <v>107</v>
      </c>
      <c r="O104" s="217" t="s">
        <v>557</v>
      </c>
      <c r="P104" s="218" t="s">
        <v>343</v>
      </c>
      <c r="Q104" s="219">
        <v>474500</v>
      </c>
      <c r="R104" s="125">
        <f t="shared" si="78"/>
        <v>663090.02500000002</v>
      </c>
      <c r="S104" s="311" t="s">
        <v>78</v>
      </c>
      <c r="T104" s="126" t="str">
        <f t="shared" si="72"/>
        <v>-</v>
      </c>
      <c r="U104" s="221">
        <v>379007</v>
      </c>
      <c r="V104" s="125">
        <f t="shared" si="65"/>
        <v>529643.33215000003</v>
      </c>
      <c r="W104" s="127">
        <f t="shared" si="37"/>
        <v>0.79875026343519495</v>
      </c>
      <c r="X104" s="128">
        <f>IFERROR(AVERAGE(W104:W106),"N/A")</f>
        <v>0.68125043905865823</v>
      </c>
      <c r="Y104" s="223">
        <v>0.75</v>
      </c>
      <c r="Z104" s="129">
        <f t="shared" si="38"/>
        <v>497317.51875000005</v>
      </c>
      <c r="AA104" s="124">
        <f t="shared" si="47"/>
        <v>1192733.3571500001</v>
      </c>
      <c r="AB104" s="130">
        <f t="shared" si="48"/>
        <v>1160407.5437500002</v>
      </c>
      <c r="AC104" s="221">
        <f>0.5*1547418</f>
        <v>773709</v>
      </c>
      <c r="AD104" s="221">
        <f>0.5*1547418</f>
        <v>773709</v>
      </c>
      <c r="AE104" s="225" t="s">
        <v>78</v>
      </c>
      <c r="AF104" s="225" t="s">
        <v>78</v>
      </c>
      <c r="AG104" s="225" t="s">
        <v>78</v>
      </c>
      <c r="AH104" s="125">
        <f t="shared" si="88"/>
        <v>1547418</v>
      </c>
      <c r="AI104" s="127">
        <f t="shared" si="49"/>
        <v>3.2611548998946263</v>
      </c>
      <c r="AJ104" s="128">
        <f>IFERROR(AVERAGE(AI104:AI106),"N/A")</f>
        <v>2.8819234281700035</v>
      </c>
      <c r="AK104" s="223" t="s">
        <v>78</v>
      </c>
      <c r="AL104" s="131">
        <f t="shared" si="40"/>
        <v>1910974.6780333333</v>
      </c>
      <c r="AM104" s="368">
        <f t="shared" si="84"/>
        <v>2162439.2841000003</v>
      </c>
      <c r="AN104" s="375">
        <f t="shared" si="54"/>
        <v>3355172.6412500003</v>
      </c>
      <c r="AO104" s="376">
        <f t="shared" si="50"/>
        <v>3071382.2217833335</v>
      </c>
      <c r="AP104" s="394" t="s">
        <v>489</v>
      </c>
      <c r="AQ104" s="394" t="s">
        <v>489</v>
      </c>
      <c r="AR104" s="396" t="str">
        <f t="shared" si="81"/>
        <v>-</v>
      </c>
      <c r="AS104" s="397" t="str">
        <f>IFERROR(AVERAGE(AR104:AR106),"N/A")</f>
        <v>N/A</v>
      </c>
      <c r="AT104" s="401">
        <f>54517-53787</f>
        <v>730</v>
      </c>
      <c r="AU104" s="396">
        <f t="shared" si="82"/>
        <v>1020.1385</v>
      </c>
      <c r="AV104" s="397">
        <f>IFERROR(AVERAGE(AU104:AU106),"N/A")</f>
        <v>1247.0660133333333</v>
      </c>
      <c r="AW104" s="388">
        <f t="shared" si="51"/>
        <v>3356192.7797500002</v>
      </c>
      <c r="AX104" s="389">
        <f t="shared" si="52"/>
        <v>3072402.3602833333</v>
      </c>
      <c r="AY104" s="353" t="s">
        <v>78</v>
      </c>
      <c r="AZ104" s="403" t="s">
        <v>548</v>
      </c>
      <c r="BA104" s="404" t="s">
        <v>353</v>
      </c>
    </row>
    <row r="105" spans="1:53" ht="15" customHeight="1">
      <c r="A105" s="1" t="str">
        <f t="shared" si="79"/>
        <v>TSX:BTO_2024_COO</v>
      </c>
      <c r="B105" s="1" t="str">
        <f t="shared" si="85"/>
        <v>TSX:BTO_2024_NEO1</v>
      </c>
      <c r="C105" s="1" t="str">
        <f t="shared" si="80"/>
        <v>TSX:BTO_2024_</v>
      </c>
      <c r="D105" s="114" t="str">
        <f t="shared" si="67"/>
        <v>TSX:BTO</v>
      </c>
      <c r="E105" s="133" t="str">
        <f>_xll.ciqfunctions.udf.CIQ(D105,"IQ_Company_Name")</f>
        <v>B2Gold Corp.</v>
      </c>
      <c r="F105" s="114">
        <f t="shared" si="57"/>
        <v>2024</v>
      </c>
      <c r="G105" s="330" t="str">
        <f t="shared" si="89"/>
        <v>2024-01-01</v>
      </c>
      <c r="H105" s="330" t="str">
        <f t="shared" si="59"/>
        <v>2024-12-31</v>
      </c>
      <c r="I105" s="114">
        <f t="shared" si="44"/>
        <v>12</v>
      </c>
      <c r="J105" s="407" t="s">
        <v>285</v>
      </c>
      <c r="K105" s="439">
        <f t="shared" si="87"/>
        <v>1.3701700000000001</v>
      </c>
      <c r="L105" s="445" t="s">
        <v>272</v>
      </c>
      <c r="M105" s="445"/>
      <c r="N105" s="122" t="str">
        <f t="shared" ref="N105:P106" si="90">N104</f>
        <v>NEO1</v>
      </c>
      <c r="O105" s="123" t="str">
        <f t="shared" si="90"/>
        <v>Senior VP Operations &amp; COO</v>
      </c>
      <c r="P105" s="132" t="str">
        <f t="shared" si="90"/>
        <v>William Lytle</v>
      </c>
      <c r="Q105" s="219">
        <v>474500</v>
      </c>
      <c r="R105" s="125">
        <f t="shared" si="78"/>
        <v>650145.66500000004</v>
      </c>
      <c r="S105" s="311" t="s">
        <v>78</v>
      </c>
      <c r="T105" s="126" t="str">
        <f t="shared" si="72"/>
        <v>-</v>
      </c>
      <c r="U105" s="221">
        <v>234878</v>
      </c>
      <c r="V105" s="125">
        <f t="shared" si="65"/>
        <v>321822.78926000005</v>
      </c>
      <c r="W105" s="127">
        <f t="shared" si="37"/>
        <v>0.4950010537407798</v>
      </c>
      <c r="X105" s="128"/>
      <c r="Y105" s="223" t="s">
        <v>78</v>
      </c>
      <c r="Z105" s="129">
        <f t="shared" si="38"/>
        <v>0</v>
      </c>
      <c r="AA105" s="124">
        <f t="shared" si="47"/>
        <v>971968.45426000003</v>
      </c>
      <c r="AB105" s="130">
        <f t="shared" si="48"/>
        <v>650145.66500000004</v>
      </c>
      <c r="AC105" s="221">
        <f>0.5*1277500</f>
        <v>638750</v>
      </c>
      <c r="AD105" s="221">
        <f>0.5*1277500</f>
        <v>638750</v>
      </c>
      <c r="AE105" s="225" t="s">
        <v>78</v>
      </c>
      <c r="AF105" s="225" t="s">
        <v>78</v>
      </c>
      <c r="AG105" s="225" t="s">
        <v>78</v>
      </c>
      <c r="AH105" s="125">
        <f t="shared" si="88"/>
        <v>1277500</v>
      </c>
      <c r="AI105" s="127">
        <f t="shared" si="49"/>
        <v>2.6923076923076921</v>
      </c>
      <c r="AJ105" s="128"/>
      <c r="AK105" s="223" t="s">
        <v>78</v>
      </c>
      <c r="AL105" s="131">
        <f t="shared" si="40"/>
        <v>0</v>
      </c>
      <c r="AM105" s="368">
        <f t="shared" si="84"/>
        <v>1750392.175</v>
      </c>
      <c r="AN105" s="375">
        <f t="shared" si="54"/>
        <v>2722360.6292599998</v>
      </c>
      <c r="AO105" s="376">
        <f t="shared" si="50"/>
        <v>650145.66500000004</v>
      </c>
      <c r="AP105" s="394" t="s">
        <v>489</v>
      </c>
      <c r="AQ105" s="394" t="s">
        <v>489</v>
      </c>
      <c r="AR105" s="396" t="str">
        <f t="shared" si="81"/>
        <v>-</v>
      </c>
      <c r="AS105" s="397"/>
      <c r="AT105" s="429">
        <f>91611-50321-40290</f>
        <v>1000</v>
      </c>
      <c r="AU105" s="396">
        <f t="shared" si="82"/>
        <v>1370.17</v>
      </c>
      <c r="AV105" s="397"/>
      <c r="AW105" s="388">
        <f t="shared" si="51"/>
        <v>2723730.7992599998</v>
      </c>
      <c r="AX105" s="389">
        <f t="shared" si="52"/>
        <v>651515.83500000008</v>
      </c>
      <c r="AY105" s="353" t="s">
        <v>78</v>
      </c>
      <c r="AZ105" s="403" t="s">
        <v>548</v>
      </c>
      <c r="BA105" s="404" t="s">
        <v>353</v>
      </c>
    </row>
    <row r="106" spans="1:53" ht="15" customHeight="1">
      <c r="A106" s="1" t="str">
        <f t="shared" si="79"/>
        <v>TSX:BTO_2023_COO</v>
      </c>
      <c r="B106" s="1" t="str">
        <f t="shared" si="85"/>
        <v>TSX:BTO_2023_NEO1</v>
      </c>
      <c r="C106" s="1" t="str">
        <f t="shared" si="80"/>
        <v>TSX:BTO_2023_</v>
      </c>
      <c r="D106" s="114" t="str">
        <f t="shared" si="67"/>
        <v>TSX:BTO</v>
      </c>
      <c r="E106" s="133" t="str">
        <f>_xll.ciqfunctions.udf.CIQ(D106,"IQ_Company_Name")</f>
        <v>B2Gold Corp.</v>
      </c>
      <c r="F106" s="114">
        <f t="shared" si="57"/>
        <v>2023</v>
      </c>
      <c r="G106" s="114" t="str">
        <f t="shared" si="89"/>
        <v>2023-01-01</v>
      </c>
      <c r="H106" s="330" t="str">
        <f t="shared" si="59"/>
        <v>2023-12-31</v>
      </c>
      <c r="I106" s="114">
        <f t="shared" si="44"/>
        <v>12</v>
      </c>
      <c r="J106" s="407" t="s">
        <v>285</v>
      </c>
      <c r="K106" s="439">
        <f t="shared" si="87"/>
        <v>1.34954</v>
      </c>
      <c r="L106" s="445" t="s">
        <v>272</v>
      </c>
      <c r="M106" s="445"/>
      <c r="N106" s="122" t="str">
        <f t="shared" si="90"/>
        <v>NEO1</v>
      </c>
      <c r="O106" s="123" t="str">
        <f t="shared" si="90"/>
        <v>Senior VP Operations &amp; COO</v>
      </c>
      <c r="P106" s="132" t="str">
        <f t="shared" si="90"/>
        <v>William Lytle</v>
      </c>
      <c r="Q106" s="219">
        <v>474500</v>
      </c>
      <c r="R106" s="125">
        <f t="shared" si="78"/>
        <v>640356.73</v>
      </c>
      <c r="S106" s="311" t="s">
        <v>78</v>
      </c>
      <c r="T106" s="126" t="str">
        <f t="shared" si="72"/>
        <v>-</v>
      </c>
      <c r="U106" s="221">
        <v>355875</v>
      </c>
      <c r="V106" s="125">
        <f t="shared" si="65"/>
        <v>480267.54749999999</v>
      </c>
      <c r="W106" s="127">
        <f t="shared" si="37"/>
        <v>0.75</v>
      </c>
      <c r="X106" s="128"/>
      <c r="Y106" s="223" t="s">
        <v>78</v>
      </c>
      <c r="Z106" s="129">
        <f t="shared" si="38"/>
        <v>0</v>
      </c>
      <c r="AA106" s="124">
        <f t="shared" si="47"/>
        <v>1120624.2774999999</v>
      </c>
      <c r="AB106" s="130">
        <f t="shared" si="48"/>
        <v>640356.73</v>
      </c>
      <c r="AC106" s="221">
        <f>0.5*1277500</f>
        <v>638750</v>
      </c>
      <c r="AD106" s="221">
        <f>0.5*1277500</f>
        <v>638750</v>
      </c>
      <c r="AE106" s="225" t="s">
        <v>78</v>
      </c>
      <c r="AF106" s="225" t="s">
        <v>78</v>
      </c>
      <c r="AG106" s="225" t="s">
        <v>78</v>
      </c>
      <c r="AH106" s="125">
        <f t="shared" si="88"/>
        <v>1277500</v>
      </c>
      <c r="AI106" s="127">
        <f t="shared" si="49"/>
        <v>2.6923076923076921</v>
      </c>
      <c r="AJ106" s="128"/>
      <c r="AK106" s="223" t="s">
        <v>78</v>
      </c>
      <c r="AL106" s="131">
        <f t="shared" si="40"/>
        <v>0</v>
      </c>
      <c r="AM106" s="368">
        <f t="shared" si="84"/>
        <v>1724037.3499999999</v>
      </c>
      <c r="AN106" s="375">
        <f t="shared" si="54"/>
        <v>2844661.6274999995</v>
      </c>
      <c r="AO106" s="376">
        <f t="shared" si="50"/>
        <v>640356.73</v>
      </c>
      <c r="AP106" s="394" t="s">
        <v>489</v>
      </c>
      <c r="AQ106" s="394" t="s">
        <v>489</v>
      </c>
      <c r="AR106" s="396" t="str">
        <f t="shared" si="81"/>
        <v>-</v>
      </c>
      <c r="AS106" s="397"/>
      <c r="AT106" s="429">
        <f>159972-64292-94679</f>
        <v>1001</v>
      </c>
      <c r="AU106" s="396">
        <f t="shared" si="82"/>
        <v>1350.8895399999999</v>
      </c>
      <c r="AV106" s="397"/>
      <c r="AW106" s="388">
        <f t="shared" si="51"/>
        <v>2846012.5170399994</v>
      </c>
      <c r="AX106" s="389">
        <f t="shared" si="52"/>
        <v>641707.61953999999</v>
      </c>
      <c r="AY106" s="353" t="s">
        <v>78</v>
      </c>
      <c r="AZ106" s="403" t="s">
        <v>548</v>
      </c>
      <c r="BA106" s="404" t="s">
        <v>353</v>
      </c>
    </row>
    <row r="107" spans="1:53" ht="15" customHeight="1">
      <c r="A107" s="1" t="str">
        <f t="shared" si="79"/>
        <v>TSX:BTO_2025_Legal</v>
      </c>
      <c r="B107" s="1" t="str">
        <f t="shared" si="85"/>
        <v>TSX:BTO_2025_NEO2</v>
      </c>
      <c r="C107" s="1" t="str">
        <f t="shared" si="80"/>
        <v>TSX:BTO_2025_</v>
      </c>
      <c r="D107" s="114" t="str">
        <f t="shared" si="67"/>
        <v>TSX:BTO</v>
      </c>
      <c r="E107" s="133" t="str">
        <f>_xll.ciqfunctions.udf.CIQ(D107,"IQ_Company_Name")</f>
        <v>B2Gold Corp.</v>
      </c>
      <c r="F107" s="114">
        <f t="shared" si="57"/>
        <v>2025</v>
      </c>
      <c r="G107" s="114" t="str">
        <f t="shared" si="89"/>
        <v>2025-01-01</v>
      </c>
      <c r="H107" s="330" t="str">
        <f t="shared" si="59"/>
        <v>2025-12-31</v>
      </c>
      <c r="I107" s="114">
        <f t="shared" si="44"/>
        <v>12</v>
      </c>
      <c r="J107" s="407" t="s">
        <v>285</v>
      </c>
      <c r="K107" s="439">
        <f t="shared" si="87"/>
        <v>1.3974500000000001</v>
      </c>
      <c r="L107" s="445" t="s">
        <v>360</v>
      </c>
      <c r="M107" s="445"/>
      <c r="N107" s="351" t="s">
        <v>108</v>
      </c>
      <c r="O107" s="217" t="s">
        <v>558</v>
      </c>
      <c r="P107" s="218" t="s">
        <v>344</v>
      </c>
      <c r="Q107" s="219">
        <v>456250</v>
      </c>
      <c r="R107" s="125">
        <f t="shared" si="78"/>
        <v>637586.5625</v>
      </c>
      <c r="S107" s="311" t="s">
        <v>78</v>
      </c>
      <c r="T107" s="126" t="str">
        <f t="shared" si="72"/>
        <v>-</v>
      </c>
      <c r="U107" s="221">
        <v>364430</v>
      </c>
      <c r="V107" s="125">
        <f t="shared" si="65"/>
        <v>509272.7035</v>
      </c>
      <c r="W107" s="127">
        <f t="shared" si="37"/>
        <v>0.7987506849315068</v>
      </c>
      <c r="X107" s="128">
        <f>IFERROR(AVERAGE(W107:W109),"N/A")</f>
        <v>0.68125041095890404</v>
      </c>
      <c r="Y107" s="223">
        <v>0.75</v>
      </c>
      <c r="Z107" s="129">
        <f t="shared" si="38"/>
        <v>478189.921875</v>
      </c>
      <c r="AA107" s="124">
        <f t="shared" si="47"/>
        <v>1146859.2660000001</v>
      </c>
      <c r="AB107" s="130">
        <f t="shared" si="48"/>
        <v>1115776.484375</v>
      </c>
      <c r="AC107" s="221">
        <f>0.5*1510918</f>
        <v>755459</v>
      </c>
      <c r="AD107" s="221">
        <f>0.5*1510918</f>
        <v>755459</v>
      </c>
      <c r="AE107" s="225" t="s">
        <v>78</v>
      </c>
      <c r="AF107" s="225" t="s">
        <v>78</v>
      </c>
      <c r="AG107" s="225" t="s">
        <v>78</v>
      </c>
      <c r="AH107" s="125">
        <f t="shared" si="88"/>
        <v>1510918</v>
      </c>
      <c r="AI107" s="127">
        <f t="shared" si="49"/>
        <v>3.3116010958904107</v>
      </c>
      <c r="AJ107" s="128">
        <f>IFERROR(AVERAGE(AI107:AI109),"N/A")</f>
        <v>2.9272003652968035</v>
      </c>
      <c r="AK107" s="223" t="s">
        <v>78</v>
      </c>
      <c r="AL107" s="131">
        <f t="shared" si="40"/>
        <v>1866343.6186583333</v>
      </c>
      <c r="AM107" s="368">
        <f t="shared" si="84"/>
        <v>2111432.3591</v>
      </c>
      <c r="AN107" s="375">
        <f t="shared" si="54"/>
        <v>3258291.6250999998</v>
      </c>
      <c r="AO107" s="376">
        <f t="shared" si="50"/>
        <v>2982120.1030333331</v>
      </c>
      <c r="AP107" s="394" t="s">
        <v>489</v>
      </c>
      <c r="AQ107" s="394" t="s">
        <v>489</v>
      </c>
      <c r="AR107" s="396" t="str">
        <f t="shared" si="81"/>
        <v>-</v>
      </c>
      <c r="AS107" s="397" t="str">
        <f>IFERROR(AVERAGE(AR107:AR109),"N/A")</f>
        <v>N/A</v>
      </c>
      <c r="AT107" s="401">
        <f>46916-41684</f>
        <v>5232</v>
      </c>
      <c r="AU107" s="396">
        <f t="shared" si="82"/>
        <v>7311.4584000000004</v>
      </c>
      <c r="AV107" s="397">
        <f>IFERROR(AVERAGE(AU107:AU109),"N/A")</f>
        <v>9241.6563200000001</v>
      </c>
      <c r="AW107" s="388">
        <f t="shared" si="51"/>
        <v>3265603.0834999997</v>
      </c>
      <c r="AX107" s="389">
        <f t="shared" si="52"/>
        <v>2989431.561433333</v>
      </c>
      <c r="AY107" s="353" t="s">
        <v>78</v>
      </c>
      <c r="AZ107" s="403" t="s">
        <v>548</v>
      </c>
      <c r="BA107" s="404" t="s">
        <v>353</v>
      </c>
    </row>
    <row r="108" spans="1:53" ht="15" customHeight="1">
      <c r="A108" s="1" t="str">
        <f t="shared" si="79"/>
        <v>TSX:BTO_2024_Legal</v>
      </c>
      <c r="B108" s="1" t="str">
        <f t="shared" si="85"/>
        <v>TSX:BTO_2024_NEO2</v>
      </c>
      <c r="C108" s="1" t="str">
        <f t="shared" si="80"/>
        <v>TSX:BTO_2024_</v>
      </c>
      <c r="D108" s="114" t="str">
        <f t="shared" si="67"/>
        <v>TSX:BTO</v>
      </c>
      <c r="E108" s="133" t="str">
        <f>_xll.ciqfunctions.udf.CIQ(D108,"IQ_Company_Name")</f>
        <v>B2Gold Corp.</v>
      </c>
      <c r="F108" s="114">
        <f t="shared" si="57"/>
        <v>2024</v>
      </c>
      <c r="G108" s="114" t="str">
        <f t="shared" si="89"/>
        <v>2024-01-01</v>
      </c>
      <c r="H108" s="330" t="str">
        <f t="shared" si="59"/>
        <v>2024-12-31</v>
      </c>
      <c r="I108" s="114">
        <f t="shared" si="44"/>
        <v>12</v>
      </c>
      <c r="J108" s="407" t="s">
        <v>285</v>
      </c>
      <c r="K108" s="439">
        <f t="shared" si="87"/>
        <v>1.3701700000000001</v>
      </c>
      <c r="L108" s="445" t="s">
        <v>360</v>
      </c>
      <c r="M108" s="445"/>
      <c r="N108" s="122" t="str">
        <f t="shared" ref="N108:P109" si="91">N107</f>
        <v>NEO2</v>
      </c>
      <c r="O108" s="123" t="str">
        <f t="shared" si="91"/>
        <v>Senior VP Legal &amp; Corporate Communications</v>
      </c>
      <c r="P108" s="132" t="str">
        <f t="shared" si="91"/>
        <v>Randall Chatwin</v>
      </c>
      <c r="Q108" s="219">
        <v>456250</v>
      </c>
      <c r="R108" s="125">
        <f t="shared" si="78"/>
        <v>625140.0625</v>
      </c>
      <c r="S108" s="311" t="s">
        <v>78</v>
      </c>
      <c r="T108" s="126" t="str">
        <f t="shared" si="72"/>
        <v>-</v>
      </c>
      <c r="U108" s="221">
        <v>225844</v>
      </c>
      <c r="V108" s="125">
        <f t="shared" si="65"/>
        <v>309444.67348</v>
      </c>
      <c r="W108" s="127">
        <f t="shared" si="37"/>
        <v>0.49500054794520548</v>
      </c>
      <c r="X108" s="128"/>
      <c r="Y108" s="223" t="s">
        <v>78</v>
      </c>
      <c r="Z108" s="129">
        <f t="shared" si="38"/>
        <v>0</v>
      </c>
      <c r="AA108" s="124">
        <f t="shared" si="47"/>
        <v>934584.73598</v>
      </c>
      <c r="AB108" s="130">
        <f t="shared" si="48"/>
        <v>625140.0625</v>
      </c>
      <c r="AC108" s="221">
        <f>0.5*1241000</f>
        <v>620500</v>
      </c>
      <c r="AD108" s="221">
        <f>0.5*1241000</f>
        <v>620500</v>
      </c>
      <c r="AE108" s="225" t="s">
        <v>78</v>
      </c>
      <c r="AF108" s="225" t="s">
        <v>78</v>
      </c>
      <c r="AG108" s="225" t="s">
        <v>78</v>
      </c>
      <c r="AH108" s="125">
        <f t="shared" si="88"/>
        <v>1241000</v>
      </c>
      <c r="AI108" s="127">
        <f t="shared" si="49"/>
        <v>2.72</v>
      </c>
      <c r="AJ108" s="128"/>
      <c r="AK108" s="223" t="s">
        <v>78</v>
      </c>
      <c r="AL108" s="131">
        <f t="shared" si="40"/>
        <v>0</v>
      </c>
      <c r="AM108" s="368">
        <f t="shared" si="84"/>
        <v>1700380.9700000002</v>
      </c>
      <c r="AN108" s="375">
        <f t="shared" si="54"/>
        <v>2634965.7059800001</v>
      </c>
      <c r="AO108" s="376">
        <f t="shared" si="50"/>
        <v>625140.0625</v>
      </c>
      <c r="AP108" s="394" t="s">
        <v>489</v>
      </c>
      <c r="AQ108" s="394" t="s">
        <v>489</v>
      </c>
      <c r="AR108" s="396" t="str">
        <f t="shared" si="81"/>
        <v>-</v>
      </c>
      <c r="AS108" s="397"/>
      <c r="AT108" s="429">
        <f>42820-25116-10752</f>
        <v>6952</v>
      </c>
      <c r="AU108" s="396">
        <f t="shared" si="82"/>
        <v>9525.4218400000009</v>
      </c>
      <c r="AV108" s="397"/>
      <c r="AW108" s="388">
        <f t="shared" si="51"/>
        <v>2644491.1278200001</v>
      </c>
      <c r="AX108" s="389">
        <f t="shared" si="52"/>
        <v>634665.48433999997</v>
      </c>
      <c r="AY108" s="353" t="s">
        <v>78</v>
      </c>
      <c r="AZ108" s="403" t="s">
        <v>548</v>
      </c>
      <c r="BA108" s="404" t="s">
        <v>353</v>
      </c>
    </row>
    <row r="109" spans="1:53" ht="15" customHeight="1">
      <c r="A109" s="1" t="str">
        <f t="shared" si="79"/>
        <v>TSX:BTO_2023_Legal</v>
      </c>
      <c r="B109" s="1" t="str">
        <f t="shared" si="85"/>
        <v>TSX:BTO_2023_NEO2</v>
      </c>
      <c r="C109" s="1" t="str">
        <f t="shared" si="80"/>
        <v>TSX:BTO_2023_</v>
      </c>
      <c r="D109" s="114" t="str">
        <f t="shared" si="67"/>
        <v>TSX:BTO</v>
      </c>
      <c r="E109" s="133" t="str">
        <f>_xll.ciqfunctions.udf.CIQ(D109,"IQ_Company_Name")</f>
        <v>B2Gold Corp.</v>
      </c>
      <c r="F109" s="114">
        <f t="shared" si="57"/>
        <v>2023</v>
      </c>
      <c r="G109" s="114" t="str">
        <f t="shared" si="89"/>
        <v>2023-01-01</v>
      </c>
      <c r="H109" s="330" t="str">
        <f t="shared" si="59"/>
        <v>2023-12-31</v>
      </c>
      <c r="I109" s="114">
        <f t="shared" si="44"/>
        <v>12</v>
      </c>
      <c r="J109" s="407" t="s">
        <v>285</v>
      </c>
      <c r="K109" s="439">
        <f t="shared" si="87"/>
        <v>1.34954</v>
      </c>
      <c r="L109" s="445" t="s">
        <v>360</v>
      </c>
      <c r="M109" s="445"/>
      <c r="N109" s="122" t="str">
        <f t="shared" si="91"/>
        <v>NEO2</v>
      </c>
      <c r="O109" s="123" t="str">
        <f t="shared" si="91"/>
        <v>Senior VP Legal &amp; Corporate Communications</v>
      </c>
      <c r="P109" s="132" t="str">
        <f t="shared" si="91"/>
        <v>Randall Chatwin</v>
      </c>
      <c r="Q109" s="219">
        <v>438000</v>
      </c>
      <c r="R109" s="125">
        <f t="shared" si="78"/>
        <v>591098.52</v>
      </c>
      <c r="S109" s="311" t="s">
        <v>78</v>
      </c>
      <c r="T109" s="126" t="str">
        <f t="shared" si="72"/>
        <v>-</v>
      </c>
      <c r="U109" s="221">
        <v>328500</v>
      </c>
      <c r="V109" s="125">
        <f t="shared" si="65"/>
        <v>443323.89</v>
      </c>
      <c r="W109" s="127">
        <f t="shared" si="37"/>
        <v>0.75</v>
      </c>
      <c r="X109" s="128"/>
      <c r="Y109" s="223" t="s">
        <v>78</v>
      </c>
      <c r="Z109" s="129">
        <f t="shared" si="38"/>
        <v>0</v>
      </c>
      <c r="AA109" s="124">
        <f t="shared" si="47"/>
        <v>1034422.41</v>
      </c>
      <c r="AB109" s="130">
        <f t="shared" si="48"/>
        <v>591098.52</v>
      </c>
      <c r="AC109" s="221">
        <f>0.5*1204500</f>
        <v>602250</v>
      </c>
      <c r="AD109" s="221">
        <f>0.5*1204500</f>
        <v>602250</v>
      </c>
      <c r="AE109" s="225" t="s">
        <v>78</v>
      </c>
      <c r="AF109" s="225" t="s">
        <v>78</v>
      </c>
      <c r="AG109" s="225" t="s">
        <v>78</v>
      </c>
      <c r="AH109" s="125">
        <f t="shared" si="88"/>
        <v>1204500</v>
      </c>
      <c r="AI109" s="127">
        <f t="shared" si="49"/>
        <v>2.75</v>
      </c>
      <c r="AJ109" s="128"/>
      <c r="AK109" s="223" t="s">
        <v>78</v>
      </c>
      <c r="AL109" s="131">
        <f t="shared" si="40"/>
        <v>0</v>
      </c>
      <c r="AM109" s="368">
        <f t="shared" si="84"/>
        <v>1625520.93</v>
      </c>
      <c r="AN109" s="375">
        <f t="shared" si="54"/>
        <v>2659943.34</v>
      </c>
      <c r="AO109" s="376">
        <f t="shared" si="50"/>
        <v>591098.52</v>
      </c>
      <c r="AP109" s="394" t="s">
        <v>489</v>
      </c>
      <c r="AQ109" s="394" t="s">
        <v>489</v>
      </c>
      <c r="AR109" s="396" t="str">
        <f t="shared" si="81"/>
        <v>-</v>
      </c>
      <c r="AS109" s="397"/>
      <c r="AT109" s="429">
        <f>97103-39368-49667</f>
        <v>8068</v>
      </c>
      <c r="AU109" s="396">
        <f t="shared" si="82"/>
        <v>10888.08872</v>
      </c>
      <c r="AV109" s="397"/>
      <c r="AW109" s="388">
        <f t="shared" si="51"/>
        <v>2670831.4287199997</v>
      </c>
      <c r="AX109" s="389">
        <f t="shared" si="52"/>
        <v>601986.60872000002</v>
      </c>
      <c r="AY109" s="353" t="s">
        <v>78</v>
      </c>
      <c r="AZ109" s="403" t="s">
        <v>548</v>
      </c>
      <c r="BA109" s="404" t="s">
        <v>353</v>
      </c>
    </row>
    <row r="110" spans="1:53" ht="15" customHeight="1">
      <c r="A110" s="1" t="str">
        <f t="shared" si="79"/>
        <v>TSX:BTO_2025_Tech</v>
      </c>
      <c r="B110" s="1" t="str">
        <f t="shared" si="85"/>
        <v>TSX:BTO_2025_NEO3</v>
      </c>
      <c r="C110" s="1" t="str">
        <f t="shared" si="80"/>
        <v>TSX:BTO_2025_</v>
      </c>
      <c r="D110" s="114" t="str">
        <f t="shared" si="67"/>
        <v>TSX:BTO</v>
      </c>
      <c r="E110" s="133" t="str">
        <f>_xll.ciqfunctions.udf.CIQ(D110,"IQ_Company_Name")</f>
        <v>B2Gold Corp.</v>
      </c>
      <c r="F110" s="114">
        <f t="shared" si="57"/>
        <v>2025</v>
      </c>
      <c r="G110" s="114" t="str">
        <f t="shared" si="89"/>
        <v>2025-01-01</v>
      </c>
      <c r="H110" s="330" t="str">
        <f t="shared" si="59"/>
        <v>2025-12-31</v>
      </c>
      <c r="I110" s="114">
        <f t="shared" si="44"/>
        <v>12</v>
      </c>
      <c r="J110" s="407" t="s">
        <v>285</v>
      </c>
      <c r="K110" s="439">
        <f t="shared" si="87"/>
        <v>1.3974500000000001</v>
      </c>
      <c r="L110" s="445" t="s">
        <v>361</v>
      </c>
      <c r="M110" s="445"/>
      <c r="N110" s="351" t="s">
        <v>109</v>
      </c>
      <c r="O110" s="217" t="s">
        <v>559</v>
      </c>
      <c r="P110" s="218" t="s">
        <v>345</v>
      </c>
      <c r="Q110" s="219">
        <v>438000</v>
      </c>
      <c r="R110" s="125">
        <f t="shared" si="78"/>
        <v>612083.10000000009</v>
      </c>
      <c r="S110" s="311" t="s">
        <v>78</v>
      </c>
      <c r="T110" s="126" t="str">
        <f t="shared" si="72"/>
        <v>-</v>
      </c>
      <c r="U110" s="221">
        <v>349853</v>
      </c>
      <c r="V110" s="125">
        <f t="shared" si="65"/>
        <v>488902.07485000003</v>
      </c>
      <c r="W110" s="127">
        <f t="shared" si="37"/>
        <v>0.79875114155251137</v>
      </c>
      <c r="X110" s="128">
        <f>IFERROR(AVERAGE(W110:W112),"N/A")</f>
        <v>0.64791704718417042</v>
      </c>
      <c r="Y110" s="223">
        <v>0.75</v>
      </c>
      <c r="Z110" s="129">
        <f t="shared" si="38"/>
        <v>459062.32500000007</v>
      </c>
      <c r="AA110" s="124">
        <f t="shared" si="47"/>
        <v>1100985.1748500001</v>
      </c>
      <c r="AB110" s="130">
        <f t="shared" si="48"/>
        <v>1071145.4250000003</v>
      </c>
      <c r="AC110" s="221">
        <f>0.5*1328418</f>
        <v>664209</v>
      </c>
      <c r="AD110" s="221">
        <f>0.5*1328418</f>
        <v>664209</v>
      </c>
      <c r="AE110" s="225" t="s">
        <v>78</v>
      </c>
      <c r="AF110" s="225" t="s">
        <v>78</v>
      </c>
      <c r="AG110" s="225" t="s">
        <v>78</v>
      </c>
      <c r="AH110" s="125">
        <f t="shared" si="88"/>
        <v>1328418</v>
      </c>
      <c r="AI110" s="127">
        <f t="shared" si="49"/>
        <v>3.0329178082191777</v>
      </c>
      <c r="AJ110" s="128">
        <f>IFERROR(AVERAGE(AI110:AI112),"N/A")</f>
        <v>2.6220837138508366</v>
      </c>
      <c r="AK110" s="223" t="s">
        <v>78</v>
      </c>
      <c r="AL110" s="131">
        <f t="shared" si="40"/>
        <v>1604933.1280333332</v>
      </c>
      <c r="AM110" s="368">
        <f t="shared" si="84"/>
        <v>1856397.7341</v>
      </c>
      <c r="AN110" s="375">
        <f t="shared" si="54"/>
        <v>2957382.9089500001</v>
      </c>
      <c r="AO110" s="376">
        <f t="shared" si="50"/>
        <v>2676078.5530333333</v>
      </c>
      <c r="AP110" s="394" t="s">
        <v>489</v>
      </c>
      <c r="AQ110" s="394" t="s">
        <v>489</v>
      </c>
      <c r="AR110" s="396" t="str">
        <f t="shared" si="81"/>
        <v>-</v>
      </c>
      <c r="AS110" s="397" t="str">
        <f>IFERROR(AVERAGE(AR110:AR112),"N/A")</f>
        <v>N/A</v>
      </c>
      <c r="AT110" s="401">
        <f>49920-44686</f>
        <v>5234</v>
      </c>
      <c r="AU110" s="396">
        <f t="shared" si="82"/>
        <v>7314.2533000000003</v>
      </c>
      <c r="AV110" s="397">
        <f>IFERROR(AVERAGE(AU110:AU112),"N/A")</f>
        <v>5458.7625500000004</v>
      </c>
      <c r="AW110" s="388">
        <f t="shared" si="51"/>
        <v>2964697.1622500001</v>
      </c>
      <c r="AX110" s="389">
        <f t="shared" si="52"/>
        <v>2683392.8063333333</v>
      </c>
      <c r="AY110" s="353" t="s">
        <v>78</v>
      </c>
      <c r="AZ110" s="403" t="s">
        <v>548</v>
      </c>
      <c r="BA110" s="404" t="s">
        <v>353</v>
      </c>
    </row>
    <row r="111" spans="1:53" ht="15" customHeight="1">
      <c r="A111" s="1" t="str">
        <f t="shared" si="79"/>
        <v>TSX:BTO_2024_Tech</v>
      </c>
      <c r="B111" s="1" t="str">
        <f t="shared" si="85"/>
        <v>TSX:BTO_2024_NEO3</v>
      </c>
      <c r="C111" s="1" t="str">
        <f t="shared" si="80"/>
        <v>TSX:BTO_2024_</v>
      </c>
      <c r="D111" s="114" t="str">
        <f t="shared" si="67"/>
        <v>TSX:BTO</v>
      </c>
      <c r="E111" s="133" t="str">
        <f>_xll.ciqfunctions.udf.CIQ(D111,"IQ_Company_Name")</f>
        <v>B2Gold Corp.</v>
      </c>
      <c r="F111" s="114">
        <f t="shared" si="57"/>
        <v>2024</v>
      </c>
      <c r="G111" s="114" t="str">
        <f t="shared" si="89"/>
        <v>2024-01-01</v>
      </c>
      <c r="H111" s="330" t="str">
        <f t="shared" si="59"/>
        <v>2024-12-31</v>
      </c>
      <c r="I111" s="114">
        <f t="shared" si="44"/>
        <v>12</v>
      </c>
      <c r="J111" s="407" t="s">
        <v>285</v>
      </c>
      <c r="K111" s="439">
        <f t="shared" si="87"/>
        <v>1.3701700000000001</v>
      </c>
      <c r="L111" s="445" t="s">
        <v>361</v>
      </c>
      <c r="M111" s="445"/>
      <c r="N111" s="122" t="str">
        <f t="shared" ref="N111:P112" si="92">N110</f>
        <v>NEO3</v>
      </c>
      <c r="O111" s="123" t="str">
        <f t="shared" si="92"/>
        <v>Senior VP Exploration</v>
      </c>
      <c r="P111" s="132" t="str">
        <f t="shared" si="92"/>
        <v>Victor King</v>
      </c>
      <c r="Q111" s="219">
        <v>438000</v>
      </c>
      <c r="R111" s="125">
        <f t="shared" si="78"/>
        <v>600134.46000000008</v>
      </c>
      <c r="S111" s="311" t="s">
        <v>78</v>
      </c>
      <c r="T111" s="126" t="str">
        <f t="shared" si="72"/>
        <v>-</v>
      </c>
      <c r="U111" s="221">
        <v>216810</v>
      </c>
      <c r="V111" s="125">
        <f t="shared" si="65"/>
        <v>297066.5577</v>
      </c>
      <c r="W111" s="127">
        <f t="shared" si="37"/>
        <v>0.49499999999999994</v>
      </c>
      <c r="X111" s="128"/>
      <c r="Y111" s="223" t="s">
        <v>78</v>
      </c>
      <c r="Z111" s="129">
        <f t="shared" si="38"/>
        <v>0</v>
      </c>
      <c r="AA111" s="124">
        <f t="shared" si="47"/>
        <v>897201.01770000008</v>
      </c>
      <c r="AB111" s="130">
        <f t="shared" si="48"/>
        <v>600134.46000000008</v>
      </c>
      <c r="AC111" s="221">
        <f>0.5*1058500</f>
        <v>529250</v>
      </c>
      <c r="AD111" s="221">
        <f>0.5*1058500</f>
        <v>529250</v>
      </c>
      <c r="AE111" s="225" t="s">
        <v>78</v>
      </c>
      <c r="AF111" s="225" t="s">
        <v>78</v>
      </c>
      <c r="AG111" s="225" t="s">
        <v>78</v>
      </c>
      <c r="AH111" s="125">
        <f t="shared" si="88"/>
        <v>1058500</v>
      </c>
      <c r="AI111" s="127">
        <f t="shared" si="49"/>
        <v>2.4166666666666665</v>
      </c>
      <c r="AJ111" s="128"/>
      <c r="AK111" s="223" t="s">
        <v>78</v>
      </c>
      <c r="AL111" s="131">
        <f t="shared" si="40"/>
        <v>0</v>
      </c>
      <c r="AM111" s="368">
        <f t="shared" si="84"/>
        <v>1450324.9450000001</v>
      </c>
      <c r="AN111" s="375">
        <f t="shared" si="54"/>
        <v>2347525.9627</v>
      </c>
      <c r="AO111" s="376">
        <f t="shared" si="50"/>
        <v>600134.46000000008</v>
      </c>
      <c r="AP111" s="394" t="s">
        <v>489</v>
      </c>
      <c r="AQ111" s="394" t="s">
        <v>489</v>
      </c>
      <c r="AR111" s="396" t="str">
        <f t="shared" si="81"/>
        <v>-</v>
      </c>
      <c r="AS111" s="397"/>
      <c r="AT111" s="429" t="s">
        <v>78</v>
      </c>
      <c r="AU111" s="396" t="str">
        <f t="shared" si="82"/>
        <v>-</v>
      </c>
      <c r="AV111" s="397"/>
      <c r="AW111" s="388">
        <f t="shared" si="51"/>
        <v>2347525.9627</v>
      </c>
      <c r="AX111" s="389">
        <f t="shared" si="52"/>
        <v>600134.46000000008</v>
      </c>
      <c r="AY111" s="353" t="s">
        <v>78</v>
      </c>
      <c r="AZ111" s="403" t="s">
        <v>548</v>
      </c>
      <c r="BA111" s="404" t="s">
        <v>353</v>
      </c>
    </row>
    <row r="112" spans="1:53" ht="15" customHeight="1">
      <c r="A112" s="1" t="str">
        <f t="shared" si="79"/>
        <v>TSX:BTO_2023_Tech</v>
      </c>
      <c r="B112" s="1" t="str">
        <f t="shared" si="85"/>
        <v>TSX:BTO_2023_NEO3</v>
      </c>
      <c r="C112" s="1" t="str">
        <f t="shared" si="80"/>
        <v>TSX:BTO_2023_</v>
      </c>
      <c r="D112" s="203" t="str">
        <f t="shared" si="67"/>
        <v>TSX:BTO</v>
      </c>
      <c r="E112" s="205" t="str">
        <f>_xll.ciqfunctions.udf.CIQ(D112,"IQ_Company_Name")</f>
        <v>B2Gold Corp.</v>
      </c>
      <c r="F112" s="204">
        <f t="shared" si="57"/>
        <v>2023</v>
      </c>
      <c r="G112" s="204" t="str">
        <f t="shared" si="89"/>
        <v>2023-01-01</v>
      </c>
      <c r="H112" s="331" t="str">
        <f t="shared" si="59"/>
        <v>2023-12-31</v>
      </c>
      <c r="I112" s="204">
        <f t="shared" si="44"/>
        <v>12</v>
      </c>
      <c r="J112" s="408" t="s">
        <v>285</v>
      </c>
      <c r="K112" s="441">
        <f t="shared" si="87"/>
        <v>1.34954</v>
      </c>
      <c r="L112" s="454" t="s">
        <v>361</v>
      </c>
      <c r="M112" s="454"/>
      <c r="N112" s="956" t="str">
        <f t="shared" si="92"/>
        <v>NEO3</v>
      </c>
      <c r="O112" s="206" t="str">
        <f t="shared" si="92"/>
        <v>Senior VP Exploration</v>
      </c>
      <c r="P112" s="207" t="str">
        <f t="shared" si="92"/>
        <v>Victor King</v>
      </c>
      <c r="Q112" s="220">
        <v>438000</v>
      </c>
      <c r="R112" s="209">
        <f t="shared" si="78"/>
        <v>591098.52</v>
      </c>
      <c r="S112" s="312" t="s">
        <v>78</v>
      </c>
      <c r="T112" s="329" t="str">
        <f t="shared" si="72"/>
        <v>-</v>
      </c>
      <c r="U112" s="222">
        <v>284700</v>
      </c>
      <c r="V112" s="209">
        <f t="shared" si="65"/>
        <v>384214.038</v>
      </c>
      <c r="W112" s="211">
        <f t="shared" si="37"/>
        <v>0.65</v>
      </c>
      <c r="X112" s="212"/>
      <c r="Y112" s="224" t="s">
        <v>78</v>
      </c>
      <c r="Z112" s="213">
        <f t="shared" si="38"/>
        <v>0</v>
      </c>
      <c r="AA112" s="208">
        <f t="shared" si="47"/>
        <v>975312.55799999996</v>
      </c>
      <c r="AB112" s="214">
        <f t="shared" si="48"/>
        <v>591098.52</v>
      </c>
      <c r="AC112" s="222">
        <f>0.5*1058500</f>
        <v>529250</v>
      </c>
      <c r="AD112" s="222">
        <f>0.5*1058500</f>
        <v>529250</v>
      </c>
      <c r="AE112" s="226" t="s">
        <v>78</v>
      </c>
      <c r="AF112" s="226" t="s">
        <v>78</v>
      </c>
      <c r="AG112" s="226" t="s">
        <v>78</v>
      </c>
      <c r="AH112" s="418">
        <f t="shared" si="88"/>
        <v>1058500</v>
      </c>
      <c r="AI112" s="432">
        <f t="shared" si="49"/>
        <v>2.4166666666666665</v>
      </c>
      <c r="AJ112" s="212"/>
      <c r="AK112" s="224" t="s">
        <v>78</v>
      </c>
      <c r="AL112" s="215">
        <f t="shared" si="40"/>
        <v>0</v>
      </c>
      <c r="AM112" s="369">
        <f t="shared" si="84"/>
        <v>1428488.0899999999</v>
      </c>
      <c r="AN112" s="377">
        <f t="shared" si="54"/>
        <v>2403800.648</v>
      </c>
      <c r="AO112" s="378">
        <f t="shared" si="50"/>
        <v>591098.52</v>
      </c>
      <c r="AP112" s="976" t="s">
        <v>489</v>
      </c>
      <c r="AQ112" s="452" t="s">
        <v>489</v>
      </c>
      <c r="AR112" s="951" t="str">
        <f t="shared" si="81"/>
        <v>-</v>
      </c>
      <c r="AS112" s="400"/>
      <c r="AT112" s="429">
        <f>83028-41009-39349</f>
        <v>2670</v>
      </c>
      <c r="AU112" s="396">
        <f t="shared" si="82"/>
        <v>3603.2718</v>
      </c>
      <c r="AV112" s="400"/>
      <c r="AW112" s="390">
        <f t="shared" si="51"/>
        <v>2407403.9198000003</v>
      </c>
      <c r="AX112" s="391">
        <f t="shared" si="52"/>
        <v>594701.79180000001</v>
      </c>
      <c r="AY112" s="354" t="s">
        <v>78</v>
      </c>
      <c r="AZ112" s="405" t="s">
        <v>548</v>
      </c>
      <c r="BA112" s="404" t="s">
        <v>353</v>
      </c>
    </row>
    <row r="113" spans="1:53" ht="15" customHeight="1">
      <c r="A113" s="1" t="str">
        <f t="shared" si="79"/>
        <v>TSX:IMG_2025_</v>
      </c>
      <c r="B113" s="1" t="str">
        <f t="shared" si="85"/>
        <v>TSX:IMG_2025_CEO</v>
      </c>
      <c r="C113" s="1" t="str">
        <f t="shared" si="80"/>
        <v>TSX:IMG_2025_</v>
      </c>
      <c r="D113" s="216" t="str">
        <f>E9</f>
        <v>TSX:IMG</v>
      </c>
      <c r="E113" s="133" t="str">
        <f>_xll.ciqfunctions.udf.CIQ(D113,"IQ_Company_Name")</f>
        <v>IAMGOLD Corporation</v>
      </c>
      <c r="F113" s="328">
        <f>$G$9</f>
        <v>2025</v>
      </c>
      <c r="G113" s="330" t="str">
        <f t="shared" si="89"/>
        <v>2025-01-01</v>
      </c>
      <c r="H113" s="330" t="str">
        <f t="shared" si="59"/>
        <v>2025-12-31</v>
      </c>
      <c r="I113" s="114">
        <f t="shared" si="44"/>
        <v>12</v>
      </c>
      <c r="J113" s="328" t="s">
        <v>2</v>
      </c>
      <c r="K113" s="439">
        <f t="shared" si="87"/>
        <v>1</v>
      </c>
      <c r="L113" s="445"/>
      <c r="M113" s="445"/>
      <c r="N113" s="351" t="s">
        <v>79</v>
      </c>
      <c r="O113" s="217" t="s">
        <v>79</v>
      </c>
      <c r="P113" s="218" t="s">
        <v>280</v>
      </c>
      <c r="Q113" s="219">
        <v>933445</v>
      </c>
      <c r="R113" s="125">
        <f t="shared" si="78"/>
        <v>933445</v>
      </c>
      <c r="S113" s="434" t="s">
        <v>78</v>
      </c>
      <c r="T113" s="126" t="str">
        <f t="shared" si="72"/>
        <v>-</v>
      </c>
      <c r="U113" s="221">
        <v>1264690</v>
      </c>
      <c r="V113" s="125">
        <f t="shared" si="65"/>
        <v>1264690</v>
      </c>
      <c r="W113" s="127">
        <f t="shared" si="37"/>
        <v>1.3548629003315675</v>
      </c>
      <c r="X113" s="128">
        <f>IFERROR(AVERAGE(W113:W115),"N/A")</f>
        <v>1.425181242121401</v>
      </c>
      <c r="Y113" s="223">
        <v>1.25</v>
      </c>
      <c r="Z113" s="129">
        <f t="shared" si="38"/>
        <v>1166806.25</v>
      </c>
      <c r="AA113" s="124">
        <f t="shared" si="47"/>
        <v>2198135</v>
      </c>
      <c r="AB113" s="130">
        <f t="shared" si="48"/>
        <v>2100251.25</v>
      </c>
      <c r="AC113" s="221">
        <f>0.4*2509181</f>
        <v>1003672.4</v>
      </c>
      <c r="AD113" s="221">
        <f>0.6*2509181</f>
        <v>1505508.5999999999</v>
      </c>
      <c r="AE113" s="225" t="s">
        <v>78</v>
      </c>
      <c r="AF113" s="225" t="s">
        <v>78</v>
      </c>
      <c r="AG113" s="225" t="s">
        <v>78</v>
      </c>
      <c r="AH113" s="125">
        <f t="shared" si="88"/>
        <v>2509181</v>
      </c>
      <c r="AI113" s="127">
        <f t="shared" si="49"/>
        <v>2.6880866039241735</v>
      </c>
      <c r="AJ113" s="128">
        <f>IFERROR(AVERAGE(AI113:AI115),"N/A")</f>
        <v>2.575592261740173</v>
      </c>
      <c r="AK113" s="223">
        <v>2.5</v>
      </c>
      <c r="AL113" s="131">
        <f t="shared" si="40"/>
        <v>2333612.5</v>
      </c>
      <c r="AM113" s="368">
        <f t="shared" si="84"/>
        <v>2509181</v>
      </c>
      <c r="AN113" s="375">
        <f t="shared" si="54"/>
        <v>4707316</v>
      </c>
      <c r="AO113" s="376">
        <f t="shared" si="50"/>
        <v>4433863.75</v>
      </c>
      <c r="AP113" s="394">
        <v>33813</v>
      </c>
      <c r="AQ113" s="395" t="s">
        <v>271</v>
      </c>
      <c r="AR113" s="396">
        <f t="shared" si="81"/>
        <v>33813</v>
      </c>
      <c r="AS113" s="409">
        <f>IFERROR(AVERAGE(AR113:AR115),"N/A")</f>
        <v>34208.5</v>
      </c>
      <c r="AT113" s="401">
        <v>163461</v>
      </c>
      <c r="AU113" s="396">
        <f t="shared" si="82"/>
        <v>163461</v>
      </c>
      <c r="AV113" s="409">
        <f>IFERROR(AVERAGE(AU113:AU115),"N/A")</f>
        <v>152708</v>
      </c>
      <c r="AW113" s="388">
        <f t="shared" si="51"/>
        <v>4904590</v>
      </c>
      <c r="AX113" s="389">
        <f t="shared" si="52"/>
        <v>4631137.75</v>
      </c>
      <c r="AY113" s="353" t="s">
        <v>619</v>
      </c>
      <c r="AZ113" s="403" t="s">
        <v>548</v>
      </c>
      <c r="BA113" s="404" t="s">
        <v>353</v>
      </c>
    </row>
    <row r="114" spans="1:53" ht="15" customHeight="1">
      <c r="A114" s="1" t="str">
        <f t="shared" si="79"/>
        <v>TSX:IMG_2024_</v>
      </c>
      <c r="B114" s="1" t="str">
        <f t="shared" si="85"/>
        <v>TSX:IMG_2024_CEO</v>
      </c>
      <c r="C114" s="1" t="str">
        <f t="shared" si="80"/>
        <v>TSX:IMG_2024_</v>
      </c>
      <c r="D114" s="114" t="str">
        <f>D113</f>
        <v>TSX:IMG</v>
      </c>
      <c r="E114" s="133" t="str">
        <f>_xll.ciqfunctions.udf.CIQ(D114,"IQ_Company_Name")</f>
        <v>IAMGOLD Corporation</v>
      </c>
      <c r="F114" s="328">
        <f>$G$10</f>
        <v>2024</v>
      </c>
      <c r="G114" s="330" t="str">
        <f t="shared" si="89"/>
        <v>2024-01-01</v>
      </c>
      <c r="H114" s="330" t="str">
        <f t="shared" si="59"/>
        <v>2024-12-31</v>
      </c>
      <c r="I114" s="114">
        <f t="shared" si="44"/>
        <v>12</v>
      </c>
      <c r="J114" s="407" t="s">
        <v>2</v>
      </c>
      <c r="K114" s="439">
        <f t="shared" si="87"/>
        <v>1</v>
      </c>
      <c r="L114" s="445"/>
      <c r="M114" s="445"/>
      <c r="N114" s="122" t="str">
        <f t="shared" ref="N114:P115" si="93">N113</f>
        <v>CEO</v>
      </c>
      <c r="O114" s="123" t="str">
        <f t="shared" si="93"/>
        <v>CEO</v>
      </c>
      <c r="P114" s="132" t="str">
        <f t="shared" si="93"/>
        <v>Renaud Adams</v>
      </c>
      <c r="Q114" s="219">
        <v>901250</v>
      </c>
      <c r="R114" s="125">
        <f t="shared" si="78"/>
        <v>901250</v>
      </c>
      <c r="S114" s="434" t="s">
        <v>78</v>
      </c>
      <c r="T114" s="126" t="str">
        <f t="shared" si="72"/>
        <v>-</v>
      </c>
      <c r="U114" s="221">
        <v>1347819</v>
      </c>
      <c r="V114" s="125">
        <f t="shared" si="65"/>
        <v>1347819</v>
      </c>
      <c r="W114" s="127">
        <f t="shared" si="37"/>
        <v>1.4954995839112344</v>
      </c>
      <c r="X114" s="128"/>
      <c r="Y114" s="223" t="s">
        <v>78</v>
      </c>
      <c r="Z114" s="129">
        <f t="shared" si="38"/>
        <v>0</v>
      </c>
      <c r="AA114" s="124">
        <f t="shared" si="47"/>
        <v>2249069</v>
      </c>
      <c r="AB114" s="130">
        <f t="shared" si="48"/>
        <v>901250</v>
      </c>
      <c r="AC114" s="221">
        <f>0.3333333*1656588</f>
        <v>552195.94478040002</v>
      </c>
      <c r="AD114" s="221">
        <f>0.6666667*1656588</f>
        <v>1104392.0552196</v>
      </c>
      <c r="AE114" s="225">
        <v>563279</v>
      </c>
      <c r="AF114" s="225" t="s">
        <v>78</v>
      </c>
      <c r="AG114" s="225" t="s">
        <v>78</v>
      </c>
      <c r="AH114" s="125">
        <f t="shared" si="88"/>
        <v>2219867</v>
      </c>
      <c r="AI114" s="127">
        <f t="shared" si="49"/>
        <v>2.463097919556172</v>
      </c>
      <c r="AJ114" s="128"/>
      <c r="AK114" s="223" t="s">
        <v>78</v>
      </c>
      <c r="AL114" s="131">
        <f t="shared" si="40"/>
        <v>0</v>
      </c>
      <c r="AM114" s="368">
        <f t="shared" si="84"/>
        <v>2219867</v>
      </c>
      <c r="AN114" s="375">
        <f t="shared" si="54"/>
        <v>4468936</v>
      </c>
      <c r="AO114" s="376">
        <f t="shared" si="50"/>
        <v>901250</v>
      </c>
      <c r="AP114" s="394">
        <v>34604</v>
      </c>
      <c r="AQ114" s="395" t="s">
        <v>271</v>
      </c>
      <c r="AR114" s="396">
        <f t="shared" si="81"/>
        <v>34604</v>
      </c>
      <c r="AS114" s="397"/>
      <c r="AT114" s="401">
        <v>141955</v>
      </c>
      <c r="AU114" s="396">
        <f t="shared" si="82"/>
        <v>141955</v>
      </c>
      <c r="AV114" s="397"/>
      <c r="AW114" s="388">
        <f t="shared" si="51"/>
        <v>4645495</v>
      </c>
      <c r="AX114" s="389">
        <f t="shared" si="52"/>
        <v>1077809</v>
      </c>
      <c r="AY114" s="353" t="s">
        <v>78</v>
      </c>
      <c r="AZ114" s="403" t="s">
        <v>548</v>
      </c>
      <c r="BA114" s="404" t="s">
        <v>353</v>
      </c>
    </row>
    <row r="115" spans="1:53" ht="15" customHeight="1">
      <c r="A115" s="1" t="str">
        <f t="shared" si="79"/>
        <v>TSX:IMG_2023_</v>
      </c>
      <c r="B115" s="1" t="str">
        <f t="shared" si="85"/>
        <v>TSX:IMG_2023_CEO</v>
      </c>
      <c r="C115" s="1" t="str">
        <f t="shared" si="80"/>
        <v>TSX:IMG_2023_</v>
      </c>
      <c r="D115" s="114" t="str">
        <f t="shared" si="67"/>
        <v>TSX:IMG</v>
      </c>
      <c r="E115" s="133" t="str">
        <f>_xll.ciqfunctions.udf.CIQ(D115,"IQ_Company_Name")</f>
        <v>IAMGOLD Corporation</v>
      </c>
      <c r="F115" s="328">
        <f>$G$11</f>
        <v>2023</v>
      </c>
      <c r="G115" s="952" t="str">
        <f>F115&amp;"-04-01"</f>
        <v>2023-04-01</v>
      </c>
      <c r="H115" s="330" t="str">
        <f t="shared" si="59"/>
        <v>2023-12-31</v>
      </c>
      <c r="I115" s="114">
        <f t="shared" si="44"/>
        <v>9.0329670329670328</v>
      </c>
      <c r="J115" s="407" t="s">
        <v>2</v>
      </c>
      <c r="K115" s="439">
        <f t="shared" si="87"/>
        <v>1</v>
      </c>
      <c r="L115" s="445"/>
      <c r="M115" s="445"/>
      <c r="N115" s="122" t="str">
        <f t="shared" si="93"/>
        <v>CEO</v>
      </c>
      <c r="O115" s="123" t="str">
        <f t="shared" si="93"/>
        <v>CEO</v>
      </c>
      <c r="P115" s="132" t="str">
        <f t="shared" si="93"/>
        <v>Renaud Adams</v>
      </c>
      <c r="Q115" s="219" t="s">
        <v>78</v>
      </c>
      <c r="R115" s="125" t="str">
        <f t="shared" si="78"/>
        <v>-</v>
      </c>
      <c r="S115" s="434" t="s">
        <v>78</v>
      </c>
      <c r="T115" s="126" t="str">
        <f t="shared" si="72"/>
        <v>-</v>
      </c>
      <c r="U115" s="221" t="s">
        <v>78</v>
      </c>
      <c r="V115" s="125" t="str">
        <f t="shared" si="65"/>
        <v>-</v>
      </c>
      <c r="W115" s="127" t="str">
        <f t="shared" si="37"/>
        <v>-</v>
      </c>
      <c r="X115" s="128"/>
      <c r="Y115" s="223" t="s">
        <v>78</v>
      </c>
      <c r="Z115" s="129" t="str">
        <f t="shared" si="38"/>
        <v>-</v>
      </c>
      <c r="AA115" s="124" t="str">
        <f t="shared" si="47"/>
        <v>-</v>
      </c>
      <c r="AB115" s="130" t="str">
        <f t="shared" si="48"/>
        <v>-</v>
      </c>
      <c r="AC115" s="221" t="s">
        <v>78</v>
      </c>
      <c r="AD115" s="225" t="s">
        <v>78</v>
      </c>
      <c r="AE115" s="225" t="s">
        <v>78</v>
      </c>
      <c r="AF115" s="225" t="s">
        <v>78</v>
      </c>
      <c r="AG115" s="225" t="s">
        <v>78</v>
      </c>
      <c r="AH115" s="125" t="str">
        <f t="shared" si="88"/>
        <v>-</v>
      </c>
      <c r="AI115" s="127" t="str">
        <f t="shared" si="49"/>
        <v>-</v>
      </c>
      <c r="AJ115" s="128"/>
      <c r="AK115" s="223" t="s">
        <v>78</v>
      </c>
      <c r="AL115" s="131" t="str">
        <f t="shared" si="40"/>
        <v>-</v>
      </c>
      <c r="AM115" s="368" t="str">
        <f t="shared" si="84"/>
        <v>-</v>
      </c>
      <c r="AN115" s="375" t="str">
        <f t="shared" si="54"/>
        <v>-</v>
      </c>
      <c r="AO115" s="376" t="str">
        <f t="shared" si="50"/>
        <v>-</v>
      </c>
      <c r="AP115" s="394" t="s">
        <v>78</v>
      </c>
      <c r="AQ115" s="395" t="s">
        <v>78</v>
      </c>
      <c r="AR115" s="396" t="str">
        <f t="shared" si="81"/>
        <v>-</v>
      </c>
      <c r="AS115" s="397"/>
      <c r="AT115" s="401" t="s">
        <v>78</v>
      </c>
      <c r="AU115" s="396" t="str">
        <f t="shared" si="82"/>
        <v>-</v>
      </c>
      <c r="AV115" s="397"/>
      <c r="AW115" s="388" t="str">
        <f t="shared" si="51"/>
        <v>-</v>
      </c>
      <c r="AX115" s="389" t="str">
        <f t="shared" si="52"/>
        <v>-</v>
      </c>
      <c r="AY115" s="353" t="s">
        <v>78</v>
      </c>
      <c r="AZ115" s="403" t="s">
        <v>548</v>
      </c>
      <c r="BA115" s="404" t="s">
        <v>353</v>
      </c>
    </row>
    <row r="116" spans="1:53" ht="15" customHeight="1">
      <c r="A116" s="1" t="str">
        <f t="shared" si="79"/>
        <v>TSX:IMG_2025_COO</v>
      </c>
      <c r="B116" s="1" t="str">
        <f t="shared" si="85"/>
        <v>TSX:IMG_2025_NEO1</v>
      </c>
      <c r="C116" s="1" t="str">
        <f t="shared" si="80"/>
        <v>TSX:IMG_2025_2nd Highest</v>
      </c>
      <c r="D116" s="114" t="str">
        <f t="shared" si="67"/>
        <v>TSX:IMG</v>
      </c>
      <c r="E116" s="133" t="str">
        <f>_xll.ciqfunctions.udf.CIQ(D116,"IQ_Company_Name")</f>
        <v>IAMGOLD Corporation</v>
      </c>
      <c r="F116" s="114">
        <f t="shared" si="57"/>
        <v>2025</v>
      </c>
      <c r="G116" s="114" t="str">
        <f t="shared" si="89"/>
        <v>2025-01-01</v>
      </c>
      <c r="H116" s="330" t="str">
        <f t="shared" si="59"/>
        <v>2025-12-31</v>
      </c>
      <c r="I116" s="114">
        <f t="shared" si="44"/>
        <v>12</v>
      </c>
      <c r="J116" s="407" t="s">
        <v>2</v>
      </c>
      <c r="K116" s="439">
        <f t="shared" si="87"/>
        <v>1</v>
      </c>
      <c r="L116" s="445" t="s">
        <v>272</v>
      </c>
      <c r="M116" s="445" t="s">
        <v>669</v>
      </c>
      <c r="N116" s="351" t="s">
        <v>107</v>
      </c>
      <c r="O116" s="217" t="s">
        <v>272</v>
      </c>
      <c r="P116" s="218" t="s">
        <v>282</v>
      </c>
      <c r="Q116" s="219">
        <v>630105</v>
      </c>
      <c r="R116" s="125">
        <f t="shared" si="78"/>
        <v>630105</v>
      </c>
      <c r="S116" s="434" t="s">
        <v>78</v>
      </c>
      <c r="T116" s="126" t="str">
        <f t="shared" si="72"/>
        <v>-</v>
      </c>
      <c r="U116" s="221">
        <v>556914</v>
      </c>
      <c r="V116" s="125">
        <f t="shared" si="65"/>
        <v>556914</v>
      </c>
      <c r="W116" s="127">
        <f t="shared" si="37"/>
        <v>0.88384316899564364</v>
      </c>
      <c r="X116" s="128">
        <f>IFERROR(AVERAGE(W116:W118),"N/A")</f>
        <v>0.9231615898283122</v>
      </c>
      <c r="Y116" s="223">
        <v>0.8</v>
      </c>
      <c r="Z116" s="129">
        <f t="shared" si="38"/>
        <v>504084</v>
      </c>
      <c r="AA116" s="124">
        <f t="shared" si="47"/>
        <v>1187019</v>
      </c>
      <c r="AB116" s="130">
        <f t="shared" si="48"/>
        <v>1134189</v>
      </c>
      <c r="AC116" s="221">
        <f>0.4*1151880</f>
        <v>460752</v>
      </c>
      <c r="AD116" s="221">
        <f>0.6*1151880</f>
        <v>691128</v>
      </c>
      <c r="AE116" s="225" t="s">
        <v>78</v>
      </c>
      <c r="AF116" s="225" t="s">
        <v>78</v>
      </c>
      <c r="AG116" s="225" t="s">
        <v>78</v>
      </c>
      <c r="AH116" s="125">
        <f t="shared" si="88"/>
        <v>1151880</v>
      </c>
      <c r="AI116" s="127">
        <f t="shared" si="49"/>
        <v>1.8280762730021187</v>
      </c>
      <c r="AJ116" s="128">
        <f>IFERROR(AVERAGE(AI116:AI118),"N/A")</f>
        <v>1.7022309041899588</v>
      </c>
      <c r="AK116" s="223">
        <v>1.7</v>
      </c>
      <c r="AL116" s="131">
        <f t="shared" si="40"/>
        <v>1071178.5</v>
      </c>
      <c r="AM116" s="368">
        <f t="shared" si="84"/>
        <v>1151880</v>
      </c>
      <c r="AN116" s="375">
        <f t="shared" si="54"/>
        <v>2338899</v>
      </c>
      <c r="AO116" s="376">
        <f t="shared" si="50"/>
        <v>2205367.5</v>
      </c>
      <c r="AP116" s="394">
        <v>31517</v>
      </c>
      <c r="AQ116" s="395" t="s">
        <v>271</v>
      </c>
      <c r="AR116" s="396">
        <f t="shared" si="81"/>
        <v>31517</v>
      </c>
      <c r="AS116" s="397">
        <f>IFERROR(AVERAGE(AR116:AR118),"N/A")</f>
        <v>30387.5</v>
      </c>
      <c r="AT116" s="401">
        <v>75343</v>
      </c>
      <c r="AU116" s="396">
        <f t="shared" si="82"/>
        <v>75343</v>
      </c>
      <c r="AV116" s="397">
        <f>IFERROR(AVERAGE(AU116:AU118),"N/A")</f>
        <v>69402.5</v>
      </c>
      <c r="AW116" s="388">
        <f t="shared" si="51"/>
        <v>2445759</v>
      </c>
      <c r="AX116" s="389">
        <f t="shared" si="52"/>
        <v>2312227.5</v>
      </c>
      <c r="AY116" s="353" t="s">
        <v>620</v>
      </c>
      <c r="AZ116" s="403" t="s">
        <v>548</v>
      </c>
      <c r="BA116" s="404" t="s">
        <v>353</v>
      </c>
    </row>
    <row r="117" spans="1:53" ht="15" customHeight="1">
      <c r="A117" s="1" t="str">
        <f t="shared" si="79"/>
        <v>TSX:IMG_2024_COO</v>
      </c>
      <c r="B117" s="1" t="str">
        <f t="shared" si="85"/>
        <v>TSX:IMG_2024_NEO1</v>
      </c>
      <c r="C117" s="1" t="str">
        <f t="shared" si="80"/>
        <v>TSX:IMG_2024_</v>
      </c>
      <c r="D117" s="114" t="str">
        <f t="shared" si="67"/>
        <v>TSX:IMG</v>
      </c>
      <c r="E117" s="133" t="str">
        <f>_xll.ciqfunctions.udf.CIQ(D117,"IQ_Company_Name")</f>
        <v>IAMGOLD Corporation</v>
      </c>
      <c r="F117" s="114">
        <f t="shared" si="57"/>
        <v>2024</v>
      </c>
      <c r="G117" s="114" t="str">
        <f t="shared" si="89"/>
        <v>2024-01-01</v>
      </c>
      <c r="H117" s="330" t="str">
        <f t="shared" si="59"/>
        <v>2024-12-31</v>
      </c>
      <c r="I117" s="114">
        <f t="shared" si="44"/>
        <v>12</v>
      </c>
      <c r="J117" s="407" t="s">
        <v>2</v>
      </c>
      <c r="K117" s="439">
        <f t="shared" si="87"/>
        <v>1</v>
      </c>
      <c r="L117" s="445" t="s">
        <v>272</v>
      </c>
      <c r="M117" s="445"/>
      <c r="N117" s="122" t="str">
        <f t="shared" ref="N117:P118" si="94">N116</f>
        <v>NEO1</v>
      </c>
      <c r="O117" s="123" t="str">
        <f>O116</f>
        <v>COO</v>
      </c>
      <c r="P117" s="132" t="str">
        <f>P116</f>
        <v>Bruno Lemelin</v>
      </c>
      <c r="Q117" s="219">
        <v>600320</v>
      </c>
      <c r="R117" s="125">
        <f t="shared" si="78"/>
        <v>600320</v>
      </c>
      <c r="S117" s="434" t="s">
        <v>78</v>
      </c>
      <c r="T117" s="126" t="str">
        <f t="shared" si="72"/>
        <v>-</v>
      </c>
      <c r="U117" s="221">
        <v>577796</v>
      </c>
      <c r="V117" s="125">
        <f t="shared" si="65"/>
        <v>577796</v>
      </c>
      <c r="W117" s="127">
        <f t="shared" ref="W117:W180" si="95">IFERROR($V117/$R117,"-")</f>
        <v>0.96248001066098077</v>
      </c>
      <c r="X117" s="128"/>
      <c r="Y117" s="223" t="s">
        <v>78</v>
      </c>
      <c r="Z117" s="129">
        <f t="shared" ref="Z117:Z180" si="96">IFERROR(IF(ISNUMBER($Y117)=TRUE, $Y117*$R117,$X117*$R117),"-")</f>
        <v>0</v>
      </c>
      <c r="AA117" s="124">
        <f t="shared" si="47"/>
        <v>1178116</v>
      </c>
      <c r="AB117" s="130">
        <f t="shared" si="48"/>
        <v>600320</v>
      </c>
      <c r="AC117" s="221">
        <f>706206*0.333333</f>
        <v>235401.76459799998</v>
      </c>
      <c r="AD117" s="225">
        <f>706206*(0.666666666666667)</f>
        <v>470804.00000000023</v>
      </c>
      <c r="AE117" s="225">
        <v>240130</v>
      </c>
      <c r="AF117" s="225" t="s">
        <v>78</v>
      </c>
      <c r="AG117" s="225" t="s">
        <v>78</v>
      </c>
      <c r="AH117" s="125">
        <f t="shared" si="88"/>
        <v>946335.76459800021</v>
      </c>
      <c r="AI117" s="127">
        <f t="shared" ref="AI117:AI180" si="97">IFERROR($AM117/$R117,"-")</f>
        <v>1.5763855353777989</v>
      </c>
      <c r="AJ117" s="128"/>
      <c r="AK117" s="223" t="s">
        <v>78</v>
      </c>
      <c r="AL117" s="131">
        <f t="shared" ref="AL117:AL180" si="98">IFERROR(IF(ISNUMBER($AK117)=TRUE, $AK117*$R117, $AJ117*$R117), "-")</f>
        <v>0</v>
      </c>
      <c r="AM117" s="368">
        <f t="shared" si="84"/>
        <v>946335.76459800021</v>
      </c>
      <c r="AN117" s="375">
        <f t="shared" si="54"/>
        <v>2124451.7645980003</v>
      </c>
      <c r="AO117" s="376">
        <f t="shared" si="50"/>
        <v>600320</v>
      </c>
      <c r="AP117" s="394">
        <v>29258</v>
      </c>
      <c r="AQ117" s="395" t="s">
        <v>271</v>
      </c>
      <c r="AR117" s="396">
        <f t="shared" si="81"/>
        <v>29258</v>
      </c>
      <c r="AS117" s="397"/>
      <c r="AT117" s="401">
        <v>63462</v>
      </c>
      <c r="AU117" s="396">
        <f t="shared" si="82"/>
        <v>63462</v>
      </c>
      <c r="AV117" s="397"/>
      <c r="AW117" s="388">
        <f t="shared" si="51"/>
        <v>2217171.7645980003</v>
      </c>
      <c r="AX117" s="389">
        <f t="shared" si="52"/>
        <v>693040</v>
      </c>
      <c r="AY117" s="353" t="s">
        <v>78</v>
      </c>
      <c r="AZ117" s="403" t="s">
        <v>548</v>
      </c>
      <c r="BA117" s="404" t="s">
        <v>353</v>
      </c>
    </row>
    <row r="118" spans="1:53" ht="15" customHeight="1">
      <c r="A118" s="1" t="str">
        <f t="shared" si="79"/>
        <v>TSX:IMG_2023_COO</v>
      </c>
      <c r="B118" s="1" t="str">
        <f t="shared" si="85"/>
        <v>TSX:IMG_2023_NEO1</v>
      </c>
      <c r="C118" s="1" t="str">
        <f t="shared" si="80"/>
        <v>TSX:IMG_2023_</v>
      </c>
      <c r="D118" s="114" t="str">
        <f t="shared" si="67"/>
        <v>TSX:IMG</v>
      </c>
      <c r="E118" s="133" t="str">
        <f>_xll.ciqfunctions.udf.CIQ(D118,"IQ_Company_Name")</f>
        <v>IAMGOLD Corporation</v>
      </c>
      <c r="F118" s="114">
        <f t="shared" si="57"/>
        <v>2023</v>
      </c>
      <c r="G118" s="952" t="str">
        <f>F118&amp;"-09-13"</f>
        <v>2023-09-13</v>
      </c>
      <c r="H118" s="330" t="str">
        <f t="shared" si="59"/>
        <v>2023-12-31</v>
      </c>
      <c r="I118" s="114">
        <f t="shared" ref="I118:I181" si="99">_xlfn.DAYS(H118,G118)/_xlfn.DAYS(F118&amp;"-12-31",F118&amp;"-01-01")*12</f>
        <v>3.5934065934065931</v>
      </c>
      <c r="J118" s="407" t="s">
        <v>2</v>
      </c>
      <c r="K118" s="439">
        <f t="shared" si="87"/>
        <v>1</v>
      </c>
      <c r="L118" s="445" t="s">
        <v>272</v>
      </c>
      <c r="M118" s="445"/>
      <c r="N118" s="122" t="str">
        <f t="shared" si="94"/>
        <v>NEO1</v>
      </c>
      <c r="O118" s="123" t="str">
        <f t="shared" si="94"/>
        <v>COO</v>
      </c>
      <c r="P118" s="132" t="str">
        <f t="shared" si="94"/>
        <v>Bruno Lemelin</v>
      </c>
      <c r="Q118" s="219" t="s">
        <v>78</v>
      </c>
      <c r="R118" s="125" t="str">
        <f t="shared" si="78"/>
        <v>-</v>
      </c>
      <c r="S118" s="434" t="s">
        <v>78</v>
      </c>
      <c r="T118" s="126" t="str">
        <f t="shared" si="72"/>
        <v>-</v>
      </c>
      <c r="U118" s="221" t="s">
        <v>78</v>
      </c>
      <c r="V118" s="125" t="str">
        <f t="shared" si="65"/>
        <v>-</v>
      </c>
      <c r="W118" s="127" t="str">
        <f t="shared" si="95"/>
        <v>-</v>
      </c>
      <c r="X118" s="128"/>
      <c r="Y118" s="223" t="s">
        <v>78</v>
      </c>
      <c r="Z118" s="129" t="str">
        <f t="shared" si="96"/>
        <v>-</v>
      </c>
      <c r="AA118" s="124" t="str">
        <f t="shared" ref="AA118:AA181" si="100">IFERROR(IF(SUM(R118,V118)=0,"-",SUM(R118,V118)),"-")</f>
        <v>-</v>
      </c>
      <c r="AB118" s="130" t="str">
        <f t="shared" ref="AB118:AB181" si="101">IFERROR(IF(SUM(R118,Z118)=0,"-",SUM(R118,Z118)),"-")</f>
        <v>-</v>
      </c>
      <c r="AC118" s="221"/>
      <c r="AD118" s="225"/>
      <c r="AE118" s="225" t="s">
        <v>78</v>
      </c>
      <c r="AF118" s="225" t="s">
        <v>78</v>
      </c>
      <c r="AG118" s="225" t="s">
        <v>78</v>
      </c>
      <c r="AH118" s="125" t="str">
        <f t="shared" si="88"/>
        <v>-</v>
      </c>
      <c r="AI118" s="127" t="str">
        <f t="shared" si="97"/>
        <v>-</v>
      </c>
      <c r="AJ118" s="128"/>
      <c r="AK118" s="223" t="s">
        <v>78</v>
      </c>
      <c r="AL118" s="131" t="str">
        <f t="shared" si="98"/>
        <v>-</v>
      </c>
      <c r="AM118" s="368" t="str">
        <f t="shared" si="84"/>
        <v>-</v>
      </c>
      <c r="AN118" s="375" t="str">
        <f t="shared" ref="AN118:AN181" si="102">IFERROR(IF(SUM(AA118,AM118)=0,"-",SUM(AA118,AM118)),"-")</f>
        <v>-</v>
      </c>
      <c r="AO118" s="376" t="str">
        <f t="shared" ref="AO118:AO181" si="103">IFERROR(IF(SUM($AB118,$AL118)=0,"-",SUM($AB118,$AL118)),"-")</f>
        <v>-</v>
      </c>
      <c r="AP118" s="394" t="s">
        <v>78</v>
      </c>
      <c r="AQ118" s="395" t="s">
        <v>78</v>
      </c>
      <c r="AR118" s="396" t="str">
        <f t="shared" si="81"/>
        <v>-</v>
      </c>
      <c r="AS118" s="397"/>
      <c r="AT118" s="401" t="s">
        <v>78</v>
      </c>
      <c r="AU118" s="396" t="str">
        <f t="shared" si="82"/>
        <v>-</v>
      </c>
      <c r="AV118" s="397"/>
      <c r="AW118" s="388" t="str">
        <f t="shared" ref="AW118:AW181" si="104">IFERROR(IF(SUM(AN118,AR118,AU118)=0,"-",SUM(AN118,AR118,AU118)),"-")</f>
        <v>-</v>
      </c>
      <c r="AX118" s="389" t="str">
        <f t="shared" ref="AX118:AX181" si="105">IFERROR(IF(SUM(AO118,AR118,AU118)=0,"-",SUM(AO118,AR118,AU118)),"-")</f>
        <v>-</v>
      </c>
      <c r="AY118" s="353" t="s">
        <v>78</v>
      </c>
      <c r="AZ118" s="403" t="s">
        <v>548</v>
      </c>
      <c r="BA118" s="404" t="s">
        <v>353</v>
      </c>
    </row>
    <row r="119" spans="1:53" ht="15" customHeight="1">
      <c r="A119" s="1" t="str">
        <f t="shared" si="79"/>
        <v>TSX:IMG_2025_</v>
      </c>
      <c r="B119" s="1" t="str">
        <f t="shared" si="85"/>
        <v>TSX:IMG_2025_CFO</v>
      </c>
      <c r="C119" s="1" t="str">
        <f t="shared" si="80"/>
        <v>TSX:IMG_2025_</v>
      </c>
      <c r="D119" s="114" t="str">
        <f t="shared" si="67"/>
        <v>TSX:IMG</v>
      </c>
      <c r="E119" s="133" t="str">
        <f>_xll.ciqfunctions.udf.CIQ(D119,"IQ_Company_Name")</f>
        <v>IAMGOLD Corporation</v>
      </c>
      <c r="F119" s="114">
        <f t="shared" si="57"/>
        <v>2025</v>
      </c>
      <c r="G119" s="330" t="str">
        <f t="shared" si="89"/>
        <v>2025-01-01</v>
      </c>
      <c r="H119" s="330" t="str">
        <f t="shared" si="59"/>
        <v>2025-12-31</v>
      </c>
      <c r="I119" s="114">
        <f t="shared" si="99"/>
        <v>12</v>
      </c>
      <c r="J119" s="407" t="s">
        <v>2</v>
      </c>
      <c r="K119" s="439">
        <f t="shared" si="87"/>
        <v>1</v>
      </c>
      <c r="L119" s="445"/>
      <c r="M119" s="445"/>
      <c r="N119" s="351" t="s">
        <v>106</v>
      </c>
      <c r="O119" s="217" t="s">
        <v>106</v>
      </c>
      <c r="P119" s="959" t="s">
        <v>281</v>
      </c>
      <c r="Q119" s="219">
        <v>544045</v>
      </c>
      <c r="R119" s="125">
        <f t="shared" si="78"/>
        <v>544045</v>
      </c>
      <c r="S119" s="434" t="s">
        <v>78</v>
      </c>
      <c r="T119" s="126" t="str">
        <f t="shared" si="72"/>
        <v>-</v>
      </c>
      <c r="U119" s="221">
        <v>480803</v>
      </c>
      <c r="V119" s="125">
        <f t="shared" si="65"/>
        <v>480803</v>
      </c>
      <c r="W119" s="127">
        <f t="shared" si="95"/>
        <v>0.88375593930649121</v>
      </c>
      <c r="X119" s="128">
        <f>IFERROR(AVERAGE(W119:W121),"N/A")</f>
        <v>0.92311749904709273</v>
      </c>
      <c r="Y119" s="223">
        <v>0.8</v>
      </c>
      <c r="Z119" s="129">
        <f t="shared" si="96"/>
        <v>435236</v>
      </c>
      <c r="AA119" s="124">
        <f t="shared" si="100"/>
        <v>1024848</v>
      </c>
      <c r="AB119" s="130">
        <f t="shared" si="101"/>
        <v>979281</v>
      </c>
      <c r="AC119" s="221">
        <f>0.4*935988</f>
        <v>374395.2</v>
      </c>
      <c r="AD119" s="221">
        <f>0.6*935988</f>
        <v>561592.79999999993</v>
      </c>
      <c r="AE119" s="225" t="s">
        <v>78</v>
      </c>
      <c r="AF119" s="225" t="s">
        <v>78</v>
      </c>
      <c r="AG119" s="225" t="s">
        <v>78</v>
      </c>
      <c r="AH119" s="125">
        <f t="shared" si="88"/>
        <v>935988</v>
      </c>
      <c r="AI119" s="127">
        <f t="shared" si="97"/>
        <v>1.7204238619967098</v>
      </c>
      <c r="AJ119" s="128">
        <f>IFERROR(AVERAGE(AI119:AI121),"N/A")</f>
        <v>1.5991464040413035</v>
      </c>
      <c r="AK119" s="223">
        <v>1.6</v>
      </c>
      <c r="AL119" s="131">
        <f t="shared" si="98"/>
        <v>870472</v>
      </c>
      <c r="AM119" s="368">
        <f t="shared" si="84"/>
        <v>935988</v>
      </c>
      <c r="AN119" s="375">
        <f t="shared" si="102"/>
        <v>1960836</v>
      </c>
      <c r="AO119" s="376">
        <f t="shared" si="103"/>
        <v>1849753</v>
      </c>
      <c r="AP119" s="394">
        <v>29563</v>
      </c>
      <c r="AQ119" s="395" t="s">
        <v>271</v>
      </c>
      <c r="AR119" s="396">
        <f t="shared" si="81"/>
        <v>29563</v>
      </c>
      <c r="AS119" s="397">
        <f>IFERROR(AVERAGE(AR119:AR121),"N/A")</f>
        <v>24064.5</v>
      </c>
      <c r="AT119" s="401">
        <v>41012</v>
      </c>
      <c r="AU119" s="396">
        <f t="shared" si="82"/>
        <v>41012</v>
      </c>
      <c r="AV119" s="397">
        <f>IFERROR(AVERAGE(AU119:AU121),"N/A")</f>
        <v>28189.666666666668</v>
      </c>
      <c r="AW119" s="388">
        <f t="shared" si="104"/>
        <v>2031411</v>
      </c>
      <c r="AX119" s="389">
        <f t="shared" si="105"/>
        <v>1920328</v>
      </c>
      <c r="AY119" s="353" t="s">
        <v>621</v>
      </c>
      <c r="AZ119" s="403" t="s">
        <v>548</v>
      </c>
      <c r="BA119" s="404" t="s">
        <v>353</v>
      </c>
    </row>
    <row r="120" spans="1:53" ht="15" customHeight="1">
      <c r="A120" s="1" t="str">
        <f t="shared" si="79"/>
        <v>TSX:IMG_2024_</v>
      </c>
      <c r="B120" s="1" t="str">
        <f t="shared" si="85"/>
        <v>TSX:IMG_2024_CFO</v>
      </c>
      <c r="C120" s="1" t="str">
        <f t="shared" si="80"/>
        <v>TSX:IMG_2024_</v>
      </c>
      <c r="D120" s="114" t="str">
        <f t="shared" si="67"/>
        <v>TSX:IMG</v>
      </c>
      <c r="E120" s="133" t="str">
        <f>_xll.ciqfunctions.udf.CIQ(D120,"IQ_Company_Name")</f>
        <v>IAMGOLD Corporation</v>
      </c>
      <c r="F120" s="114">
        <f t="shared" si="57"/>
        <v>2024</v>
      </c>
      <c r="G120" s="330" t="str">
        <f t="shared" si="89"/>
        <v>2024-01-01</v>
      </c>
      <c r="H120" s="330" t="str">
        <f t="shared" si="59"/>
        <v>2024-12-31</v>
      </c>
      <c r="I120" s="114">
        <f t="shared" si="99"/>
        <v>12</v>
      </c>
      <c r="J120" s="407" t="s">
        <v>2</v>
      </c>
      <c r="K120" s="439">
        <f t="shared" si="87"/>
        <v>1</v>
      </c>
      <c r="L120" s="445"/>
      <c r="M120" s="445"/>
      <c r="N120" s="122" t="str">
        <f t="shared" ref="N120:P121" si="106">N119</f>
        <v>CFO</v>
      </c>
      <c r="O120" s="123" t="str">
        <f>O119</f>
        <v>CFO</v>
      </c>
      <c r="P120" s="132" t="str">
        <f>P119</f>
        <v>Maarten Theunissen</v>
      </c>
      <c r="Q120" s="219">
        <v>525280</v>
      </c>
      <c r="R120" s="125">
        <f t="shared" si="78"/>
        <v>525280</v>
      </c>
      <c r="S120" s="434" t="s">
        <v>78</v>
      </c>
      <c r="T120" s="126" t="str">
        <f t="shared" si="72"/>
        <v>-</v>
      </c>
      <c r="U120" s="221">
        <v>505571</v>
      </c>
      <c r="V120" s="125">
        <f t="shared" si="65"/>
        <v>505571</v>
      </c>
      <c r="W120" s="127">
        <f t="shared" si="95"/>
        <v>0.96247905878769413</v>
      </c>
      <c r="X120" s="128"/>
      <c r="Y120" s="223" t="s">
        <v>78</v>
      </c>
      <c r="Z120" s="129">
        <f t="shared" si="96"/>
        <v>0</v>
      </c>
      <c r="AA120" s="124">
        <f t="shared" si="100"/>
        <v>1030851</v>
      </c>
      <c r="AB120" s="130">
        <f t="shared" si="101"/>
        <v>525280</v>
      </c>
      <c r="AC120" s="221">
        <f>579315*(0.333333333333333)</f>
        <v>193104.9999999998</v>
      </c>
      <c r="AD120" s="225">
        <f>579315*(0.666666666666667)</f>
        <v>386210.00000000017</v>
      </c>
      <c r="AE120" s="225">
        <v>196980</v>
      </c>
      <c r="AF120" s="225" t="s">
        <v>78</v>
      </c>
      <c r="AG120" s="225" t="s">
        <v>78</v>
      </c>
      <c r="AH120" s="125">
        <f t="shared" si="88"/>
        <v>776295</v>
      </c>
      <c r="AI120" s="127">
        <f t="shared" si="97"/>
        <v>1.4778689460858971</v>
      </c>
      <c r="AJ120" s="128"/>
      <c r="AK120" s="223" t="s">
        <v>78</v>
      </c>
      <c r="AL120" s="131">
        <f t="shared" si="98"/>
        <v>0</v>
      </c>
      <c r="AM120" s="368">
        <f t="shared" si="84"/>
        <v>776295</v>
      </c>
      <c r="AN120" s="375">
        <f t="shared" si="102"/>
        <v>1807146</v>
      </c>
      <c r="AO120" s="376">
        <f t="shared" si="103"/>
        <v>525280</v>
      </c>
      <c r="AP120" s="394">
        <v>18566</v>
      </c>
      <c r="AQ120" s="395" t="s">
        <v>271</v>
      </c>
      <c r="AR120" s="396">
        <f t="shared" si="81"/>
        <v>18566</v>
      </c>
      <c r="AS120" s="397"/>
      <c r="AT120" s="401">
        <v>43557</v>
      </c>
      <c r="AU120" s="396">
        <f t="shared" si="82"/>
        <v>43557</v>
      </c>
      <c r="AV120" s="397"/>
      <c r="AW120" s="388">
        <f t="shared" si="104"/>
        <v>1869269</v>
      </c>
      <c r="AX120" s="389">
        <f t="shared" si="105"/>
        <v>587403</v>
      </c>
      <c r="AY120" s="353" t="s">
        <v>78</v>
      </c>
      <c r="AZ120" s="403" t="s">
        <v>548</v>
      </c>
      <c r="BA120" s="404" t="s">
        <v>353</v>
      </c>
    </row>
    <row r="121" spans="1:53" ht="15" customHeight="1">
      <c r="A121" s="1" t="str">
        <f t="shared" si="79"/>
        <v>TSX:IMG_2023_</v>
      </c>
      <c r="B121" s="1" t="str">
        <f t="shared" si="85"/>
        <v>TSX:IMG_2023_CFO</v>
      </c>
      <c r="C121" s="1" t="str">
        <f t="shared" si="80"/>
        <v>TSX:IMG_2023_</v>
      </c>
      <c r="D121" s="114" t="str">
        <f t="shared" si="67"/>
        <v>TSX:IMG</v>
      </c>
      <c r="E121" s="133" t="str">
        <f>_xll.ciqfunctions.udf.CIQ(D121,"IQ_Company_Name")</f>
        <v>IAMGOLD Corporation</v>
      </c>
      <c r="F121" s="114">
        <f t="shared" si="57"/>
        <v>2023</v>
      </c>
      <c r="G121" s="114" t="str">
        <f>F121&amp;"-03-06"</f>
        <v>2023-03-06</v>
      </c>
      <c r="H121" s="330" t="str">
        <f t="shared" si="59"/>
        <v>2023-12-31</v>
      </c>
      <c r="I121" s="114">
        <f t="shared" si="99"/>
        <v>9.8901098901098905</v>
      </c>
      <c r="J121" s="407" t="s">
        <v>2</v>
      </c>
      <c r="K121" s="439">
        <f t="shared" si="87"/>
        <v>1</v>
      </c>
      <c r="L121" s="445"/>
      <c r="M121" s="445"/>
      <c r="N121" s="122" t="str">
        <f t="shared" si="106"/>
        <v>CFO</v>
      </c>
      <c r="O121" s="123" t="str">
        <f t="shared" si="106"/>
        <v>CFO</v>
      </c>
      <c r="P121" s="132" t="str">
        <f t="shared" si="106"/>
        <v>Maarten Theunissen</v>
      </c>
      <c r="Q121" s="219" t="s">
        <v>78</v>
      </c>
      <c r="R121" s="125" t="str">
        <f t="shared" si="78"/>
        <v>-</v>
      </c>
      <c r="S121" s="434" t="s">
        <v>78</v>
      </c>
      <c r="T121" s="126" t="str">
        <f t="shared" si="72"/>
        <v>-</v>
      </c>
      <c r="U121" s="221" t="s">
        <v>78</v>
      </c>
      <c r="V121" s="125" t="str">
        <f t="shared" si="65"/>
        <v>-</v>
      </c>
      <c r="W121" s="127" t="str">
        <f>IFERROR($V121/$R121,"-")</f>
        <v>-</v>
      </c>
      <c r="X121" s="128"/>
      <c r="Y121" s="223" t="s">
        <v>78</v>
      </c>
      <c r="Z121" s="129" t="str">
        <f t="shared" si="96"/>
        <v>-</v>
      </c>
      <c r="AA121" s="124" t="str">
        <f t="shared" si="100"/>
        <v>-</v>
      </c>
      <c r="AB121" s="130" t="str">
        <f t="shared" si="101"/>
        <v>-</v>
      </c>
      <c r="AC121" s="221" t="s">
        <v>78</v>
      </c>
      <c r="AD121" s="225" t="s">
        <v>78</v>
      </c>
      <c r="AE121" s="225" t="s">
        <v>78</v>
      </c>
      <c r="AF121" s="225" t="s">
        <v>78</v>
      </c>
      <c r="AG121" s="225" t="s">
        <v>78</v>
      </c>
      <c r="AH121" s="125" t="str">
        <f t="shared" si="88"/>
        <v>-</v>
      </c>
      <c r="AI121" s="127" t="str">
        <f t="shared" si="97"/>
        <v>-</v>
      </c>
      <c r="AJ121" s="128"/>
      <c r="AK121" s="223" t="s">
        <v>78</v>
      </c>
      <c r="AL121" s="131" t="str">
        <f t="shared" si="98"/>
        <v>-</v>
      </c>
      <c r="AM121" s="368" t="str">
        <f t="shared" si="84"/>
        <v>-</v>
      </c>
      <c r="AN121" s="375" t="str">
        <f t="shared" si="102"/>
        <v>-</v>
      </c>
      <c r="AO121" s="376" t="str">
        <f t="shared" si="103"/>
        <v>-</v>
      </c>
      <c r="AP121" s="394" t="s">
        <v>78</v>
      </c>
      <c r="AQ121" s="395" t="s">
        <v>78</v>
      </c>
      <c r="AR121" s="396" t="str">
        <f t="shared" si="81"/>
        <v>-</v>
      </c>
      <c r="AS121" s="397"/>
      <c r="AT121" s="401"/>
      <c r="AU121" s="396">
        <f t="shared" si="82"/>
        <v>0</v>
      </c>
      <c r="AV121" s="397"/>
      <c r="AW121" s="388" t="str">
        <f t="shared" si="104"/>
        <v>-</v>
      </c>
      <c r="AX121" s="389" t="str">
        <f t="shared" si="105"/>
        <v>-</v>
      </c>
      <c r="AY121" s="353" t="s">
        <v>78</v>
      </c>
      <c r="AZ121" s="403" t="s">
        <v>548</v>
      </c>
      <c r="BA121" s="404" t="s">
        <v>353</v>
      </c>
    </row>
    <row r="122" spans="1:53" ht="15" customHeight="1">
      <c r="A122" s="1" t="str">
        <f t="shared" si="79"/>
        <v>TSX:IMG_2025_Legal</v>
      </c>
      <c r="B122" s="1" t="str">
        <f t="shared" si="85"/>
        <v>TSX:IMG_2025_NEO2</v>
      </c>
      <c r="C122" s="1" t="str">
        <f t="shared" si="80"/>
        <v>TSX:IMG_2025_</v>
      </c>
      <c r="D122" s="114" t="str">
        <f t="shared" si="67"/>
        <v>TSX:IMG</v>
      </c>
      <c r="E122" s="133" t="str">
        <f>_xll.ciqfunctions.udf.CIQ(D122,"IQ_Company_Name")</f>
        <v>IAMGOLD Corporation</v>
      </c>
      <c r="F122" s="114">
        <f t="shared" si="57"/>
        <v>2025</v>
      </c>
      <c r="G122" s="952" t="str">
        <f>F122&amp;"-02-03"</f>
        <v>2025-02-03</v>
      </c>
      <c r="H122" s="330" t="str">
        <f t="shared" si="59"/>
        <v>2025-12-31</v>
      </c>
      <c r="I122" s="114">
        <f t="shared" si="99"/>
        <v>10.912087912087912</v>
      </c>
      <c r="J122" s="407" t="s">
        <v>2</v>
      </c>
      <c r="K122" s="439">
        <f t="shared" si="87"/>
        <v>1</v>
      </c>
      <c r="L122" s="445" t="s">
        <v>360</v>
      </c>
      <c r="M122" s="445"/>
      <c r="N122" s="351" t="s">
        <v>108</v>
      </c>
      <c r="O122" s="217" t="s">
        <v>560</v>
      </c>
      <c r="P122" s="959" t="s">
        <v>674</v>
      </c>
      <c r="Q122" s="219">
        <v>424808</v>
      </c>
      <c r="R122" s="420">
        <v>470000</v>
      </c>
      <c r="S122" s="434" t="s">
        <v>78</v>
      </c>
      <c r="T122" s="126" t="str">
        <f t="shared" si="72"/>
        <v>-</v>
      </c>
      <c r="U122" s="221">
        <v>330497</v>
      </c>
      <c r="V122" s="125">
        <f t="shared" si="65"/>
        <v>363446.85196374619</v>
      </c>
      <c r="W122" s="127">
        <f t="shared" si="95"/>
        <v>0.7732911743909493</v>
      </c>
      <c r="X122" s="128">
        <f>IFERROR(AVERAGE(W122:W124),"N/A")</f>
        <v>0.7732911743909493</v>
      </c>
      <c r="Y122" s="223">
        <v>0.7</v>
      </c>
      <c r="Z122" s="129">
        <f t="shared" si="96"/>
        <v>329000</v>
      </c>
      <c r="AA122" s="124">
        <f t="shared" si="100"/>
        <v>833446.85196374613</v>
      </c>
      <c r="AB122" s="130">
        <f t="shared" si="101"/>
        <v>799000</v>
      </c>
      <c r="AC122" s="221">
        <f>(1179485-500000)*0.4</f>
        <v>271794</v>
      </c>
      <c r="AD122" s="221">
        <f>(1179485-500000)*0.6</f>
        <v>407691</v>
      </c>
      <c r="AE122" s="225" t="s">
        <v>78</v>
      </c>
      <c r="AF122" s="225" t="s">
        <v>78</v>
      </c>
      <c r="AG122" s="225" t="s">
        <v>78</v>
      </c>
      <c r="AH122" s="125">
        <f t="shared" si="88"/>
        <v>679485</v>
      </c>
      <c r="AI122" s="127">
        <f t="shared" si="97"/>
        <v>1.4457127659574469</v>
      </c>
      <c r="AJ122" s="128">
        <f>IFERROR(AVERAGE(AI122:AI124),"N/A")</f>
        <v>1.4457127659574469</v>
      </c>
      <c r="AK122" s="223">
        <v>1.5</v>
      </c>
      <c r="AL122" s="131">
        <f t="shared" si="98"/>
        <v>705000</v>
      </c>
      <c r="AM122" s="368">
        <f t="shared" si="84"/>
        <v>679485</v>
      </c>
      <c r="AN122" s="375">
        <f t="shared" si="102"/>
        <v>1512931.8519637461</v>
      </c>
      <c r="AO122" s="376">
        <f t="shared" si="103"/>
        <v>1504000</v>
      </c>
      <c r="AP122" s="394">
        <v>19435</v>
      </c>
      <c r="AQ122" s="395" t="s">
        <v>271</v>
      </c>
      <c r="AR122" s="396">
        <f t="shared" si="81"/>
        <v>21372.628398791541</v>
      </c>
      <c r="AS122" s="397">
        <f>IFERROR(AVERAGE(AR122:AR124),"N/A")</f>
        <v>21372.628398791541</v>
      </c>
      <c r="AT122" s="401">
        <v>38096</v>
      </c>
      <c r="AU122" s="396">
        <f t="shared" si="82"/>
        <v>41894.090634441083</v>
      </c>
      <c r="AV122" s="397">
        <f>IFERROR(AVERAGE(AU122:AU124),"N/A")</f>
        <v>41894.090634441083</v>
      </c>
      <c r="AW122" s="388">
        <f t="shared" si="104"/>
        <v>1576198.5709969788</v>
      </c>
      <c r="AX122" s="389">
        <f t="shared" si="105"/>
        <v>1567266.7190332327</v>
      </c>
      <c r="AY122" s="423" t="s">
        <v>622</v>
      </c>
      <c r="AZ122" s="403" t="s">
        <v>548</v>
      </c>
      <c r="BA122" s="404" t="s">
        <v>353</v>
      </c>
    </row>
    <row r="123" spans="1:53" ht="15" customHeight="1">
      <c r="A123" s="1" t="str">
        <f t="shared" si="79"/>
        <v>TSX:IMG_2024_Legal</v>
      </c>
      <c r="B123" s="1" t="str">
        <f t="shared" si="85"/>
        <v>TSX:IMG_2024_NEO2</v>
      </c>
      <c r="C123" s="1" t="str">
        <f t="shared" si="80"/>
        <v>TSX:IMG_2024_</v>
      </c>
      <c r="D123" s="114" t="str">
        <f t="shared" si="67"/>
        <v>TSX:IMG</v>
      </c>
      <c r="E123" s="133" t="str">
        <f>_xll.ciqfunctions.udf.CIQ(D123,"IQ_Company_Name")</f>
        <v>IAMGOLD Corporation</v>
      </c>
      <c r="F123" s="114">
        <f>F120</f>
        <v>2024</v>
      </c>
      <c r="G123" s="114"/>
      <c r="H123" s="330"/>
      <c r="I123" s="114">
        <f t="shared" si="99"/>
        <v>0</v>
      </c>
      <c r="J123" s="407" t="s">
        <v>2</v>
      </c>
      <c r="K123" s="439">
        <f t="shared" si="87"/>
        <v>1</v>
      </c>
      <c r="L123" s="445" t="s">
        <v>360</v>
      </c>
      <c r="M123" s="445"/>
      <c r="N123" s="122" t="str">
        <f t="shared" ref="N123:P124" si="107">N122</f>
        <v>NEO2</v>
      </c>
      <c r="O123" s="123" t="str">
        <f>O122</f>
        <v>CLSO</v>
      </c>
      <c r="P123" s="132" t="str">
        <f>P122</f>
        <v>Annie Torkia Lagacé</v>
      </c>
      <c r="Q123" s="219" t="s">
        <v>78</v>
      </c>
      <c r="R123" s="125" t="str">
        <f>IFERROR(Q123*(12/$I123)*$K123,"-")</f>
        <v>-</v>
      </c>
      <c r="S123" s="434" t="s">
        <v>78</v>
      </c>
      <c r="T123" s="126" t="str">
        <f t="shared" si="72"/>
        <v>-</v>
      </c>
      <c r="U123" s="221" t="s">
        <v>78</v>
      </c>
      <c r="V123" s="420" t="str">
        <f>U123</f>
        <v>-</v>
      </c>
      <c r="W123" s="127" t="str">
        <f t="shared" si="95"/>
        <v>-</v>
      </c>
      <c r="X123" s="128"/>
      <c r="Y123" s="223" t="s">
        <v>78</v>
      </c>
      <c r="Z123" s="129" t="str">
        <f t="shared" si="96"/>
        <v>-</v>
      </c>
      <c r="AA123" s="124" t="str">
        <f t="shared" si="100"/>
        <v>-</v>
      </c>
      <c r="AB123" s="130" t="str">
        <f t="shared" si="101"/>
        <v>-</v>
      </c>
      <c r="AC123" s="221" t="s">
        <v>78</v>
      </c>
      <c r="AD123" s="225" t="s">
        <v>78</v>
      </c>
      <c r="AE123" s="225" t="s">
        <v>78</v>
      </c>
      <c r="AF123" s="225" t="s">
        <v>78</v>
      </c>
      <c r="AG123" s="225" t="s">
        <v>78</v>
      </c>
      <c r="AH123" s="125" t="str">
        <f t="shared" si="88"/>
        <v>-</v>
      </c>
      <c r="AI123" s="127" t="str">
        <f t="shared" si="97"/>
        <v>-</v>
      </c>
      <c r="AJ123" s="128"/>
      <c r="AK123" s="223" t="s">
        <v>78</v>
      </c>
      <c r="AL123" s="131" t="str">
        <f t="shared" si="98"/>
        <v>-</v>
      </c>
      <c r="AM123" s="368" t="str">
        <f t="shared" si="84"/>
        <v>-</v>
      </c>
      <c r="AN123" s="375" t="str">
        <f t="shared" si="102"/>
        <v>-</v>
      </c>
      <c r="AO123" s="376" t="str">
        <f t="shared" si="103"/>
        <v>-</v>
      </c>
      <c r="AP123" s="394" t="s">
        <v>78</v>
      </c>
      <c r="AQ123" s="395" t="s">
        <v>78</v>
      </c>
      <c r="AR123" s="396" t="str">
        <f t="shared" si="81"/>
        <v>-</v>
      </c>
      <c r="AS123" s="397"/>
      <c r="AT123" s="401" t="s">
        <v>78</v>
      </c>
      <c r="AU123" s="396" t="str">
        <f t="shared" si="82"/>
        <v>-</v>
      </c>
      <c r="AV123" s="397"/>
      <c r="AW123" s="388" t="str">
        <f t="shared" si="104"/>
        <v>-</v>
      </c>
      <c r="AX123" s="389" t="str">
        <f t="shared" si="105"/>
        <v>-</v>
      </c>
      <c r="AY123" s="353" t="s">
        <v>78</v>
      </c>
      <c r="AZ123" s="403" t="s">
        <v>548</v>
      </c>
      <c r="BA123" s="404" t="s">
        <v>353</v>
      </c>
    </row>
    <row r="124" spans="1:53" ht="15" customHeight="1">
      <c r="A124" s="1" t="str">
        <f t="shared" si="79"/>
        <v>TSX:IMG_2023_Legal</v>
      </c>
      <c r="B124" s="1" t="str">
        <f t="shared" si="85"/>
        <v>TSX:IMG_2023_NEO2</v>
      </c>
      <c r="C124" s="1" t="str">
        <f t="shared" si="80"/>
        <v>TSX:IMG_2023_</v>
      </c>
      <c r="D124" s="114" t="str">
        <f t="shared" si="67"/>
        <v>TSX:IMG</v>
      </c>
      <c r="E124" s="133" t="str">
        <f>_xll.ciqfunctions.udf.CIQ(D124,"IQ_Company_Name")</f>
        <v>IAMGOLD Corporation</v>
      </c>
      <c r="F124" s="114">
        <f>F121</f>
        <v>2023</v>
      </c>
      <c r="G124" s="114"/>
      <c r="H124" s="330"/>
      <c r="I124" s="114">
        <f t="shared" si="99"/>
        <v>0</v>
      </c>
      <c r="J124" s="407" t="s">
        <v>2</v>
      </c>
      <c r="K124" s="439">
        <f t="shared" si="87"/>
        <v>1</v>
      </c>
      <c r="L124" s="445" t="s">
        <v>360</v>
      </c>
      <c r="M124" s="445"/>
      <c r="N124" s="122" t="str">
        <f t="shared" si="107"/>
        <v>NEO2</v>
      </c>
      <c r="O124" s="123" t="str">
        <f t="shared" si="107"/>
        <v>CLSO</v>
      </c>
      <c r="P124" s="132" t="str">
        <f t="shared" si="107"/>
        <v>Annie Torkia Lagacé</v>
      </c>
      <c r="Q124" s="219" t="s">
        <v>78</v>
      </c>
      <c r="R124" s="125" t="str">
        <f>IFERROR(Q124*(12/$I124)*$K124,"-")</f>
        <v>-</v>
      </c>
      <c r="S124" s="434" t="s">
        <v>78</v>
      </c>
      <c r="T124" s="126" t="str">
        <f t="shared" si="72"/>
        <v>-</v>
      </c>
      <c r="U124" s="221" t="s">
        <v>78</v>
      </c>
      <c r="V124" s="125" t="str">
        <f t="shared" si="65"/>
        <v>-</v>
      </c>
      <c r="W124" s="127" t="str">
        <f t="shared" si="95"/>
        <v>-</v>
      </c>
      <c r="X124" s="128"/>
      <c r="Y124" s="223" t="s">
        <v>78</v>
      </c>
      <c r="Z124" s="129" t="str">
        <f t="shared" si="96"/>
        <v>-</v>
      </c>
      <c r="AA124" s="124" t="str">
        <f t="shared" si="100"/>
        <v>-</v>
      </c>
      <c r="AB124" s="130" t="str">
        <f t="shared" si="101"/>
        <v>-</v>
      </c>
      <c r="AC124" s="221" t="s">
        <v>78</v>
      </c>
      <c r="AD124" s="225" t="s">
        <v>78</v>
      </c>
      <c r="AE124" s="225" t="s">
        <v>78</v>
      </c>
      <c r="AF124" s="225" t="s">
        <v>78</v>
      </c>
      <c r="AG124" s="225" t="s">
        <v>78</v>
      </c>
      <c r="AH124" s="125" t="str">
        <f t="shared" si="88"/>
        <v>-</v>
      </c>
      <c r="AI124" s="127" t="str">
        <f t="shared" si="97"/>
        <v>-</v>
      </c>
      <c r="AJ124" s="128"/>
      <c r="AK124" s="223" t="s">
        <v>78</v>
      </c>
      <c r="AL124" s="131" t="str">
        <f t="shared" si="98"/>
        <v>-</v>
      </c>
      <c r="AM124" s="368" t="str">
        <f t="shared" si="84"/>
        <v>-</v>
      </c>
      <c r="AN124" s="375" t="str">
        <f t="shared" si="102"/>
        <v>-</v>
      </c>
      <c r="AO124" s="376" t="str">
        <f t="shared" si="103"/>
        <v>-</v>
      </c>
      <c r="AP124" s="394" t="s">
        <v>78</v>
      </c>
      <c r="AQ124" s="395" t="s">
        <v>78</v>
      </c>
      <c r="AR124" s="396" t="str">
        <f t="shared" si="81"/>
        <v>-</v>
      </c>
      <c r="AS124" s="397"/>
      <c r="AT124" s="401" t="s">
        <v>78</v>
      </c>
      <c r="AU124" s="396" t="str">
        <f t="shared" si="82"/>
        <v>-</v>
      </c>
      <c r="AV124" s="397"/>
      <c r="AW124" s="388" t="str">
        <f t="shared" si="104"/>
        <v>-</v>
      </c>
      <c r="AX124" s="389" t="str">
        <f t="shared" si="105"/>
        <v>-</v>
      </c>
      <c r="AY124" s="353" t="s">
        <v>78</v>
      </c>
      <c r="AZ124" s="403" t="s">
        <v>548</v>
      </c>
      <c r="BA124" s="404" t="s">
        <v>353</v>
      </c>
    </row>
    <row r="125" spans="1:53" ht="15" customHeight="1">
      <c r="A125" s="1" t="str">
        <f t="shared" si="79"/>
        <v>TSX:IMG_2025_</v>
      </c>
      <c r="B125" s="1" t="str">
        <f t="shared" si="85"/>
        <v>TSX:IMG_2025_NEO3</v>
      </c>
      <c r="C125" s="1" t="str">
        <f t="shared" si="80"/>
        <v>TSX:IMG_2025_</v>
      </c>
      <c r="D125" s="114" t="str">
        <f t="shared" si="67"/>
        <v>TSX:IMG</v>
      </c>
      <c r="E125" s="133" t="str">
        <f>_xll.ciqfunctions.udf.CIQ(D125,"IQ_Company_Name")</f>
        <v>IAMGOLD Corporation</v>
      </c>
      <c r="F125" s="114">
        <f>F122</f>
        <v>2025</v>
      </c>
      <c r="G125" s="114" t="str">
        <f t="shared" si="89"/>
        <v>2025-01-01</v>
      </c>
      <c r="H125" s="330" t="str">
        <f t="shared" ref="H125:H188" si="108">F125&amp;"-12-31"</f>
        <v>2025-12-31</v>
      </c>
      <c r="I125" s="114">
        <f t="shared" si="99"/>
        <v>12</v>
      </c>
      <c r="J125" s="407" t="s">
        <v>2</v>
      </c>
      <c r="K125" s="439">
        <f t="shared" si="87"/>
        <v>1</v>
      </c>
      <c r="L125" s="445"/>
      <c r="M125" s="445"/>
      <c r="N125" s="351" t="s">
        <v>109</v>
      </c>
      <c r="O125" s="217" t="s">
        <v>561</v>
      </c>
      <c r="P125" s="218" t="s">
        <v>283</v>
      </c>
      <c r="Q125" s="219">
        <v>419993</v>
      </c>
      <c r="R125" s="420">
        <v>420147</v>
      </c>
      <c r="S125" s="434" t="s">
        <v>78</v>
      </c>
      <c r="T125" s="126" t="str">
        <f t="shared" si="72"/>
        <v>-</v>
      </c>
      <c r="U125" s="221">
        <v>324807</v>
      </c>
      <c r="V125" s="125">
        <f t="shared" si="65"/>
        <v>324807</v>
      </c>
      <c r="W125" s="127">
        <f t="shared" si="95"/>
        <v>0.77307942220222925</v>
      </c>
      <c r="X125" s="128">
        <f>IFERROR(AVERAGE(W125:W127),"N/A")</f>
        <v>0.77307942220222925</v>
      </c>
      <c r="Y125" s="223">
        <v>0.7</v>
      </c>
      <c r="Z125" s="129">
        <f t="shared" si="96"/>
        <v>294102.89999999997</v>
      </c>
      <c r="AA125" s="124">
        <f t="shared" si="100"/>
        <v>744954</v>
      </c>
      <c r="AB125" s="130">
        <f t="shared" si="101"/>
        <v>714249.89999999991</v>
      </c>
      <c r="AC125" s="221">
        <f>0.4*677476</f>
        <v>270990.40000000002</v>
      </c>
      <c r="AD125" s="221">
        <f>0.6*677476</f>
        <v>406485.6</v>
      </c>
      <c r="AE125" s="225" t="s">
        <v>78</v>
      </c>
      <c r="AF125" s="225" t="s">
        <v>78</v>
      </c>
      <c r="AG125" s="225" t="s">
        <v>78</v>
      </c>
      <c r="AH125" s="125">
        <f t="shared" si="88"/>
        <v>677476</v>
      </c>
      <c r="AI125" s="127">
        <f t="shared" si="97"/>
        <v>1.6124737294327938</v>
      </c>
      <c r="AJ125" s="128">
        <f>IFERROR(AVERAGE(AI125:AI127),"N/A")</f>
        <v>1.6124737294327938</v>
      </c>
      <c r="AK125" s="223">
        <v>1.5</v>
      </c>
      <c r="AL125" s="131">
        <f t="shared" si="98"/>
        <v>630220.5</v>
      </c>
      <c r="AM125" s="368">
        <f t="shared" si="84"/>
        <v>677476</v>
      </c>
      <c r="AN125" s="375">
        <f t="shared" si="102"/>
        <v>1422430</v>
      </c>
      <c r="AO125" s="376">
        <f t="shared" si="103"/>
        <v>1344470.4</v>
      </c>
      <c r="AP125" s="394">
        <v>24932</v>
      </c>
      <c r="AQ125" s="395" t="s">
        <v>271</v>
      </c>
      <c r="AR125" s="396">
        <f t="shared" si="81"/>
        <v>24932</v>
      </c>
      <c r="AS125" s="397">
        <f>IFERROR(AVERAGE(AR125:AR127),"N/A")</f>
        <v>24932</v>
      </c>
      <c r="AT125" s="401">
        <v>61466</v>
      </c>
      <c r="AU125" s="396">
        <f t="shared" si="82"/>
        <v>61466</v>
      </c>
      <c r="AV125" s="397">
        <f>IFERROR(AVERAGE(AU125:AU127),"N/A")</f>
        <v>61466</v>
      </c>
      <c r="AW125" s="388">
        <f t="shared" si="104"/>
        <v>1508828</v>
      </c>
      <c r="AX125" s="389">
        <f t="shared" si="105"/>
        <v>1430868.4</v>
      </c>
      <c r="AY125" s="353" t="s">
        <v>623</v>
      </c>
      <c r="AZ125" s="403" t="s">
        <v>548</v>
      </c>
      <c r="BA125" s="404" t="s">
        <v>353</v>
      </c>
    </row>
    <row r="126" spans="1:53" ht="15" customHeight="1">
      <c r="A126" s="1" t="str">
        <f t="shared" si="79"/>
        <v>TSX:IMG_2024_</v>
      </c>
      <c r="B126" s="1" t="str">
        <f t="shared" si="85"/>
        <v>TSX:IMG_2024_NEO3</v>
      </c>
      <c r="C126" s="1" t="str">
        <f t="shared" si="80"/>
        <v>TSX:IMG_2024_</v>
      </c>
      <c r="D126" s="114" t="str">
        <f t="shared" si="67"/>
        <v>TSX:IMG</v>
      </c>
      <c r="E126" s="133" t="str">
        <f>_xll.ciqfunctions.udf.CIQ(D126,"IQ_Company_Name")</f>
        <v>IAMGOLD Corporation</v>
      </c>
      <c r="F126" s="114">
        <f>F123</f>
        <v>2024</v>
      </c>
      <c r="G126" s="114"/>
      <c r="H126" s="330"/>
      <c r="I126" s="114">
        <f t="shared" si="99"/>
        <v>0</v>
      </c>
      <c r="J126" s="407" t="s">
        <v>2</v>
      </c>
      <c r="K126" s="439">
        <f t="shared" si="87"/>
        <v>1</v>
      </c>
      <c r="L126" s="445"/>
      <c r="M126" s="445"/>
      <c r="N126" s="122" t="str">
        <f t="shared" ref="N126:P127" si="109">N125</f>
        <v>NEO3</v>
      </c>
      <c r="O126" s="123" t="str">
        <f>O125</f>
        <v>CPO</v>
      </c>
      <c r="P126" s="132" t="str">
        <f>P125</f>
        <v>Dorena Quinn</v>
      </c>
      <c r="Q126" s="219" t="s">
        <v>78</v>
      </c>
      <c r="R126" s="125" t="str">
        <f>IFERROR(Q126*(12/$I126)*$K126,"-")</f>
        <v>-</v>
      </c>
      <c r="S126" s="434" t="s">
        <v>78</v>
      </c>
      <c r="T126" s="126" t="str">
        <f t="shared" si="72"/>
        <v>-</v>
      </c>
      <c r="U126" s="221" t="s">
        <v>78</v>
      </c>
      <c r="V126" s="125" t="str">
        <f t="shared" si="65"/>
        <v>-</v>
      </c>
      <c r="W126" s="127" t="str">
        <f t="shared" si="95"/>
        <v>-</v>
      </c>
      <c r="X126" s="128"/>
      <c r="Y126" s="223" t="s">
        <v>78</v>
      </c>
      <c r="Z126" s="129" t="str">
        <f t="shared" si="96"/>
        <v>-</v>
      </c>
      <c r="AA126" s="124" t="str">
        <f t="shared" si="100"/>
        <v>-</v>
      </c>
      <c r="AB126" s="130" t="str">
        <f t="shared" si="101"/>
        <v>-</v>
      </c>
      <c r="AC126" s="221" t="s">
        <v>78</v>
      </c>
      <c r="AD126" s="225" t="s">
        <v>78</v>
      </c>
      <c r="AE126" s="225" t="s">
        <v>78</v>
      </c>
      <c r="AF126" s="225" t="s">
        <v>78</v>
      </c>
      <c r="AG126" s="225" t="s">
        <v>78</v>
      </c>
      <c r="AH126" s="125" t="str">
        <f t="shared" si="88"/>
        <v>-</v>
      </c>
      <c r="AI126" s="127" t="str">
        <f t="shared" si="97"/>
        <v>-</v>
      </c>
      <c r="AJ126" s="128"/>
      <c r="AK126" s="223" t="s">
        <v>78</v>
      </c>
      <c r="AL126" s="131" t="str">
        <f t="shared" si="98"/>
        <v>-</v>
      </c>
      <c r="AM126" s="368" t="str">
        <f t="shared" si="84"/>
        <v>-</v>
      </c>
      <c r="AN126" s="375" t="str">
        <f t="shared" si="102"/>
        <v>-</v>
      </c>
      <c r="AO126" s="376" t="str">
        <f t="shared" si="103"/>
        <v>-</v>
      </c>
      <c r="AP126" s="394" t="s">
        <v>78</v>
      </c>
      <c r="AQ126" s="395" t="s">
        <v>78</v>
      </c>
      <c r="AR126" s="396" t="str">
        <f t="shared" si="81"/>
        <v>-</v>
      </c>
      <c r="AS126" s="397"/>
      <c r="AT126" s="401" t="s">
        <v>78</v>
      </c>
      <c r="AU126" s="396" t="str">
        <f t="shared" si="82"/>
        <v>-</v>
      </c>
      <c r="AV126" s="397"/>
      <c r="AW126" s="388" t="str">
        <f t="shared" si="104"/>
        <v>-</v>
      </c>
      <c r="AX126" s="389" t="str">
        <f t="shared" si="105"/>
        <v>-</v>
      </c>
      <c r="AY126" s="353" t="s">
        <v>78</v>
      </c>
      <c r="AZ126" s="403" t="s">
        <v>548</v>
      </c>
      <c r="BA126" s="404" t="s">
        <v>353</v>
      </c>
    </row>
    <row r="127" spans="1:53" ht="15" customHeight="1">
      <c r="A127" s="1" t="str">
        <f t="shared" si="79"/>
        <v>TSX:IMG_2023_</v>
      </c>
      <c r="B127" s="1" t="str">
        <f t="shared" si="85"/>
        <v>TSX:IMG_2023_NEO3</v>
      </c>
      <c r="C127" s="1" t="str">
        <f t="shared" si="80"/>
        <v>TSX:IMG_2023_</v>
      </c>
      <c r="D127" s="203" t="str">
        <f t="shared" si="67"/>
        <v>TSX:IMG</v>
      </c>
      <c r="E127" s="205" t="str">
        <f>_xll.ciqfunctions.udf.CIQ(D127,"IQ_Company_Name")</f>
        <v>IAMGOLD Corporation</v>
      </c>
      <c r="F127" s="204">
        <f>F124</f>
        <v>2023</v>
      </c>
      <c r="G127" s="204"/>
      <c r="H127" s="331"/>
      <c r="I127" s="204">
        <f t="shared" si="99"/>
        <v>0</v>
      </c>
      <c r="J127" s="408" t="s">
        <v>2</v>
      </c>
      <c r="K127" s="441">
        <f t="shared" si="87"/>
        <v>1</v>
      </c>
      <c r="L127" s="447"/>
      <c r="M127" s="447"/>
      <c r="N127" s="956" t="str">
        <f t="shared" si="109"/>
        <v>NEO3</v>
      </c>
      <c r="O127" s="206" t="str">
        <f t="shared" si="109"/>
        <v>CPO</v>
      </c>
      <c r="P127" s="207" t="str">
        <f t="shared" si="109"/>
        <v>Dorena Quinn</v>
      </c>
      <c r="Q127" s="220" t="s">
        <v>78</v>
      </c>
      <c r="R127" s="209" t="str">
        <f>IFERROR(Q127*(12/$I127)*$K127,"-")</f>
        <v>-</v>
      </c>
      <c r="S127" s="435" t="s">
        <v>78</v>
      </c>
      <c r="T127" s="329" t="str">
        <f t="shared" si="72"/>
        <v>-</v>
      </c>
      <c r="U127" s="222" t="s">
        <v>78</v>
      </c>
      <c r="V127" s="209" t="str">
        <f t="shared" si="65"/>
        <v>-</v>
      </c>
      <c r="W127" s="211" t="str">
        <f t="shared" si="95"/>
        <v>-</v>
      </c>
      <c r="X127" s="212"/>
      <c r="Y127" s="224" t="s">
        <v>78</v>
      </c>
      <c r="Z127" s="213" t="str">
        <f t="shared" si="96"/>
        <v>-</v>
      </c>
      <c r="AA127" s="208" t="str">
        <f t="shared" si="100"/>
        <v>-</v>
      </c>
      <c r="AB127" s="214" t="str">
        <f t="shared" si="101"/>
        <v>-</v>
      </c>
      <c r="AC127" s="222" t="s">
        <v>78</v>
      </c>
      <c r="AD127" s="226" t="s">
        <v>78</v>
      </c>
      <c r="AE127" s="226" t="s">
        <v>78</v>
      </c>
      <c r="AF127" s="226" t="s">
        <v>78</v>
      </c>
      <c r="AG127" s="226" t="s">
        <v>78</v>
      </c>
      <c r="AH127" s="418" t="str">
        <f t="shared" si="88"/>
        <v>-</v>
      </c>
      <c r="AI127" s="211" t="str">
        <f t="shared" si="97"/>
        <v>-</v>
      </c>
      <c r="AJ127" s="212"/>
      <c r="AK127" s="224" t="s">
        <v>78</v>
      </c>
      <c r="AL127" s="215" t="str">
        <f t="shared" si="98"/>
        <v>-</v>
      </c>
      <c r="AM127" s="369" t="str">
        <f t="shared" si="84"/>
        <v>-</v>
      </c>
      <c r="AN127" s="377" t="str">
        <f t="shared" si="102"/>
        <v>-</v>
      </c>
      <c r="AO127" s="378" t="str">
        <f t="shared" si="103"/>
        <v>-</v>
      </c>
      <c r="AP127" s="398" t="s">
        <v>78</v>
      </c>
      <c r="AQ127" s="399" t="s">
        <v>78</v>
      </c>
      <c r="AR127" s="951" t="str">
        <f t="shared" si="81"/>
        <v>-</v>
      </c>
      <c r="AS127" s="400"/>
      <c r="AT127" s="402" t="s">
        <v>78</v>
      </c>
      <c r="AU127" s="396" t="str">
        <f t="shared" si="82"/>
        <v>-</v>
      </c>
      <c r="AV127" s="400"/>
      <c r="AW127" s="390" t="str">
        <f t="shared" si="104"/>
        <v>-</v>
      </c>
      <c r="AX127" s="391" t="str">
        <f t="shared" si="105"/>
        <v>-</v>
      </c>
      <c r="AY127" s="354" t="s">
        <v>78</v>
      </c>
      <c r="AZ127" s="405" t="s">
        <v>548</v>
      </c>
      <c r="BA127" s="404" t="s">
        <v>353</v>
      </c>
    </row>
    <row r="128" spans="1:53" ht="15" customHeight="1">
      <c r="A128" s="1" t="str">
        <f t="shared" si="79"/>
        <v>TSX:CS_2025_</v>
      </c>
      <c r="B128" s="1" t="str">
        <f t="shared" si="85"/>
        <v>TSX:CS_2025_CEO</v>
      </c>
      <c r="C128" s="1" t="str">
        <f t="shared" si="80"/>
        <v>TSX:CS_2025_</v>
      </c>
      <c r="D128" s="216" t="str">
        <f>E10</f>
        <v>TSX:CS</v>
      </c>
      <c r="E128" s="133" t="str">
        <f>_xll.ciqfunctions.udf.CIQ(D128,"IQ_Company_Name")</f>
        <v>Capstone Copper Corp.</v>
      </c>
      <c r="F128" s="328">
        <v>2025</v>
      </c>
      <c r="G128" s="954" t="str">
        <f>F128&amp;"-05-02"</f>
        <v>2025-05-02</v>
      </c>
      <c r="H128" s="330" t="str">
        <f t="shared" si="108"/>
        <v>2025-12-31</v>
      </c>
      <c r="I128" s="952">
        <v>12</v>
      </c>
      <c r="J128" s="328" t="s">
        <v>2</v>
      </c>
      <c r="K128" s="439">
        <f t="shared" si="87"/>
        <v>1</v>
      </c>
      <c r="L128" s="445"/>
      <c r="M128" s="445"/>
      <c r="N128" s="351" t="s">
        <v>79</v>
      </c>
      <c r="O128" s="217" t="s">
        <v>79</v>
      </c>
      <c r="P128" s="218" t="s">
        <v>336</v>
      </c>
      <c r="Q128" s="219">
        <v>802804</v>
      </c>
      <c r="R128" s="963">
        <v>850000</v>
      </c>
      <c r="S128" s="434" t="s">
        <v>78</v>
      </c>
      <c r="T128" s="126" t="str">
        <f t="shared" si="72"/>
        <v>-</v>
      </c>
      <c r="U128" s="221">
        <v>1051075</v>
      </c>
      <c r="V128" s="125">
        <f t="shared" ref="V128:V137" si="110">IFERROR(U128*(12/$I128)*$K128,"-")</f>
        <v>1051075</v>
      </c>
      <c r="W128" s="127">
        <f t="shared" si="95"/>
        <v>1.2365588235294118</v>
      </c>
      <c r="X128" s="128">
        <f>IFERROR(AVERAGE(W128:W130),"N/A")</f>
        <v>1.2365588235294118</v>
      </c>
      <c r="Y128" s="223">
        <v>1.1000000000000001</v>
      </c>
      <c r="Z128" s="129">
        <f t="shared" si="96"/>
        <v>935000.00000000012</v>
      </c>
      <c r="AA128" s="124">
        <f t="shared" si="100"/>
        <v>1901075</v>
      </c>
      <c r="AB128" s="130">
        <f t="shared" si="101"/>
        <v>1785000</v>
      </c>
      <c r="AC128" s="221">
        <f>0.333333*1466250</f>
        <v>488749.51124999998</v>
      </c>
      <c r="AD128" s="221">
        <f>0.666667*1466250</f>
        <v>977500.48875000002</v>
      </c>
      <c r="AE128" s="225">
        <v>488750</v>
      </c>
      <c r="AF128" s="225" t="s">
        <v>78</v>
      </c>
      <c r="AG128" s="225" t="s">
        <v>78</v>
      </c>
      <c r="AH128" s="125">
        <f t="shared" ref="AH128:AH142" si="111">IFERROR(IF(SUM(AC128:AG128)=0,IF(COUNTIF($AC128:$AG128,"=0")&gt;0,"$0","-"),SUM(AC128:AG128)),"-")</f>
        <v>1955000</v>
      </c>
      <c r="AI128" s="127">
        <f t="shared" si="97"/>
        <v>2.2999999999999998</v>
      </c>
      <c r="AJ128" s="128">
        <f>IFERROR(AVERAGE(AI128:AI130),"N/A")</f>
        <v>2.2999999999999998</v>
      </c>
      <c r="AK128" s="223">
        <v>2.2999999999999998</v>
      </c>
      <c r="AL128" s="131">
        <f t="shared" si="98"/>
        <v>1954999.9999999998</v>
      </c>
      <c r="AM128" s="368">
        <f t="shared" si="84"/>
        <v>1955000</v>
      </c>
      <c r="AN128" s="375">
        <f t="shared" si="102"/>
        <v>3856075</v>
      </c>
      <c r="AO128" s="376">
        <f t="shared" si="103"/>
        <v>3740000</v>
      </c>
      <c r="AP128" s="394" t="s">
        <v>489</v>
      </c>
      <c r="AQ128" s="394" t="s">
        <v>489</v>
      </c>
      <c r="AR128" s="396" t="str">
        <f t="shared" si="81"/>
        <v>-</v>
      </c>
      <c r="AS128" s="409" t="str">
        <f>IFERROR(AVERAGE(AR128:AR130),"N/A")</f>
        <v>N/A</v>
      </c>
      <c r="AT128" s="401">
        <v>100411</v>
      </c>
      <c r="AU128" s="396">
        <f t="shared" si="82"/>
        <v>100411</v>
      </c>
      <c r="AV128" s="409">
        <f>IFERROR(AVERAGE(AU128:AU130),"N/A")</f>
        <v>100411</v>
      </c>
      <c r="AW128" s="388">
        <f t="shared" si="104"/>
        <v>3956486</v>
      </c>
      <c r="AX128" s="389">
        <f t="shared" si="105"/>
        <v>3840411</v>
      </c>
      <c r="AY128" s="353" t="s">
        <v>624</v>
      </c>
      <c r="AZ128" s="403" t="s">
        <v>548</v>
      </c>
      <c r="BA128" s="404" t="s">
        <v>353</v>
      </c>
    </row>
    <row r="129" spans="1:54" ht="15" customHeight="1">
      <c r="A129" s="1" t="str">
        <f t="shared" si="79"/>
        <v>TSX:CS_2024_</v>
      </c>
      <c r="B129" s="1" t="str">
        <f t="shared" si="85"/>
        <v>TSX:CS_2024_CEO</v>
      </c>
      <c r="C129" s="1" t="str">
        <f t="shared" si="80"/>
        <v>TSX:CS_2024_</v>
      </c>
      <c r="D129" s="114" t="str">
        <f>D128</f>
        <v>TSX:CS</v>
      </c>
      <c r="E129" s="133" t="str">
        <f>_xll.ciqfunctions.udf.CIQ(D129,"IQ_Company_Name")</f>
        <v>Capstone Copper Corp.</v>
      </c>
      <c r="F129" s="328">
        <v>2024</v>
      </c>
      <c r="G129" s="330" t="str">
        <f t="shared" si="89"/>
        <v>2024-01-01</v>
      </c>
      <c r="H129" s="330" t="str">
        <f t="shared" si="108"/>
        <v>2024-12-31</v>
      </c>
      <c r="I129" s="114">
        <f t="shared" si="99"/>
        <v>12</v>
      </c>
      <c r="J129" s="407" t="s">
        <v>2</v>
      </c>
      <c r="K129" s="439">
        <f t="shared" si="87"/>
        <v>1</v>
      </c>
      <c r="L129" s="445"/>
      <c r="M129" s="445"/>
      <c r="N129" s="122" t="str">
        <f t="shared" ref="N129:P130" si="112">N128</f>
        <v>CEO</v>
      </c>
      <c r="O129" s="123" t="str">
        <f t="shared" si="112"/>
        <v>CEO</v>
      </c>
      <c r="P129" s="132" t="str">
        <f t="shared" si="112"/>
        <v>Cashel Meagher</v>
      </c>
      <c r="Q129" s="219" t="s">
        <v>78</v>
      </c>
      <c r="R129" s="125" t="str">
        <f t="shared" ref="R129:R175" si="113">IFERROR(Q129*(12/$I129)*$K129,"-")</f>
        <v>-</v>
      </c>
      <c r="S129" s="434" t="s">
        <v>78</v>
      </c>
      <c r="T129" s="126" t="str">
        <f t="shared" si="72"/>
        <v>-</v>
      </c>
      <c r="U129" s="221" t="s">
        <v>78</v>
      </c>
      <c r="V129" s="125" t="str">
        <f t="shared" si="110"/>
        <v>-</v>
      </c>
      <c r="W129" s="127" t="str">
        <f t="shared" si="95"/>
        <v>-</v>
      </c>
      <c r="X129" s="128"/>
      <c r="Y129" s="223" t="s">
        <v>78</v>
      </c>
      <c r="Z129" s="129" t="str">
        <f t="shared" si="96"/>
        <v>-</v>
      </c>
      <c r="AA129" s="124" t="str">
        <f t="shared" si="100"/>
        <v>-</v>
      </c>
      <c r="AB129" s="130" t="str">
        <f t="shared" si="101"/>
        <v>-</v>
      </c>
      <c r="AC129" s="221" t="s">
        <v>78</v>
      </c>
      <c r="AD129" s="225" t="s">
        <v>78</v>
      </c>
      <c r="AE129" s="225" t="s">
        <v>78</v>
      </c>
      <c r="AF129" s="225" t="s">
        <v>78</v>
      </c>
      <c r="AG129" s="225" t="s">
        <v>78</v>
      </c>
      <c r="AH129" s="125" t="str">
        <f t="shared" si="111"/>
        <v>-</v>
      </c>
      <c r="AI129" s="127" t="str">
        <f t="shared" si="97"/>
        <v>-</v>
      </c>
      <c r="AJ129" s="128"/>
      <c r="AK129" s="223" t="s">
        <v>78</v>
      </c>
      <c r="AL129" s="131" t="str">
        <f t="shared" si="98"/>
        <v>-</v>
      </c>
      <c r="AM129" s="368" t="str">
        <f t="shared" si="84"/>
        <v>-</v>
      </c>
      <c r="AN129" s="375" t="str">
        <f t="shared" si="102"/>
        <v>-</v>
      </c>
      <c r="AO129" s="376" t="str">
        <f t="shared" si="103"/>
        <v>-</v>
      </c>
      <c r="AP129" s="394" t="s">
        <v>78</v>
      </c>
      <c r="AQ129" s="395" t="s">
        <v>78</v>
      </c>
      <c r="AR129" s="396" t="str">
        <f t="shared" si="81"/>
        <v>-</v>
      </c>
      <c r="AS129" s="397"/>
      <c r="AT129" s="401" t="s">
        <v>78</v>
      </c>
      <c r="AU129" s="396" t="str">
        <f t="shared" si="82"/>
        <v>-</v>
      </c>
      <c r="AV129" s="397"/>
      <c r="AW129" s="388" t="str">
        <f t="shared" si="104"/>
        <v>-</v>
      </c>
      <c r="AX129" s="389" t="str">
        <f t="shared" si="105"/>
        <v>-</v>
      </c>
      <c r="AY129" s="353" t="s">
        <v>78</v>
      </c>
      <c r="AZ129" s="403" t="s">
        <v>548</v>
      </c>
      <c r="BA129" s="404" t="s">
        <v>353</v>
      </c>
    </row>
    <row r="130" spans="1:54" ht="15" customHeight="1">
      <c r="A130" s="1" t="str">
        <f t="shared" si="79"/>
        <v>TSX:CS_2023_</v>
      </c>
      <c r="B130" s="1" t="str">
        <f t="shared" si="85"/>
        <v>TSX:CS_2023_CEO</v>
      </c>
      <c r="C130" s="1" t="str">
        <f t="shared" si="80"/>
        <v>TSX:CS_2023_</v>
      </c>
      <c r="D130" s="114" t="str">
        <f t="shared" si="67"/>
        <v>TSX:CS</v>
      </c>
      <c r="E130" s="133" t="str">
        <f>_xll.ciqfunctions.udf.CIQ(D130,"IQ_Company_Name")</f>
        <v>Capstone Copper Corp.</v>
      </c>
      <c r="F130" s="328">
        <v>2023</v>
      </c>
      <c r="G130" s="114" t="str">
        <f t="shared" si="89"/>
        <v>2023-01-01</v>
      </c>
      <c r="H130" s="330" t="str">
        <f t="shared" si="108"/>
        <v>2023-12-31</v>
      </c>
      <c r="I130" s="114">
        <f t="shared" si="99"/>
        <v>12</v>
      </c>
      <c r="J130" s="407" t="s">
        <v>2</v>
      </c>
      <c r="K130" s="439">
        <f t="shared" si="87"/>
        <v>1</v>
      </c>
      <c r="L130" s="445"/>
      <c r="M130" s="445"/>
      <c r="N130" s="122" t="str">
        <f t="shared" si="112"/>
        <v>CEO</v>
      </c>
      <c r="O130" s="123" t="str">
        <f t="shared" si="112"/>
        <v>CEO</v>
      </c>
      <c r="P130" s="132" t="str">
        <f t="shared" si="112"/>
        <v>Cashel Meagher</v>
      </c>
      <c r="Q130" s="219" t="s">
        <v>78</v>
      </c>
      <c r="R130" s="125" t="str">
        <f t="shared" si="113"/>
        <v>-</v>
      </c>
      <c r="S130" s="434" t="s">
        <v>78</v>
      </c>
      <c r="T130" s="126" t="str">
        <f t="shared" si="72"/>
        <v>-</v>
      </c>
      <c r="U130" s="221" t="s">
        <v>78</v>
      </c>
      <c r="V130" s="125" t="str">
        <f t="shared" si="110"/>
        <v>-</v>
      </c>
      <c r="W130" s="127" t="str">
        <f t="shared" si="95"/>
        <v>-</v>
      </c>
      <c r="X130" s="128"/>
      <c r="Y130" s="223" t="s">
        <v>78</v>
      </c>
      <c r="Z130" s="129" t="str">
        <f t="shared" si="96"/>
        <v>-</v>
      </c>
      <c r="AA130" s="124" t="str">
        <f t="shared" si="100"/>
        <v>-</v>
      </c>
      <c r="AB130" s="130" t="str">
        <f t="shared" si="101"/>
        <v>-</v>
      </c>
      <c r="AC130" s="221" t="s">
        <v>78</v>
      </c>
      <c r="AD130" s="225" t="s">
        <v>78</v>
      </c>
      <c r="AE130" s="225" t="s">
        <v>78</v>
      </c>
      <c r="AF130" s="225" t="s">
        <v>78</v>
      </c>
      <c r="AG130" s="225" t="s">
        <v>78</v>
      </c>
      <c r="AH130" s="125" t="str">
        <f t="shared" si="111"/>
        <v>-</v>
      </c>
      <c r="AI130" s="127" t="str">
        <f t="shared" si="97"/>
        <v>-</v>
      </c>
      <c r="AJ130" s="128"/>
      <c r="AK130" s="223" t="s">
        <v>78</v>
      </c>
      <c r="AL130" s="131" t="str">
        <f t="shared" si="98"/>
        <v>-</v>
      </c>
      <c r="AM130" s="368" t="str">
        <f t="shared" si="84"/>
        <v>-</v>
      </c>
      <c r="AN130" s="375" t="str">
        <f t="shared" si="102"/>
        <v>-</v>
      </c>
      <c r="AO130" s="376" t="str">
        <f t="shared" si="103"/>
        <v>-</v>
      </c>
      <c r="AP130" s="394" t="s">
        <v>78</v>
      </c>
      <c r="AQ130" s="395" t="s">
        <v>78</v>
      </c>
      <c r="AR130" s="396" t="str">
        <f t="shared" si="81"/>
        <v>-</v>
      </c>
      <c r="AS130" s="397"/>
      <c r="AT130" s="401" t="s">
        <v>78</v>
      </c>
      <c r="AU130" s="396" t="str">
        <f t="shared" si="82"/>
        <v>-</v>
      </c>
      <c r="AV130" s="397"/>
      <c r="AW130" s="388" t="str">
        <f t="shared" si="104"/>
        <v>-</v>
      </c>
      <c r="AX130" s="389" t="str">
        <f t="shared" si="105"/>
        <v>-</v>
      </c>
      <c r="AY130" s="353" t="s">
        <v>78</v>
      </c>
      <c r="AZ130" s="403" t="s">
        <v>548</v>
      </c>
      <c r="BA130" s="404" t="s">
        <v>353</v>
      </c>
    </row>
    <row r="131" spans="1:54" ht="15" customHeight="1">
      <c r="A131" s="1" t="str">
        <f t="shared" si="79"/>
        <v>TSX:CS_2025_</v>
      </c>
      <c r="B131" s="1" t="str">
        <f t="shared" si="85"/>
        <v>TSX:CS_2025_CFO</v>
      </c>
      <c r="C131" s="1" t="str">
        <f t="shared" si="80"/>
        <v>TSX:CS_2025_</v>
      </c>
      <c r="D131" s="114" t="str">
        <f t="shared" si="67"/>
        <v>TSX:CS</v>
      </c>
      <c r="E131" s="133" t="str">
        <f>_xll.ciqfunctions.udf.CIQ(D131,"IQ_Company_Name")</f>
        <v>Capstone Copper Corp.</v>
      </c>
      <c r="F131" s="114">
        <f t="shared" ref="F131:F142" si="114">F128</f>
        <v>2025</v>
      </c>
      <c r="G131" s="114" t="str">
        <f t="shared" si="89"/>
        <v>2025-01-01</v>
      </c>
      <c r="H131" s="330" t="str">
        <f t="shared" si="108"/>
        <v>2025-12-31</v>
      </c>
      <c r="I131" s="114">
        <f t="shared" si="99"/>
        <v>12</v>
      </c>
      <c r="J131" s="407" t="s">
        <v>2</v>
      </c>
      <c r="K131" s="439">
        <f t="shared" si="87"/>
        <v>1</v>
      </c>
      <c r="L131" s="445"/>
      <c r="M131" s="445"/>
      <c r="N131" s="351" t="s">
        <v>106</v>
      </c>
      <c r="O131" s="217" t="s">
        <v>562</v>
      </c>
      <c r="P131" s="218" t="s">
        <v>337</v>
      </c>
      <c r="Q131" s="219">
        <v>600000</v>
      </c>
      <c r="R131" s="125">
        <f t="shared" si="113"/>
        <v>600000</v>
      </c>
      <c r="S131" s="434" t="s">
        <v>78</v>
      </c>
      <c r="T131" s="126" t="str">
        <f t="shared" si="72"/>
        <v>-</v>
      </c>
      <c r="U131" s="221">
        <v>604320</v>
      </c>
      <c r="V131" s="125">
        <f t="shared" si="110"/>
        <v>604320</v>
      </c>
      <c r="W131" s="127">
        <f t="shared" si="95"/>
        <v>1.0072000000000001</v>
      </c>
      <c r="X131" s="128">
        <f>IFERROR(AVERAGE(W131:W133),"N/A")</f>
        <v>0.78473377740250816</v>
      </c>
      <c r="Y131" s="223">
        <v>0.8</v>
      </c>
      <c r="Z131" s="129">
        <f t="shared" si="96"/>
        <v>480000</v>
      </c>
      <c r="AA131" s="124">
        <f t="shared" si="100"/>
        <v>1204320</v>
      </c>
      <c r="AB131" s="130">
        <f t="shared" si="101"/>
        <v>1080000</v>
      </c>
      <c r="AC131" s="221">
        <f>0.33333*765000</f>
        <v>254997.45</v>
      </c>
      <c r="AD131" s="221">
        <f>0.666667*765000</f>
        <v>510000.255</v>
      </c>
      <c r="AE131" s="225">
        <v>255000</v>
      </c>
      <c r="AF131" s="225" t="s">
        <v>78</v>
      </c>
      <c r="AG131" s="225" t="s">
        <v>78</v>
      </c>
      <c r="AH131" s="125">
        <f t="shared" si="111"/>
        <v>1019997.7050000001</v>
      </c>
      <c r="AI131" s="127">
        <f t="shared" si="97"/>
        <v>1.6999961750000001</v>
      </c>
      <c r="AJ131" s="128">
        <f>IFERROR(AVERAGE(AI131:AI133),"N/A")</f>
        <v>1.6999968004481347</v>
      </c>
      <c r="AK131" s="223">
        <v>1.7</v>
      </c>
      <c r="AL131" s="131">
        <f t="shared" si="98"/>
        <v>1020000</v>
      </c>
      <c r="AM131" s="368">
        <f t="shared" si="84"/>
        <v>1019997.7050000001</v>
      </c>
      <c r="AN131" s="375">
        <f t="shared" si="102"/>
        <v>2224317.7050000001</v>
      </c>
      <c r="AO131" s="376">
        <f t="shared" si="103"/>
        <v>2100000</v>
      </c>
      <c r="AP131" s="394" t="s">
        <v>489</v>
      </c>
      <c r="AQ131" s="394" t="s">
        <v>489</v>
      </c>
      <c r="AR131" s="396" t="str">
        <f t="shared" si="81"/>
        <v>-</v>
      </c>
      <c r="AS131" s="397" t="str">
        <f>IFERROR(AVERAGE(AR131:AR133),"N/A")</f>
        <v>N/A</v>
      </c>
      <c r="AT131" s="401">
        <v>87634</v>
      </c>
      <c r="AU131" s="396">
        <f t="shared" si="82"/>
        <v>87634</v>
      </c>
      <c r="AV131" s="397">
        <f>IFERROR(AVERAGE(AU131:AU133),"N/A")</f>
        <v>83890.666666666672</v>
      </c>
      <c r="AW131" s="388">
        <f t="shared" si="104"/>
        <v>2311951.7050000001</v>
      </c>
      <c r="AX131" s="389">
        <f t="shared" si="105"/>
        <v>2187634</v>
      </c>
      <c r="AY131" s="353" t="s">
        <v>78</v>
      </c>
      <c r="AZ131" s="403" t="s">
        <v>548</v>
      </c>
      <c r="BA131" s="404" t="s">
        <v>353</v>
      </c>
    </row>
    <row r="132" spans="1:54" ht="15" customHeight="1">
      <c r="A132" s="1" t="str">
        <f t="shared" si="79"/>
        <v>TSX:CS_2024_</v>
      </c>
      <c r="B132" s="1" t="str">
        <f t="shared" si="85"/>
        <v>TSX:CS_2024_CFO</v>
      </c>
      <c r="C132" s="1" t="str">
        <f t="shared" si="80"/>
        <v>TSX:CS_2024_</v>
      </c>
      <c r="D132" s="114" t="str">
        <f t="shared" si="67"/>
        <v>TSX:CS</v>
      </c>
      <c r="E132" s="133" t="str">
        <f>_xll.ciqfunctions.udf.CIQ(D132,"IQ_Company_Name")</f>
        <v>Capstone Copper Corp.</v>
      </c>
      <c r="F132" s="114">
        <f t="shared" si="114"/>
        <v>2024</v>
      </c>
      <c r="G132" s="114" t="str">
        <f t="shared" si="89"/>
        <v>2024-01-01</v>
      </c>
      <c r="H132" s="330" t="str">
        <f t="shared" si="108"/>
        <v>2024-12-31</v>
      </c>
      <c r="I132" s="114">
        <f t="shared" si="99"/>
        <v>12</v>
      </c>
      <c r="J132" s="407" t="s">
        <v>2</v>
      </c>
      <c r="K132" s="439">
        <f t="shared" si="87"/>
        <v>1</v>
      </c>
      <c r="L132" s="445"/>
      <c r="M132" s="445"/>
      <c r="N132" s="122" t="str">
        <f t="shared" ref="N132:P133" si="115">N131</f>
        <v>CFO</v>
      </c>
      <c r="O132" s="123" t="str">
        <f t="shared" si="115"/>
        <v>Senior VP &amp; CFO</v>
      </c>
      <c r="P132" s="132" t="str">
        <f t="shared" si="115"/>
        <v>Raman Randhawa</v>
      </c>
      <c r="Q132" s="219">
        <v>532950</v>
      </c>
      <c r="R132" s="125">
        <f t="shared" si="113"/>
        <v>532950</v>
      </c>
      <c r="S132" s="434" t="s">
        <v>78</v>
      </c>
      <c r="T132" s="126" t="str">
        <f t="shared" si="72"/>
        <v>-</v>
      </c>
      <c r="U132" s="221">
        <v>361740</v>
      </c>
      <c r="V132" s="125">
        <f t="shared" si="110"/>
        <v>361740</v>
      </c>
      <c r="W132" s="127">
        <f t="shared" si="95"/>
        <v>0.67875035181536725</v>
      </c>
      <c r="X132" s="128"/>
      <c r="Y132" s="223" t="s">
        <v>78</v>
      </c>
      <c r="Z132" s="129">
        <f t="shared" si="96"/>
        <v>0</v>
      </c>
      <c r="AA132" s="124">
        <f t="shared" si="100"/>
        <v>894690</v>
      </c>
      <c r="AB132" s="130">
        <f t="shared" si="101"/>
        <v>532950</v>
      </c>
      <c r="AC132" s="221">
        <f>0.33333*679512</f>
        <v>226501.73496</v>
      </c>
      <c r="AD132" s="221">
        <f>0.666667*679512</f>
        <v>453008.22650400002</v>
      </c>
      <c r="AE132" s="225">
        <v>226504</v>
      </c>
      <c r="AF132" s="225" t="s">
        <v>78</v>
      </c>
      <c r="AG132" s="225" t="s">
        <v>78</v>
      </c>
      <c r="AH132" s="125">
        <f t="shared" si="111"/>
        <v>906013.96146400005</v>
      </c>
      <c r="AI132" s="127">
        <f t="shared" si="97"/>
        <v>1.699998051344404</v>
      </c>
      <c r="AJ132" s="128"/>
      <c r="AK132" s="223" t="s">
        <v>78</v>
      </c>
      <c r="AL132" s="131">
        <f t="shared" si="98"/>
        <v>0</v>
      </c>
      <c r="AM132" s="368">
        <f t="shared" si="84"/>
        <v>906013.96146400005</v>
      </c>
      <c r="AN132" s="375">
        <f t="shared" si="102"/>
        <v>1800703.9614639999</v>
      </c>
      <c r="AO132" s="376">
        <f t="shared" si="103"/>
        <v>532950</v>
      </c>
      <c r="AP132" s="394" t="s">
        <v>489</v>
      </c>
      <c r="AQ132" s="394" t="s">
        <v>489</v>
      </c>
      <c r="AR132" s="396" t="str">
        <f t="shared" si="81"/>
        <v>-</v>
      </c>
      <c r="AS132" s="397"/>
      <c r="AT132" s="401">
        <v>83335</v>
      </c>
      <c r="AU132" s="396">
        <f t="shared" si="82"/>
        <v>83335</v>
      </c>
      <c r="AV132" s="397"/>
      <c r="AW132" s="388">
        <f t="shared" si="104"/>
        <v>1884038.9614639999</v>
      </c>
      <c r="AX132" s="389">
        <f t="shared" si="105"/>
        <v>616285</v>
      </c>
      <c r="AY132" s="353" t="s">
        <v>78</v>
      </c>
      <c r="AZ132" s="403" t="s">
        <v>548</v>
      </c>
      <c r="BA132" s="404" t="s">
        <v>353</v>
      </c>
    </row>
    <row r="133" spans="1:54" ht="15" customHeight="1">
      <c r="A133" s="1" t="str">
        <f t="shared" si="79"/>
        <v>TSX:CS_2023_</v>
      </c>
      <c r="B133" s="1" t="str">
        <f t="shared" si="85"/>
        <v>TSX:CS_2023_CFO</v>
      </c>
      <c r="C133" s="1" t="str">
        <f t="shared" si="80"/>
        <v>TSX:CS_2023_</v>
      </c>
      <c r="D133" s="114" t="str">
        <f t="shared" ref="D133:D196" si="116">D132</f>
        <v>TSX:CS</v>
      </c>
      <c r="E133" s="133" t="str">
        <f>_xll.ciqfunctions.udf.CIQ(D133,"IQ_Company_Name")</f>
        <v>Capstone Copper Corp.</v>
      </c>
      <c r="F133" s="114">
        <f t="shared" si="114"/>
        <v>2023</v>
      </c>
      <c r="G133" s="114" t="str">
        <f t="shared" si="89"/>
        <v>2023-01-01</v>
      </c>
      <c r="H133" s="330" t="str">
        <f t="shared" si="108"/>
        <v>2023-12-31</v>
      </c>
      <c r="I133" s="114">
        <f t="shared" si="99"/>
        <v>12</v>
      </c>
      <c r="J133" s="407" t="s">
        <v>2</v>
      </c>
      <c r="K133" s="439">
        <f t="shared" si="87"/>
        <v>1</v>
      </c>
      <c r="L133" s="445"/>
      <c r="M133" s="445"/>
      <c r="N133" s="122" t="str">
        <f t="shared" si="115"/>
        <v>CFO</v>
      </c>
      <c r="O133" s="123" t="str">
        <f t="shared" si="115"/>
        <v>Senior VP &amp; CFO</v>
      </c>
      <c r="P133" s="132" t="str">
        <f t="shared" si="115"/>
        <v>Raman Randhawa</v>
      </c>
      <c r="Q133" s="219">
        <v>510000</v>
      </c>
      <c r="R133" s="125">
        <f t="shared" si="113"/>
        <v>510000</v>
      </c>
      <c r="S133" s="434" t="s">
        <v>78</v>
      </c>
      <c r="T133" s="126" t="str">
        <f t="shared" si="72"/>
        <v>-</v>
      </c>
      <c r="U133" s="221">
        <v>340808</v>
      </c>
      <c r="V133" s="125">
        <f t="shared" si="110"/>
        <v>340808</v>
      </c>
      <c r="W133" s="127">
        <f t="shared" si="95"/>
        <v>0.66825098039215691</v>
      </c>
      <c r="X133" s="128"/>
      <c r="Y133" s="223" t="s">
        <v>78</v>
      </c>
      <c r="Z133" s="129">
        <f t="shared" si="96"/>
        <v>0</v>
      </c>
      <c r="AA133" s="124">
        <f t="shared" si="100"/>
        <v>850808</v>
      </c>
      <c r="AB133" s="130">
        <f t="shared" si="101"/>
        <v>510000</v>
      </c>
      <c r="AC133" s="221">
        <f>0.33333*650250</f>
        <v>216747.83250000002</v>
      </c>
      <c r="AD133" s="221">
        <f>0.666667*650250</f>
        <v>433500.21675000002</v>
      </c>
      <c r="AE133" s="225">
        <v>216750</v>
      </c>
      <c r="AF133" s="225" t="s">
        <v>78</v>
      </c>
      <c r="AG133" s="225" t="s">
        <v>78</v>
      </c>
      <c r="AH133" s="125">
        <f t="shared" si="111"/>
        <v>866998.04925000004</v>
      </c>
      <c r="AI133" s="127">
        <f t="shared" si="97"/>
        <v>1.6999961750000001</v>
      </c>
      <c r="AJ133" s="128"/>
      <c r="AK133" s="223" t="s">
        <v>78</v>
      </c>
      <c r="AL133" s="131">
        <f t="shared" si="98"/>
        <v>0</v>
      </c>
      <c r="AM133" s="368">
        <f t="shared" si="84"/>
        <v>866998.04925000004</v>
      </c>
      <c r="AN133" s="375">
        <f t="shared" ref="AN133:AN142" si="117">IFERROR(IF(SUM(AA133,AM133)=0,"-",SUM(AA133,AM133)),"-")</f>
        <v>1717806.0492500002</v>
      </c>
      <c r="AO133" s="376">
        <f t="shared" si="103"/>
        <v>510000</v>
      </c>
      <c r="AP133" s="394" t="s">
        <v>489</v>
      </c>
      <c r="AQ133" s="394" t="s">
        <v>489</v>
      </c>
      <c r="AR133" s="396" t="str">
        <f t="shared" si="81"/>
        <v>-</v>
      </c>
      <c r="AS133" s="397"/>
      <c r="AT133" s="401">
        <v>80703</v>
      </c>
      <c r="AU133" s="396">
        <f t="shared" si="82"/>
        <v>80703</v>
      </c>
      <c r="AV133" s="397"/>
      <c r="AW133" s="388">
        <f t="shared" si="104"/>
        <v>1798509.0492500002</v>
      </c>
      <c r="AX133" s="389">
        <f t="shared" si="105"/>
        <v>590703</v>
      </c>
      <c r="AY133" s="353" t="s">
        <v>78</v>
      </c>
      <c r="AZ133" s="403" t="s">
        <v>548</v>
      </c>
      <c r="BA133" s="404" t="s">
        <v>353</v>
      </c>
    </row>
    <row r="134" spans="1:54" ht="15" customHeight="1">
      <c r="A134" s="1" t="str">
        <f t="shared" si="79"/>
        <v>TSX:CS_2025_COO</v>
      </c>
      <c r="B134" s="1" t="str">
        <f t="shared" si="85"/>
        <v>TSX:CS_2025_NEO1</v>
      </c>
      <c r="C134" s="1" t="str">
        <f t="shared" si="80"/>
        <v>TSX:CS_2025_2nd Highest</v>
      </c>
      <c r="D134" s="114" t="str">
        <f t="shared" si="116"/>
        <v>TSX:CS</v>
      </c>
      <c r="E134" s="133" t="str">
        <f>_xll.ciqfunctions.udf.CIQ(D134,"IQ_Company_Name")</f>
        <v>Capstone Copper Corp.</v>
      </c>
      <c r="F134" s="114">
        <f t="shared" si="114"/>
        <v>2025</v>
      </c>
      <c r="G134" s="954" t="str">
        <f>F134&amp;"-05-02"</f>
        <v>2025-05-02</v>
      </c>
      <c r="H134" s="330" t="str">
        <f t="shared" si="108"/>
        <v>2025-12-31</v>
      </c>
      <c r="I134" s="952">
        <v>12</v>
      </c>
      <c r="J134" s="407" t="s">
        <v>2</v>
      </c>
      <c r="K134" s="439">
        <f t="shared" si="87"/>
        <v>1</v>
      </c>
      <c r="L134" s="445" t="s">
        <v>272</v>
      </c>
      <c r="M134" s="445" t="s">
        <v>669</v>
      </c>
      <c r="N134" s="351" t="s">
        <v>107</v>
      </c>
      <c r="O134" s="217" t="s">
        <v>563</v>
      </c>
      <c r="P134" s="218" t="s">
        <v>338</v>
      </c>
      <c r="Q134" s="219">
        <v>686205</v>
      </c>
      <c r="R134" s="125">
        <f t="shared" si="113"/>
        <v>686205</v>
      </c>
      <c r="S134" s="434" t="s">
        <v>78</v>
      </c>
      <c r="T134" s="126" t="str">
        <f t="shared" si="72"/>
        <v>-</v>
      </c>
      <c r="U134" s="221">
        <v>729299</v>
      </c>
      <c r="V134" s="125">
        <f t="shared" si="110"/>
        <v>729299</v>
      </c>
      <c r="W134" s="127">
        <f t="shared" si="95"/>
        <v>1.06280047507669</v>
      </c>
      <c r="X134" s="128">
        <f>IFERROR(AVERAGE(W134:W136),"N/A")</f>
        <v>1.06280047507669</v>
      </c>
      <c r="Y134" s="223">
        <v>0.9</v>
      </c>
      <c r="Z134" s="129">
        <f t="shared" si="96"/>
        <v>617584.5</v>
      </c>
      <c r="AA134" s="124">
        <f t="shared" si="100"/>
        <v>1415504</v>
      </c>
      <c r="AB134" s="130">
        <f t="shared" si="101"/>
        <v>1303789.5</v>
      </c>
      <c r="AC134" s="221">
        <f>0.33333*874911</f>
        <v>291634.08363000001</v>
      </c>
      <c r="AD134" s="221">
        <f>0.666667*874911</f>
        <v>583274.29163700005</v>
      </c>
      <c r="AE134" s="225">
        <v>291637</v>
      </c>
      <c r="AF134" s="225" t="s">
        <v>78</v>
      </c>
      <c r="AG134" s="225" t="s">
        <v>78</v>
      </c>
      <c r="AH134" s="125">
        <f t="shared" si="111"/>
        <v>1166545.3752669999</v>
      </c>
      <c r="AI134" s="127">
        <f t="shared" si="97"/>
        <v>1.6999954463564095</v>
      </c>
      <c r="AJ134" s="128">
        <f>IFERROR(AVERAGE(AI134:AI136),"N/A")</f>
        <v>1.6999954463564095</v>
      </c>
      <c r="AK134" s="223">
        <v>1.7</v>
      </c>
      <c r="AL134" s="131">
        <f t="shared" si="98"/>
        <v>1166548.5</v>
      </c>
      <c r="AM134" s="368">
        <f t="shared" si="84"/>
        <v>1166545.3752669999</v>
      </c>
      <c r="AN134" s="375">
        <f t="shared" si="117"/>
        <v>2582049.3752669999</v>
      </c>
      <c r="AO134" s="376">
        <f t="shared" si="103"/>
        <v>2470338</v>
      </c>
      <c r="AP134" s="394" t="s">
        <v>489</v>
      </c>
      <c r="AQ134" s="394" t="s">
        <v>489</v>
      </c>
      <c r="AR134" s="396" t="str">
        <f t="shared" si="81"/>
        <v>-</v>
      </c>
      <c r="AS134" s="397" t="str">
        <f>IFERROR(AVERAGE(AR134:AR136),"N/A")</f>
        <v>N/A</v>
      </c>
      <c r="AT134" s="401">
        <v>8308</v>
      </c>
      <c r="AU134" s="396">
        <f t="shared" si="82"/>
        <v>8308</v>
      </c>
      <c r="AV134" s="397">
        <f>IFERROR(AVERAGE(AU134:AU136),"N/A")</f>
        <v>8308</v>
      </c>
      <c r="AW134" s="388">
        <f t="shared" si="104"/>
        <v>2590357.3752669999</v>
      </c>
      <c r="AX134" s="389">
        <f t="shared" si="105"/>
        <v>2478646</v>
      </c>
      <c r="AY134" s="353" t="s">
        <v>625</v>
      </c>
      <c r="AZ134" s="403" t="s">
        <v>548</v>
      </c>
      <c r="BA134" s="404" t="s">
        <v>353</v>
      </c>
      <c r="BB134" s="1" t="s">
        <v>656</v>
      </c>
    </row>
    <row r="135" spans="1:54" ht="15" customHeight="1">
      <c r="A135" s="1" t="str">
        <f t="shared" si="79"/>
        <v>TSX:CS_2024_COO</v>
      </c>
      <c r="B135" s="1" t="str">
        <f t="shared" si="85"/>
        <v>TSX:CS_2024_NEO1</v>
      </c>
      <c r="C135" s="1" t="str">
        <f t="shared" si="80"/>
        <v>TSX:CS_2024_</v>
      </c>
      <c r="D135" s="114" t="str">
        <f t="shared" si="116"/>
        <v>TSX:CS</v>
      </c>
      <c r="E135" s="133" t="str">
        <f>_xll.ciqfunctions.udf.CIQ(D135,"IQ_Company_Name")</f>
        <v>Capstone Copper Corp.</v>
      </c>
      <c r="F135" s="114">
        <f t="shared" si="114"/>
        <v>2024</v>
      </c>
      <c r="G135" s="330" t="str">
        <f t="shared" si="89"/>
        <v>2024-01-01</v>
      </c>
      <c r="H135" s="330" t="str">
        <f t="shared" si="108"/>
        <v>2024-12-31</v>
      </c>
      <c r="I135" s="114">
        <f t="shared" si="99"/>
        <v>12</v>
      </c>
      <c r="J135" s="407" t="s">
        <v>2</v>
      </c>
      <c r="K135" s="439">
        <f t="shared" si="87"/>
        <v>1</v>
      </c>
      <c r="L135" s="445" t="s">
        <v>272</v>
      </c>
      <c r="M135" s="445"/>
      <c r="N135" s="122" t="str">
        <f t="shared" ref="N135:P136" si="118">N134</f>
        <v>NEO1</v>
      </c>
      <c r="O135" s="123" t="str">
        <f t="shared" si="118"/>
        <v>Senior VP &amp; COO</v>
      </c>
      <c r="P135" s="132" t="str">
        <f t="shared" si="118"/>
        <v>James Whittaker</v>
      </c>
      <c r="Q135" s="219" t="s">
        <v>78</v>
      </c>
      <c r="R135" s="125" t="str">
        <f t="shared" si="113"/>
        <v>-</v>
      </c>
      <c r="S135" s="434" t="s">
        <v>78</v>
      </c>
      <c r="T135" s="126" t="str">
        <f t="shared" si="72"/>
        <v>-</v>
      </c>
      <c r="U135" s="221" t="s">
        <v>78</v>
      </c>
      <c r="V135" s="125" t="str">
        <f t="shared" si="110"/>
        <v>-</v>
      </c>
      <c r="W135" s="127" t="str">
        <f t="shared" si="95"/>
        <v>-</v>
      </c>
      <c r="X135" s="128"/>
      <c r="Y135" s="223" t="s">
        <v>78</v>
      </c>
      <c r="Z135" s="129" t="str">
        <f t="shared" si="96"/>
        <v>-</v>
      </c>
      <c r="AA135" s="124" t="str">
        <f t="shared" si="100"/>
        <v>-</v>
      </c>
      <c r="AB135" s="130" t="str">
        <f t="shared" si="101"/>
        <v>-</v>
      </c>
      <c r="AC135" s="221" t="s">
        <v>78</v>
      </c>
      <c r="AD135" s="225" t="s">
        <v>78</v>
      </c>
      <c r="AE135" s="225" t="s">
        <v>78</v>
      </c>
      <c r="AF135" s="225" t="s">
        <v>78</v>
      </c>
      <c r="AG135" s="225" t="s">
        <v>78</v>
      </c>
      <c r="AH135" s="125" t="str">
        <f t="shared" si="111"/>
        <v>-</v>
      </c>
      <c r="AI135" s="127" t="str">
        <f t="shared" si="97"/>
        <v>-</v>
      </c>
      <c r="AJ135" s="128"/>
      <c r="AK135" s="223" t="s">
        <v>78</v>
      </c>
      <c r="AL135" s="131" t="str">
        <f t="shared" si="98"/>
        <v>-</v>
      </c>
      <c r="AM135" s="368" t="str">
        <f t="shared" si="84"/>
        <v>-</v>
      </c>
      <c r="AN135" s="375" t="str">
        <f t="shared" si="117"/>
        <v>-</v>
      </c>
      <c r="AO135" s="376" t="str">
        <f t="shared" si="103"/>
        <v>-</v>
      </c>
      <c r="AP135" s="394" t="s">
        <v>78</v>
      </c>
      <c r="AQ135" s="395" t="s">
        <v>78</v>
      </c>
      <c r="AR135" s="396" t="str">
        <f t="shared" si="81"/>
        <v>-</v>
      </c>
      <c r="AS135" s="397"/>
      <c r="AT135" s="401" t="s">
        <v>78</v>
      </c>
      <c r="AU135" s="396" t="str">
        <f t="shared" si="82"/>
        <v>-</v>
      </c>
      <c r="AV135" s="397"/>
      <c r="AW135" s="388" t="str">
        <f t="shared" si="104"/>
        <v>-</v>
      </c>
      <c r="AX135" s="389" t="str">
        <f t="shared" si="105"/>
        <v>-</v>
      </c>
      <c r="AY135" s="353" t="s">
        <v>78</v>
      </c>
      <c r="AZ135" s="403" t="s">
        <v>548</v>
      </c>
      <c r="BA135" s="404" t="s">
        <v>353</v>
      </c>
    </row>
    <row r="136" spans="1:54" ht="15" customHeight="1">
      <c r="A136" s="1" t="str">
        <f t="shared" si="79"/>
        <v>TSX:CS_2023_COO</v>
      </c>
      <c r="B136" s="1" t="str">
        <f t="shared" si="85"/>
        <v>TSX:CS_2023_NEO1</v>
      </c>
      <c r="C136" s="1" t="str">
        <f t="shared" si="80"/>
        <v>TSX:CS_2023_</v>
      </c>
      <c r="D136" s="114" t="str">
        <f t="shared" si="116"/>
        <v>TSX:CS</v>
      </c>
      <c r="E136" s="133" t="str">
        <f>_xll.ciqfunctions.udf.CIQ(D136,"IQ_Company_Name")</f>
        <v>Capstone Copper Corp.</v>
      </c>
      <c r="F136" s="114">
        <f t="shared" si="114"/>
        <v>2023</v>
      </c>
      <c r="G136" s="114" t="str">
        <f t="shared" si="89"/>
        <v>2023-01-01</v>
      </c>
      <c r="H136" s="330" t="str">
        <f t="shared" si="108"/>
        <v>2023-12-31</v>
      </c>
      <c r="I136" s="114">
        <f t="shared" si="99"/>
        <v>12</v>
      </c>
      <c r="J136" s="407" t="s">
        <v>2</v>
      </c>
      <c r="K136" s="439">
        <f t="shared" si="87"/>
        <v>1</v>
      </c>
      <c r="L136" s="445" t="s">
        <v>272</v>
      </c>
      <c r="M136" s="445"/>
      <c r="N136" s="122" t="str">
        <f t="shared" si="118"/>
        <v>NEO1</v>
      </c>
      <c r="O136" s="123" t="str">
        <f t="shared" si="118"/>
        <v>Senior VP &amp; COO</v>
      </c>
      <c r="P136" s="132" t="str">
        <f t="shared" si="118"/>
        <v>James Whittaker</v>
      </c>
      <c r="Q136" s="219" t="s">
        <v>78</v>
      </c>
      <c r="R136" s="125" t="str">
        <f t="shared" si="113"/>
        <v>-</v>
      </c>
      <c r="S136" s="434" t="s">
        <v>78</v>
      </c>
      <c r="T136" s="126" t="str">
        <f t="shared" si="72"/>
        <v>-</v>
      </c>
      <c r="U136" s="221" t="s">
        <v>78</v>
      </c>
      <c r="V136" s="125" t="str">
        <f t="shared" si="110"/>
        <v>-</v>
      </c>
      <c r="W136" s="127" t="str">
        <f>IFERROR($V136/$R136,"-")</f>
        <v>-</v>
      </c>
      <c r="X136" s="128"/>
      <c r="Y136" s="223" t="s">
        <v>78</v>
      </c>
      <c r="Z136" s="129" t="str">
        <f t="shared" si="96"/>
        <v>-</v>
      </c>
      <c r="AA136" s="124" t="str">
        <f t="shared" si="100"/>
        <v>-</v>
      </c>
      <c r="AB136" s="130" t="str">
        <f t="shared" si="101"/>
        <v>-</v>
      </c>
      <c r="AC136" s="221" t="s">
        <v>78</v>
      </c>
      <c r="AD136" s="225" t="s">
        <v>78</v>
      </c>
      <c r="AE136" s="225" t="s">
        <v>78</v>
      </c>
      <c r="AF136" s="225" t="s">
        <v>78</v>
      </c>
      <c r="AG136" s="225" t="s">
        <v>78</v>
      </c>
      <c r="AH136" s="125" t="str">
        <f t="shared" si="111"/>
        <v>-</v>
      </c>
      <c r="AI136" s="127" t="str">
        <f t="shared" si="97"/>
        <v>-</v>
      </c>
      <c r="AJ136" s="128"/>
      <c r="AK136" s="223" t="s">
        <v>78</v>
      </c>
      <c r="AL136" s="131" t="str">
        <f t="shared" si="98"/>
        <v>-</v>
      </c>
      <c r="AM136" s="368" t="str">
        <f t="shared" si="84"/>
        <v>-</v>
      </c>
      <c r="AN136" s="375" t="str">
        <f t="shared" si="117"/>
        <v>-</v>
      </c>
      <c r="AO136" s="376" t="str">
        <f t="shared" si="103"/>
        <v>-</v>
      </c>
      <c r="AP136" s="394" t="s">
        <v>78</v>
      </c>
      <c r="AQ136" s="394" t="s">
        <v>489</v>
      </c>
      <c r="AR136" s="396" t="str">
        <f t="shared" si="81"/>
        <v>-</v>
      </c>
      <c r="AS136" s="397"/>
      <c r="AT136" s="401" t="s">
        <v>78</v>
      </c>
      <c r="AU136" s="396" t="str">
        <f t="shared" si="82"/>
        <v>-</v>
      </c>
      <c r="AV136" s="397"/>
      <c r="AW136" s="388" t="str">
        <f t="shared" si="104"/>
        <v>-</v>
      </c>
      <c r="AX136" s="389" t="str">
        <f t="shared" si="105"/>
        <v>-</v>
      </c>
      <c r="AY136" s="353" t="s">
        <v>78</v>
      </c>
      <c r="AZ136" s="403" t="s">
        <v>548</v>
      </c>
      <c r="BA136" s="404" t="s">
        <v>353</v>
      </c>
    </row>
    <row r="137" spans="1:54" ht="15" customHeight="1">
      <c r="A137" s="1" t="str">
        <f t="shared" si="79"/>
        <v>TSX:CS_2025_Legal</v>
      </c>
      <c r="B137" s="1" t="str">
        <f t="shared" si="85"/>
        <v>TSX:CS_2025_NEO2</v>
      </c>
      <c r="C137" s="1" t="str">
        <f t="shared" si="80"/>
        <v>TSX:CS_2025_</v>
      </c>
      <c r="D137" s="114" t="str">
        <f t="shared" si="116"/>
        <v>TSX:CS</v>
      </c>
      <c r="E137" s="133" t="str">
        <f>_xll.ciqfunctions.udf.CIQ(D137,"IQ_Company_Name")</f>
        <v>Capstone Copper Corp.</v>
      </c>
      <c r="F137" s="114">
        <f t="shared" si="114"/>
        <v>2025</v>
      </c>
      <c r="G137" s="114" t="str">
        <f t="shared" si="89"/>
        <v>2025-01-01</v>
      </c>
      <c r="H137" s="330" t="str">
        <f t="shared" si="108"/>
        <v>2025-12-31</v>
      </c>
      <c r="I137" s="114">
        <f t="shared" si="99"/>
        <v>12</v>
      </c>
      <c r="J137" s="407" t="s">
        <v>2</v>
      </c>
      <c r="K137" s="439">
        <f t="shared" si="87"/>
        <v>1</v>
      </c>
      <c r="L137" s="445" t="s">
        <v>360</v>
      </c>
      <c r="M137" s="445"/>
      <c r="N137" s="351" t="s">
        <v>108</v>
      </c>
      <c r="O137" s="217" t="s">
        <v>564</v>
      </c>
      <c r="P137" s="218" t="s">
        <v>339</v>
      </c>
      <c r="Q137" s="219">
        <v>475000</v>
      </c>
      <c r="R137" s="125">
        <f t="shared" si="113"/>
        <v>475000</v>
      </c>
      <c r="S137" s="434" t="s">
        <v>78</v>
      </c>
      <c r="T137" s="126" t="str">
        <f t="shared" si="72"/>
        <v>-</v>
      </c>
      <c r="U137" s="221">
        <v>448519</v>
      </c>
      <c r="V137" s="125">
        <f t="shared" si="110"/>
        <v>448519</v>
      </c>
      <c r="W137" s="127">
        <f t="shared" si="95"/>
        <v>0.94425052631578943</v>
      </c>
      <c r="X137" s="128">
        <f>IFERROR(AVERAGE(W137:W139),"N/A")</f>
        <v>0.75625060652907816</v>
      </c>
      <c r="Y137" s="223">
        <v>0.75</v>
      </c>
      <c r="Z137" s="129">
        <f t="shared" si="96"/>
        <v>356250</v>
      </c>
      <c r="AA137" s="124">
        <f t="shared" si="100"/>
        <v>923519</v>
      </c>
      <c r="AB137" s="130">
        <f t="shared" si="101"/>
        <v>831250</v>
      </c>
      <c r="AC137" s="221">
        <f>0.33333*534375</f>
        <v>178123.21875</v>
      </c>
      <c r="AD137" s="221">
        <f>0.666667*534375</f>
        <v>356250.17812499998</v>
      </c>
      <c r="AE137" s="225">
        <v>178125</v>
      </c>
      <c r="AF137" s="225" t="s">
        <v>78</v>
      </c>
      <c r="AG137" s="225" t="s">
        <v>78</v>
      </c>
      <c r="AH137" s="125">
        <f t="shared" si="111"/>
        <v>712498.39687499998</v>
      </c>
      <c r="AI137" s="127">
        <f t="shared" si="97"/>
        <v>1.4999966249999999</v>
      </c>
      <c r="AJ137" s="128">
        <f>IFERROR(AVERAGE(AI137:AI139),"N/A")</f>
        <v>1.4999966250000003</v>
      </c>
      <c r="AK137" s="223">
        <v>1.5</v>
      </c>
      <c r="AL137" s="131">
        <f t="shared" si="98"/>
        <v>712500</v>
      </c>
      <c r="AM137" s="368">
        <f t="shared" si="84"/>
        <v>712498.39687499998</v>
      </c>
      <c r="AN137" s="375">
        <f t="shared" si="117"/>
        <v>1636017.3968750001</v>
      </c>
      <c r="AO137" s="376">
        <f t="shared" si="103"/>
        <v>1543750</v>
      </c>
      <c r="AP137" s="394" t="s">
        <v>489</v>
      </c>
      <c r="AQ137" s="394" t="s">
        <v>489</v>
      </c>
      <c r="AR137" s="396" t="str">
        <f t="shared" si="81"/>
        <v>-</v>
      </c>
      <c r="AS137" s="397" t="str">
        <f>IFERROR(AVERAGE(AR137:AR139),"N/A")</f>
        <v>N/A</v>
      </c>
      <c r="AT137" s="401">
        <v>70743</v>
      </c>
      <c r="AU137" s="396">
        <f t="shared" si="82"/>
        <v>70743</v>
      </c>
      <c r="AV137" s="397">
        <f>IFERROR(AVERAGE(AU137:AU139),"N/A")</f>
        <v>73350.333333333328</v>
      </c>
      <c r="AW137" s="388">
        <f t="shared" si="104"/>
        <v>1706760.3968750001</v>
      </c>
      <c r="AX137" s="389">
        <f t="shared" si="105"/>
        <v>1614493</v>
      </c>
      <c r="AY137" s="353" t="s">
        <v>78</v>
      </c>
      <c r="AZ137" s="403" t="s">
        <v>548</v>
      </c>
      <c r="BA137" s="404" t="s">
        <v>353</v>
      </c>
    </row>
    <row r="138" spans="1:54" ht="15" customHeight="1">
      <c r="A138" s="1" t="str">
        <f t="shared" si="79"/>
        <v>TSX:CS_2024_Legal</v>
      </c>
      <c r="B138" s="1" t="str">
        <f t="shared" si="85"/>
        <v>TSX:CS_2024_NEO2</v>
      </c>
      <c r="C138" s="1" t="str">
        <f t="shared" si="80"/>
        <v>TSX:CS_2024_</v>
      </c>
      <c r="D138" s="114" t="str">
        <f t="shared" si="116"/>
        <v>TSX:CS</v>
      </c>
      <c r="E138" s="133" t="str">
        <f>_xll.ciqfunctions.udf.CIQ(D138,"IQ_Company_Name")</f>
        <v>Capstone Copper Corp.</v>
      </c>
      <c r="F138" s="114">
        <f t="shared" si="114"/>
        <v>2024</v>
      </c>
      <c r="G138" s="114" t="str">
        <f t="shared" si="89"/>
        <v>2024-01-01</v>
      </c>
      <c r="H138" s="330" t="str">
        <f t="shared" si="108"/>
        <v>2024-12-31</v>
      </c>
      <c r="I138" s="114">
        <f t="shared" si="99"/>
        <v>12</v>
      </c>
      <c r="J138" s="407" t="s">
        <v>2</v>
      </c>
      <c r="K138" s="439">
        <f t="shared" si="87"/>
        <v>1</v>
      </c>
      <c r="L138" s="445" t="s">
        <v>360</v>
      </c>
      <c r="M138" s="445"/>
      <c r="N138" s="122" t="str">
        <f t="shared" ref="N138:P139" si="119">N137</f>
        <v>NEO2</v>
      </c>
      <c r="O138" s="123" t="str">
        <f t="shared" si="119"/>
        <v>Senior VP, Risk, ESG, General Counsel &amp; Corporate Secretary</v>
      </c>
      <c r="P138" s="132" t="str">
        <f t="shared" si="119"/>
        <v>Wendy King</v>
      </c>
      <c r="Q138" s="219">
        <v>451568</v>
      </c>
      <c r="R138" s="125">
        <f t="shared" si="113"/>
        <v>451568</v>
      </c>
      <c r="S138" s="434" t="s">
        <v>78</v>
      </c>
      <c r="T138" s="126" t="str">
        <f t="shared" si="72"/>
        <v>-</v>
      </c>
      <c r="U138" s="221">
        <v>306502</v>
      </c>
      <c r="V138" s="420">
        <f>U138</f>
        <v>306502</v>
      </c>
      <c r="W138" s="127">
        <f t="shared" si="95"/>
        <v>0.67875048719129782</v>
      </c>
      <c r="X138" s="128"/>
      <c r="Y138" s="223" t="s">
        <v>78</v>
      </c>
      <c r="Z138" s="129">
        <f t="shared" si="96"/>
        <v>0</v>
      </c>
      <c r="AA138" s="124">
        <f t="shared" si="100"/>
        <v>758070</v>
      </c>
      <c r="AB138" s="130">
        <f t="shared" si="101"/>
        <v>451568</v>
      </c>
      <c r="AC138" s="221">
        <f>0.33333*508014</f>
        <v>169336.30662000002</v>
      </c>
      <c r="AD138" s="221">
        <f>0.666667*508014</f>
        <v>338676.16933800001</v>
      </c>
      <c r="AE138" s="225">
        <v>169338</v>
      </c>
      <c r="AF138" s="225" t="s">
        <v>78</v>
      </c>
      <c r="AG138" s="225" t="s">
        <v>78</v>
      </c>
      <c r="AH138" s="125">
        <f t="shared" si="111"/>
        <v>677350.47595800005</v>
      </c>
      <c r="AI138" s="127">
        <f t="shared" si="97"/>
        <v>1.4999966250000001</v>
      </c>
      <c r="AJ138" s="128"/>
      <c r="AK138" s="223" t="s">
        <v>78</v>
      </c>
      <c r="AL138" s="131">
        <f t="shared" si="98"/>
        <v>0</v>
      </c>
      <c r="AM138" s="368">
        <f t="shared" si="84"/>
        <v>677350.47595800005</v>
      </c>
      <c r="AN138" s="375">
        <f t="shared" si="117"/>
        <v>1435420.4759579999</v>
      </c>
      <c r="AO138" s="376">
        <f t="shared" si="103"/>
        <v>451568</v>
      </c>
      <c r="AP138" s="394" t="s">
        <v>489</v>
      </c>
      <c r="AQ138" s="394" t="s">
        <v>489</v>
      </c>
      <c r="AR138" s="396" t="str">
        <f t="shared" si="81"/>
        <v>-</v>
      </c>
      <c r="AS138" s="397"/>
      <c r="AT138" s="401">
        <v>72802</v>
      </c>
      <c r="AU138" s="396">
        <f t="shared" si="82"/>
        <v>72802</v>
      </c>
      <c r="AV138" s="397"/>
      <c r="AW138" s="388">
        <f t="shared" si="104"/>
        <v>1508222.4759579999</v>
      </c>
      <c r="AX138" s="389">
        <f t="shared" si="105"/>
        <v>524370</v>
      </c>
      <c r="AY138" s="353" t="s">
        <v>78</v>
      </c>
      <c r="AZ138" s="403" t="s">
        <v>548</v>
      </c>
      <c r="BA138" s="404" t="s">
        <v>353</v>
      </c>
    </row>
    <row r="139" spans="1:54" ht="15" customHeight="1">
      <c r="A139" s="1" t="str">
        <f t="shared" si="79"/>
        <v>TSX:CS_2023_Legal</v>
      </c>
      <c r="B139" s="1" t="str">
        <f t="shared" si="85"/>
        <v>TSX:CS_2023_NEO2</v>
      </c>
      <c r="C139" s="1" t="str">
        <f t="shared" si="80"/>
        <v>TSX:CS_2023_</v>
      </c>
      <c r="D139" s="114" t="str">
        <f t="shared" si="116"/>
        <v>TSX:CS</v>
      </c>
      <c r="E139" s="133" t="str">
        <f>_xll.ciqfunctions.udf.CIQ(D139,"IQ_Company_Name")</f>
        <v>Capstone Copper Corp.</v>
      </c>
      <c r="F139" s="114">
        <f t="shared" si="114"/>
        <v>2023</v>
      </c>
      <c r="G139" s="114" t="str">
        <f t="shared" si="89"/>
        <v>2023-01-01</v>
      </c>
      <c r="H139" s="330" t="str">
        <f t="shared" si="108"/>
        <v>2023-12-31</v>
      </c>
      <c r="I139" s="114">
        <f t="shared" si="99"/>
        <v>12</v>
      </c>
      <c r="J139" s="407" t="s">
        <v>2</v>
      </c>
      <c r="K139" s="439">
        <f t="shared" si="87"/>
        <v>1</v>
      </c>
      <c r="L139" s="445" t="s">
        <v>360</v>
      </c>
      <c r="M139" s="445"/>
      <c r="N139" s="122" t="str">
        <f t="shared" si="119"/>
        <v>NEO2</v>
      </c>
      <c r="O139" s="123" t="str">
        <f t="shared" si="119"/>
        <v>Senior VP, Risk, ESG, General Counsel &amp; Corporate Secretary</v>
      </c>
      <c r="P139" s="132" t="str">
        <f t="shared" si="119"/>
        <v>Wendy King</v>
      </c>
      <c r="Q139" s="219">
        <v>434200</v>
      </c>
      <c r="R139" s="125">
        <f t="shared" si="113"/>
        <v>434200</v>
      </c>
      <c r="S139" s="434" t="s">
        <v>78</v>
      </c>
      <c r="T139" s="126" t="str">
        <f t="shared" si="72"/>
        <v>-</v>
      </c>
      <c r="U139" s="221">
        <v>280385</v>
      </c>
      <c r="V139" s="125">
        <f>IFERROR(U139*(12/$I139)*$K139,"-")</f>
        <v>280385</v>
      </c>
      <c r="W139" s="127">
        <f t="shared" si="95"/>
        <v>0.64575080608014734</v>
      </c>
      <c r="X139" s="128"/>
      <c r="Y139" s="223" t="s">
        <v>78</v>
      </c>
      <c r="Z139" s="129">
        <f t="shared" si="96"/>
        <v>0</v>
      </c>
      <c r="AA139" s="124">
        <f t="shared" si="100"/>
        <v>714585</v>
      </c>
      <c r="AB139" s="130">
        <f t="shared" si="101"/>
        <v>434200</v>
      </c>
      <c r="AC139" s="221">
        <f>0.33333*488475</f>
        <v>162823.37175000002</v>
      </c>
      <c r="AD139" s="221">
        <f>0.666667*488475</f>
        <v>325650.16282500001</v>
      </c>
      <c r="AE139" s="225">
        <v>162825</v>
      </c>
      <c r="AF139" s="225" t="s">
        <v>78</v>
      </c>
      <c r="AG139" s="225" t="s">
        <v>78</v>
      </c>
      <c r="AH139" s="125">
        <f t="shared" si="111"/>
        <v>651298.53457500006</v>
      </c>
      <c r="AI139" s="127">
        <f t="shared" si="97"/>
        <v>1.4999966250000001</v>
      </c>
      <c r="AJ139" s="128"/>
      <c r="AK139" s="223" t="s">
        <v>78</v>
      </c>
      <c r="AL139" s="131">
        <f t="shared" si="98"/>
        <v>0</v>
      </c>
      <c r="AM139" s="368">
        <f t="shared" si="84"/>
        <v>651298.53457500006</v>
      </c>
      <c r="AN139" s="375">
        <f t="shared" si="117"/>
        <v>1365883.5345749999</v>
      </c>
      <c r="AO139" s="376">
        <f t="shared" si="103"/>
        <v>434200</v>
      </c>
      <c r="AP139" s="394" t="s">
        <v>489</v>
      </c>
      <c r="AQ139" s="394" t="s">
        <v>489</v>
      </c>
      <c r="AR139" s="396" t="str">
        <f t="shared" si="81"/>
        <v>-</v>
      </c>
      <c r="AS139" s="397"/>
      <c r="AT139" s="401">
        <v>76506</v>
      </c>
      <c r="AU139" s="396">
        <f t="shared" si="82"/>
        <v>76506</v>
      </c>
      <c r="AV139" s="397"/>
      <c r="AW139" s="388">
        <f t="shared" si="104"/>
        <v>1442389.5345749999</v>
      </c>
      <c r="AX139" s="389">
        <f t="shared" si="105"/>
        <v>510706</v>
      </c>
      <c r="AY139" s="353" t="s">
        <v>78</v>
      </c>
      <c r="AZ139" s="403" t="s">
        <v>548</v>
      </c>
      <c r="BA139" s="404" t="s">
        <v>353</v>
      </c>
    </row>
    <row r="140" spans="1:54" ht="15" customHeight="1">
      <c r="A140" s="1" t="str">
        <f t="shared" si="79"/>
        <v>TSX:CS_2025_</v>
      </c>
      <c r="B140" s="1" t="str">
        <f t="shared" si="85"/>
        <v>TSX:CS_2025_NEO3</v>
      </c>
      <c r="C140" s="1" t="str">
        <f t="shared" si="80"/>
        <v>TSX:CS_2025_</v>
      </c>
      <c r="D140" s="114" t="str">
        <f t="shared" si="116"/>
        <v>TSX:CS</v>
      </c>
      <c r="E140" s="133" t="str">
        <f>_xll.ciqfunctions.udf.CIQ(D140,"IQ_Company_Name")</f>
        <v>Capstone Copper Corp.</v>
      </c>
      <c r="F140" s="114">
        <f t="shared" si="114"/>
        <v>2025</v>
      </c>
      <c r="G140" s="114" t="str">
        <f t="shared" si="89"/>
        <v>2025-01-01</v>
      </c>
      <c r="H140" s="330" t="str">
        <f t="shared" si="108"/>
        <v>2025-12-31</v>
      </c>
      <c r="I140" s="114">
        <f t="shared" si="99"/>
        <v>12</v>
      </c>
      <c r="J140" s="407" t="s">
        <v>2</v>
      </c>
      <c r="K140" s="439">
        <f t="shared" si="87"/>
        <v>1</v>
      </c>
      <c r="L140" s="445"/>
      <c r="M140" s="445"/>
      <c r="N140" s="351" t="s">
        <v>109</v>
      </c>
      <c r="O140" s="217" t="s">
        <v>565</v>
      </c>
      <c r="P140" s="218" t="s">
        <v>587</v>
      </c>
      <c r="Q140" s="219">
        <v>436980</v>
      </c>
      <c r="R140" s="125">
        <f t="shared" si="113"/>
        <v>436980</v>
      </c>
      <c r="S140" s="434" t="s">
        <v>78</v>
      </c>
      <c r="T140" s="126" t="str">
        <f t="shared" si="72"/>
        <v>-</v>
      </c>
      <c r="U140" s="221">
        <v>412618</v>
      </c>
      <c r="V140" s="125">
        <f>IFERROR(U140*(12/$I140)*$K140,"-")</f>
        <v>412618</v>
      </c>
      <c r="W140" s="127">
        <f t="shared" si="95"/>
        <v>0.94424916472149756</v>
      </c>
      <c r="X140" s="128">
        <f>IFERROR(AVERAGE(W140:W142),"N/A")</f>
        <v>0.76000027042049234</v>
      </c>
      <c r="Y140" s="223">
        <v>0.75</v>
      </c>
      <c r="Z140" s="129">
        <f t="shared" si="96"/>
        <v>327735</v>
      </c>
      <c r="AA140" s="124">
        <f t="shared" si="100"/>
        <v>849598</v>
      </c>
      <c r="AB140" s="130">
        <f t="shared" si="101"/>
        <v>764715</v>
      </c>
      <c r="AC140" s="221">
        <f>0.33333*491603</f>
        <v>163866.02799</v>
      </c>
      <c r="AD140" s="221">
        <f>0.666667*491603</f>
        <v>327735.49720099999</v>
      </c>
      <c r="AE140" s="225">
        <v>163868</v>
      </c>
      <c r="AF140" s="225" t="s">
        <v>78</v>
      </c>
      <c r="AG140" s="225" t="s">
        <v>78</v>
      </c>
      <c r="AH140" s="125">
        <f t="shared" si="111"/>
        <v>655469.52519099996</v>
      </c>
      <c r="AI140" s="127">
        <f t="shared" si="97"/>
        <v>1.4999989134308205</v>
      </c>
      <c r="AJ140" s="128">
        <f>IFERROR(AVERAGE(AI140:AI142),"N/A")</f>
        <v>1.499997792861518</v>
      </c>
      <c r="AK140" s="223">
        <v>1.5</v>
      </c>
      <c r="AL140" s="131">
        <f t="shared" si="98"/>
        <v>655470</v>
      </c>
      <c r="AM140" s="368">
        <f t="shared" si="84"/>
        <v>655469.52519099996</v>
      </c>
      <c r="AN140" s="375">
        <f t="shared" si="117"/>
        <v>1505067.525191</v>
      </c>
      <c r="AO140" s="376">
        <f t="shared" si="103"/>
        <v>1420185</v>
      </c>
      <c r="AP140" s="394" t="s">
        <v>489</v>
      </c>
      <c r="AQ140" s="394" t="s">
        <v>489</v>
      </c>
      <c r="AR140" s="396" t="str">
        <f t="shared" si="81"/>
        <v>-</v>
      </c>
      <c r="AS140" s="397" t="str">
        <f>IFERROR(AVERAGE(AR140:AR142),"N/A")</f>
        <v>N/A</v>
      </c>
      <c r="AT140" s="401">
        <v>65026</v>
      </c>
      <c r="AU140" s="396">
        <f t="shared" si="82"/>
        <v>65026</v>
      </c>
      <c r="AV140" s="397">
        <f>IFERROR(AVERAGE(AU140:AU142),"N/A")</f>
        <v>65807</v>
      </c>
      <c r="AW140" s="388">
        <f t="shared" si="104"/>
        <v>1570093.525191</v>
      </c>
      <c r="AX140" s="389">
        <f t="shared" si="105"/>
        <v>1485211</v>
      </c>
      <c r="AY140" s="353" t="s">
        <v>78</v>
      </c>
      <c r="AZ140" s="403" t="s">
        <v>548</v>
      </c>
      <c r="BA140" s="404" t="s">
        <v>353</v>
      </c>
    </row>
    <row r="141" spans="1:54" ht="15" customHeight="1">
      <c r="A141" s="1" t="str">
        <f t="shared" si="79"/>
        <v>TSX:CS_2024_</v>
      </c>
      <c r="B141" s="1" t="str">
        <f t="shared" si="85"/>
        <v>TSX:CS_2024_NEO3</v>
      </c>
      <c r="C141" s="1" t="str">
        <f t="shared" si="80"/>
        <v>TSX:CS_2024_</v>
      </c>
      <c r="D141" s="114" t="str">
        <f t="shared" si="116"/>
        <v>TSX:CS</v>
      </c>
      <c r="E141" s="133" t="str">
        <f>_xll.ciqfunctions.udf.CIQ(D141,"IQ_Company_Name")</f>
        <v>Capstone Copper Corp.</v>
      </c>
      <c r="F141" s="114">
        <f t="shared" si="114"/>
        <v>2024</v>
      </c>
      <c r="G141" s="114" t="str">
        <f t="shared" si="89"/>
        <v>2024-01-01</v>
      </c>
      <c r="H141" s="330" t="str">
        <f t="shared" si="108"/>
        <v>2024-12-31</v>
      </c>
      <c r="I141" s="114">
        <f t="shared" si="99"/>
        <v>12</v>
      </c>
      <c r="J141" s="407" t="s">
        <v>2</v>
      </c>
      <c r="K141" s="439">
        <f t="shared" si="87"/>
        <v>1</v>
      </c>
      <c r="L141" s="445"/>
      <c r="M141" s="445"/>
      <c r="N141" s="122" t="str">
        <f t="shared" ref="N141:P142" si="120">N140</f>
        <v>NEO3</v>
      </c>
      <c r="O141" s="123" t="str">
        <f t="shared" si="120"/>
        <v>Senior VP, Corporate Development</v>
      </c>
      <c r="P141" s="132" t="str">
        <f t="shared" si="120"/>
        <v>Chris Richter</v>
      </c>
      <c r="Q141" s="219">
        <v>411469</v>
      </c>
      <c r="R141" s="125">
        <f t="shared" si="113"/>
        <v>411469</v>
      </c>
      <c r="S141" s="434" t="s">
        <v>78</v>
      </c>
      <c r="T141" s="126" t="str">
        <f t="shared" si="72"/>
        <v>-</v>
      </c>
      <c r="U141" s="221">
        <v>279285</v>
      </c>
      <c r="V141" s="125">
        <f>IFERROR(U141*(12/$I141)*$K141,"-")</f>
        <v>279285</v>
      </c>
      <c r="W141" s="127">
        <f t="shared" si="95"/>
        <v>0.67875101161934437</v>
      </c>
      <c r="X141" s="128"/>
      <c r="Y141" s="223" t="s">
        <v>78</v>
      </c>
      <c r="Z141" s="129">
        <f t="shared" si="96"/>
        <v>0</v>
      </c>
      <c r="AA141" s="124">
        <f t="shared" si="100"/>
        <v>690754</v>
      </c>
      <c r="AB141" s="130">
        <f t="shared" si="101"/>
        <v>411469</v>
      </c>
      <c r="AC141" s="221">
        <f>0.33333*462903</f>
        <v>154299.45699000001</v>
      </c>
      <c r="AD141" s="221">
        <f>0.666667*462903</f>
        <v>308602.154301</v>
      </c>
      <c r="AE141" s="225">
        <v>154301</v>
      </c>
      <c r="AF141" s="225" t="s">
        <v>78</v>
      </c>
      <c r="AG141" s="225" t="s">
        <v>78</v>
      </c>
      <c r="AH141" s="125">
        <f t="shared" si="111"/>
        <v>617202.61129100004</v>
      </c>
      <c r="AI141" s="127">
        <f t="shared" si="97"/>
        <v>1.4999978401556375</v>
      </c>
      <c r="AJ141" s="128"/>
      <c r="AK141" s="223" t="s">
        <v>78</v>
      </c>
      <c r="AL141" s="131">
        <f t="shared" si="98"/>
        <v>0</v>
      </c>
      <c r="AM141" s="368">
        <f t="shared" si="84"/>
        <v>617202.61129100004</v>
      </c>
      <c r="AN141" s="375">
        <f t="shared" si="117"/>
        <v>1307956.6112910002</v>
      </c>
      <c r="AO141" s="376">
        <f t="shared" si="103"/>
        <v>411469</v>
      </c>
      <c r="AP141" s="394" t="s">
        <v>489</v>
      </c>
      <c r="AQ141" s="394" t="s">
        <v>489</v>
      </c>
      <c r="AR141" s="396" t="str">
        <f t="shared" si="81"/>
        <v>-</v>
      </c>
      <c r="AS141" s="397"/>
      <c r="AT141" s="401">
        <v>67605</v>
      </c>
      <c r="AU141" s="396">
        <f t="shared" si="82"/>
        <v>67605</v>
      </c>
      <c r="AV141" s="397"/>
      <c r="AW141" s="388">
        <f t="shared" si="104"/>
        <v>1375561.6112910002</v>
      </c>
      <c r="AX141" s="389">
        <f t="shared" si="105"/>
        <v>479074</v>
      </c>
      <c r="AY141" s="353" t="s">
        <v>78</v>
      </c>
      <c r="AZ141" s="403" t="s">
        <v>548</v>
      </c>
      <c r="BA141" s="404" t="s">
        <v>353</v>
      </c>
    </row>
    <row r="142" spans="1:54" ht="15" customHeight="1">
      <c r="A142" s="1" t="str">
        <f t="shared" si="79"/>
        <v>TSX:CS_2023_</v>
      </c>
      <c r="B142" s="1" t="str">
        <f t="shared" si="85"/>
        <v>TSX:CS_2023_NEO3</v>
      </c>
      <c r="C142" s="1" t="str">
        <f t="shared" si="80"/>
        <v>TSX:CS_2023_</v>
      </c>
      <c r="D142" s="203" t="str">
        <f t="shared" si="116"/>
        <v>TSX:CS</v>
      </c>
      <c r="E142" s="205" t="str">
        <f>_xll.ciqfunctions.udf.CIQ(D142,"IQ_Company_Name")</f>
        <v>Capstone Copper Corp.</v>
      </c>
      <c r="F142" s="204">
        <f t="shared" si="114"/>
        <v>2023</v>
      </c>
      <c r="G142" s="204" t="str">
        <f t="shared" si="89"/>
        <v>2023-01-01</v>
      </c>
      <c r="H142" s="331" t="str">
        <f t="shared" si="108"/>
        <v>2023-12-31</v>
      </c>
      <c r="I142" s="204">
        <f t="shared" si="99"/>
        <v>12</v>
      </c>
      <c r="J142" s="408" t="s">
        <v>2</v>
      </c>
      <c r="K142" s="441">
        <f t="shared" si="87"/>
        <v>1</v>
      </c>
      <c r="L142" s="447"/>
      <c r="M142" s="447"/>
      <c r="N142" s="956" t="str">
        <f t="shared" si="120"/>
        <v>NEO3</v>
      </c>
      <c r="O142" s="206" t="str">
        <f t="shared" si="120"/>
        <v>Senior VP, Corporate Development</v>
      </c>
      <c r="P142" s="207" t="str">
        <f t="shared" si="120"/>
        <v>Chris Richter</v>
      </c>
      <c r="Q142" s="220">
        <v>393750</v>
      </c>
      <c r="R142" s="209">
        <f t="shared" si="113"/>
        <v>393750</v>
      </c>
      <c r="S142" s="435" t="s">
        <v>78</v>
      </c>
      <c r="T142" s="329" t="str">
        <f t="shared" si="72"/>
        <v>-</v>
      </c>
      <c r="U142" s="222">
        <v>258694</v>
      </c>
      <c r="V142" s="209">
        <f>IFERROR(U142*(12/$I142)*$K142,"-")</f>
        <v>258694</v>
      </c>
      <c r="W142" s="211">
        <f t="shared" si="95"/>
        <v>0.65700063492063487</v>
      </c>
      <c r="X142" s="212"/>
      <c r="Y142" s="224" t="s">
        <v>78</v>
      </c>
      <c r="Z142" s="213">
        <f t="shared" si="96"/>
        <v>0</v>
      </c>
      <c r="AA142" s="208">
        <f t="shared" si="100"/>
        <v>652444</v>
      </c>
      <c r="AB142" s="214">
        <f t="shared" si="101"/>
        <v>393750</v>
      </c>
      <c r="AC142" s="222">
        <f>0.33333*442969</f>
        <v>147654.85677000001</v>
      </c>
      <c r="AD142" s="222">
        <f>0.666667*442969</f>
        <v>295312.81432300003</v>
      </c>
      <c r="AE142" s="226">
        <v>147656</v>
      </c>
      <c r="AF142" s="226" t="s">
        <v>78</v>
      </c>
      <c r="AG142" s="226" t="s">
        <v>78</v>
      </c>
      <c r="AH142" s="418">
        <f t="shared" si="111"/>
        <v>590623.6710930001</v>
      </c>
      <c r="AI142" s="211">
        <f t="shared" si="97"/>
        <v>1.4999966249980954</v>
      </c>
      <c r="AJ142" s="212"/>
      <c r="AK142" s="224" t="s">
        <v>78</v>
      </c>
      <c r="AL142" s="215">
        <f t="shared" si="98"/>
        <v>0</v>
      </c>
      <c r="AM142" s="369">
        <f t="shared" si="84"/>
        <v>590623.6710930001</v>
      </c>
      <c r="AN142" s="377">
        <f t="shared" si="117"/>
        <v>1243067.6710930001</v>
      </c>
      <c r="AO142" s="378">
        <f t="shared" si="103"/>
        <v>393750</v>
      </c>
      <c r="AP142" s="399" t="s">
        <v>489</v>
      </c>
      <c r="AQ142" s="399" t="s">
        <v>489</v>
      </c>
      <c r="AR142" s="951" t="str">
        <f t="shared" si="81"/>
        <v>-</v>
      </c>
      <c r="AS142" s="400"/>
      <c r="AT142" s="402">
        <v>64790</v>
      </c>
      <c r="AU142" s="396">
        <f t="shared" si="82"/>
        <v>64790</v>
      </c>
      <c r="AV142" s="400"/>
      <c r="AW142" s="390">
        <f t="shared" si="104"/>
        <v>1307857.6710930001</v>
      </c>
      <c r="AX142" s="391">
        <f t="shared" si="105"/>
        <v>458540</v>
      </c>
      <c r="AY142" s="354" t="s">
        <v>78</v>
      </c>
      <c r="AZ142" s="405" t="s">
        <v>548</v>
      </c>
      <c r="BA142" s="404" t="s">
        <v>353</v>
      </c>
    </row>
    <row r="143" spans="1:54" ht="15" customHeight="1">
      <c r="A143" s="1" t="str">
        <f t="shared" si="79"/>
        <v>TSX:SSRM_2025_</v>
      </c>
      <c r="B143" s="1" t="str">
        <f t="shared" si="85"/>
        <v>TSX:SSRM_2025_CEO</v>
      </c>
      <c r="C143" s="1" t="str">
        <f t="shared" si="80"/>
        <v>TSX:SSRM_2025_</v>
      </c>
      <c r="D143" s="216" t="str">
        <f>E11</f>
        <v>TSX:SSRM</v>
      </c>
      <c r="E143" s="133" t="str">
        <f>_xll.ciqfunctions.udf.CIQ(D143,"IQ_Company_Name")</f>
        <v>SSR Mining Inc.</v>
      </c>
      <c r="F143" s="328">
        <f>$G$9</f>
        <v>2025</v>
      </c>
      <c r="G143" s="330" t="str">
        <f t="shared" si="89"/>
        <v>2025-01-01</v>
      </c>
      <c r="H143" s="330" t="str">
        <f t="shared" si="108"/>
        <v>2025-12-31</v>
      </c>
      <c r="I143" s="114">
        <f t="shared" si="99"/>
        <v>12</v>
      </c>
      <c r="J143" s="328" t="s">
        <v>285</v>
      </c>
      <c r="K143" s="439">
        <f t="shared" si="87"/>
        <v>1.3974500000000001</v>
      </c>
      <c r="L143" s="445"/>
      <c r="M143" s="445"/>
      <c r="N143" s="351" t="s">
        <v>79</v>
      </c>
      <c r="O143" s="217" t="s">
        <v>300</v>
      </c>
      <c r="P143" s="218" t="s">
        <v>301</v>
      </c>
      <c r="Q143" s="219">
        <v>1075000</v>
      </c>
      <c r="R143" s="125">
        <f t="shared" si="113"/>
        <v>1502258.75</v>
      </c>
      <c r="S143" s="434" t="s">
        <v>78</v>
      </c>
      <c r="T143" s="126" t="str">
        <f t="shared" si="72"/>
        <v>-</v>
      </c>
      <c r="U143" s="221">
        <v>1579804</v>
      </c>
      <c r="V143" s="125">
        <f t="shared" ref="V143:V187" si="121">IFERROR(U143*(12/$I143)*$K143,"-")</f>
        <v>2207697.0998</v>
      </c>
      <c r="W143" s="127">
        <f t="shared" si="95"/>
        <v>1.4695851162790698</v>
      </c>
      <c r="X143" s="128">
        <f>IFERROR(AVERAGE(W143:W145),"N/A")</f>
        <v>1.0316648062015503</v>
      </c>
      <c r="Y143" s="223">
        <v>1.1499999999999999</v>
      </c>
      <c r="Z143" s="129">
        <f t="shared" si="96"/>
        <v>1727597.5624999998</v>
      </c>
      <c r="AA143" s="124">
        <f t="shared" si="100"/>
        <v>3709955.8498</v>
      </c>
      <c r="AB143" s="130">
        <f t="shared" si="101"/>
        <v>3229856.3125</v>
      </c>
      <c r="AC143" s="221">
        <f>0.5*3225000</f>
        <v>1612500</v>
      </c>
      <c r="AD143" s="221">
        <f>0.5*3225000</f>
        <v>1612500</v>
      </c>
      <c r="AE143" s="225" t="s">
        <v>78</v>
      </c>
      <c r="AF143" s="225" t="s">
        <v>78</v>
      </c>
      <c r="AG143" s="225" t="s">
        <v>78</v>
      </c>
      <c r="AH143" s="125">
        <f t="shared" si="88"/>
        <v>3225000</v>
      </c>
      <c r="AI143" s="127">
        <f t="shared" si="97"/>
        <v>3</v>
      </c>
      <c r="AJ143" s="128">
        <f>IFERROR(AVERAGE(AI143:AI145),"N/A")</f>
        <v>3</v>
      </c>
      <c r="AK143" s="223">
        <v>3</v>
      </c>
      <c r="AL143" s="131">
        <f t="shared" si="98"/>
        <v>4506776.25</v>
      </c>
      <c r="AM143" s="368">
        <f t="shared" ref="AM143:AM174" si="122">IFERROR($AH143*$K143,"-")</f>
        <v>4506776.25</v>
      </c>
      <c r="AN143" s="375">
        <f t="shared" si="102"/>
        <v>8216732.0998</v>
      </c>
      <c r="AO143" s="376">
        <f t="shared" si="103"/>
        <v>7736632.5625</v>
      </c>
      <c r="AP143" s="394">
        <v>28000</v>
      </c>
      <c r="AQ143" s="395" t="s">
        <v>271</v>
      </c>
      <c r="AR143" s="396">
        <f t="shared" si="81"/>
        <v>39128.600000000006</v>
      </c>
      <c r="AS143" s="409">
        <f>IFERROR(AVERAGE(AR143:AR145),"N/A")</f>
        <v>36076.621333333336</v>
      </c>
      <c r="AT143" s="978">
        <f>70937-28000</f>
        <v>42937</v>
      </c>
      <c r="AU143" s="396">
        <f t="shared" si="82"/>
        <v>60002.310650000007</v>
      </c>
      <c r="AV143" s="409">
        <f>IFERROR(AVERAGE(AU143:AU145),"N/A")</f>
        <v>60002.310650000007</v>
      </c>
      <c r="AW143" s="388">
        <f t="shared" si="104"/>
        <v>8315863.0104499999</v>
      </c>
      <c r="AX143" s="389">
        <f t="shared" si="105"/>
        <v>7835763.47315</v>
      </c>
      <c r="AY143" s="353" t="s">
        <v>302</v>
      </c>
      <c r="AZ143" s="403" t="s">
        <v>548</v>
      </c>
      <c r="BA143" s="404" t="s">
        <v>353</v>
      </c>
    </row>
    <row r="144" spans="1:54" ht="15" customHeight="1">
      <c r="A144" s="1" t="str">
        <f t="shared" si="79"/>
        <v>TSX:SSRM_2024_</v>
      </c>
      <c r="B144" s="1" t="str">
        <f t="shared" si="85"/>
        <v>TSX:SSRM_2024_CEO</v>
      </c>
      <c r="C144" s="1" t="str">
        <f t="shared" si="80"/>
        <v>TSX:SSRM_2024_</v>
      </c>
      <c r="D144" s="114" t="str">
        <f>D143</f>
        <v>TSX:SSRM</v>
      </c>
      <c r="E144" s="133" t="str">
        <f>_xll.ciqfunctions.udf.CIQ(D144,"IQ_Company_Name")</f>
        <v>SSR Mining Inc.</v>
      </c>
      <c r="F144" s="328">
        <f>$G$10</f>
        <v>2024</v>
      </c>
      <c r="G144" s="330" t="str">
        <f t="shared" si="89"/>
        <v>2024-01-01</v>
      </c>
      <c r="H144" s="330" t="str">
        <f t="shared" si="108"/>
        <v>2024-12-31</v>
      </c>
      <c r="I144" s="114">
        <f t="shared" si="99"/>
        <v>12</v>
      </c>
      <c r="J144" s="407" t="s">
        <v>285</v>
      </c>
      <c r="K144" s="439">
        <f t="shared" si="87"/>
        <v>1.3701700000000001</v>
      </c>
      <c r="L144" s="445"/>
      <c r="M144" s="445"/>
      <c r="N144" s="122" t="str">
        <f t="shared" ref="N144:P145" si="123">N143</f>
        <v>CEO</v>
      </c>
      <c r="O144" s="123" t="str">
        <f t="shared" si="123"/>
        <v>Executive Chairman</v>
      </c>
      <c r="P144" s="132" t="str">
        <f t="shared" si="123"/>
        <v>Rodney Antal</v>
      </c>
      <c r="Q144" s="219">
        <v>1075000</v>
      </c>
      <c r="R144" s="125">
        <f t="shared" si="113"/>
        <v>1472932.7500000002</v>
      </c>
      <c r="S144" s="434" t="s">
        <v>78</v>
      </c>
      <c r="T144" s="126" t="str">
        <f t="shared" si="72"/>
        <v>-</v>
      </c>
      <c r="U144" s="221">
        <v>788109</v>
      </c>
      <c r="V144" s="125">
        <f t="shared" si="121"/>
        <v>1079843.30853</v>
      </c>
      <c r="W144" s="127">
        <f t="shared" si="95"/>
        <v>0.73312465116279057</v>
      </c>
      <c r="X144" s="128"/>
      <c r="Y144" s="223" t="s">
        <v>78</v>
      </c>
      <c r="Z144" s="129">
        <f t="shared" si="96"/>
        <v>0</v>
      </c>
      <c r="AA144" s="124">
        <f t="shared" si="100"/>
        <v>2552776.05853</v>
      </c>
      <c r="AB144" s="130">
        <f t="shared" si="101"/>
        <v>1472932.7500000002</v>
      </c>
      <c r="AC144" s="221">
        <f>0.5*3225000</f>
        <v>1612500</v>
      </c>
      <c r="AD144" s="221">
        <f>0.5*3225000</f>
        <v>1612500</v>
      </c>
      <c r="AE144" s="225" t="s">
        <v>78</v>
      </c>
      <c r="AF144" s="225" t="s">
        <v>78</v>
      </c>
      <c r="AG144" s="225" t="s">
        <v>78</v>
      </c>
      <c r="AH144" s="125">
        <f t="shared" si="88"/>
        <v>3225000</v>
      </c>
      <c r="AI144" s="127">
        <f t="shared" si="97"/>
        <v>2.9999999999999996</v>
      </c>
      <c r="AJ144" s="128"/>
      <c r="AK144" s="223" t="s">
        <v>78</v>
      </c>
      <c r="AL144" s="131">
        <f t="shared" si="98"/>
        <v>0</v>
      </c>
      <c r="AM144" s="368">
        <f t="shared" si="122"/>
        <v>4418798.25</v>
      </c>
      <c r="AN144" s="375">
        <f t="shared" si="102"/>
        <v>6971574.30853</v>
      </c>
      <c r="AO144" s="376">
        <f t="shared" si="103"/>
        <v>1472932.7500000002</v>
      </c>
      <c r="AP144" s="394">
        <v>26400</v>
      </c>
      <c r="AQ144" s="395" t="s">
        <v>271</v>
      </c>
      <c r="AR144" s="396">
        <f t="shared" si="81"/>
        <v>36172.488000000005</v>
      </c>
      <c r="AS144" s="397"/>
      <c r="AT144" s="401" t="s">
        <v>78</v>
      </c>
      <c r="AU144" s="396" t="str">
        <f t="shared" si="82"/>
        <v>-</v>
      </c>
      <c r="AV144" s="397"/>
      <c r="AW144" s="388">
        <f t="shared" si="104"/>
        <v>7007746.7965299999</v>
      </c>
      <c r="AX144" s="389">
        <f t="shared" si="105"/>
        <v>1509105.2380000001</v>
      </c>
      <c r="AY144" s="437" t="s">
        <v>626</v>
      </c>
      <c r="AZ144" s="403" t="s">
        <v>548</v>
      </c>
      <c r="BA144" s="404" t="s">
        <v>353</v>
      </c>
    </row>
    <row r="145" spans="1:53" ht="15" customHeight="1">
      <c r="A145" s="1" t="str">
        <f t="shared" si="79"/>
        <v>TSX:SSRM_2023_</v>
      </c>
      <c r="B145" s="1" t="str">
        <f t="shared" si="85"/>
        <v>TSX:SSRM_2023_CEO</v>
      </c>
      <c r="C145" s="1" t="str">
        <f t="shared" si="80"/>
        <v>TSX:SSRM_2023_</v>
      </c>
      <c r="D145" s="114" t="str">
        <f t="shared" si="116"/>
        <v>TSX:SSRM</v>
      </c>
      <c r="E145" s="133" t="str">
        <f>_xll.ciqfunctions.udf.CIQ(D145,"IQ_Company_Name")</f>
        <v>SSR Mining Inc.</v>
      </c>
      <c r="F145" s="328">
        <f>$G$11</f>
        <v>2023</v>
      </c>
      <c r="G145" s="114" t="str">
        <f t="shared" si="89"/>
        <v>2023-01-01</v>
      </c>
      <c r="H145" s="330" t="str">
        <f t="shared" si="108"/>
        <v>2023-12-31</v>
      </c>
      <c r="I145" s="114">
        <f t="shared" si="99"/>
        <v>12</v>
      </c>
      <c r="J145" s="407" t="s">
        <v>285</v>
      </c>
      <c r="K145" s="439">
        <f t="shared" si="87"/>
        <v>1.34954</v>
      </c>
      <c r="L145" s="445"/>
      <c r="M145" s="445"/>
      <c r="N145" s="122" t="str">
        <f t="shared" si="123"/>
        <v>CEO</v>
      </c>
      <c r="O145" s="123" t="str">
        <f t="shared" si="123"/>
        <v>Executive Chairman</v>
      </c>
      <c r="P145" s="132" t="str">
        <f t="shared" si="123"/>
        <v>Rodney Antal</v>
      </c>
      <c r="Q145" s="219">
        <v>1075000</v>
      </c>
      <c r="R145" s="125">
        <f t="shared" si="113"/>
        <v>1450755.5</v>
      </c>
      <c r="S145" s="434" t="s">
        <v>78</v>
      </c>
      <c r="T145" s="126" t="str">
        <f t="shared" ref="T145:T208" si="124">IFERROR(IF((S145*$K145)=0,"-",(S145*$K145)),"-")</f>
        <v>-</v>
      </c>
      <c r="U145" s="221">
        <v>959206</v>
      </c>
      <c r="V145" s="125">
        <f t="shared" si="121"/>
        <v>1294486.86524</v>
      </c>
      <c r="W145" s="127">
        <f t="shared" si="95"/>
        <v>0.89228465116279065</v>
      </c>
      <c r="X145" s="128"/>
      <c r="Y145" s="223" t="s">
        <v>78</v>
      </c>
      <c r="Z145" s="129">
        <f t="shared" si="96"/>
        <v>0</v>
      </c>
      <c r="AA145" s="124">
        <f t="shared" si="100"/>
        <v>2745242.3652400002</v>
      </c>
      <c r="AB145" s="130">
        <f t="shared" si="101"/>
        <v>1450755.5</v>
      </c>
      <c r="AC145" s="428">
        <v>1290000</v>
      </c>
      <c r="AD145" s="427">
        <v>1935000</v>
      </c>
      <c r="AE145" s="225" t="s">
        <v>78</v>
      </c>
      <c r="AF145" s="225" t="s">
        <v>78</v>
      </c>
      <c r="AG145" s="225" t="s">
        <v>78</v>
      </c>
      <c r="AH145" s="125">
        <f t="shared" si="88"/>
        <v>3225000</v>
      </c>
      <c r="AI145" s="127">
        <f t="shared" si="97"/>
        <v>3</v>
      </c>
      <c r="AJ145" s="128"/>
      <c r="AK145" s="223" t="s">
        <v>78</v>
      </c>
      <c r="AL145" s="131">
        <f t="shared" si="98"/>
        <v>0</v>
      </c>
      <c r="AM145" s="368">
        <f t="shared" si="122"/>
        <v>4352266.5</v>
      </c>
      <c r="AN145" s="375">
        <f t="shared" si="102"/>
        <v>7097508.8652400002</v>
      </c>
      <c r="AO145" s="376">
        <f t="shared" si="103"/>
        <v>1450755.5</v>
      </c>
      <c r="AP145" s="394">
        <v>24400</v>
      </c>
      <c r="AQ145" s="395" t="s">
        <v>78</v>
      </c>
      <c r="AR145" s="396">
        <f t="shared" si="81"/>
        <v>32928.775999999998</v>
      </c>
      <c r="AS145" s="397"/>
      <c r="AT145" s="401" t="s">
        <v>78</v>
      </c>
      <c r="AU145" s="396" t="str">
        <f t="shared" si="82"/>
        <v>-</v>
      </c>
      <c r="AV145" s="397"/>
      <c r="AW145" s="388">
        <f t="shared" si="104"/>
        <v>7130437.6412399998</v>
      </c>
      <c r="AX145" s="389">
        <f t="shared" si="105"/>
        <v>1483684.2760000001</v>
      </c>
      <c r="AY145" s="353" t="s">
        <v>78</v>
      </c>
      <c r="AZ145" s="403" t="s">
        <v>548</v>
      </c>
      <c r="BA145" s="404" t="s">
        <v>353</v>
      </c>
    </row>
    <row r="146" spans="1:53" ht="15" customHeight="1">
      <c r="A146" s="1" t="str">
        <f t="shared" si="79"/>
        <v>TSX:SSRM_2025_</v>
      </c>
      <c r="B146" s="1" t="str">
        <f t="shared" si="85"/>
        <v>TSX:SSRM_2025_CFO</v>
      </c>
      <c r="C146" s="1" t="str">
        <f t="shared" si="80"/>
        <v>TSX:SSRM_2025_2nd Highest</v>
      </c>
      <c r="D146" s="114" t="str">
        <f t="shared" si="116"/>
        <v>TSX:SSRM</v>
      </c>
      <c r="E146" s="133" t="str">
        <f>_xll.ciqfunctions.udf.CIQ(D146,"IQ_Company_Name")</f>
        <v>SSR Mining Inc.</v>
      </c>
      <c r="F146" s="114">
        <f t="shared" ref="F146:F157" si="125">F143</f>
        <v>2025</v>
      </c>
      <c r="G146" s="114" t="str">
        <f t="shared" si="89"/>
        <v>2025-01-01</v>
      </c>
      <c r="H146" s="330" t="str">
        <f t="shared" si="108"/>
        <v>2025-12-31</v>
      </c>
      <c r="I146" s="114">
        <f t="shared" si="99"/>
        <v>12</v>
      </c>
      <c r="J146" s="407" t="s">
        <v>285</v>
      </c>
      <c r="K146" s="439">
        <f t="shared" si="87"/>
        <v>1.3974500000000001</v>
      </c>
      <c r="L146" s="445"/>
      <c r="M146" s="445" t="s">
        <v>669</v>
      </c>
      <c r="N146" s="351" t="s">
        <v>106</v>
      </c>
      <c r="O146" s="217" t="s">
        <v>566</v>
      </c>
      <c r="P146" s="218" t="s">
        <v>303</v>
      </c>
      <c r="Q146" s="219">
        <v>600000</v>
      </c>
      <c r="R146" s="125">
        <f t="shared" si="113"/>
        <v>838470</v>
      </c>
      <c r="S146" s="434" t="s">
        <v>78</v>
      </c>
      <c r="T146" s="126" t="str">
        <f t="shared" si="124"/>
        <v>-</v>
      </c>
      <c r="U146" s="221">
        <v>559044</v>
      </c>
      <c r="V146" s="125">
        <f t="shared" si="121"/>
        <v>781236.03780000005</v>
      </c>
      <c r="W146" s="127">
        <f t="shared" si="95"/>
        <v>0.93174000000000001</v>
      </c>
      <c r="X146" s="128">
        <f>IFERROR(AVERAGE(W146:W148),"N/A")</f>
        <v>0.80711999999999995</v>
      </c>
      <c r="Y146" s="223">
        <v>0.75</v>
      </c>
      <c r="Z146" s="129">
        <f t="shared" si="96"/>
        <v>628852.5</v>
      </c>
      <c r="AA146" s="124">
        <f t="shared" si="100"/>
        <v>1619706.0378</v>
      </c>
      <c r="AB146" s="130">
        <f t="shared" si="101"/>
        <v>1467322.5</v>
      </c>
      <c r="AC146" s="221">
        <f>0.5*1050000</f>
        <v>525000</v>
      </c>
      <c r="AD146" s="221">
        <f>0.5*1050000</f>
        <v>525000</v>
      </c>
      <c r="AE146" s="225" t="s">
        <v>78</v>
      </c>
      <c r="AF146" s="225" t="s">
        <v>78</v>
      </c>
      <c r="AG146" s="225" t="s">
        <v>78</v>
      </c>
      <c r="AH146" s="125">
        <f t="shared" si="88"/>
        <v>1050000</v>
      </c>
      <c r="AI146" s="127">
        <f t="shared" si="97"/>
        <v>1.75</v>
      </c>
      <c r="AJ146" s="128">
        <f>IFERROR(AVERAGE(AI146:AI148),"N/A")</f>
        <v>1.75</v>
      </c>
      <c r="AK146" s="223">
        <v>1.75</v>
      </c>
      <c r="AL146" s="131">
        <f t="shared" si="98"/>
        <v>1467322.5</v>
      </c>
      <c r="AM146" s="368">
        <f t="shared" si="122"/>
        <v>1467322.5</v>
      </c>
      <c r="AN146" s="375">
        <f t="shared" si="102"/>
        <v>3087028.5378</v>
      </c>
      <c r="AO146" s="376">
        <f t="shared" si="103"/>
        <v>2934645</v>
      </c>
      <c r="AP146" s="394">
        <v>28000</v>
      </c>
      <c r="AQ146" s="395" t="s">
        <v>271</v>
      </c>
      <c r="AR146" s="396">
        <f t="shared" si="81"/>
        <v>39128.600000000006</v>
      </c>
      <c r="AS146" s="397">
        <f>IFERROR(AVERAGE(AR146:AR148),"N/A")</f>
        <v>38472.646000000008</v>
      </c>
      <c r="AT146" s="978">
        <f>82792-28000</f>
        <v>54792</v>
      </c>
      <c r="AU146" s="396">
        <f t="shared" si="82"/>
        <v>76569.080400000006</v>
      </c>
      <c r="AV146" s="397">
        <f>IFERROR(AVERAGE(AU146:AU148),"N/A")</f>
        <v>76569.080400000006</v>
      </c>
      <c r="AW146" s="388">
        <f t="shared" si="104"/>
        <v>3202726.2182</v>
      </c>
      <c r="AX146" s="389">
        <f t="shared" si="105"/>
        <v>3050342.6804</v>
      </c>
      <c r="AY146" s="353" t="s">
        <v>627</v>
      </c>
      <c r="AZ146" s="403" t="s">
        <v>548</v>
      </c>
      <c r="BA146" s="404" t="s">
        <v>353</v>
      </c>
    </row>
    <row r="147" spans="1:53" ht="15" customHeight="1">
      <c r="A147" s="1" t="str">
        <f t="shared" si="79"/>
        <v>TSX:SSRM_2024_</v>
      </c>
      <c r="B147" s="1" t="str">
        <f t="shared" si="85"/>
        <v>TSX:SSRM_2024_CFO</v>
      </c>
      <c r="C147" s="1" t="str">
        <f t="shared" si="80"/>
        <v>TSX:SSRM_2024_</v>
      </c>
      <c r="D147" s="114" t="str">
        <f t="shared" si="116"/>
        <v>TSX:SSRM</v>
      </c>
      <c r="E147" s="133" t="str">
        <f>_xll.ciqfunctions.udf.CIQ(D147,"IQ_Company_Name")</f>
        <v>SSR Mining Inc.</v>
      </c>
      <c r="F147" s="114">
        <f t="shared" si="125"/>
        <v>2024</v>
      </c>
      <c r="G147" s="952" t="str">
        <f>F147&amp;"-03-08"</f>
        <v>2024-03-08</v>
      </c>
      <c r="H147" s="330" t="str">
        <f t="shared" si="108"/>
        <v>2024-12-31</v>
      </c>
      <c r="I147" s="952">
        <v>12</v>
      </c>
      <c r="J147" s="407" t="s">
        <v>285</v>
      </c>
      <c r="K147" s="439">
        <f t="shared" si="87"/>
        <v>1.3701700000000001</v>
      </c>
      <c r="L147" s="445"/>
      <c r="M147" s="445"/>
      <c r="N147" s="122" t="str">
        <f t="shared" ref="N147:P148" si="126">N146</f>
        <v>CFO</v>
      </c>
      <c r="O147" s="123" t="str">
        <f t="shared" si="126"/>
        <v>Executive VP &amp; CFO</v>
      </c>
      <c r="P147" s="132" t="str">
        <f t="shared" si="126"/>
        <v>Michael Sparks</v>
      </c>
      <c r="Q147" s="219">
        <v>600000</v>
      </c>
      <c r="R147" s="125">
        <f t="shared" si="113"/>
        <v>822102.00000000012</v>
      </c>
      <c r="S147" s="434" t="s">
        <v>78</v>
      </c>
      <c r="T147" s="126" t="str">
        <f t="shared" si="124"/>
        <v>-</v>
      </c>
      <c r="U147" s="221">
        <v>409500</v>
      </c>
      <c r="V147" s="125">
        <f t="shared" si="121"/>
        <v>561084.61499999999</v>
      </c>
      <c r="W147" s="127">
        <f t="shared" si="95"/>
        <v>0.68249999999999988</v>
      </c>
      <c r="X147" s="128"/>
      <c r="Y147" s="223" t="s">
        <v>78</v>
      </c>
      <c r="Z147" s="129">
        <f t="shared" si="96"/>
        <v>0</v>
      </c>
      <c r="AA147" s="124">
        <f t="shared" si="100"/>
        <v>1383186.6150000002</v>
      </c>
      <c r="AB147" s="130">
        <f t="shared" si="101"/>
        <v>822102.00000000012</v>
      </c>
      <c r="AC147" s="221">
        <f>0.5*1050000</f>
        <v>525000</v>
      </c>
      <c r="AD147" s="221">
        <f>0.5*1050000</f>
        <v>525000</v>
      </c>
      <c r="AE147" s="225" t="s">
        <v>78</v>
      </c>
      <c r="AF147" s="225" t="s">
        <v>78</v>
      </c>
      <c r="AG147" s="225" t="s">
        <v>78</v>
      </c>
      <c r="AH147" s="125">
        <f t="shared" si="88"/>
        <v>1050000</v>
      </c>
      <c r="AI147" s="127">
        <f t="shared" si="97"/>
        <v>1.7499999999999998</v>
      </c>
      <c r="AJ147" s="128"/>
      <c r="AK147" s="223" t="s">
        <v>78</v>
      </c>
      <c r="AL147" s="131">
        <f t="shared" si="98"/>
        <v>0</v>
      </c>
      <c r="AM147" s="368">
        <f t="shared" si="122"/>
        <v>1438678.5</v>
      </c>
      <c r="AN147" s="375">
        <f t="shared" si="102"/>
        <v>2821865.1150000002</v>
      </c>
      <c r="AO147" s="376">
        <f t="shared" si="103"/>
        <v>822102.00000000012</v>
      </c>
      <c r="AP147" s="394">
        <v>27600</v>
      </c>
      <c r="AQ147" s="395" t="s">
        <v>271</v>
      </c>
      <c r="AR147" s="396">
        <f t="shared" si="81"/>
        <v>37816.692000000003</v>
      </c>
      <c r="AS147" s="397"/>
      <c r="AT147" s="401" t="s">
        <v>78</v>
      </c>
      <c r="AU147" s="396" t="str">
        <f t="shared" si="82"/>
        <v>-</v>
      </c>
      <c r="AV147" s="397"/>
      <c r="AW147" s="388">
        <f t="shared" si="104"/>
        <v>2859681.807</v>
      </c>
      <c r="AX147" s="389">
        <f t="shared" si="105"/>
        <v>859918.69200000016</v>
      </c>
      <c r="AY147" s="437" t="s">
        <v>628</v>
      </c>
      <c r="AZ147" s="403" t="s">
        <v>548</v>
      </c>
      <c r="BA147" s="404" t="s">
        <v>353</v>
      </c>
    </row>
    <row r="148" spans="1:53" ht="15" customHeight="1">
      <c r="A148" s="1" t="str">
        <f t="shared" si="79"/>
        <v>TSX:SSRM_2023_</v>
      </c>
      <c r="B148" s="1" t="str">
        <f t="shared" si="85"/>
        <v>TSX:SSRM_2023_CFO</v>
      </c>
      <c r="C148" s="1" t="str">
        <f t="shared" si="80"/>
        <v>TSX:SSRM_2023_</v>
      </c>
      <c r="D148" s="114" t="str">
        <f t="shared" si="116"/>
        <v>TSX:SSRM</v>
      </c>
      <c r="E148" s="133" t="str">
        <f>_xll.ciqfunctions.udf.CIQ(D148,"IQ_Company_Name")</f>
        <v>SSR Mining Inc.</v>
      </c>
      <c r="F148" s="114">
        <f t="shared" si="125"/>
        <v>2023</v>
      </c>
      <c r="G148" s="114" t="str">
        <f t="shared" si="89"/>
        <v>2023-01-01</v>
      </c>
      <c r="H148" s="330" t="str">
        <f t="shared" si="108"/>
        <v>2023-12-31</v>
      </c>
      <c r="I148" s="114">
        <f t="shared" si="99"/>
        <v>12</v>
      </c>
      <c r="J148" s="407" t="s">
        <v>285</v>
      </c>
      <c r="K148" s="439">
        <f t="shared" si="87"/>
        <v>1.34954</v>
      </c>
      <c r="L148" s="445"/>
      <c r="M148" s="445"/>
      <c r="N148" s="122" t="str">
        <f t="shared" si="126"/>
        <v>CFO</v>
      </c>
      <c r="O148" s="123" t="str">
        <f t="shared" si="126"/>
        <v>Executive VP &amp; CFO</v>
      </c>
      <c r="P148" s="132" t="str">
        <f t="shared" si="126"/>
        <v>Michael Sparks</v>
      </c>
      <c r="Q148" s="219" t="s">
        <v>78</v>
      </c>
      <c r="R148" s="125" t="str">
        <f t="shared" si="113"/>
        <v>-</v>
      </c>
      <c r="S148" s="434" t="s">
        <v>78</v>
      </c>
      <c r="T148" s="126" t="str">
        <f t="shared" si="124"/>
        <v>-</v>
      </c>
      <c r="U148" s="221" t="s">
        <v>78</v>
      </c>
      <c r="V148" s="125" t="str">
        <f t="shared" si="121"/>
        <v>-</v>
      </c>
      <c r="W148" s="127" t="str">
        <f t="shared" si="95"/>
        <v>-</v>
      </c>
      <c r="X148" s="128"/>
      <c r="Y148" s="223" t="s">
        <v>78</v>
      </c>
      <c r="Z148" s="129" t="str">
        <f t="shared" si="96"/>
        <v>-</v>
      </c>
      <c r="AA148" s="124" t="str">
        <f t="shared" si="100"/>
        <v>-</v>
      </c>
      <c r="AB148" s="130" t="str">
        <f t="shared" si="101"/>
        <v>-</v>
      </c>
      <c r="AC148" s="221" t="s">
        <v>78</v>
      </c>
      <c r="AD148" s="221" t="s">
        <v>78</v>
      </c>
      <c r="AE148" s="225" t="s">
        <v>78</v>
      </c>
      <c r="AF148" s="225" t="s">
        <v>78</v>
      </c>
      <c r="AG148" s="225" t="s">
        <v>78</v>
      </c>
      <c r="AH148" s="125" t="str">
        <f t="shared" si="88"/>
        <v>-</v>
      </c>
      <c r="AI148" s="127" t="str">
        <f t="shared" si="97"/>
        <v>-</v>
      </c>
      <c r="AJ148" s="128"/>
      <c r="AK148" s="223" t="s">
        <v>78</v>
      </c>
      <c r="AL148" s="131" t="str">
        <f t="shared" si="98"/>
        <v>-</v>
      </c>
      <c r="AM148" s="368" t="str">
        <f t="shared" si="122"/>
        <v>-</v>
      </c>
      <c r="AN148" s="375" t="str">
        <f t="shared" si="102"/>
        <v>-</v>
      </c>
      <c r="AO148" s="376" t="str">
        <f t="shared" si="103"/>
        <v>-</v>
      </c>
      <c r="AP148" s="394" t="s">
        <v>78</v>
      </c>
      <c r="AQ148" s="395" t="s">
        <v>78</v>
      </c>
      <c r="AR148" s="396" t="str">
        <f t="shared" si="81"/>
        <v>-</v>
      </c>
      <c r="AS148" s="397"/>
      <c r="AT148" s="401" t="s">
        <v>78</v>
      </c>
      <c r="AU148" s="396" t="str">
        <f t="shared" si="82"/>
        <v>-</v>
      </c>
      <c r="AV148" s="397"/>
      <c r="AW148" s="388" t="str">
        <f t="shared" si="104"/>
        <v>-</v>
      </c>
      <c r="AX148" s="389" t="str">
        <f t="shared" si="105"/>
        <v>-</v>
      </c>
      <c r="AY148" s="353" t="s">
        <v>78</v>
      </c>
      <c r="AZ148" s="403" t="s">
        <v>548</v>
      </c>
      <c r="BA148" s="404" t="s">
        <v>353</v>
      </c>
    </row>
    <row r="149" spans="1:53" ht="15" customHeight="1">
      <c r="A149" s="1" t="str">
        <f t="shared" si="79"/>
        <v>TSX:SSRM_2025_COO</v>
      </c>
      <c r="B149" s="1" t="str">
        <f t="shared" si="85"/>
        <v>TSX:SSRM_2025_NEO1</v>
      </c>
      <c r="C149" s="1" t="str">
        <f t="shared" si="80"/>
        <v>TSX:SSRM_2025_</v>
      </c>
      <c r="D149" s="114" t="str">
        <f t="shared" si="116"/>
        <v>TSX:SSRM</v>
      </c>
      <c r="E149" s="133" t="str">
        <f>_xll.ciqfunctions.udf.CIQ(D149,"IQ_Company_Name")</f>
        <v>SSR Mining Inc.</v>
      </c>
      <c r="F149" s="114">
        <f t="shared" si="125"/>
        <v>2025</v>
      </c>
      <c r="G149" s="330" t="str">
        <f t="shared" si="89"/>
        <v>2025-01-01</v>
      </c>
      <c r="H149" s="330" t="str">
        <f t="shared" si="108"/>
        <v>2025-12-31</v>
      </c>
      <c r="I149" s="114">
        <f t="shared" si="99"/>
        <v>12</v>
      </c>
      <c r="J149" s="407" t="s">
        <v>285</v>
      </c>
      <c r="K149" s="439">
        <f t="shared" si="87"/>
        <v>1.3974500000000001</v>
      </c>
      <c r="L149" s="445" t="s">
        <v>272</v>
      </c>
      <c r="M149" s="445"/>
      <c r="N149" s="351" t="s">
        <v>107</v>
      </c>
      <c r="O149" s="217" t="s">
        <v>567</v>
      </c>
      <c r="P149" s="218" t="s">
        <v>304</v>
      </c>
      <c r="Q149" s="219">
        <v>600000</v>
      </c>
      <c r="R149" s="125">
        <f t="shared" si="113"/>
        <v>838470</v>
      </c>
      <c r="S149" s="434" t="s">
        <v>78</v>
      </c>
      <c r="T149" s="126" t="str">
        <f t="shared" si="124"/>
        <v>-</v>
      </c>
      <c r="U149" s="221">
        <v>550044</v>
      </c>
      <c r="V149" s="125">
        <f t="shared" si="121"/>
        <v>768658.9878</v>
      </c>
      <c r="W149" s="127">
        <f t="shared" si="95"/>
        <v>0.91674</v>
      </c>
      <c r="X149" s="128">
        <f>IFERROR(AVERAGE(W149:W151),"N/A")</f>
        <v>0.74576000000000009</v>
      </c>
      <c r="Y149" s="223">
        <v>0.75</v>
      </c>
      <c r="Z149" s="129">
        <f t="shared" si="96"/>
        <v>628852.5</v>
      </c>
      <c r="AA149" s="124">
        <f t="shared" si="100"/>
        <v>1607128.9878</v>
      </c>
      <c r="AB149" s="130">
        <f t="shared" si="101"/>
        <v>1467322.5</v>
      </c>
      <c r="AC149" s="221">
        <f>0.5*1050000</f>
        <v>525000</v>
      </c>
      <c r="AD149" s="221">
        <f>0.5*1050000</f>
        <v>525000</v>
      </c>
      <c r="AE149" s="225" t="s">
        <v>78</v>
      </c>
      <c r="AF149" s="225" t="s">
        <v>78</v>
      </c>
      <c r="AG149" s="225" t="s">
        <v>78</v>
      </c>
      <c r="AH149" s="125">
        <f t="shared" si="88"/>
        <v>1050000</v>
      </c>
      <c r="AI149" s="127">
        <f t="shared" si="97"/>
        <v>1.75</v>
      </c>
      <c r="AJ149" s="128">
        <f>IFERROR(AVERAGE(AI149:AI151),"N/A")</f>
        <v>1.6666666666666667</v>
      </c>
      <c r="AK149" s="223">
        <v>1.75</v>
      </c>
      <c r="AL149" s="131">
        <f t="shared" si="98"/>
        <v>1467322.5</v>
      </c>
      <c r="AM149" s="368">
        <f t="shared" si="122"/>
        <v>1467322.5</v>
      </c>
      <c r="AN149" s="375">
        <f t="shared" si="102"/>
        <v>3074451.4878000002</v>
      </c>
      <c r="AO149" s="376">
        <f t="shared" si="103"/>
        <v>2934645</v>
      </c>
      <c r="AP149" s="394">
        <v>28000</v>
      </c>
      <c r="AQ149" s="395" t="s">
        <v>271</v>
      </c>
      <c r="AR149" s="396">
        <f t="shared" si="81"/>
        <v>39128.600000000006</v>
      </c>
      <c r="AS149" s="397">
        <f>IFERROR(AVERAGE(AR149:AR151),"N/A")</f>
        <v>30101.912666666671</v>
      </c>
      <c r="AT149" s="978">
        <f>61962-28000</f>
        <v>33962</v>
      </c>
      <c r="AU149" s="396">
        <f t="shared" si="82"/>
        <v>47460.196900000003</v>
      </c>
      <c r="AV149" s="397">
        <f>IFERROR(AVERAGE(AU149:AU151),"N/A")</f>
        <v>47460.196900000003</v>
      </c>
      <c r="AW149" s="388">
        <f t="shared" si="104"/>
        <v>3161040.2847000002</v>
      </c>
      <c r="AX149" s="389">
        <f t="shared" si="105"/>
        <v>3021233.7969</v>
      </c>
      <c r="AY149" s="353" t="s">
        <v>312</v>
      </c>
      <c r="AZ149" s="403" t="s">
        <v>548</v>
      </c>
      <c r="BA149" s="404" t="s">
        <v>353</v>
      </c>
    </row>
    <row r="150" spans="1:53" ht="15" customHeight="1">
      <c r="A150" s="1" t="str">
        <f t="shared" si="79"/>
        <v>TSX:SSRM_2024_COO</v>
      </c>
      <c r="B150" s="1" t="str">
        <f t="shared" si="85"/>
        <v>TSX:SSRM_2024_NEO1</v>
      </c>
      <c r="C150" s="1" t="str">
        <f t="shared" si="80"/>
        <v>TSX:SSRM_2024_</v>
      </c>
      <c r="D150" s="114" t="str">
        <f t="shared" si="116"/>
        <v>TSX:SSRM</v>
      </c>
      <c r="E150" s="133" t="str">
        <f>_xll.ciqfunctions.udf.CIQ(D150,"IQ_Company_Name")</f>
        <v>SSR Mining Inc.</v>
      </c>
      <c r="F150" s="114">
        <f t="shared" si="125"/>
        <v>2024</v>
      </c>
      <c r="G150" s="330" t="str">
        <f t="shared" si="89"/>
        <v>2024-01-01</v>
      </c>
      <c r="H150" s="330" t="str">
        <f t="shared" si="108"/>
        <v>2024-12-31</v>
      </c>
      <c r="I150" s="114">
        <f t="shared" si="99"/>
        <v>12</v>
      </c>
      <c r="J150" s="407" t="s">
        <v>285</v>
      </c>
      <c r="K150" s="439">
        <f t="shared" si="87"/>
        <v>1.3701700000000001</v>
      </c>
      <c r="L150" s="445" t="s">
        <v>272</v>
      </c>
      <c r="M150" s="445"/>
      <c r="N150" s="122" t="str">
        <f t="shared" ref="N150:P151" si="127">N149</f>
        <v>NEO1</v>
      </c>
      <c r="O150" s="123" t="str">
        <f t="shared" si="127"/>
        <v>Executive VP, Operations &amp; Sustainability</v>
      </c>
      <c r="P150" s="132" t="str">
        <f t="shared" si="127"/>
        <v>Bill MacNevin</v>
      </c>
      <c r="Q150" s="219">
        <v>600000</v>
      </c>
      <c r="R150" s="125">
        <f t="shared" si="113"/>
        <v>822102.00000000012</v>
      </c>
      <c r="S150" s="434" t="s">
        <v>78</v>
      </c>
      <c r="T150" s="126" t="str">
        <f t="shared" si="124"/>
        <v>-</v>
      </c>
      <c r="U150" s="221">
        <v>409500</v>
      </c>
      <c r="V150" s="125">
        <f t="shared" si="121"/>
        <v>561084.61499999999</v>
      </c>
      <c r="W150" s="127">
        <f t="shared" si="95"/>
        <v>0.68249999999999988</v>
      </c>
      <c r="X150" s="128"/>
      <c r="Y150" s="223" t="s">
        <v>78</v>
      </c>
      <c r="Z150" s="129">
        <f t="shared" si="96"/>
        <v>0</v>
      </c>
      <c r="AA150" s="124">
        <f t="shared" si="100"/>
        <v>1383186.6150000002</v>
      </c>
      <c r="AB150" s="130">
        <f t="shared" si="101"/>
        <v>822102.00000000012</v>
      </c>
      <c r="AC150" s="221">
        <f>0.5*1050000</f>
        <v>525000</v>
      </c>
      <c r="AD150" s="221">
        <f>0.5*1050000</f>
        <v>525000</v>
      </c>
      <c r="AE150" s="225" t="s">
        <v>78</v>
      </c>
      <c r="AF150" s="225" t="s">
        <v>78</v>
      </c>
      <c r="AG150" s="225" t="s">
        <v>78</v>
      </c>
      <c r="AH150" s="125">
        <f t="shared" si="88"/>
        <v>1050000</v>
      </c>
      <c r="AI150" s="127">
        <f t="shared" si="97"/>
        <v>1.7499999999999998</v>
      </c>
      <c r="AJ150" s="128"/>
      <c r="AK150" s="223" t="s">
        <v>78</v>
      </c>
      <c r="AL150" s="131">
        <f t="shared" si="98"/>
        <v>0</v>
      </c>
      <c r="AM150" s="368">
        <f t="shared" si="122"/>
        <v>1438678.5</v>
      </c>
      <c r="AN150" s="375">
        <f t="shared" si="102"/>
        <v>2821865.1150000002</v>
      </c>
      <c r="AO150" s="376">
        <f t="shared" si="103"/>
        <v>822102.00000000012</v>
      </c>
      <c r="AP150" s="394">
        <v>27600</v>
      </c>
      <c r="AQ150" s="395" t="s">
        <v>271</v>
      </c>
      <c r="AR150" s="396">
        <f t="shared" si="81"/>
        <v>37816.692000000003</v>
      </c>
      <c r="AS150" s="397"/>
      <c r="AT150" s="401" t="s">
        <v>78</v>
      </c>
      <c r="AU150" s="396" t="str">
        <f t="shared" si="82"/>
        <v>-</v>
      </c>
      <c r="AV150" s="397"/>
      <c r="AW150" s="388">
        <f t="shared" si="104"/>
        <v>2859681.807</v>
      </c>
      <c r="AX150" s="389">
        <f t="shared" si="105"/>
        <v>859918.69200000016</v>
      </c>
      <c r="AY150" s="437" t="s">
        <v>629</v>
      </c>
      <c r="AZ150" s="403" t="s">
        <v>548</v>
      </c>
      <c r="BA150" s="404" t="s">
        <v>353</v>
      </c>
    </row>
    <row r="151" spans="1:53" ht="15" customHeight="1">
      <c r="A151" s="1" t="str">
        <f t="shared" si="79"/>
        <v>TSX:SSRM_2023_COO</v>
      </c>
      <c r="B151" s="1" t="str">
        <f t="shared" si="85"/>
        <v>TSX:SSRM_2023_NEO1</v>
      </c>
      <c r="C151" s="1" t="str">
        <f t="shared" si="80"/>
        <v>TSX:SSRM_2023_</v>
      </c>
      <c r="D151" s="114" t="str">
        <f t="shared" si="116"/>
        <v>TSX:SSRM</v>
      </c>
      <c r="E151" s="133" t="str">
        <f>_xll.ciqfunctions.udf.CIQ(D151,"IQ_Company_Name")</f>
        <v>SSR Mining Inc.</v>
      </c>
      <c r="F151" s="114">
        <f t="shared" si="125"/>
        <v>2023</v>
      </c>
      <c r="G151" s="114" t="str">
        <f t="shared" si="89"/>
        <v>2023-01-01</v>
      </c>
      <c r="H151" s="330" t="str">
        <f t="shared" si="108"/>
        <v>2023-12-31</v>
      </c>
      <c r="I151" s="114">
        <f t="shared" si="99"/>
        <v>12</v>
      </c>
      <c r="J151" s="407" t="s">
        <v>285</v>
      </c>
      <c r="K151" s="439">
        <f t="shared" si="87"/>
        <v>1.34954</v>
      </c>
      <c r="L151" s="445" t="s">
        <v>272</v>
      </c>
      <c r="M151" s="445"/>
      <c r="N151" s="122" t="str">
        <f t="shared" si="127"/>
        <v>NEO1</v>
      </c>
      <c r="O151" s="123" t="str">
        <f t="shared" si="127"/>
        <v>Executive VP, Operations &amp; Sustainability</v>
      </c>
      <c r="P151" s="132" t="str">
        <f t="shared" si="127"/>
        <v>Bill MacNevin</v>
      </c>
      <c r="Q151" s="219">
        <v>525000</v>
      </c>
      <c r="R151" s="125">
        <f t="shared" si="113"/>
        <v>708508.5</v>
      </c>
      <c r="S151" s="434" t="s">
        <v>78</v>
      </c>
      <c r="T151" s="126" t="str">
        <f t="shared" si="124"/>
        <v>-</v>
      </c>
      <c r="U151" s="221">
        <v>334971</v>
      </c>
      <c r="V151" s="125">
        <f t="shared" si="121"/>
        <v>452056.76334</v>
      </c>
      <c r="W151" s="127">
        <f t="shared" si="95"/>
        <v>0.63804000000000005</v>
      </c>
      <c r="X151" s="128"/>
      <c r="Y151" s="223" t="s">
        <v>78</v>
      </c>
      <c r="Z151" s="129">
        <f t="shared" si="96"/>
        <v>0</v>
      </c>
      <c r="AA151" s="124">
        <f t="shared" si="100"/>
        <v>1160565.2633400001</v>
      </c>
      <c r="AB151" s="130">
        <f t="shared" si="101"/>
        <v>708508.5</v>
      </c>
      <c r="AC151" s="428">
        <f>315000</f>
        <v>315000</v>
      </c>
      <c r="AD151" s="427">
        <v>472500</v>
      </c>
      <c r="AE151" s="225" t="s">
        <v>78</v>
      </c>
      <c r="AF151" s="225" t="s">
        <v>78</v>
      </c>
      <c r="AG151" s="225" t="s">
        <v>78</v>
      </c>
      <c r="AH151" s="125">
        <f t="shared" si="88"/>
        <v>787500</v>
      </c>
      <c r="AI151" s="127">
        <f t="shared" si="97"/>
        <v>1.5</v>
      </c>
      <c r="AJ151" s="128"/>
      <c r="AK151" s="223" t="s">
        <v>78</v>
      </c>
      <c r="AL151" s="131">
        <f t="shared" si="98"/>
        <v>0</v>
      </c>
      <c r="AM151" s="368">
        <f t="shared" si="122"/>
        <v>1062762.75</v>
      </c>
      <c r="AN151" s="375">
        <f t="shared" si="102"/>
        <v>2223328.0133400001</v>
      </c>
      <c r="AO151" s="376">
        <f t="shared" si="103"/>
        <v>708508.5</v>
      </c>
      <c r="AP151" s="394">
        <v>9900</v>
      </c>
      <c r="AQ151" s="395" t="s">
        <v>271</v>
      </c>
      <c r="AR151" s="396">
        <f t="shared" si="81"/>
        <v>13360.446</v>
      </c>
      <c r="AS151" s="397"/>
      <c r="AT151" s="401" t="s">
        <v>78</v>
      </c>
      <c r="AU151" s="396" t="str">
        <f t="shared" si="82"/>
        <v>-</v>
      </c>
      <c r="AV151" s="397"/>
      <c r="AW151" s="388">
        <f t="shared" si="104"/>
        <v>2236688.4593400001</v>
      </c>
      <c r="AX151" s="389">
        <f t="shared" si="105"/>
        <v>721868.946</v>
      </c>
      <c r="AY151" s="353" t="s">
        <v>78</v>
      </c>
      <c r="AZ151" s="403" t="s">
        <v>548</v>
      </c>
      <c r="BA151" s="404" t="s">
        <v>353</v>
      </c>
    </row>
    <row r="152" spans="1:53" ht="15" customHeight="1">
      <c r="A152" s="1" t="str">
        <f t="shared" si="79"/>
        <v>TSX:SSRM_2025_</v>
      </c>
      <c r="B152" s="1" t="str">
        <f t="shared" si="85"/>
        <v>TSX:SSRM_2025_NEO2</v>
      </c>
      <c r="C152" s="1" t="str">
        <f t="shared" si="80"/>
        <v>TSX:SSRM_2025_</v>
      </c>
      <c r="D152" s="114" t="str">
        <f t="shared" si="116"/>
        <v>TSX:SSRM</v>
      </c>
      <c r="E152" s="133" t="str">
        <f>_xll.ciqfunctions.udf.CIQ(D152,"IQ_Company_Name")</f>
        <v>SSR Mining Inc.</v>
      </c>
      <c r="F152" s="114">
        <f t="shared" si="125"/>
        <v>2025</v>
      </c>
      <c r="G152" s="114" t="str">
        <f t="shared" si="89"/>
        <v>2025-01-01</v>
      </c>
      <c r="H152" s="330" t="str">
        <f t="shared" si="108"/>
        <v>2025-12-31</v>
      </c>
      <c r="I152" s="114">
        <f t="shared" si="99"/>
        <v>12</v>
      </c>
      <c r="J152" s="407" t="s">
        <v>285</v>
      </c>
      <c r="K152" s="439">
        <f t="shared" si="87"/>
        <v>1.3974500000000001</v>
      </c>
      <c r="L152" s="445"/>
      <c r="M152" s="445"/>
      <c r="N152" s="351" t="s">
        <v>108</v>
      </c>
      <c r="O152" s="217" t="s">
        <v>568</v>
      </c>
      <c r="P152" s="218" t="s">
        <v>305</v>
      </c>
      <c r="Q152" s="219">
        <v>580000</v>
      </c>
      <c r="R152" s="125">
        <f t="shared" si="113"/>
        <v>810521</v>
      </c>
      <c r="S152" s="434" t="s">
        <v>78</v>
      </c>
      <c r="T152" s="126" t="str">
        <f t="shared" si="124"/>
        <v>-</v>
      </c>
      <c r="U152" s="221">
        <v>536059</v>
      </c>
      <c r="V152" s="125">
        <f t="shared" si="121"/>
        <v>749115.64955000009</v>
      </c>
      <c r="W152" s="127">
        <f t="shared" si="95"/>
        <v>0.92423965517241391</v>
      </c>
      <c r="X152" s="128">
        <f>IFERROR(AVERAGE(W152:W154),"N/A")</f>
        <v>0.8033698275862069</v>
      </c>
      <c r="Y152" s="223">
        <v>0.75</v>
      </c>
      <c r="Z152" s="129">
        <f t="shared" si="96"/>
        <v>607890.75</v>
      </c>
      <c r="AA152" s="124">
        <f t="shared" si="100"/>
        <v>1559636.6495500002</v>
      </c>
      <c r="AB152" s="130">
        <f t="shared" si="101"/>
        <v>1418411.75</v>
      </c>
      <c r="AC152" s="221">
        <f>0.5*1015000</f>
        <v>507500</v>
      </c>
      <c r="AD152" s="221">
        <f>0.5*1015000</f>
        <v>507500</v>
      </c>
      <c r="AE152" s="225" t="s">
        <v>78</v>
      </c>
      <c r="AF152" s="225" t="s">
        <v>78</v>
      </c>
      <c r="AG152" s="225" t="s">
        <v>78</v>
      </c>
      <c r="AH152" s="125">
        <f t="shared" si="88"/>
        <v>1015000</v>
      </c>
      <c r="AI152" s="127">
        <f t="shared" si="97"/>
        <v>1.75</v>
      </c>
      <c r="AJ152" s="128">
        <f>IFERROR(AVERAGE(AI152:AI154),"N/A")</f>
        <v>1.75</v>
      </c>
      <c r="AK152" s="223">
        <v>1.75</v>
      </c>
      <c r="AL152" s="131">
        <f t="shared" si="98"/>
        <v>1418411.75</v>
      </c>
      <c r="AM152" s="368">
        <f t="shared" si="122"/>
        <v>1418411.75</v>
      </c>
      <c r="AN152" s="375">
        <f t="shared" si="102"/>
        <v>2978048.3995500002</v>
      </c>
      <c r="AO152" s="376">
        <f t="shared" si="103"/>
        <v>2836823.5</v>
      </c>
      <c r="AP152" s="394">
        <f>21475+6525</f>
        <v>28000</v>
      </c>
      <c r="AQ152" s="395" t="s">
        <v>271</v>
      </c>
      <c r="AR152" s="396">
        <f t="shared" si="81"/>
        <v>39128.600000000006</v>
      </c>
      <c r="AS152" s="397">
        <f>IFERROR(AVERAGE(AR152:AR154),"N/A")</f>
        <v>38472.646000000008</v>
      </c>
      <c r="AT152" s="978">
        <f>67149-28000</f>
        <v>39149</v>
      </c>
      <c r="AU152" s="396">
        <f t="shared" si="82"/>
        <v>54708.770050000006</v>
      </c>
      <c r="AV152" s="397">
        <f>IFERROR(AVERAGE(AU152:AU154),"N/A")</f>
        <v>54708.770050000006</v>
      </c>
      <c r="AW152" s="388">
        <f t="shared" si="104"/>
        <v>3071885.7696000002</v>
      </c>
      <c r="AX152" s="389">
        <f t="shared" si="105"/>
        <v>2930660.87005</v>
      </c>
      <c r="AY152" s="353" t="s">
        <v>357</v>
      </c>
      <c r="AZ152" s="403" t="s">
        <v>548</v>
      </c>
      <c r="BA152" s="404" t="s">
        <v>353</v>
      </c>
    </row>
    <row r="153" spans="1:53" ht="15" customHeight="1">
      <c r="A153" s="1" t="str">
        <f t="shared" si="79"/>
        <v>TSX:SSRM_2024_</v>
      </c>
      <c r="B153" s="1" t="str">
        <f t="shared" si="85"/>
        <v>TSX:SSRM_2024_NEO2</v>
      </c>
      <c r="C153" s="1" t="str">
        <f t="shared" si="80"/>
        <v>TSX:SSRM_2024_</v>
      </c>
      <c r="D153" s="114" t="str">
        <f t="shared" si="116"/>
        <v>TSX:SSRM</v>
      </c>
      <c r="E153" s="133" t="str">
        <f>_xll.ciqfunctions.udf.CIQ(D153,"IQ_Company_Name")</f>
        <v>SSR Mining Inc.</v>
      </c>
      <c r="F153" s="114">
        <f t="shared" si="125"/>
        <v>2024</v>
      </c>
      <c r="G153" s="114" t="str">
        <f t="shared" si="89"/>
        <v>2024-01-01</v>
      </c>
      <c r="H153" s="330" t="str">
        <f t="shared" si="108"/>
        <v>2024-12-31</v>
      </c>
      <c r="I153" s="114">
        <f t="shared" si="99"/>
        <v>12</v>
      </c>
      <c r="J153" s="407" t="s">
        <v>285</v>
      </c>
      <c r="K153" s="439">
        <f t="shared" si="87"/>
        <v>1.3701700000000001</v>
      </c>
      <c r="L153" s="445"/>
      <c r="M153" s="445"/>
      <c r="N153" s="122" t="str">
        <f t="shared" ref="N153:P154" si="128">N152</f>
        <v>NEO2</v>
      </c>
      <c r="O153" s="123" t="str">
        <f t="shared" si="128"/>
        <v>Executive VP &amp; Chief Strategy Officer</v>
      </c>
      <c r="P153" s="132" t="str">
        <f t="shared" si="128"/>
        <v>F. Edward Farid</v>
      </c>
      <c r="Q153" s="219">
        <v>580000</v>
      </c>
      <c r="R153" s="125">
        <f t="shared" si="113"/>
        <v>794698.60000000009</v>
      </c>
      <c r="S153" s="434" t="s">
        <v>78</v>
      </c>
      <c r="T153" s="126" t="str">
        <f t="shared" si="124"/>
        <v>-</v>
      </c>
      <c r="U153" s="221">
        <v>395850</v>
      </c>
      <c r="V153" s="125">
        <f t="shared" si="121"/>
        <v>542381.79450000008</v>
      </c>
      <c r="W153" s="127">
        <f t="shared" si="95"/>
        <v>0.6825</v>
      </c>
      <c r="X153" s="128"/>
      <c r="Y153" s="223" t="s">
        <v>78</v>
      </c>
      <c r="Z153" s="129">
        <f t="shared" si="96"/>
        <v>0</v>
      </c>
      <c r="AA153" s="124">
        <f t="shared" si="100"/>
        <v>1337080.3945000002</v>
      </c>
      <c r="AB153" s="130">
        <f t="shared" si="101"/>
        <v>794698.60000000009</v>
      </c>
      <c r="AC153" s="221">
        <f>0.5*1015000</f>
        <v>507500</v>
      </c>
      <c r="AD153" s="221">
        <f>0.5*1015000</f>
        <v>507500</v>
      </c>
      <c r="AE153" s="225" t="s">
        <v>78</v>
      </c>
      <c r="AF153" s="225" t="s">
        <v>78</v>
      </c>
      <c r="AG153" s="225" t="s">
        <v>78</v>
      </c>
      <c r="AH153" s="125">
        <f t="shared" si="88"/>
        <v>1015000</v>
      </c>
      <c r="AI153" s="127">
        <f t="shared" si="97"/>
        <v>1.7499999999999998</v>
      </c>
      <c r="AJ153" s="128"/>
      <c r="AK153" s="223" t="s">
        <v>78</v>
      </c>
      <c r="AL153" s="131">
        <f t="shared" si="98"/>
        <v>0</v>
      </c>
      <c r="AM153" s="368">
        <f t="shared" si="122"/>
        <v>1390722.55</v>
      </c>
      <c r="AN153" s="375">
        <f t="shared" si="102"/>
        <v>2727802.9445000002</v>
      </c>
      <c r="AO153" s="376">
        <f t="shared" si="103"/>
        <v>794698.60000000009</v>
      </c>
      <c r="AP153" s="394">
        <v>27600</v>
      </c>
      <c r="AQ153" s="395" t="s">
        <v>78</v>
      </c>
      <c r="AR153" s="396">
        <f t="shared" si="81"/>
        <v>37816.692000000003</v>
      </c>
      <c r="AS153" s="397"/>
      <c r="AT153" s="401" t="s">
        <v>78</v>
      </c>
      <c r="AU153" s="396" t="str">
        <f t="shared" si="82"/>
        <v>-</v>
      </c>
      <c r="AV153" s="397"/>
      <c r="AW153" s="388">
        <f t="shared" si="104"/>
        <v>2765619.6365</v>
      </c>
      <c r="AX153" s="389">
        <f t="shared" si="105"/>
        <v>832515.29200000013</v>
      </c>
      <c r="AY153" s="437" t="s">
        <v>630</v>
      </c>
      <c r="AZ153" s="403" t="s">
        <v>548</v>
      </c>
      <c r="BA153" s="404" t="s">
        <v>353</v>
      </c>
    </row>
    <row r="154" spans="1:53" ht="15" customHeight="1">
      <c r="A154" s="1" t="str">
        <f t="shared" si="79"/>
        <v>TSX:SSRM_2023_</v>
      </c>
      <c r="B154" s="1" t="str">
        <f t="shared" si="85"/>
        <v>TSX:SSRM_2023_NEO2</v>
      </c>
      <c r="C154" s="1" t="str">
        <f t="shared" si="80"/>
        <v>TSX:SSRM_2023_</v>
      </c>
      <c r="D154" s="114" t="str">
        <f t="shared" si="116"/>
        <v>TSX:SSRM</v>
      </c>
      <c r="E154" s="133" t="str">
        <f>_xll.ciqfunctions.udf.CIQ(D154,"IQ_Company_Name")</f>
        <v>SSR Mining Inc.</v>
      </c>
      <c r="F154" s="114">
        <f t="shared" si="125"/>
        <v>2023</v>
      </c>
      <c r="G154" s="114" t="str">
        <f t="shared" si="89"/>
        <v>2023-01-01</v>
      </c>
      <c r="H154" s="330" t="str">
        <f t="shared" si="108"/>
        <v>2023-12-31</v>
      </c>
      <c r="I154" s="114">
        <f t="shared" si="99"/>
        <v>12</v>
      </c>
      <c r="J154" s="407" t="s">
        <v>285</v>
      </c>
      <c r="K154" s="439">
        <f t="shared" si="87"/>
        <v>1.34954</v>
      </c>
      <c r="L154" s="445"/>
      <c r="M154" s="445"/>
      <c r="N154" s="122" t="str">
        <f t="shared" si="128"/>
        <v>NEO2</v>
      </c>
      <c r="O154" s="123" t="str">
        <f t="shared" si="128"/>
        <v>Executive VP &amp; Chief Strategy Officer</v>
      </c>
      <c r="P154" s="132" t="str">
        <f t="shared" si="128"/>
        <v>F. Edward Farid</v>
      </c>
      <c r="Q154" s="219" t="s">
        <v>78</v>
      </c>
      <c r="R154" s="125" t="str">
        <f t="shared" si="113"/>
        <v>-</v>
      </c>
      <c r="S154" s="434" t="s">
        <v>78</v>
      </c>
      <c r="T154" s="126" t="str">
        <f t="shared" si="124"/>
        <v>-</v>
      </c>
      <c r="U154" s="221" t="s">
        <v>78</v>
      </c>
      <c r="V154" s="125" t="str">
        <f t="shared" si="121"/>
        <v>-</v>
      </c>
      <c r="W154" s="127" t="str">
        <f t="shared" si="95"/>
        <v>-</v>
      </c>
      <c r="X154" s="128"/>
      <c r="Y154" s="223" t="s">
        <v>78</v>
      </c>
      <c r="Z154" s="129" t="str">
        <f t="shared" si="96"/>
        <v>-</v>
      </c>
      <c r="AA154" s="124" t="str">
        <f t="shared" si="100"/>
        <v>-</v>
      </c>
      <c r="AB154" s="130" t="str">
        <f t="shared" si="101"/>
        <v>-</v>
      </c>
      <c r="AC154" s="221" t="s">
        <v>78</v>
      </c>
      <c r="AD154" s="221" t="s">
        <v>78</v>
      </c>
      <c r="AE154" s="225" t="s">
        <v>78</v>
      </c>
      <c r="AF154" s="225" t="s">
        <v>78</v>
      </c>
      <c r="AG154" s="225" t="s">
        <v>78</v>
      </c>
      <c r="AH154" s="125" t="str">
        <f t="shared" si="88"/>
        <v>-</v>
      </c>
      <c r="AI154" s="127" t="str">
        <f t="shared" si="97"/>
        <v>-</v>
      </c>
      <c r="AJ154" s="128"/>
      <c r="AK154" s="223" t="s">
        <v>78</v>
      </c>
      <c r="AL154" s="131" t="str">
        <f t="shared" si="98"/>
        <v>-</v>
      </c>
      <c r="AM154" s="368" t="str">
        <f t="shared" si="122"/>
        <v>-</v>
      </c>
      <c r="AN154" s="375" t="str">
        <f t="shared" si="102"/>
        <v>-</v>
      </c>
      <c r="AO154" s="376" t="str">
        <f t="shared" si="103"/>
        <v>-</v>
      </c>
      <c r="AP154" s="394" t="s">
        <v>78</v>
      </c>
      <c r="AQ154" s="395" t="s">
        <v>78</v>
      </c>
      <c r="AR154" s="396" t="str">
        <f t="shared" si="81"/>
        <v>-</v>
      </c>
      <c r="AS154" s="397"/>
      <c r="AT154" s="949" t="s">
        <v>78</v>
      </c>
      <c r="AU154" s="396" t="str">
        <f t="shared" si="82"/>
        <v>-</v>
      </c>
      <c r="AV154" s="397"/>
      <c r="AW154" s="388" t="str">
        <f t="shared" si="104"/>
        <v>-</v>
      </c>
      <c r="AX154" s="389" t="str">
        <f t="shared" si="105"/>
        <v>-</v>
      </c>
      <c r="AY154" s="353" t="s">
        <v>78</v>
      </c>
      <c r="AZ154" s="403" t="s">
        <v>548</v>
      </c>
      <c r="BA154" s="404" t="s">
        <v>353</v>
      </c>
    </row>
    <row r="155" spans="1:53" ht="15" customHeight="1">
      <c r="A155" s="1" t="str">
        <f t="shared" si="79"/>
        <v>TSX:SSRM_2025_Tech</v>
      </c>
      <c r="B155" s="1" t="str">
        <f t="shared" si="85"/>
        <v>TSX:SSRM_2025_NEO3</v>
      </c>
      <c r="C155" s="1" t="str">
        <f t="shared" si="80"/>
        <v>TSX:SSRM_2025_</v>
      </c>
      <c r="D155" s="114" t="str">
        <f t="shared" si="116"/>
        <v>TSX:SSRM</v>
      </c>
      <c r="E155" s="133" t="str">
        <f>_xll.ciqfunctions.udf.CIQ(D155,"IQ_Company_Name")</f>
        <v>SSR Mining Inc.</v>
      </c>
      <c r="F155" s="114">
        <f t="shared" si="125"/>
        <v>2025</v>
      </c>
      <c r="G155" s="114" t="str">
        <f t="shared" si="89"/>
        <v>2025-01-01</v>
      </c>
      <c r="H155" s="330" t="str">
        <f t="shared" si="108"/>
        <v>2025-12-31</v>
      </c>
      <c r="I155" s="114">
        <f t="shared" si="99"/>
        <v>12</v>
      </c>
      <c r="J155" s="407" t="s">
        <v>285</v>
      </c>
      <c r="K155" s="439">
        <f t="shared" si="87"/>
        <v>1.3974500000000001</v>
      </c>
      <c r="L155" s="445" t="s">
        <v>361</v>
      </c>
      <c r="M155" s="445"/>
      <c r="N155" s="351" t="s">
        <v>109</v>
      </c>
      <c r="O155" s="217" t="s">
        <v>569</v>
      </c>
      <c r="P155" s="218" t="s">
        <v>306</v>
      </c>
      <c r="Q155" s="219">
        <v>490000</v>
      </c>
      <c r="R155" s="125">
        <f t="shared" si="113"/>
        <v>684750.5</v>
      </c>
      <c r="S155" s="434" t="s">
        <v>78</v>
      </c>
      <c r="T155" s="126" t="str">
        <f t="shared" si="124"/>
        <v>-</v>
      </c>
      <c r="U155" s="221">
        <v>456553</v>
      </c>
      <c r="V155" s="125">
        <f t="shared" si="121"/>
        <v>638009.98985000001</v>
      </c>
      <c r="W155" s="127">
        <f t="shared" si="95"/>
        <v>0.93174081632653061</v>
      </c>
      <c r="X155" s="128">
        <f>IFERROR(AVERAGE(W155:W157),"N/A")</f>
        <v>0.7432602721088436</v>
      </c>
      <c r="Y155" s="223">
        <v>0.75</v>
      </c>
      <c r="Z155" s="129">
        <f t="shared" si="96"/>
        <v>513562.875</v>
      </c>
      <c r="AA155" s="124">
        <f t="shared" si="100"/>
        <v>1322760.48985</v>
      </c>
      <c r="AB155" s="130">
        <f t="shared" si="101"/>
        <v>1198313.375</v>
      </c>
      <c r="AC155" s="221">
        <f>0.5*857500</f>
        <v>428750</v>
      </c>
      <c r="AD155" s="221">
        <f>0.5*857500</f>
        <v>428750</v>
      </c>
      <c r="AE155" s="225" t="s">
        <v>78</v>
      </c>
      <c r="AF155" s="225" t="s">
        <v>78</v>
      </c>
      <c r="AG155" s="225" t="s">
        <v>78</v>
      </c>
      <c r="AH155" s="125">
        <f t="shared" si="88"/>
        <v>857500</v>
      </c>
      <c r="AI155" s="127">
        <f t="shared" si="97"/>
        <v>1.75</v>
      </c>
      <c r="AJ155" s="128">
        <f>IFERROR(AVERAGE(AI155:AI157),"N/A")</f>
        <v>1.5833333333333333</v>
      </c>
      <c r="AK155" s="223">
        <v>1.75</v>
      </c>
      <c r="AL155" s="131">
        <f t="shared" si="98"/>
        <v>1198313.375</v>
      </c>
      <c r="AM155" s="368">
        <f t="shared" si="122"/>
        <v>1198313.375</v>
      </c>
      <c r="AN155" s="375">
        <f t="shared" si="102"/>
        <v>2521073.86485</v>
      </c>
      <c r="AO155" s="376">
        <f t="shared" si="103"/>
        <v>2396626.75</v>
      </c>
      <c r="AP155" s="394">
        <v>28000</v>
      </c>
      <c r="AQ155" s="395" t="s">
        <v>271</v>
      </c>
      <c r="AR155" s="396">
        <f t="shared" si="81"/>
        <v>39128.600000000006</v>
      </c>
      <c r="AS155" s="397">
        <f>IFERROR(AVERAGE(AR155:AR157),"N/A")</f>
        <v>37524.382666666672</v>
      </c>
      <c r="AT155" s="978">
        <f>44864-28000</f>
        <v>16864</v>
      </c>
      <c r="AU155" s="396">
        <f t="shared" si="82"/>
        <v>23566.596800000003</v>
      </c>
      <c r="AV155" s="397">
        <f>IFERROR(AVERAGE(AU155:AU157),"N/A")</f>
        <v>23566.596800000003</v>
      </c>
      <c r="AW155" s="388">
        <f t="shared" si="104"/>
        <v>2583769.06165</v>
      </c>
      <c r="AX155" s="389">
        <f t="shared" si="105"/>
        <v>2459321.9468</v>
      </c>
      <c r="AY155" s="353" t="s">
        <v>78</v>
      </c>
      <c r="AZ155" s="403" t="s">
        <v>548</v>
      </c>
      <c r="BA155" s="404" t="s">
        <v>353</v>
      </c>
    </row>
    <row r="156" spans="1:53" ht="15" customHeight="1">
      <c r="A156" s="1" t="str">
        <f t="shared" si="79"/>
        <v>TSX:SSRM_2024_Tech</v>
      </c>
      <c r="B156" s="1" t="str">
        <f t="shared" si="85"/>
        <v>TSX:SSRM_2024_NEO3</v>
      </c>
      <c r="C156" s="1" t="str">
        <f t="shared" si="80"/>
        <v>TSX:SSRM_2024_</v>
      </c>
      <c r="D156" s="114" t="str">
        <f t="shared" si="116"/>
        <v>TSX:SSRM</v>
      </c>
      <c r="E156" s="133" t="str">
        <f>_xll.ciqfunctions.udf.CIQ(D156,"IQ_Company_Name")</f>
        <v>SSR Mining Inc.</v>
      </c>
      <c r="F156" s="114">
        <f t="shared" si="125"/>
        <v>2024</v>
      </c>
      <c r="G156" s="114" t="str">
        <f t="shared" si="89"/>
        <v>2024-01-01</v>
      </c>
      <c r="H156" s="330" t="str">
        <f t="shared" si="108"/>
        <v>2024-12-31</v>
      </c>
      <c r="I156" s="114">
        <f t="shared" si="99"/>
        <v>12</v>
      </c>
      <c r="J156" s="407" t="s">
        <v>285</v>
      </c>
      <c r="K156" s="439">
        <f t="shared" si="87"/>
        <v>1.3701700000000001</v>
      </c>
      <c r="L156" s="445" t="s">
        <v>361</v>
      </c>
      <c r="M156" s="445"/>
      <c r="N156" s="122" t="str">
        <f t="shared" ref="N156:P157" si="129">N155</f>
        <v>NEO3</v>
      </c>
      <c r="O156" s="123" t="str">
        <f t="shared" si="129"/>
        <v>Executive VP, Growth and Innovation</v>
      </c>
      <c r="P156" s="132" t="str">
        <f t="shared" si="129"/>
        <v>John Ebbett</v>
      </c>
      <c r="Q156" s="219">
        <v>490000</v>
      </c>
      <c r="R156" s="125">
        <f t="shared" si="113"/>
        <v>671383.3</v>
      </c>
      <c r="S156" s="434" t="s">
        <v>78</v>
      </c>
      <c r="T156" s="126" t="str">
        <f t="shared" si="124"/>
        <v>-</v>
      </c>
      <c r="U156" s="221">
        <v>334425</v>
      </c>
      <c r="V156" s="125">
        <f t="shared" si="121"/>
        <v>458219.10225000005</v>
      </c>
      <c r="W156" s="127">
        <f t="shared" si="95"/>
        <v>0.6825</v>
      </c>
      <c r="X156" s="128"/>
      <c r="Y156" s="223" t="s">
        <v>78</v>
      </c>
      <c r="Z156" s="129">
        <f t="shared" si="96"/>
        <v>0</v>
      </c>
      <c r="AA156" s="124">
        <f t="shared" si="100"/>
        <v>1129602.40225</v>
      </c>
      <c r="AB156" s="130">
        <f t="shared" si="101"/>
        <v>671383.3</v>
      </c>
      <c r="AC156" s="221">
        <f>0.5*735000</f>
        <v>367500</v>
      </c>
      <c r="AD156" s="221">
        <f>0.5*735000</f>
        <v>367500</v>
      </c>
      <c r="AE156" s="225" t="s">
        <v>78</v>
      </c>
      <c r="AF156" s="225" t="s">
        <v>78</v>
      </c>
      <c r="AG156" s="225" t="s">
        <v>78</v>
      </c>
      <c r="AH156" s="125">
        <f t="shared" si="88"/>
        <v>735000</v>
      </c>
      <c r="AI156" s="127">
        <f t="shared" si="97"/>
        <v>1.5</v>
      </c>
      <c r="AJ156" s="128"/>
      <c r="AK156" s="223" t="s">
        <v>78</v>
      </c>
      <c r="AL156" s="131">
        <f t="shared" si="98"/>
        <v>0</v>
      </c>
      <c r="AM156" s="368">
        <f t="shared" si="122"/>
        <v>1007074.9500000001</v>
      </c>
      <c r="AN156" s="375">
        <f t="shared" si="102"/>
        <v>2136677.35225</v>
      </c>
      <c r="AO156" s="376">
        <f t="shared" si="103"/>
        <v>671383.3</v>
      </c>
      <c r="AP156" s="394">
        <v>27600</v>
      </c>
      <c r="AQ156" s="395" t="s">
        <v>78</v>
      </c>
      <c r="AR156" s="396">
        <f t="shared" si="81"/>
        <v>37816.692000000003</v>
      </c>
      <c r="AS156" s="397"/>
      <c r="AT156" s="401" t="s">
        <v>78</v>
      </c>
      <c r="AU156" s="396" t="str">
        <f t="shared" si="82"/>
        <v>-</v>
      </c>
      <c r="AV156" s="397"/>
      <c r="AW156" s="388">
        <f t="shared" si="104"/>
        <v>2174494.0442499998</v>
      </c>
      <c r="AX156" s="389">
        <f t="shared" si="105"/>
        <v>709199.99200000009</v>
      </c>
      <c r="AY156" s="437" t="s">
        <v>630</v>
      </c>
      <c r="AZ156" s="403" t="s">
        <v>548</v>
      </c>
      <c r="BA156" s="404" t="s">
        <v>353</v>
      </c>
    </row>
    <row r="157" spans="1:53" ht="15" customHeight="1">
      <c r="A157" s="1" t="str">
        <f t="shared" si="79"/>
        <v>TSX:SSRM_2023_Tech</v>
      </c>
      <c r="B157" s="1" t="str">
        <f t="shared" si="85"/>
        <v>TSX:SSRM_2023_NEO3</v>
      </c>
      <c r="C157" s="1" t="str">
        <f t="shared" si="80"/>
        <v>TSX:SSRM_2023_</v>
      </c>
      <c r="D157" s="203" t="str">
        <f t="shared" si="116"/>
        <v>TSX:SSRM</v>
      </c>
      <c r="E157" s="205" t="str">
        <f>_xll.ciqfunctions.udf.CIQ(D157,"IQ_Company_Name")</f>
        <v>SSR Mining Inc.</v>
      </c>
      <c r="F157" s="204">
        <f t="shared" si="125"/>
        <v>2023</v>
      </c>
      <c r="G157" s="204" t="str">
        <f t="shared" si="89"/>
        <v>2023-01-01</v>
      </c>
      <c r="H157" s="331" t="str">
        <f t="shared" si="108"/>
        <v>2023-12-31</v>
      </c>
      <c r="I157" s="204">
        <f t="shared" si="99"/>
        <v>12</v>
      </c>
      <c r="J157" s="408" t="s">
        <v>285</v>
      </c>
      <c r="K157" s="441">
        <f t="shared" si="87"/>
        <v>1.34954</v>
      </c>
      <c r="L157" s="447" t="s">
        <v>361</v>
      </c>
      <c r="M157" s="447"/>
      <c r="N157" s="956" t="str">
        <f t="shared" si="129"/>
        <v>NEO3</v>
      </c>
      <c r="O157" s="206" t="str">
        <f t="shared" si="129"/>
        <v>Executive VP, Growth and Innovation</v>
      </c>
      <c r="P157" s="207" t="str">
        <f t="shared" si="129"/>
        <v>John Ebbett</v>
      </c>
      <c r="Q157" s="220">
        <v>450000</v>
      </c>
      <c r="R157" s="209">
        <f t="shared" si="113"/>
        <v>607293</v>
      </c>
      <c r="S157" s="435" t="s">
        <v>78</v>
      </c>
      <c r="T157" s="329" t="str">
        <f t="shared" si="124"/>
        <v>-</v>
      </c>
      <c r="U157" s="433">
        <v>276993</v>
      </c>
      <c r="V157" s="209">
        <f t="shared" si="121"/>
        <v>373813.13322000002</v>
      </c>
      <c r="W157" s="211">
        <f t="shared" si="95"/>
        <v>0.61553999999999998</v>
      </c>
      <c r="X157" s="212"/>
      <c r="Y157" s="224" t="s">
        <v>78</v>
      </c>
      <c r="Z157" s="213">
        <f t="shared" si="96"/>
        <v>0</v>
      </c>
      <c r="AA157" s="208">
        <f t="shared" si="100"/>
        <v>981106.13321999996</v>
      </c>
      <c r="AB157" s="214">
        <f t="shared" si="101"/>
        <v>607293</v>
      </c>
      <c r="AC157" s="972">
        <f>0.4*675000</f>
        <v>270000</v>
      </c>
      <c r="AD157" s="973">
        <f>0.6*675000</f>
        <v>405000</v>
      </c>
      <c r="AE157" s="226" t="s">
        <v>78</v>
      </c>
      <c r="AF157" s="226" t="s">
        <v>78</v>
      </c>
      <c r="AG157" s="226" t="s">
        <v>78</v>
      </c>
      <c r="AH157" s="418">
        <f t="shared" si="88"/>
        <v>675000</v>
      </c>
      <c r="AI157" s="211">
        <f t="shared" si="97"/>
        <v>1.5</v>
      </c>
      <c r="AJ157" s="212"/>
      <c r="AK157" s="224" t="s">
        <v>78</v>
      </c>
      <c r="AL157" s="215">
        <f t="shared" si="98"/>
        <v>0</v>
      </c>
      <c r="AM157" s="369">
        <f t="shared" si="122"/>
        <v>910939.5</v>
      </c>
      <c r="AN157" s="377">
        <f t="shared" si="102"/>
        <v>1892045.63322</v>
      </c>
      <c r="AO157" s="378">
        <f t="shared" si="103"/>
        <v>607293</v>
      </c>
      <c r="AP157" s="976">
        <v>26400</v>
      </c>
      <c r="AQ157" s="399" t="s">
        <v>78</v>
      </c>
      <c r="AR157" s="951">
        <f t="shared" si="81"/>
        <v>35627.856</v>
      </c>
      <c r="AS157" s="400"/>
      <c r="AT157" s="402" t="s">
        <v>78</v>
      </c>
      <c r="AU157" s="396" t="str">
        <f t="shared" si="82"/>
        <v>-</v>
      </c>
      <c r="AV157" s="400"/>
      <c r="AW157" s="390">
        <f t="shared" si="104"/>
        <v>1927673.4892199999</v>
      </c>
      <c r="AX157" s="391">
        <f t="shared" si="105"/>
        <v>642920.85600000003</v>
      </c>
      <c r="AY157" s="354" t="s">
        <v>78</v>
      </c>
      <c r="AZ157" s="405" t="s">
        <v>548</v>
      </c>
      <c r="BA157" s="404" t="s">
        <v>353</v>
      </c>
    </row>
    <row r="158" spans="1:53" ht="15" customHeight="1">
      <c r="A158" s="1" t="str">
        <f t="shared" si="79"/>
        <v>TSX:OGC_2025_</v>
      </c>
      <c r="B158" s="1" t="str">
        <f t="shared" si="85"/>
        <v>TSX:OGC_2025_CEO</v>
      </c>
      <c r="C158" s="1" t="str">
        <f t="shared" si="80"/>
        <v>TSX:OGC_2025_</v>
      </c>
      <c r="D158" s="216" t="str">
        <f>E12</f>
        <v>TSX:OGC</v>
      </c>
      <c r="E158" s="133" t="str">
        <f>_xll.ciqfunctions.udf.CIQ(D158,"IQ_Company_Name")</f>
        <v>OceanaGold Corporation</v>
      </c>
      <c r="F158" s="328">
        <v>2025</v>
      </c>
      <c r="G158" s="330" t="str">
        <f t="shared" si="89"/>
        <v>2025-01-01</v>
      </c>
      <c r="H158" s="330" t="str">
        <f t="shared" si="108"/>
        <v>2025-12-31</v>
      </c>
      <c r="I158" s="114">
        <f t="shared" si="99"/>
        <v>12</v>
      </c>
      <c r="J158" s="328" t="s">
        <v>285</v>
      </c>
      <c r="K158" s="439">
        <f t="shared" si="87"/>
        <v>1.3974500000000001</v>
      </c>
      <c r="L158" s="445"/>
      <c r="M158" s="445"/>
      <c r="N158" s="351" t="s">
        <v>79</v>
      </c>
      <c r="O158" s="217" t="s">
        <v>269</v>
      </c>
      <c r="P158" s="218" t="s">
        <v>347</v>
      </c>
      <c r="Q158" s="219">
        <v>687354</v>
      </c>
      <c r="R158" s="125">
        <f t="shared" si="113"/>
        <v>960542.84730000002</v>
      </c>
      <c r="S158" s="311" t="s">
        <v>78</v>
      </c>
      <c r="T158" s="126" t="str">
        <f t="shared" si="124"/>
        <v>-</v>
      </c>
      <c r="U158" s="424">
        <f>1127140+83298</f>
        <v>1210438</v>
      </c>
      <c r="V158" s="125">
        <f t="shared" ref="V158:V172" si="130">IFERROR(U158*(12/$I158)*$K158,"-")</f>
        <v>1691526.5831000002</v>
      </c>
      <c r="W158" s="127">
        <f t="shared" si="95"/>
        <v>1.7610110656226632</v>
      </c>
      <c r="X158" s="128">
        <f>IFERROR(AVERAGE(W158:W160),"N/A")</f>
        <v>1.039039842746811</v>
      </c>
      <c r="Y158" s="223">
        <v>1</v>
      </c>
      <c r="Z158" s="129">
        <f t="shared" si="96"/>
        <v>960542.84730000002</v>
      </c>
      <c r="AA158" s="124">
        <f t="shared" ref="AA158:AA172" si="131">IFERROR(IF(SUM(R158,V158)=0,"-",SUM(R158,V158)),"-")</f>
        <v>2652069.4304</v>
      </c>
      <c r="AB158" s="130">
        <f t="shared" ref="AB158:AB172" si="132">IFERROR(IF(SUM(R158,Z158)=0,"-",SUM(R158,Z158)),"-")</f>
        <v>1921085.6946</v>
      </c>
      <c r="AC158" s="221">
        <f>0.34*2167308</f>
        <v>736884.72000000009</v>
      </c>
      <c r="AD158" s="221">
        <f>0.66*2167308</f>
        <v>1430423.28</v>
      </c>
      <c r="AE158" s="225" t="s">
        <v>78</v>
      </c>
      <c r="AF158" s="225" t="s">
        <v>78</v>
      </c>
      <c r="AG158" s="225" t="s">
        <v>78</v>
      </c>
      <c r="AH158" s="125">
        <f t="shared" ref="AH158:AH172" si="133">IFERROR(IF(SUM(AC158:AG158)=0,IF(COUNTIF($AC158:$AG158,"=0")&gt;0,"$0","-"),SUM(AC158:AG158)),"-")</f>
        <v>2167308</v>
      </c>
      <c r="AI158" s="127">
        <f t="shared" si="97"/>
        <v>3.1531176075210157</v>
      </c>
      <c r="AJ158" s="128">
        <f>IFERROR(AVERAGE(AI158:AI160),"N/A")</f>
        <v>3.4784943741508045</v>
      </c>
      <c r="AK158" s="223" t="s">
        <v>78</v>
      </c>
      <c r="AL158" s="131">
        <f t="shared" si="98"/>
        <v>3341242.8904638453</v>
      </c>
      <c r="AM158" s="368">
        <f t="shared" si="122"/>
        <v>3028704.5646000002</v>
      </c>
      <c r="AN158" s="375">
        <f t="shared" ref="AN158:AN172" si="134">IFERROR(IF(SUM(AA158,AM158)=0,"-",SUM(AA158,AM158)),"-")</f>
        <v>5680773.9950000001</v>
      </c>
      <c r="AO158" s="376">
        <f t="shared" si="103"/>
        <v>5262328.5850638449</v>
      </c>
      <c r="AP158" s="394">
        <v>11761</v>
      </c>
      <c r="AQ158" s="395" t="s">
        <v>490</v>
      </c>
      <c r="AR158" s="396">
        <f t="shared" si="81"/>
        <v>16435.409449999999</v>
      </c>
      <c r="AS158" s="409">
        <f>IFERROR(AVERAGE(AR158:AR160),"N/A")</f>
        <v>22492.639090000001</v>
      </c>
      <c r="AT158" s="401">
        <v>363944</v>
      </c>
      <c r="AU158" s="396">
        <f t="shared" si="82"/>
        <v>508593.54280000005</v>
      </c>
      <c r="AV158" s="409">
        <f>IFERROR(AVERAGE(AU158:AU160),"N/A")</f>
        <v>241065.62838000001</v>
      </c>
      <c r="AW158" s="388">
        <f t="shared" si="104"/>
        <v>6205802.9472500002</v>
      </c>
      <c r="AX158" s="389">
        <f t="shared" si="105"/>
        <v>5787357.537313845</v>
      </c>
      <c r="AY158" s="353" t="s">
        <v>631</v>
      </c>
      <c r="AZ158" s="403" t="s">
        <v>548</v>
      </c>
      <c r="BA158" s="404" t="s">
        <v>353</v>
      </c>
    </row>
    <row r="159" spans="1:53" ht="15" customHeight="1">
      <c r="A159" s="1" t="str">
        <f t="shared" si="79"/>
        <v>TSX:OGC_2024_</v>
      </c>
      <c r="B159" s="1" t="str">
        <f t="shared" si="85"/>
        <v>TSX:OGC_2024_CEO</v>
      </c>
      <c r="C159" s="1" t="str">
        <f t="shared" si="80"/>
        <v>TSX:OGC_2024_</v>
      </c>
      <c r="D159" s="114" t="str">
        <f>D158</f>
        <v>TSX:OGC</v>
      </c>
      <c r="E159" s="133" t="str">
        <f>_xll.ciqfunctions.udf.CIQ(D159,"IQ_Company_Name")</f>
        <v>OceanaGold Corporation</v>
      </c>
      <c r="F159" s="328">
        <v>2024</v>
      </c>
      <c r="G159" s="330" t="str">
        <f t="shared" si="89"/>
        <v>2024-01-01</v>
      </c>
      <c r="H159" s="330" t="str">
        <f t="shared" si="108"/>
        <v>2024-12-31</v>
      </c>
      <c r="I159" s="114">
        <f t="shared" si="99"/>
        <v>12</v>
      </c>
      <c r="J159" s="407" t="s">
        <v>285</v>
      </c>
      <c r="K159" s="439">
        <f t="shared" si="87"/>
        <v>1.3701700000000001</v>
      </c>
      <c r="L159" s="445"/>
      <c r="M159" s="445"/>
      <c r="N159" s="122" t="str">
        <f t="shared" ref="N159:P160" si="135">N158</f>
        <v>CEO</v>
      </c>
      <c r="O159" s="123" t="str">
        <f t="shared" si="135"/>
        <v>President &amp; CEO</v>
      </c>
      <c r="P159" s="132" t="str">
        <f t="shared" si="135"/>
        <v>Gerard Bond</v>
      </c>
      <c r="Q159" s="219">
        <v>679545</v>
      </c>
      <c r="R159" s="125">
        <f t="shared" si="113"/>
        <v>931092.17265000008</v>
      </c>
      <c r="S159" s="311" t="s">
        <v>78</v>
      </c>
      <c r="T159" s="126" t="str">
        <f t="shared" si="124"/>
        <v>-</v>
      </c>
      <c r="U159" s="221">
        <v>398760</v>
      </c>
      <c r="V159" s="125">
        <f t="shared" si="130"/>
        <v>546368.98920000007</v>
      </c>
      <c r="W159" s="127">
        <f t="shared" si="95"/>
        <v>0.58680440588923477</v>
      </c>
      <c r="X159" s="128"/>
      <c r="Y159" s="223" t="s">
        <v>78</v>
      </c>
      <c r="Z159" s="129">
        <f t="shared" si="96"/>
        <v>0</v>
      </c>
      <c r="AA159" s="124">
        <f t="shared" si="131"/>
        <v>1477461.1618500003</v>
      </c>
      <c r="AB159" s="130">
        <f t="shared" si="132"/>
        <v>931092.17265000008</v>
      </c>
      <c r="AC159" s="221">
        <f>0.34*2699622</f>
        <v>917871.4800000001</v>
      </c>
      <c r="AD159" s="221">
        <f>0.66*2699622</f>
        <v>1781750.52</v>
      </c>
      <c r="AE159" s="225" t="s">
        <v>78</v>
      </c>
      <c r="AF159" s="225" t="s">
        <v>78</v>
      </c>
      <c r="AG159" s="225" t="s">
        <v>78</v>
      </c>
      <c r="AH159" s="125">
        <f t="shared" si="133"/>
        <v>2699622</v>
      </c>
      <c r="AI159" s="127">
        <f t="shared" si="97"/>
        <v>3.9726905502946823</v>
      </c>
      <c r="AJ159" s="128"/>
      <c r="AK159" s="223" t="s">
        <v>78</v>
      </c>
      <c r="AL159" s="131">
        <f t="shared" si="98"/>
        <v>0</v>
      </c>
      <c r="AM159" s="368">
        <f t="shared" si="122"/>
        <v>3698941.0757400002</v>
      </c>
      <c r="AN159" s="375">
        <f t="shared" si="134"/>
        <v>5176402.23759</v>
      </c>
      <c r="AO159" s="376">
        <f t="shared" si="103"/>
        <v>931092.17265000008</v>
      </c>
      <c r="AP159" s="394">
        <v>15252</v>
      </c>
      <c r="AQ159" s="395" t="s">
        <v>490</v>
      </c>
      <c r="AR159" s="396">
        <f t="shared" si="81"/>
        <v>20897.832840000003</v>
      </c>
      <c r="AS159" s="397"/>
      <c r="AT159" s="429">
        <f>145746-83298</f>
        <v>62448</v>
      </c>
      <c r="AU159" s="396">
        <f t="shared" si="82"/>
        <v>85564.37616</v>
      </c>
      <c r="AV159" s="397"/>
      <c r="AW159" s="388">
        <f t="shared" si="104"/>
        <v>5282864.4465900008</v>
      </c>
      <c r="AX159" s="389">
        <f t="shared" si="105"/>
        <v>1037554.3816500001</v>
      </c>
      <c r="AY159" s="353" t="s">
        <v>632</v>
      </c>
      <c r="AZ159" s="403" t="s">
        <v>548</v>
      </c>
      <c r="BA159" s="404" t="s">
        <v>353</v>
      </c>
    </row>
    <row r="160" spans="1:53" ht="15" customHeight="1">
      <c r="A160" s="1" t="str">
        <f t="shared" si="79"/>
        <v>TSX:OGC_2023_</v>
      </c>
      <c r="B160" s="1" t="str">
        <f t="shared" si="85"/>
        <v>TSX:OGC_2023_CEO</v>
      </c>
      <c r="C160" s="1" t="str">
        <f t="shared" si="80"/>
        <v>TSX:OGC_2023_</v>
      </c>
      <c r="D160" s="114" t="str">
        <f t="shared" si="116"/>
        <v>TSX:OGC</v>
      </c>
      <c r="E160" s="133" t="str">
        <f>_xll.ciqfunctions.udf.CIQ(D160,"IQ_Company_Name")</f>
        <v>OceanaGold Corporation</v>
      </c>
      <c r="F160" s="328">
        <v>2023</v>
      </c>
      <c r="G160" s="114" t="str">
        <f t="shared" si="89"/>
        <v>2023-01-01</v>
      </c>
      <c r="H160" s="330" t="str">
        <f t="shared" si="108"/>
        <v>2023-12-31</v>
      </c>
      <c r="I160" s="114">
        <f t="shared" si="99"/>
        <v>12</v>
      </c>
      <c r="J160" s="407" t="s">
        <v>285</v>
      </c>
      <c r="K160" s="439">
        <f t="shared" si="87"/>
        <v>1.34954</v>
      </c>
      <c r="L160" s="445"/>
      <c r="M160" s="445"/>
      <c r="N160" s="122" t="str">
        <f t="shared" si="135"/>
        <v>CEO</v>
      </c>
      <c r="O160" s="123" t="str">
        <f t="shared" si="135"/>
        <v>President &amp; CEO</v>
      </c>
      <c r="P160" s="132" t="str">
        <f t="shared" si="135"/>
        <v>Gerard Bond</v>
      </c>
      <c r="Q160" s="219">
        <v>651806</v>
      </c>
      <c r="R160" s="125">
        <f t="shared" si="113"/>
        <v>879638.26923999994</v>
      </c>
      <c r="S160" s="311" t="s">
        <v>78</v>
      </c>
      <c r="T160" s="126" t="str">
        <f t="shared" si="124"/>
        <v>-</v>
      </c>
      <c r="U160" s="221">
        <v>501437</v>
      </c>
      <c r="V160" s="125">
        <f t="shared" si="130"/>
        <v>676709.28897999995</v>
      </c>
      <c r="W160" s="127">
        <f t="shared" si="95"/>
        <v>0.76930405672853575</v>
      </c>
      <c r="X160" s="128"/>
      <c r="Y160" s="223" t="s">
        <v>78</v>
      </c>
      <c r="Z160" s="129">
        <f t="shared" si="96"/>
        <v>0</v>
      </c>
      <c r="AA160" s="124">
        <f t="shared" si="131"/>
        <v>1556347.55822</v>
      </c>
      <c r="AB160" s="130">
        <f t="shared" si="132"/>
        <v>879638.26923999994</v>
      </c>
      <c r="AC160" s="221">
        <f>0.34*2157266</f>
        <v>733470.44000000006</v>
      </c>
      <c r="AD160" s="221">
        <f>0.66*2157266</f>
        <v>1423795.56</v>
      </c>
      <c r="AE160" s="225" t="s">
        <v>78</v>
      </c>
      <c r="AF160" s="225" t="s">
        <v>78</v>
      </c>
      <c r="AG160" s="225" t="s">
        <v>78</v>
      </c>
      <c r="AH160" s="125">
        <f t="shared" si="133"/>
        <v>2157266</v>
      </c>
      <c r="AI160" s="127">
        <f t="shared" si="97"/>
        <v>3.3096749646367174</v>
      </c>
      <c r="AJ160" s="128"/>
      <c r="AK160" s="223" t="s">
        <v>78</v>
      </c>
      <c r="AL160" s="131">
        <f t="shared" si="98"/>
        <v>0</v>
      </c>
      <c r="AM160" s="368">
        <f t="shared" si="122"/>
        <v>2911316.75764</v>
      </c>
      <c r="AN160" s="375">
        <f t="shared" si="134"/>
        <v>4467664.3158599995</v>
      </c>
      <c r="AO160" s="376">
        <f t="shared" si="103"/>
        <v>879638.26923999994</v>
      </c>
      <c r="AP160" s="394">
        <v>22337</v>
      </c>
      <c r="AQ160" s="395" t="s">
        <v>490</v>
      </c>
      <c r="AR160" s="396">
        <f t="shared" si="81"/>
        <v>30144.67498</v>
      </c>
      <c r="AS160" s="397"/>
      <c r="AT160" s="401">
        <v>95617</v>
      </c>
      <c r="AU160" s="396">
        <f t="shared" si="82"/>
        <v>129038.96618</v>
      </c>
      <c r="AV160" s="397"/>
      <c r="AW160" s="388">
        <f t="shared" si="104"/>
        <v>4626847.9570199996</v>
      </c>
      <c r="AX160" s="389">
        <f t="shared" si="105"/>
        <v>1038821.9103999999</v>
      </c>
      <c r="AY160" s="353" t="s">
        <v>78</v>
      </c>
      <c r="AZ160" s="403" t="s">
        <v>548</v>
      </c>
      <c r="BA160" s="404" t="s">
        <v>353</v>
      </c>
    </row>
    <row r="161" spans="1:54" ht="15" customHeight="1">
      <c r="A161" s="1" t="str">
        <f t="shared" ref="A161:A224" si="136">$D161&amp;"_"&amp;$F161&amp;"_"&amp;$L161</f>
        <v>TSX:OGC_2025_</v>
      </c>
      <c r="B161" s="1" t="str">
        <f t="shared" si="85"/>
        <v>TSX:OGC_2025_CFO</v>
      </c>
      <c r="C161" s="1" t="str">
        <f t="shared" ref="C161:C224" si="137">$D161&amp;"_"&amp;$F161&amp;"_"&amp;$M161</f>
        <v>TSX:OGC_2025_</v>
      </c>
      <c r="D161" s="114" t="str">
        <f t="shared" si="116"/>
        <v>TSX:OGC</v>
      </c>
      <c r="E161" s="133" t="str">
        <f>_xll.ciqfunctions.udf.CIQ(D161,"IQ_Company_Name")</f>
        <v>OceanaGold Corporation</v>
      </c>
      <c r="F161" s="114">
        <f t="shared" ref="F161:F172" si="138">F158</f>
        <v>2025</v>
      </c>
      <c r="G161" s="114" t="str">
        <f t="shared" si="89"/>
        <v>2025-01-01</v>
      </c>
      <c r="H161" s="330" t="str">
        <f t="shared" si="108"/>
        <v>2025-12-31</v>
      </c>
      <c r="I161" s="114">
        <f t="shared" si="99"/>
        <v>12</v>
      </c>
      <c r="J161" s="407" t="s">
        <v>285</v>
      </c>
      <c r="K161" s="439">
        <f t="shared" si="87"/>
        <v>1.3974500000000001</v>
      </c>
      <c r="L161" s="445"/>
      <c r="M161" s="445"/>
      <c r="N161" s="351" t="s">
        <v>106</v>
      </c>
      <c r="O161" s="217" t="s">
        <v>292</v>
      </c>
      <c r="P161" s="218" t="s">
        <v>348</v>
      </c>
      <c r="Q161" s="219">
        <v>414594</v>
      </c>
      <c r="R161" s="125">
        <f t="shared" si="113"/>
        <v>579374.38530000008</v>
      </c>
      <c r="S161" s="311" t="s">
        <v>78</v>
      </c>
      <c r="T161" s="126" t="str">
        <f t="shared" si="124"/>
        <v>-</v>
      </c>
      <c r="U161" s="221">
        <v>410180</v>
      </c>
      <c r="V161" s="125">
        <f t="shared" si="130"/>
        <v>573206.04100000008</v>
      </c>
      <c r="W161" s="127">
        <f t="shared" si="95"/>
        <v>0.9893534397506959</v>
      </c>
      <c r="X161" s="128">
        <f>IFERROR(AVERAGE(W161:W163),"N/A")</f>
        <v>0.74344527090088453</v>
      </c>
      <c r="Y161" s="223">
        <v>0.6</v>
      </c>
      <c r="Z161" s="129">
        <f t="shared" si="96"/>
        <v>347624.63118000003</v>
      </c>
      <c r="AA161" s="124">
        <f t="shared" si="131"/>
        <v>1152580.4263000002</v>
      </c>
      <c r="AB161" s="130">
        <f t="shared" si="132"/>
        <v>926999.01648000011</v>
      </c>
      <c r="AC161" s="221">
        <f>0.3*864969</f>
        <v>259490.69999999998</v>
      </c>
      <c r="AD161" s="221">
        <f>0.7*864969</f>
        <v>605478.29999999993</v>
      </c>
      <c r="AE161" s="225" t="s">
        <v>78</v>
      </c>
      <c r="AF161" s="225" t="s">
        <v>78</v>
      </c>
      <c r="AG161" s="225" t="s">
        <v>78</v>
      </c>
      <c r="AH161" s="125">
        <f t="shared" si="133"/>
        <v>864968.99999999988</v>
      </c>
      <c r="AI161" s="127">
        <f t="shared" si="97"/>
        <v>2.0863037091708994</v>
      </c>
      <c r="AJ161" s="128">
        <f>IFERROR(AVERAGE(AI161:AI163),"N/A")</f>
        <v>2.3548956936809966</v>
      </c>
      <c r="AK161" s="223" t="s">
        <v>78</v>
      </c>
      <c r="AL161" s="131">
        <f t="shared" si="98"/>
        <v>1364366.2449720446</v>
      </c>
      <c r="AM161" s="368">
        <f t="shared" si="122"/>
        <v>1208750.9290499999</v>
      </c>
      <c r="AN161" s="375">
        <f t="shared" si="134"/>
        <v>2361331.3553499999</v>
      </c>
      <c r="AO161" s="376">
        <f t="shared" si="103"/>
        <v>2291365.2614520448</v>
      </c>
      <c r="AP161" s="394">
        <v>11589</v>
      </c>
      <c r="AQ161" s="395" t="s">
        <v>490</v>
      </c>
      <c r="AR161" s="396">
        <f t="shared" ref="AR161:AR224" si="139">IFERROR(AP161*(12/$I161)*$K161,"-")</f>
        <v>16195.048050000001</v>
      </c>
      <c r="AS161" s="397">
        <f>IFERROR(AVERAGE(AR161:AR163),"N/A")</f>
        <v>14442.781295000001</v>
      </c>
      <c r="AT161" s="401" t="s">
        <v>78</v>
      </c>
      <c r="AU161" s="396" t="str">
        <f t="shared" ref="AU161:AU224" si="140">IFERROR(AT161*(12/$I161)*$K161,"-")</f>
        <v>-</v>
      </c>
      <c r="AV161" s="397" t="str">
        <f>IFERROR(AVERAGE(AU161:AU163),"N/A")</f>
        <v>N/A</v>
      </c>
      <c r="AW161" s="388">
        <f t="shared" si="104"/>
        <v>2377526.4033999997</v>
      </c>
      <c r="AX161" s="389">
        <f t="shared" si="105"/>
        <v>2307560.3095020447</v>
      </c>
      <c r="AY161" s="353" t="s">
        <v>633</v>
      </c>
      <c r="AZ161" s="403" t="s">
        <v>548</v>
      </c>
      <c r="BA161" s="404" t="s">
        <v>353</v>
      </c>
    </row>
    <row r="162" spans="1:54" ht="15" customHeight="1">
      <c r="A162" s="1" t="str">
        <f t="shared" si="136"/>
        <v>TSX:OGC_2024_</v>
      </c>
      <c r="B162" s="1" t="str">
        <f t="shared" si="85"/>
        <v>TSX:OGC_2024_CFO</v>
      </c>
      <c r="C162" s="1" t="str">
        <f t="shared" si="137"/>
        <v>TSX:OGC_2024_</v>
      </c>
      <c r="D162" s="114" t="str">
        <f t="shared" si="116"/>
        <v>TSX:OGC</v>
      </c>
      <c r="E162" s="133" t="str">
        <f>_xll.ciqfunctions.udf.CIQ(D162,"IQ_Company_Name")</f>
        <v>OceanaGold Corporation</v>
      </c>
      <c r="F162" s="114">
        <f t="shared" si="138"/>
        <v>2024</v>
      </c>
      <c r="G162" s="114" t="str">
        <f t="shared" si="89"/>
        <v>2024-01-01</v>
      </c>
      <c r="H162" s="330" t="str">
        <f t="shared" si="108"/>
        <v>2024-12-31</v>
      </c>
      <c r="I162" s="114">
        <f t="shared" si="99"/>
        <v>12</v>
      </c>
      <c r="J162" s="407" t="s">
        <v>285</v>
      </c>
      <c r="K162" s="439">
        <f t="shared" si="87"/>
        <v>1.3701700000000001</v>
      </c>
      <c r="L162" s="445"/>
      <c r="M162" s="445"/>
      <c r="N162" s="122" t="str">
        <f t="shared" ref="N162:P163" si="141">N161</f>
        <v>CFO</v>
      </c>
      <c r="O162" s="123" t="str">
        <f>O161</f>
        <v>EVP &amp; CFO</v>
      </c>
      <c r="P162" s="132" t="str">
        <f>P161</f>
        <v>Marius van Niekerk</v>
      </c>
      <c r="Q162" s="219">
        <v>409883</v>
      </c>
      <c r="R162" s="125">
        <f t="shared" si="113"/>
        <v>561609.39011000004</v>
      </c>
      <c r="S162" s="311" t="s">
        <v>78</v>
      </c>
      <c r="T162" s="126" t="str">
        <f t="shared" si="124"/>
        <v>-</v>
      </c>
      <c r="U162" s="221">
        <v>203932</v>
      </c>
      <c r="V162" s="125">
        <f t="shared" si="130"/>
        <v>279421.50844000001</v>
      </c>
      <c r="W162" s="127">
        <f t="shared" si="95"/>
        <v>0.4975371020510731</v>
      </c>
      <c r="X162" s="128"/>
      <c r="Y162" s="223" t="s">
        <v>78</v>
      </c>
      <c r="Z162" s="129">
        <f t="shared" si="96"/>
        <v>0</v>
      </c>
      <c r="AA162" s="124">
        <f t="shared" si="131"/>
        <v>841030.89855000004</v>
      </c>
      <c r="AB162" s="130">
        <f t="shared" si="132"/>
        <v>561609.39011000004</v>
      </c>
      <c r="AC162" s="221">
        <f>0.3*1075323</f>
        <v>322596.89999999997</v>
      </c>
      <c r="AD162" s="221">
        <f>0.7*1075323</f>
        <v>752726.1</v>
      </c>
      <c r="AE162" s="225" t="s">
        <v>78</v>
      </c>
      <c r="AF162" s="225" t="s">
        <v>78</v>
      </c>
      <c r="AG162" s="225" t="s">
        <v>78</v>
      </c>
      <c r="AH162" s="125">
        <f t="shared" si="133"/>
        <v>1075323</v>
      </c>
      <c r="AI162" s="127">
        <f t="shared" si="97"/>
        <v>2.6234876781910939</v>
      </c>
      <c r="AJ162" s="128"/>
      <c r="AK162" s="223" t="s">
        <v>78</v>
      </c>
      <c r="AL162" s="131">
        <f t="shared" si="98"/>
        <v>0</v>
      </c>
      <c r="AM162" s="368">
        <f t="shared" si="122"/>
        <v>1473375.3149100002</v>
      </c>
      <c r="AN162" s="375">
        <f t="shared" si="134"/>
        <v>2314406.2134600002</v>
      </c>
      <c r="AO162" s="376">
        <f t="shared" si="103"/>
        <v>561609.39011000004</v>
      </c>
      <c r="AP162" s="394">
        <v>9262</v>
      </c>
      <c r="AQ162" s="395" t="s">
        <v>490</v>
      </c>
      <c r="AR162" s="396">
        <f t="shared" si="139"/>
        <v>12690.51454</v>
      </c>
      <c r="AS162" s="397"/>
      <c r="AT162" s="401" t="s">
        <v>78</v>
      </c>
      <c r="AU162" s="396" t="str">
        <f t="shared" si="140"/>
        <v>-</v>
      </c>
      <c r="AV162" s="397"/>
      <c r="AW162" s="388">
        <f t="shared" si="104"/>
        <v>2327096.7280000001</v>
      </c>
      <c r="AX162" s="389">
        <f t="shared" si="105"/>
        <v>574299.90465000004</v>
      </c>
      <c r="AY162" s="353" t="s">
        <v>78</v>
      </c>
      <c r="AZ162" s="403" t="s">
        <v>548</v>
      </c>
      <c r="BA162" s="404" t="s">
        <v>353</v>
      </c>
    </row>
    <row r="163" spans="1:54" ht="15" customHeight="1">
      <c r="A163" s="1" t="str">
        <f t="shared" si="136"/>
        <v>TSX:OGC_2023_</v>
      </c>
      <c r="B163" s="1" t="str">
        <f t="shared" si="85"/>
        <v>TSX:OGC_2023_CFO</v>
      </c>
      <c r="C163" s="1" t="str">
        <f t="shared" si="137"/>
        <v>TSX:OGC_2023_</v>
      </c>
      <c r="D163" s="114" t="str">
        <f t="shared" si="116"/>
        <v>TSX:OGC</v>
      </c>
      <c r="E163" s="133" t="str">
        <f>_xll.ciqfunctions.udf.CIQ(D163,"IQ_Company_Name")</f>
        <v>OceanaGold Corporation</v>
      </c>
      <c r="F163" s="114">
        <f t="shared" si="138"/>
        <v>2023</v>
      </c>
      <c r="G163" s="952" t="str">
        <f>F163&amp;"-05-23"</f>
        <v>2023-05-23</v>
      </c>
      <c r="H163" s="330" t="str">
        <f t="shared" si="108"/>
        <v>2023-12-31</v>
      </c>
      <c r="I163" s="114">
        <f t="shared" si="99"/>
        <v>7.3186813186813193</v>
      </c>
      <c r="J163" s="407" t="s">
        <v>285</v>
      </c>
      <c r="K163" s="439">
        <f t="shared" si="87"/>
        <v>1.34954</v>
      </c>
      <c r="L163" s="445"/>
      <c r="M163" s="445"/>
      <c r="N163" s="122" t="str">
        <f t="shared" si="141"/>
        <v>CFO</v>
      </c>
      <c r="O163" s="123" t="str">
        <f t="shared" si="141"/>
        <v>EVP &amp; CFO</v>
      </c>
      <c r="P163" s="132" t="str">
        <f t="shared" si="141"/>
        <v>Marius van Niekerk</v>
      </c>
      <c r="Q163" s="219" t="s">
        <v>78</v>
      </c>
      <c r="R163" s="125" t="str">
        <f t="shared" si="113"/>
        <v>-</v>
      </c>
      <c r="S163" s="311" t="s">
        <v>78</v>
      </c>
      <c r="T163" s="126" t="str">
        <f t="shared" si="124"/>
        <v>-</v>
      </c>
      <c r="U163" s="221" t="s">
        <v>78</v>
      </c>
      <c r="V163" s="125" t="str">
        <f t="shared" si="130"/>
        <v>-</v>
      </c>
      <c r="W163" s="127" t="str">
        <f t="shared" si="95"/>
        <v>-</v>
      </c>
      <c r="X163" s="128"/>
      <c r="Y163" s="223" t="s">
        <v>78</v>
      </c>
      <c r="Z163" s="129" t="str">
        <f t="shared" si="96"/>
        <v>-</v>
      </c>
      <c r="AA163" s="124" t="str">
        <f t="shared" si="131"/>
        <v>-</v>
      </c>
      <c r="AB163" s="130" t="str">
        <f t="shared" si="132"/>
        <v>-</v>
      </c>
      <c r="AC163" s="221" t="s">
        <v>78</v>
      </c>
      <c r="AD163" s="221" t="s">
        <v>78</v>
      </c>
      <c r="AE163" s="225" t="s">
        <v>78</v>
      </c>
      <c r="AF163" s="225" t="s">
        <v>78</v>
      </c>
      <c r="AG163" s="225" t="s">
        <v>78</v>
      </c>
      <c r="AH163" s="125" t="str">
        <f t="shared" si="133"/>
        <v>-</v>
      </c>
      <c r="AI163" s="127" t="str">
        <f t="shared" si="97"/>
        <v>-</v>
      </c>
      <c r="AJ163" s="128"/>
      <c r="AK163" s="223" t="s">
        <v>78</v>
      </c>
      <c r="AL163" s="131" t="str">
        <f t="shared" si="98"/>
        <v>-</v>
      </c>
      <c r="AM163" s="368" t="str">
        <f t="shared" si="122"/>
        <v>-</v>
      </c>
      <c r="AN163" s="375" t="str">
        <f t="shared" si="134"/>
        <v>-</v>
      </c>
      <c r="AO163" s="376" t="str">
        <f t="shared" si="103"/>
        <v>-</v>
      </c>
      <c r="AP163" s="394" t="s">
        <v>78</v>
      </c>
      <c r="AQ163" s="395" t="s">
        <v>78</v>
      </c>
      <c r="AR163" s="396" t="str">
        <f t="shared" si="139"/>
        <v>-</v>
      </c>
      <c r="AS163" s="397"/>
      <c r="AT163" s="401" t="s">
        <v>78</v>
      </c>
      <c r="AU163" s="396" t="str">
        <f t="shared" si="140"/>
        <v>-</v>
      </c>
      <c r="AV163" s="397"/>
      <c r="AW163" s="388" t="str">
        <f t="shared" si="104"/>
        <v>-</v>
      </c>
      <c r="AX163" s="389" t="str">
        <f t="shared" si="105"/>
        <v>-</v>
      </c>
      <c r="AY163" s="353" t="s">
        <v>78</v>
      </c>
      <c r="AZ163" s="403" t="s">
        <v>548</v>
      </c>
      <c r="BA163" s="404" t="s">
        <v>353</v>
      </c>
    </row>
    <row r="164" spans="1:54" ht="15" customHeight="1">
      <c r="A164" s="1" t="str">
        <f t="shared" si="136"/>
        <v>TSX:OGC_2025_COO</v>
      </c>
      <c r="B164" s="1" t="str">
        <f t="shared" si="85"/>
        <v>TSX:OGC_2025_NEO1</v>
      </c>
      <c r="C164" s="1" t="str">
        <f t="shared" si="137"/>
        <v>TSX:OGC_2025_2nd Highest</v>
      </c>
      <c r="D164" s="114" t="str">
        <f t="shared" si="116"/>
        <v>TSX:OGC</v>
      </c>
      <c r="E164" s="133" t="str">
        <f>_xll.ciqfunctions.udf.CIQ(D164,"IQ_Company_Name")</f>
        <v>OceanaGold Corporation</v>
      </c>
      <c r="F164" s="114">
        <f t="shared" si="138"/>
        <v>2025</v>
      </c>
      <c r="G164" s="954" t="str">
        <f>F164&amp;"-09-01"</f>
        <v>2025-09-01</v>
      </c>
      <c r="H164" s="330" t="str">
        <f t="shared" si="108"/>
        <v>2025-12-31</v>
      </c>
      <c r="I164" s="952">
        <v>12</v>
      </c>
      <c r="J164" s="407" t="s">
        <v>285</v>
      </c>
      <c r="K164" s="439">
        <f t="shared" si="87"/>
        <v>1.3974500000000001</v>
      </c>
      <c r="L164" s="445" t="s">
        <v>272</v>
      </c>
      <c r="M164" s="445" t="s">
        <v>669</v>
      </c>
      <c r="N164" s="351" t="s">
        <v>107</v>
      </c>
      <c r="O164" s="217" t="s">
        <v>318</v>
      </c>
      <c r="P164" s="959" t="s">
        <v>588</v>
      </c>
      <c r="Q164" s="219">
        <v>436558</v>
      </c>
      <c r="R164" s="125">
        <f t="shared" si="113"/>
        <v>610067.97710000002</v>
      </c>
      <c r="S164" s="311" t="s">
        <v>78</v>
      </c>
      <c r="T164" s="126" t="str">
        <f t="shared" si="124"/>
        <v>-</v>
      </c>
      <c r="U164" s="221">
        <v>570963</v>
      </c>
      <c r="V164" s="125">
        <f t="shared" si="130"/>
        <v>797892.24435000005</v>
      </c>
      <c r="W164" s="127">
        <f t="shared" si="95"/>
        <v>1.3078743259773042</v>
      </c>
      <c r="X164" s="128">
        <f>IFERROR(AVERAGE(W164:W166),"N/A")</f>
        <v>1.3078743259773042</v>
      </c>
      <c r="Y164" s="223">
        <v>0.7</v>
      </c>
      <c r="Z164" s="129">
        <f t="shared" si="96"/>
        <v>427047.58396999998</v>
      </c>
      <c r="AA164" s="124">
        <f t="shared" si="131"/>
        <v>1407960.2214500001</v>
      </c>
      <c r="AB164" s="130">
        <f t="shared" si="132"/>
        <v>1037115.5610700001</v>
      </c>
      <c r="AC164" s="221">
        <f>0.3*1866405</f>
        <v>559921.5</v>
      </c>
      <c r="AD164" s="221">
        <f>0.7*1866405</f>
        <v>1306483.5</v>
      </c>
      <c r="AE164" s="225" t="s">
        <v>78</v>
      </c>
      <c r="AF164" s="225" t="s">
        <v>78</v>
      </c>
      <c r="AG164" s="225" t="s">
        <v>78</v>
      </c>
      <c r="AH164" s="125">
        <f t="shared" si="133"/>
        <v>1866405</v>
      </c>
      <c r="AI164" s="127">
        <f t="shared" si="97"/>
        <v>4.2752738467740823</v>
      </c>
      <c r="AJ164" s="128">
        <f>IFERROR(AVERAGE(AI164:AI166),"N/A")</f>
        <v>4.2752738467740823</v>
      </c>
      <c r="AK164" s="223" t="s">
        <v>78</v>
      </c>
      <c r="AL164" s="131">
        <f t="shared" si="98"/>
        <v>2608207.6672499999</v>
      </c>
      <c r="AM164" s="368">
        <f t="shared" si="122"/>
        <v>2608207.6672499999</v>
      </c>
      <c r="AN164" s="375">
        <f t="shared" si="134"/>
        <v>4016167.8887</v>
      </c>
      <c r="AO164" s="376">
        <f t="shared" si="103"/>
        <v>3645323.2283199998</v>
      </c>
      <c r="AP164" s="394">
        <v>28534</v>
      </c>
      <c r="AQ164" s="395" t="s">
        <v>490</v>
      </c>
      <c r="AR164" s="396">
        <f t="shared" si="139"/>
        <v>39874.838300000003</v>
      </c>
      <c r="AS164" s="397">
        <f>IFERROR(AVERAGE(AR164:AR166),"N/A")</f>
        <v>39874.838300000003</v>
      </c>
      <c r="AT164" s="401" t="s">
        <v>78</v>
      </c>
      <c r="AU164" s="396" t="str">
        <f t="shared" si="140"/>
        <v>-</v>
      </c>
      <c r="AV164" s="397" t="str">
        <f>IFERROR(AVERAGE(AU164:AU166),"N/A")</f>
        <v>N/A</v>
      </c>
      <c r="AW164" s="388">
        <f t="shared" si="104"/>
        <v>4056042.727</v>
      </c>
      <c r="AX164" s="389">
        <f t="shared" si="105"/>
        <v>3685198.0666199997</v>
      </c>
      <c r="AY164" s="353" t="s">
        <v>634</v>
      </c>
      <c r="AZ164" s="403" t="s">
        <v>548</v>
      </c>
      <c r="BA164" s="404" t="s">
        <v>353</v>
      </c>
      <c r="BB164" s="1" t="s">
        <v>657</v>
      </c>
    </row>
    <row r="165" spans="1:54" ht="15" customHeight="1">
      <c r="A165" s="1" t="str">
        <f t="shared" si="136"/>
        <v>TSX:OGC_2024_COO</v>
      </c>
      <c r="B165" s="1" t="str">
        <f t="shared" si="85"/>
        <v>TSX:OGC_2024_NEO1</v>
      </c>
      <c r="C165" s="1" t="str">
        <f t="shared" si="137"/>
        <v>TSX:OGC_2024_</v>
      </c>
      <c r="D165" s="114" t="str">
        <f t="shared" si="116"/>
        <v>TSX:OGC</v>
      </c>
      <c r="E165" s="133" t="str">
        <f>_xll.ciqfunctions.udf.CIQ(D165,"IQ_Company_Name")</f>
        <v>OceanaGold Corporation</v>
      </c>
      <c r="F165" s="114">
        <f t="shared" si="138"/>
        <v>2024</v>
      </c>
      <c r="G165" s="330" t="str">
        <f t="shared" si="89"/>
        <v>2024-01-01</v>
      </c>
      <c r="H165" s="330" t="str">
        <f t="shared" si="108"/>
        <v>2024-12-31</v>
      </c>
      <c r="I165" s="114">
        <f t="shared" si="99"/>
        <v>12</v>
      </c>
      <c r="J165" s="407" t="s">
        <v>285</v>
      </c>
      <c r="K165" s="439">
        <f t="shared" si="87"/>
        <v>1.3701700000000001</v>
      </c>
      <c r="L165" s="445" t="s">
        <v>272</v>
      </c>
      <c r="M165" s="445"/>
      <c r="N165" s="122" t="str">
        <f t="shared" ref="N165:P166" si="142">N164</f>
        <v>NEO1</v>
      </c>
      <c r="O165" s="123" t="str">
        <f>O164</f>
        <v>EVP &amp; COO</v>
      </c>
      <c r="P165" s="132" t="str">
        <f>P164</f>
        <v>Bhuvanesh Malhotra</v>
      </c>
      <c r="Q165" s="219" t="s">
        <v>78</v>
      </c>
      <c r="R165" s="125" t="str">
        <f t="shared" si="113"/>
        <v>-</v>
      </c>
      <c r="S165" s="311" t="s">
        <v>78</v>
      </c>
      <c r="T165" s="126" t="str">
        <f t="shared" si="124"/>
        <v>-</v>
      </c>
      <c r="U165" s="221" t="s">
        <v>78</v>
      </c>
      <c r="V165" s="125" t="str">
        <f t="shared" si="130"/>
        <v>-</v>
      </c>
      <c r="W165" s="127" t="str">
        <f t="shared" si="95"/>
        <v>-</v>
      </c>
      <c r="X165" s="128"/>
      <c r="Y165" s="223" t="s">
        <v>78</v>
      </c>
      <c r="Z165" s="129" t="str">
        <f t="shared" si="96"/>
        <v>-</v>
      </c>
      <c r="AA165" s="124" t="str">
        <f t="shared" si="131"/>
        <v>-</v>
      </c>
      <c r="AB165" s="130" t="str">
        <f t="shared" si="132"/>
        <v>-</v>
      </c>
      <c r="AC165" s="221" t="s">
        <v>78</v>
      </c>
      <c r="AD165" s="221" t="s">
        <v>78</v>
      </c>
      <c r="AE165" s="225" t="s">
        <v>78</v>
      </c>
      <c r="AF165" s="225" t="s">
        <v>78</v>
      </c>
      <c r="AG165" s="225" t="s">
        <v>78</v>
      </c>
      <c r="AH165" s="125" t="str">
        <f t="shared" si="133"/>
        <v>-</v>
      </c>
      <c r="AI165" s="127" t="str">
        <f t="shared" si="97"/>
        <v>-</v>
      </c>
      <c r="AJ165" s="128"/>
      <c r="AK165" s="223" t="s">
        <v>78</v>
      </c>
      <c r="AL165" s="131" t="str">
        <f t="shared" si="98"/>
        <v>-</v>
      </c>
      <c r="AM165" s="368" t="str">
        <f t="shared" si="122"/>
        <v>-</v>
      </c>
      <c r="AN165" s="375" t="str">
        <f t="shared" si="134"/>
        <v>-</v>
      </c>
      <c r="AO165" s="376" t="str">
        <f t="shared" si="103"/>
        <v>-</v>
      </c>
      <c r="AP165" s="394" t="s">
        <v>78</v>
      </c>
      <c r="AQ165" s="395" t="s">
        <v>78</v>
      </c>
      <c r="AR165" s="396" t="str">
        <f t="shared" si="139"/>
        <v>-</v>
      </c>
      <c r="AS165" s="397"/>
      <c r="AT165" s="401" t="s">
        <v>78</v>
      </c>
      <c r="AU165" s="396" t="str">
        <f t="shared" si="140"/>
        <v>-</v>
      </c>
      <c r="AV165" s="397"/>
      <c r="AW165" s="388" t="str">
        <f t="shared" si="104"/>
        <v>-</v>
      </c>
      <c r="AX165" s="389" t="str">
        <f t="shared" si="105"/>
        <v>-</v>
      </c>
      <c r="AY165" s="353" t="s">
        <v>78</v>
      </c>
      <c r="AZ165" s="403" t="s">
        <v>548</v>
      </c>
      <c r="BA165" s="404" t="s">
        <v>353</v>
      </c>
    </row>
    <row r="166" spans="1:54" ht="15" customHeight="1">
      <c r="A166" s="1" t="str">
        <f t="shared" si="136"/>
        <v>TSX:OGC_2023_COO</v>
      </c>
      <c r="B166" s="1" t="str">
        <f t="shared" ref="B166:B229" si="143">$D166&amp;"_"&amp;$F166&amp;"_"&amp;$N166</f>
        <v>TSX:OGC_2023_NEO1</v>
      </c>
      <c r="C166" s="1" t="str">
        <f t="shared" si="137"/>
        <v>TSX:OGC_2023_</v>
      </c>
      <c r="D166" s="114" t="str">
        <f t="shared" si="116"/>
        <v>TSX:OGC</v>
      </c>
      <c r="E166" s="133" t="str">
        <f>_xll.ciqfunctions.udf.CIQ(D166,"IQ_Company_Name")</f>
        <v>OceanaGold Corporation</v>
      </c>
      <c r="F166" s="114">
        <f t="shared" si="138"/>
        <v>2023</v>
      </c>
      <c r="G166" s="114" t="str">
        <f t="shared" si="89"/>
        <v>2023-01-01</v>
      </c>
      <c r="H166" s="330" t="str">
        <f t="shared" si="108"/>
        <v>2023-12-31</v>
      </c>
      <c r="I166" s="114">
        <f t="shared" si="99"/>
        <v>12</v>
      </c>
      <c r="J166" s="407" t="s">
        <v>285</v>
      </c>
      <c r="K166" s="439">
        <f t="shared" si="87"/>
        <v>1.34954</v>
      </c>
      <c r="L166" s="445" t="s">
        <v>272</v>
      </c>
      <c r="M166" s="445"/>
      <c r="N166" s="122" t="str">
        <f t="shared" si="142"/>
        <v>NEO1</v>
      </c>
      <c r="O166" s="123" t="str">
        <f t="shared" si="142"/>
        <v>EVP &amp; COO</v>
      </c>
      <c r="P166" s="132" t="str">
        <f t="shared" si="142"/>
        <v>Bhuvanesh Malhotra</v>
      </c>
      <c r="Q166" s="219" t="s">
        <v>78</v>
      </c>
      <c r="R166" s="125" t="str">
        <f t="shared" si="113"/>
        <v>-</v>
      </c>
      <c r="S166" s="311" t="s">
        <v>78</v>
      </c>
      <c r="T166" s="126" t="str">
        <f t="shared" si="124"/>
        <v>-</v>
      </c>
      <c r="U166" s="221" t="s">
        <v>78</v>
      </c>
      <c r="V166" s="125" t="str">
        <f t="shared" si="130"/>
        <v>-</v>
      </c>
      <c r="W166" s="127" t="str">
        <f t="shared" si="95"/>
        <v>-</v>
      </c>
      <c r="X166" s="128"/>
      <c r="Y166" s="223" t="s">
        <v>78</v>
      </c>
      <c r="Z166" s="129" t="str">
        <f t="shared" si="96"/>
        <v>-</v>
      </c>
      <c r="AA166" s="124" t="str">
        <f t="shared" si="131"/>
        <v>-</v>
      </c>
      <c r="AB166" s="130" t="str">
        <f t="shared" si="132"/>
        <v>-</v>
      </c>
      <c r="AC166" s="221" t="s">
        <v>78</v>
      </c>
      <c r="AD166" s="221" t="s">
        <v>78</v>
      </c>
      <c r="AE166" s="225" t="s">
        <v>78</v>
      </c>
      <c r="AF166" s="225" t="s">
        <v>78</v>
      </c>
      <c r="AG166" s="225" t="s">
        <v>78</v>
      </c>
      <c r="AH166" s="125" t="str">
        <f t="shared" si="133"/>
        <v>-</v>
      </c>
      <c r="AI166" s="127" t="str">
        <f t="shared" si="97"/>
        <v>-</v>
      </c>
      <c r="AJ166" s="128"/>
      <c r="AK166" s="223" t="s">
        <v>78</v>
      </c>
      <c r="AL166" s="131" t="str">
        <f t="shared" si="98"/>
        <v>-</v>
      </c>
      <c r="AM166" s="368" t="str">
        <f t="shared" si="122"/>
        <v>-</v>
      </c>
      <c r="AN166" s="375" t="str">
        <f t="shared" si="134"/>
        <v>-</v>
      </c>
      <c r="AO166" s="376" t="str">
        <f t="shared" si="103"/>
        <v>-</v>
      </c>
      <c r="AP166" s="394" t="s">
        <v>78</v>
      </c>
      <c r="AQ166" s="395" t="s">
        <v>78</v>
      </c>
      <c r="AR166" s="396" t="str">
        <f t="shared" si="139"/>
        <v>-</v>
      </c>
      <c r="AS166" s="397"/>
      <c r="AT166" s="401" t="s">
        <v>78</v>
      </c>
      <c r="AU166" s="396" t="str">
        <f t="shared" si="140"/>
        <v>-</v>
      </c>
      <c r="AV166" s="397"/>
      <c r="AW166" s="388" t="str">
        <f t="shared" si="104"/>
        <v>-</v>
      </c>
      <c r="AX166" s="389" t="str">
        <f t="shared" si="105"/>
        <v>-</v>
      </c>
      <c r="AY166" s="353" t="s">
        <v>78</v>
      </c>
      <c r="AZ166" s="403" t="s">
        <v>548</v>
      </c>
      <c r="BA166" s="404" t="s">
        <v>353</v>
      </c>
    </row>
    <row r="167" spans="1:54" ht="15" customHeight="1">
      <c r="A167" s="1" t="str">
        <f t="shared" si="136"/>
        <v>TSX:OGC_2025_Tech</v>
      </c>
      <c r="B167" s="1" t="str">
        <f t="shared" si="143"/>
        <v>TSX:OGC_2025_NEO2</v>
      </c>
      <c r="C167" s="1" t="str">
        <f t="shared" si="137"/>
        <v>TSX:OGC_2025_</v>
      </c>
      <c r="D167" s="114" t="str">
        <f t="shared" si="116"/>
        <v>TSX:OGC</v>
      </c>
      <c r="E167" s="133" t="str">
        <f>_xll.ciqfunctions.udf.CIQ(D167,"IQ_Company_Name")</f>
        <v>OceanaGold Corporation</v>
      </c>
      <c r="F167" s="114">
        <f t="shared" si="138"/>
        <v>2025</v>
      </c>
      <c r="G167" s="114" t="str">
        <f t="shared" si="89"/>
        <v>2025-01-01</v>
      </c>
      <c r="H167" s="330" t="str">
        <f t="shared" si="108"/>
        <v>2025-12-31</v>
      </c>
      <c r="I167" s="114">
        <f t="shared" si="99"/>
        <v>12</v>
      </c>
      <c r="J167" s="407" t="s">
        <v>285</v>
      </c>
      <c r="K167" s="439">
        <f t="shared" ref="K167:K230" si="144">IF($J167="CAD",1,IF($J167="USD",VLOOKUP($F167,$G$9:$H$11,2,FALSE),"N/A"))</f>
        <v>1.3974500000000001</v>
      </c>
      <c r="L167" s="445" t="s">
        <v>361</v>
      </c>
      <c r="M167" s="445"/>
      <c r="N167" s="351" t="s">
        <v>108</v>
      </c>
      <c r="O167" s="217" t="s">
        <v>570</v>
      </c>
      <c r="P167" s="959" t="s">
        <v>589</v>
      </c>
      <c r="Q167" s="219">
        <v>349389</v>
      </c>
      <c r="R167" s="125">
        <f t="shared" si="113"/>
        <v>488253.65805000003</v>
      </c>
      <c r="S167" s="311" t="s">
        <v>78</v>
      </c>
      <c r="T167" s="126" t="str">
        <f t="shared" si="124"/>
        <v>-</v>
      </c>
      <c r="U167" s="221">
        <v>349852</v>
      </c>
      <c r="V167" s="125">
        <f t="shared" si="130"/>
        <v>488900.67740000004</v>
      </c>
      <c r="W167" s="127">
        <f t="shared" si="95"/>
        <v>1.0013251705119508</v>
      </c>
      <c r="X167" s="128">
        <f>IFERROR(AVERAGE(W167:W169),"N/A")</f>
        <v>0.75371441910430881</v>
      </c>
      <c r="Y167" s="223">
        <v>0.6</v>
      </c>
      <c r="Z167" s="129">
        <f t="shared" si="96"/>
        <v>292952.19482999999</v>
      </c>
      <c r="AA167" s="124">
        <f t="shared" si="131"/>
        <v>977154.33545000013</v>
      </c>
      <c r="AB167" s="130">
        <f t="shared" si="132"/>
        <v>781205.85288000002</v>
      </c>
      <c r="AC167" s="221">
        <f>0.3*877566</f>
        <v>263269.8</v>
      </c>
      <c r="AD167" s="221">
        <f>0.7*877566</f>
        <v>614296.19999999995</v>
      </c>
      <c r="AE167" s="225" t="s">
        <v>78</v>
      </c>
      <c r="AF167" s="225" t="s">
        <v>78</v>
      </c>
      <c r="AG167" s="225" t="s">
        <v>78</v>
      </c>
      <c r="AH167" s="125">
        <f t="shared" si="133"/>
        <v>877566</v>
      </c>
      <c r="AI167" s="127">
        <f t="shared" si="97"/>
        <v>2.5117161673664596</v>
      </c>
      <c r="AJ167" s="128">
        <f>IFERROR(AVERAGE(AI167:AI169),"N/A")</f>
        <v>2.6136371303019379</v>
      </c>
      <c r="AK167" s="223" t="s">
        <v>78</v>
      </c>
      <c r="AL167" s="131">
        <f t="shared" si="98"/>
        <v>1276117.8896852257</v>
      </c>
      <c r="AM167" s="368">
        <f t="shared" si="122"/>
        <v>1226354.6067000001</v>
      </c>
      <c r="AN167" s="375">
        <f t="shared" si="134"/>
        <v>2203508.9421500005</v>
      </c>
      <c r="AO167" s="376">
        <f t="shared" si="103"/>
        <v>2057323.7425652258</v>
      </c>
      <c r="AP167" s="394">
        <v>24990</v>
      </c>
      <c r="AQ167" s="395" t="s">
        <v>490</v>
      </c>
      <c r="AR167" s="396">
        <f t="shared" si="139"/>
        <v>34922.275500000003</v>
      </c>
      <c r="AS167" s="397">
        <f>IFERROR(AVERAGE(AR167:AR169),"N/A")</f>
        <v>30409.244250000003</v>
      </c>
      <c r="AT167" s="401" t="s">
        <v>78</v>
      </c>
      <c r="AU167" s="396" t="str">
        <f t="shared" si="140"/>
        <v>-</v>
      </c>
      <c r="AV167" s="397" t="str">
        <f>IFERROR(AVERAGE(AU167:AU169),"N/A")</f>
        <v>N/A</v>
      </c>
      <c r="AW167" s="388">
        <f t="shared" si="104"/>
        <v>2238431.2176500005</v>
      </c>
      <c r="AX167" s="389">
        <f t="shared" si="105"/>
        <v>2092246.0180652258</v>
      </c>
      <c r="AY167" s="353" t="s">
        <v>635</v>
      </c>
      <c r="AZ167" s="403" t="s">
        <v>548</v>
      </c>
      <c r="BA167" s="404" t="s">
        <v>353</v>
      </c>
    </row>
    <row r="168" spans="1:54" ht="15" customHeight="1">
      <c r="A168" s="1" t="str">
        <f t="shared" si="136"/>
        <v>TSX:OGC_2024_Tech</v>
      </c>
      <c r="B168" s="1" t="str">
        <f t="shared" si="143"/>
        <v>TSX:OGC_2024_NEO2</v>
      </c>
      <c r="C168" s="1" t="str">
        <f t="shared" si="137"/>
        <v>TSX:OGC_2024_</v>
      </c>
      <c r="D168" s="114" t="str">
        <f t="shared" si="116"/>
        <v>TSX:OGC</v>
      </c>
      <c r="E168" s="133" t="str">
        <f>_xll.ciqfunctions.udf.CIQ(D168,"IQ_Company_Name")</f>
        <v>OceanaGold Corporation</v>
      </c>
      <c r="F168" s="114">
        <f t="shared" si="138"/>
        <v>2024</v>
      </c>
      <c r="G168" s="114" t="str">
        <f t="shared" ref="G168:G231" si="145">F168&amp;"-01-01"</f>
        <v>2024-01-01</v>
      </c>
      <c r="H168" s="330" t="str">
        <f t="shared" si="108"/>
        <v>2024-12-31</v>
      </c>
      <c r="I168" s="114">
        <f t="shared" si="99"/>
        <v>12</v>
      </c>
      <c r="J168" s="407" t="s">
        <v>285</v>
      </c>
      <c r="K168" s="439">
        <f t="shared" si="144"/>
        <v>1.3701700000000001</v>
      </c>
      <c r="L168" s="445" t="s">
        <v>361</v>
      </c>
      <c r="M168" s="445"/>
      <c r="N168" s="122" t="str">
        <f t="shared" ref="N168:P169" si="146">N167</f>
        <v>NEO2</v>
      </c>
      <c r="O168" s="123" t="str">
        <f>O167</f>
        <v>EVP &amp; CPO &amp; CTO</v>
      </c>
      <c r="P168" s="132" t="str">
        <f>P167</f>
        <v>Michelle Edelson</v>
      </c>
      <c r="Q168" s="219">
        <v>327508</v>
      </c>
      <c r="R168" s="125">
        <f t="shared" si="113"/>
        <v>448741.63636000006</v>
      </c>
      <c r="S168" s="311" t="s">
        <v>78</v>
      </c>
      <c r="T168" s="126" t="str">
        <f t="shared" si="124"/>
        <v>-</v>
      </c>
      <c r="U168" s="221">
        <v>165753</v>
      </c>
      <c r="V168" s="125">
        <f t="shared" si="130"/>
        <v>227109.78801000002</v>
      </c>
      <c r="W168" s="127">
        <f t="shared" si="95"/>
        <v>0.50610366769666693</v>
      </c>
      <c r="X168" s="128"/>
      <c r="Y168" s="223" t="s">
        <v>78</v>
      </c>
      <c r="Z168" s="129">
        <f t="shared" si="96"/>
        <v>0</v>
      </c>
      <c r="AA168" s="124">
        <f t="shared" si="131"/>
        <v>675851.42437000014</v>
      </c>
      <c r="AB168" s="130">
        <f t="shared" si="132"/>
        <v>448741.63636000006</v>
      </c>
      <c r="AC168" s="221">
        <f>0.3*889367</f>
        <v>266810.09999999998</v>
      </c>
      <c r="AD168" s="221">
        <f>0.7*889367</f>
        <v>622556.89999999991</v>
      </c>
      <c r="AE168" s="225" t="s">
        <v>78</v>
      </c>
      <c r="AF168" s="225" t="s">
        <v>78</v>
      </c>
      <c r="AG168" s="225" t="s">
        <v>78</v>
      </c>
      <c r="AH168" s="125">
        <f t="shared" si="133"/>
        <v>889366.99999999988</v>
      </c>
      <c r="AI168" s="127">
        <f t="shared" si="97"/>
        <v>2.7155580932374166</v>
      </c>
      <c r="AJ168" s="128"/>
      <c r="AK168" s="223" t="s">
        <v>78</v>
      </c>
      <c r="AL168" s="131">
        <f t="shared" si="98"/>
        <v>0</v>
      </c>
      <c r="AM168" s="368">
        <f t="shared" si="122"/>
        <v>1218583.98239</v>
      </c>
      <c r="AN168" s="375">
        <f t="shared" si="134"/>
        <v>1894435.4067600002</v>
      </c>
      <c r="AO168" s="376">
        <f t="shared" si="103"/>
        <v>448741.63636000006</v>
      </c>
      <c r="AP168" s="394">
        <v>18900</v>
      </c>
      <c r="AQ168" s="395" t="s">
        <v>490</v>
      </c>
      <c r="AR168" s="396">
        <f t="shared" si="139"/>
        <v>25896.213000000003</v>
      </c>
      <c r="AS168" s="397"/>
      <c r="AT168" s="401" t="s">
        <v>78</v>
      </c>
      <c r="AU168" s="396" t="str">
        <f t="shared" si="140"/>
        <v>-</v>
      </c>
      <c r="AV168" s="397"/>
      <c r="AW168" s="388">
        <f t="shared" si="104"/>
        <v>1920331.6197600001</v>
      </c>
      <c r="AX168" s="389">
        <f t="shared" si="105"/>
        <v>474637.84936000005</v>
      </c>
      <c r="AY168" s="353" t="s">
        <v>78</v>
      </c>
      <c r="AZ168" s="403" t="s">
        <v>548</v>
      </c>
      <c r="BA168" s="404" t="s">
        <v>353</v>
      </c>
    </row>
    <row r="169" spans="1:54" ht="15" customHeight="1">
      <c r="A169" s="1" t="str">
        <f t="shared" si="136"/>
        <v>TSX:OGC_2023_Tech</v>
      </c>
      <c r="B169" s="1" t="str">
        <f t="shared" si="143"/>
        <v>TSX:OGC_2023_NEO2</v>
      </c>
      <c r="C169" s="1" t="str">
        <f t="shared" si="137"/>
        <v>TSX:OGC_2023_</v>
      </c>
      <c r="D169" s="114" t="str">
        <f t="shared" si="116"/>
        <v>TSX:OGC</v>
      </c>
      <c r="E169" s="133" t="str">
        <f>_xll.ciqfunctions.udf.CIQ(D169,"IQ_Company_Name")</f>
        <v>OceanaGold Corporation</v>
      </c>
      <c r="F169" s="114">
        <f t="shared" si="138"/>
        <v>2023</v>
      </c>
      <c r="G169" s="952" t="str">
        <f>F169&amp;"-03-01"</f>
        <v>2023-03-01</v>
      </c>
      <c r="H169" s="330" t="str">
        <f t="shared" si="108"/>
        <v>2023-12-31</v>
      </c>
      <c r="I169" s="114">
        <f t="shared" si="99"/>
        <v>10.054945054945055</v>
      </c>
      <c r="J169" s="407" t="s">
        <v>285</v>
      </c>
      <c r="K169" s="439">
        <f t="shared" si="144"/>
        <v>1.34954</v>
      </c>
      <c r="L169" s="445" t="s">
        <v>361</v>
      </c>
      <c r="M169" s="445"/>
      <c r="N169" s="122" t="str">
        <f t="shared" si="146"/>
        <v>NEO2</v>
      </c>
      <c r="O169" s="123" t="str">
        <f t="shared" si="146"/>
        <v>EVP &amp; CPO &amp; CTO</v>
      </c>
      <c r="P169" s="132" t="str">
        <f t="shared" si="146"/>
        <v>Michelle Edelson</v>
      </c>
      <c r="Q169" s="219" t="s">
        <v>78</v>
      </c>
      <c r="R169" s="125" t="str">
        <f t="shared" si="113"/>
        <v>-</v>
      </c>
      <c r="S169" s="311" t="s">
        <v>78</v>
      </c>
      <c r="T169" s="126" t="str">
        <f t="shared" si="124"/>
        <v>-</v>
      </c>
      <c r="U169" s="221" t="s">
        <v>78</v>
      </c>
      <c r="V169" s="125" t="str">
        <f t="shared" si="130"/>
        <v>-</v>
      </c>
      <c r="W169" s="127" t="str">
        <f t="shared" si="95"/>
        <v>-</v>
      </c>
      <c r="X169" s="128"/>
      <c r="Y169" s="223" t="s">
        <v>78</v>
      </c>
      <c r="Z169" s="129" t="str">
        <f t="shared" si="96"/>
        <v>-</v>
      </c>
      <c r="AA169" s="124" t="str">
        <f t="shared" si="131"/>
        <v>-</v>
      </c>
      <c r="AB169" s="130" t="str">
        <f t="shared" si="132"/>
        <v>-</v>
      </c>
      <c r="AC169" s="221" t="s">
        <v>78</v>
      </c>
      <c r="AD169" s="221" t="s">
        <v>78</v>
      </c>
      <c r="AE169" s="225" t="s">
        <v>78</v>
      </c>
      <c r="AF169" s="225" t="s">
        <v>78</v>
      </c>
      <c r="AG169" s="225" t="s">
        <v>78</v>
      </c>
      <c r="AH169" s="125" t="str">
        <f t="shared" si="133"/>
        <v>-</v>
      </c>
      <c r="AI169" s="127" t="str">
        <f t="shared" si="97"/>
        <v>-</v>
      </c>
      <c r="AJ169" s="128"/>
      <c r="AK169" s="223" t="s">
        <v>78</v>
      </c>
      <c r="AL169" s="131" t="str">
        <f t="shared" si="98"/>
        <v>-</v>
      </c>
      <c r="AM169" s="368" t="str">
        <f t="shared" si="122"/>
        <v>-</v>
      </c>
      <c r="AN169" s="375" t="str">
        <f t="shared" si="134"/>
        <v>-</v>
      </c>
      <c r="AO169" s="376" t="str">
        <f t="shared" si="103"/>
        <v>-</v>
      </c>
      <c r="AP169" s="394" t="s">
        <v>78</v>
      </c>
      <c r="AQ169" s="395" t="s">
        <v>78</v>
      </c>
      <c r="AR169" s="396" t="str">
        <f t="shared" si="139"/>
        <v>-</v>
      </c>
      <c r="AS169" s="397"/>
      <c r="AT169" s="401" t="s">
        <v>78</v>
      </c>
      <c r="AU169" s="396" t="str">
        <f t="shared" si="140"/>
        <v>-</v>
      </c>
      <c r="AV169" s="397"/>
      <c r="AW169" s="388" t="str">
        <f t="shared" si="104"/>
        <v>-</v>
      </c>
      <c r="AX169" s="389" t="str">
        <f t="shared" si="105"/>
        <v>-</v>
      </c>
      <c r="AY169" s="353" t="s">
        <v>78</v>
      </c>
      <c r="AZ169" s="403" t="s">
        <v>548</v>
      </c>
      <c r="BA169" s="404" t="s">
        <v>353</v>
      </c>
    </row>
    <row r="170" spans="1:54" ht="15" customHeight="1">
      <c r="A170" s="1" t="str">
        <f t="shared" si="136"/>
        <v>TSX:OGC_2025_Legal</v>
      </c>
      <c r="B170" s="1" t="str">
        <f t="shared" si="143"/>
        <v>TSX:OGC_2025_NEO3</v>
      </c>
      <c r="C170" s="1" t="str">
        <f t="shared" si="137"/>
        <v>TSX:OGC_2025_</v>
      </c>
      <c r="D170" s="114" t="str">
        <f t="shared" si="116"/>
        <v>TSX:OGC</v>
      </c>
      <c r="E170" s="133" t="str">
        <f>_xll.ciqfunctions.udf.CIQ(D170,"IQ_Company_Name")</f>
        <v>OceanaGold Corporation</v>
      </c>
      <c r="F170" s="114">
        <f t="shared" si="138"/>
        <v>2025</v>
      </c>
      <c r="G170" s="114" t="str">
        <f t="shared" si="145"/>
        <v>2025-01-01</v>
      </c>
      <c r="H170" s="330" t="str">
        <f t="shared" si="108"/>
        <v>2025-12-31</v>
      </c>
      <c r="I170" s="114">
        <f t="shared" si="99"/>
        <v>12</v>
      </c>
      <c r="J170" s="407" t="s">
        <v>285</v>
      </c>
      <c r="K170" s="439">
        <f t="shared" si="144"/>
        <v>1.3974500000000001</v>
      </c>
      <c r="L170" s="445" t="s">
        <v>360</v>
      </c>
      <c r="M170" s="445"/>
      <c r="N170" s="351" t="s">
        <v>109</v>
      </c>
      <c r="O170" s="217" t="s">
        <v>571</v>
      </c>
      <c r="P170" s="218" t="s">
        <v>590</v>
      </c>
      <c r="Q170" s="219">
        <v>360610</v>
      </c>
      <c r="R170" s="125">
        <f t="shared" si="113"/>
        <v>503934.44450000004</v>
      </c>
      <c r="S170" s="311" t="s">
        <v>78</v>
      </c>
      <c r="T170" s="126" t="str">
        <f t="shared" si="124"/>
        <v>-</v>
      </c>
      <c r="U170" s="221">
        <v>335134</v>
      </c>
      <c r="V170" s="125">
        <f t="shared" si="130"/>
        <v>468333.00830000004</v>
      </c>
      <c r="W170" s="127">
        <f t="shared" si="95"/>
        <v>0.92935304068106817</v>
      </c>
      <c r="X170" s="128">
        <f>IFERROR(AVERAGE(W170:W172),"N/A")</f>
        <v>0.57692680335042512</v>
      </c>
      <c r="Y170" s="223">
        <v>0.6</v>
      </c>
      <c r="Z170" s="129">
        <f t="shared" si="96"/>
        <v>302360.6667</v>
      </c>
      <c r="AA170" s="124">
        <f t="shared" si="131"/>
        <v>972267.45280000009</v>
      </c>
      <c r="AB170" s="130">
        <f t="shared" si="132"/>
        <v>806295.11120000004</v>
      </c>
      <c r="AC170" s="221">
        <f>0.3*429922</f>
        <v>128976.59999999999</v>
      </c>
      <c r="AD170" s="221">
        <f>0.7*429922</f>
        <v>300945.39999999997</v>
      </c>
      <c r="AE170" s="225" t="s">
        <v>78</v>
      </c>
      <c r="AF170" s="225" t="s">
        <v>78</v>
      </c>
      <c r="AG170" s="225" t="s">
        <v>78</v>
      </c>
      <c r="AH170" s="125">
        <f t="shared" si="133"/>
        <v>429921.99999999994</v>
      </c>
      <c r="AI170" s="127">
        <f t="shared" si="97"/>
        <v>1.1922076481517427</v>
      </c>
      <c r="AJ170" s="128">
        <f>IFERROR(AVERAGE(AI170:AI172),"N/A")</f>
        <v>1.602804585703711</v>
      </c>
      <c r="AK170" s="223" t="s">
        <v>78</v>
      </c>
      <c r="AL170" s="131">
        <f t="shared" si="98"/>
        <v>807708.43853865226</v>
      </c>
      <c r="AM170" s="368">
        <f t="shared" si="122"/>
        <v>600794.49890000001</v>
      </c>
      <c r="AN170" s="375">
        <f t="shared" si="134"/>
        <v>1573061.9517000001</v>
      </c>
      <c r="AO170" s="376">
        <f t="shared" si="103"/>
        <v>1614003.5497386523</v>
      </c>
      <c r="AP170" s="394">
        <v>14791</v>
      </c>
      <c r="AQ170" s="395" t="s">
        <v>490</v>
      </c>
      <c r="AR170" s="396">
        <f t="shared" si="139"/>
        <v>20669.682950000002</v>
      </c>
      <c r="AS170" s="397">
        <f>IFERROR(AVERAGE(AR170:AR172),"N/A")</f>
        <v>18888.985450000004</v>
      </c>
      <c r="AT170" s="401">
        <v>184705</v>
      </c>
      <c r="AU170" s="396">
        <f t="shared" si="140"/>
        <v>258116.00225000002</v>
      </c>
      <c r="AV170" s="397">
        <f>IFERROR(AVERAGE(AU170:AU172),"N/A")</f>
        <v>178451.29024333335</v>
      </c>
      <c r="AW170" s="388">
        <f t="shared" si="104"/>
        <v>1851847.6369000003</v>
      </c>
      <c r="AX170" s="389">
        <f t="shared" si="105"/>
        <v>1892789.2349386523</v>
      </c>
      <c r="AY170" s="353" t="s">
        <v>636</v>
      </c>
      <c r="AZ170" s="403" t="s">
        <v>548</v>
      </c>
      <c r="BA170" s="404" t="s">
        <v>353</v>
      </c>
    </row>
    <row r="171" spans="1:54" ht="15" customHeight="1">
      <c r="A171" s="1" t="str">
        <f t="shared" si="136"/>
        <v>TSX:OGC_2024_Legal</v>
      </c>
      <c r="B171" s="1" t="str">
        <f t="shared" si="143"/>
        <v>TSX:OGC_2024_NEO3</v>
      </c>
      <c r="C171" s="1" t="str">
        <f t="shared" si="137"/>
        <v>TSX:OGC_2024_</v>
      </c>
      <c r="D171" s="114" t="str">
        <f t="shared" si="116"/>
        <v>TSX:OGC</v>
      </c>
      <c r="E171" s="133" t="str">
        <f>_xll.ciqfunctions.udf.CIQ(D171,"IQ_Company_Name")</f>
        <v>OceanaGold Corporation</v>
      </c>
      <c r="F171" s="114">
        <f t="shared" si="138"/>
        <v>2024</v>
      </c>
      <c r="G171" s="114" t="str">
        <f t="shared" si="145"/>
        <v>2024-01-01</v>
      </c>
      <c r="H171" s="330" t="str">
        <f t="shared" si="108"/>
        <v>2024-12-31</v>
      </c>
      <c r="I171" s="114">
        <f t="shared" si="99"/>
        <v>12</v>
      </c>
      <c r="J171" s="407" t="s">
        <v>285</v>
      </c>
      <c r="K171" s="439">
        <f t="shared" si="144"/>
        <v>1.3701700000000001</v>
      </c>
      <c r="L171" s="445" t="s">
        <v>360</v>
      </c>
      <c r="M171" s="445"/>
      <c r="N171" s="122" t="str">
        <f t="shared" ref="N171:P172" si="147">N170</f>
        <v>NEO3</v>
      </c>
      <c r="O171" s="123" t="str">
        <f>O170</f>
        <v>EVP, General Counsel &amp; Company Secretary</v>
      </c>
      <c r="P171" s="132" t="str">
        <f>P170</f>
        <v>Liang Tang</v>
      </c>
      <c r="Q171" s="219">
        <v>363573</v>
      </c>
      <c r="R171" s="125">
        <f t="shared" si="113"/>
        <v>498156.81741000002</v>
      </c>
      <c r="S171" s="311" t="s">
        <v>78</v>
      </c>
      <c r="T171" s="126" t="str">
        <f t="shared" si="124"/>
        <v>-</v>
      </c>
      <c r="U171" s="221">
        <v>128696</v>
      </c>
      <c r="V171" s="125">
        <f t="shared" si="130"/>
        <v>176335.39832000001</v>
      </c>
      <c r="W171" s="127">
        <f t="shared" si="95"/>
        <v>0.35397568026228571</v>
      </c>
      <c r="X171" s="128"/>
      <c r="Y171" s="223" t="s">
        <v>78</v>
      </c>
      <c r="Z171" s="129">
        <f t="shared" si="96"/>
        <v>0</v>
      </c>
      <c r="AA171" s="124">
        <f t="shared" si="131"/>
        <v>674492.21573000005</v>
      </c>
      <c r="AB171" s="130">
        <f t="shared" si="132"/>
        <v>498156.81741000002</v>
      </c>
      <c r="AC171" s="221">
        <f>0.3*545047</f>
        <v>163514.1</v>
      </c>
      <c r="AD171" s="221">
        <f>0.7*545047</f>
        <v>381532.89999999997</v>
      </c>
      <c r="AE171" s="225" t="s">
        <v>78</v>
      </c>
      <c r="AF171" s="225" t="s">
        <v>78</v>
      </c>
      <c r="AG171" s="225" t="s">
        <v>78</v>
      </c>
      <c r="AH171" s="125">
        <f t="shared" si="133"/>
        <v>545047</v>
      </c>
      <c r="AI171" s="127">
        <f t="shared" si="97"/>
        <v>1.4991404752278086</v>
      </c>
      <c r="AJ171" s="128"/>
      <c r="AK171" s="223" t="s">
        <v>78</v>
      </c>
      <c r="AL171" s="131">
        <f t="shared" si="98"/>
        <v>0</v>
      </c>
      <c r="AM171" s="368">
        <f t="shared" si="122"/>
        <v>746807.04799000011</v>
      </c>
      <c r="AN171" s="375">
        <f t="shared" si="134"/>
        <v>1421299.2637200002</v>
      </c>
      <c r="AO171" s="376">
        <f t="shared" si="103"/>
        <v>498156.81741000002</v>
      </c>
      <c r="AP171" s="394">
        <v>11496</v>
      </c>
      <c r="AQ171" s="395" t="s">
        <v>490</v>
      </c>
      <c r="AR171" s="396">
        <f t="shared" si="139"/>
        <v>15751.474320000001</v>
      </c>
      <c r="AS171" s="397"/>
      <c r="AT171" s="401">
        <v>126802</v>
      </c>
      <c r="AU171" s="396">
        <f t="shared" si="140"/>
        <v>173740.29634</v>
      </c>
      <c r="AV171" s="397"/>
      <c r="AW171" s="388">
        <f t="shared" si="104"/>
        <v>1610791.0343800001</v>
      </c>
      <c r="AX171" s="389">
        <f t="shared" si="105"/>
        <v>687648.58807000006</v>
      </c>
      <c r="AY171" s="353" t="s">
        <v>78</v>
      </c>
      <c r="AZ171" s="403" t="s">
        <v>548</v>
      </c>
      <c r="BA171" s="404" t="s">
        <v>353</v>
      </c>
    </row>
    <row r="172" spans="1:54" ht="15" customHeight="1">
      <c r="A172" s="1" t="str">
        <f t="shared" si="136"/>
        <v>TSX:OGC_2023_Legal</v>
      </c>
      <c r="B172" s="1" t="str">
        <f t="shared" si="143"/>
        <v>TSX:OGC_2023_NEO3</v>
      </c>
      <c r="C172" s="1" t="str">
        <f t="shared" si="137"/>
        <v>TSX:OGC_2023_</v>
      </c>
      <c r="D172" s="203" t="str">
        <f t="shared" si="116"/>
        <v>TSX:OGC</v>
      </c>
      <c r="E172" s="205" t="str">
        <f>_xll.ciqfunctions.udf.CIQ(D172,"IQ_Company_Name")</f>
        <v>OceanaGold Corporation</v>
      </c>
      <c r="F172" s="204">
        <f t="shared" si="138"/>
        <v>2023</v>
      </c>
      <c r="G172" s="204" t="str">
        <f t="shared" si="145"/>
        <v>2023-01-01</v>
      </c>
      <c r="H172" s="331" t="str">
        <f t="shared" si="108"/>
        <v>2023-12-31</v>
      </c>
      <c r="I172" s="204">
        <f t="shared" si="99"/>
        <v>12</v>
      </c>
      <c r="J172" s="408" t="s">
        <v>285</v>
      </c>
      <c r="K172" s="441">
        <f t="shared" si="144"/>
        <v>1.34954</v>
      </c>
      <c r="L172" s="454" t="s">
        <v>360</v>
      </c>
      <c r="M172" s="454"/>
      <c r="N172" s="956" t="str">
        <f t="shared" si="147"/>
        <v>NEO3</v>
      </c>
      <c r="O172" s="206" t="str">
        <f t="shared" si="147"/>
        <v>EVP, General Counsel &amp; Company Secretary</v>
      </c>
      <c r="P172" s="207" t="str">
        <f t="shared" si="147"/>
        <v>Liang Tang</v>
      </c>
      <c r="Q172" s="220">
        <v>324254</v>
      </c>
      <c r="R172" s="209">
        <f t="shared" si="113"/>
        <v>437593.74316000001</v>
      </c>
      <c r="S172" s="312" t="s">
        <v>78</v>
      </c>
      <c r="T172" s="329" t="str">
        <f t="shared" si="124"/>
        <v>-</v>
      </c>
      <c r="U172" s="222">
        <v>145088</v>
      </c>
      <c r="V172" s="209">
        <f t="shared" si="130"/>
        <v>195802.05951999998</v>
      </c>
      <c r="W172" s="211">
        <f t="shared" si="95"/>
        <v>0.44745168910792149</v>
      </c>
      <c r="X172" s="212"/>
      <c r="Y172" s="224" t="s">
        <v>78</v>
      </c>
      <c r="Z172" s="213">
        <f t="shared" si="96"/>
        <v>0</v>
      </c>
      <c r="AA172" s="208">
        <f t="shared" si="131"/>
        <v>633395.80267999996</v>
      </c>
      <c r="AB172" s="214">
        <f t="shared" si="132"/>
        <v>437593.74316000001</v>
      </c>
      <c r="AC172" s="222">
        <f>0.3*686467</f>
        <v>205940.1</v>
      </c>
      <c r="AD172" s="222">
        <f>0.7*686467</f>
        <v>480526.89999999997</v>
      </c>
      <c r="AE172" s="226" t="s">
        <v>78</v>
      </c>
      <c r="AF172" s="226" t="s">
        <v>78</v>
      </c>
      <c r="AG172" s="226" t="s">
        <v>78</v>
      </c>
      <c r="AH172" s="418">
        <f t="shared" si="133"/>
        <v>686467</v>
      </c>
      <c r="AI172" s="211">
        <f t="shared" si="97"/>
        <v>2.1170656337315807</v>
      </c>
      <c r="AJ172" s="212"/>
      <c r="AK172" s="224" t="s">
        <v>78</v>
      </c>
      <c r="AL172" s="215">
        <f t="shared" si="98"/>
        <v>0</v>
      </c>
      <c r="AM172" s="369">
        <f t="shared" si="122"/>
        <v>926414.67518000002</v>
      </c>
      <c r="AN172" s="377">
        <f t="shared" si="134"/>
        <v>1559810.47786</v>
      </c>
      <c r="AO172" s="378">
        <f t="shared" si="103"/>
        <v>437593.74316000001</v>
      </c>
      <c r="AP172" s="398">
        <v>15002</v>
      </c>
      <c r="AQ172" s="399" t="s">
        <v>490</v>
      </c>
      <c r="AR172" s="951">
        <f t="shared" si="139"/>
        <v>20245.799080000001</v>
      </c>
      <c r="AS172" s="400"/>
      <c r="AT172" s="402">
        <v>76691</v>
      </c>
      <c r="AU172" s="396">
        <f t="shared" si="140"/>
        <v>103497.57214</v>
      </c>
      <c r="AV172" s="400"/>
      <c r="AW172" s="390">
        <f t="shared" si="104"/>
        <v>1683553.8490800001</v>
      </c>
      <c r="AX172" s="391">
        <f t="shared" si="105"/>
        <v>561337.11438000004</v>
      </c>
      <c r="AY172" s="354" t="s">
        <v>78</v>
      </c>
      <c r="AZ172" s="405" t="s">
        <v>548</v>
      </c>
      <c r="BA172" s="404" t="s">
        <v>353</v>
      </c>
    </row>
    <row r="173" spans="1:54" ht="15" customHeight="1">
      <c r="A173" s="1" t="str">
        <f t="shared" si="136"/>
        <v>TSX:ELD_2025_</v>
      </c>
      <c r="B173" s="1" t="str">
        <f t="shared" si="143"/>
        <v>TSX:ELD_2025_CEO</v>
      </c>
      <c r="C173" s="1" t="str">
        <f t="shared" si="137"/>
        <v>TSX:ELD_2025_</v>
      </c>
      <c r="D173" s="216" t="str">
        <f>E13</f>
        <v>TSX:ELD</v>
      </c>
      <c r="E173" s="133" t="str">
        <f>_xll.ciqfunctions.udf.CIQ(D173,"IQ_Company_Name")</f>
        <v>Eldorado Gold Corporation</v>
      </c>
      <c r="F173" s="328">
        <f>$G$9</f>
        <v>2025</v>
      </c>
      <c r="G173" s="330" t="str">
        <f t="shared" si="145"/>
        <v>2025-01-01</v>
      </c>
      <c r="H173" s="330" t="str">
        <f t="shared" si="108"/>
        <v>2025-12-31</v>
      </c>
      <c r="I173" s="114">
        <f t="shared" si="99"/>
        <v>12</v>
      </c>
      <c r="J173" s="328" t="s">
        <v>2</v>
      </c>
      <c r="K173" s="439">
        <f t="shared" si="144"/>
        <v>1</v>
      </c>
      <c r="L173" s="445"/>
      <c r="M173" s="445"/>
      <c r="N173" s="351" t="s">
        <v>79</v>
      </c>
      <c r="O173" s="217" t="s">
        <v>79</v>
      </c>
      <c r="P173" s="218" t="s">
        <v>291</v>
      </c>
      <c r="Q173" s="219">
        <v>1103200</v>
      </c>
      <c r="R173" s="125">
        <f t="shared" si="113"/>
        <v>1103200</v>
      </c>
      <c r="S173" s="311">
        <f>1.025*1103200</f>
        <v>1130780</v>
      </c>
      <c r="T173" s="126">
        <f t="shared" si="124"/>
        <v>1130780</v>
      </c>
      <c r="U173" s="221">
        <v>1522416</v>
      </c>
      <c r="V173" s="125">
        <f t="shared" si="121"/>
        <v>1522416</v>
      </c>
      <c r="W173" s="127">
        <f t="shared" si="95"/>
        <v>1.38</v>
      </c>
      <c r="X173" s="128">
        <f>IFERROR(AVERAGE(W173:W175),"N/A")</f>
        <v>1.3838332704876821</v>
      </c>
      <c r="Y173" s="223">
        <v>1.2</v>
      </c>
      <c r="Z173" s="129">
        <f t="shared" si="96"/>
        <v>1323840</v>
      </c>
      <c r="AA173" s="124">
        <f t="shared" si="100"/>
        <v>2625616</v>
      </c>
      <c r="AB173" s="130">
        <f t="shared" si="101"/>
        <v>2427040</v>
      </c>
      <c r="AC173" s="221">
        <f>0.33333333*1820272</f>
        <v>606757.32726575993</v>
      </c>
      <c r="AD173" s="221">
        <f>0.666666667*1820272</f>
        <v>1213514.6672734239</v>
      </c>
      <c r="AE173" s="225">
        <v>606759</v>
      </c>
      <c r="AF173" s="225" t="s">
        <v>78</v>
      </c>
      <c r="AG173" s="225" t="s">
        <v>78</v>
      </c>
      <c r="AH173" s="125">
        <f t="shared" ref="AH173:AH187" si="148">IFERROR(IF(SUM(AC173:AG173)=0,IF(COUNTIF($AC173:$AG173,"=0")&gt;0,"$0","-"),SUM(AC173:AG173)),"-")</f>
        <v>2427030.9945391836</v>
      </c>
      <c r="AI173" s="127">
        <f t="shared" si="97"/>
        <v>2.1999918369644522</v>
      </c>
      <c r="AJ173" s="128">
        <f>IFERROR(AVERAGE(AI173:AI175),"N/A")</f>
        <v>2.1999875346122573</v>
      </c>
      <c r="AK173" s="223">
        <v>2.2000000000000002</v>
      </c>
      <c r="AL173" s="131">
        <f t="shared" si="98"/>
        <v>2427040</v>
      </c>
      <c r="AM173" s="368">
        <f t="shared" si="122"/>
        <v>2427030.9945391836</v>
      </c>
      <c r="AN173" s="375">
        <f t="shared" si="102"/>
        <v>5052646.9945391836</v>
      </c>
      <c r="AO173" s="376">
        <f t="shared" si="103"/>
        <v>4854080</v>
      </c>
      <c r="AP173" s="394">
        <v>364056</v>
      </c>
      <c r="AQ173" s="395" t="s">
        <v>271</v>
      </c>
      <c r="AR173" s="396">
        <f t="shared" si="139"/>
        <v>364056</v>
      </c>
      <c r="AS173" s="409">
        <f>IFERROR(AVERAGE(AR173:AR175),"N/A")</f>
        <v>344120</v>
      </c>
      <c r="AT173" s="401" t="s">
        <v>78</v>
      </c>
      <c r="AU173" s="396" t="str">
        <f t="shared" si="140"/>
        <v>-</v>
      </c>
      <c r="AV173" s="409" t="str">
        <f>IFERROR(AVERAGE(AU173:AU175),"N/A")</f>
        <v>N/A</v>
      </c>
      <c r="AW173" s="388">
        <f t="shared" si="104"/>
        <v>5416702.9945391836</v>
      </c>
      <c r="AX173" s="389">
        <f t="shared" si="105"/>
        <v>5218136</v>
      </c>
      <c r="AY173" s="353" t="s">
        <v>637</v>
      </c>
      <c r="AZ173" s="403" t="s">
        <v>548</v>
      </c>
      <c r="BA173" s="404" t="s">
        <v>353</v>
      </c>
      <c r="BB173" s="1" t="s">
        <v>658</v>
      </c>
    </row>
    <row r="174" spans="1:54" ht="15" customHeight="1">
      <c r="A174" s="1" t="str">
        <f t="shared" si="136"/>
        <v>TSX:ELD_2024_</v>
      </c>
      <c r="B174" s="1" t="str">
        <f t="shared" si="143"/>
        <v>TSX:ELD_2024_CEO</v>
      </c>
      <c r="C174" s="1" t="str">
        <f t="shared" si="137"/>
        <v>TSX:ELD_2024_</v>
      </c>
      <c r="D174" s="114" t="str">
        <f>D173</f>
        <v>TSX:ELD</v>
      </c>
      <c r="E174" s="133" t="str">
        <f>_xll.ciqfunctions.udf.CIQ(D174,"IQ_Company_Name")</f>
        <v>Eldorado Gold Corporation</v>
      </c>
      <c r="F174" s="328">
        <f>$G$10</f>
        <v>2024</v>
      </c>
      <c r="G174" s="330" t="str">
        <f t="shared" si="145"/>
        <v>2024-01-01</v>
      </c>
      <c r="H174" s="330" t="str">
        <f t="shared" si="108"/>
        <v>2024-12-31</v>
      </c>
      <c r="I174" s="114">
        <f t="shared" si="99"/>
        <v>12</v>
      </c>
      <c r="J174" s="407" t="s">
        <v>2</v>
      </c>
      <c r="K174" s="439">
        <f t="shared" si="144"/>
        <v>1</v>
      </c>
      <c r="L174" s="445"/>
      <c r="M174" s="445"/>
      <c r="N174" s="122" t="str">
        <f t="shared" ref="N174:P175" si="149">N173</f>
        <v>CEO</v>
      </c>
      <c r="O174" s="123" t="str">
        <f t="shared" si="149"/>
        <v>CEO</v>
      </c>
      <c r="P174" s="132" t="str">
        <f t="shared" si="149"/>
        <v>George Burns</v>
      </c>
      <c r="Q174" s="219">
        <v>1060800</v>
      </c>
      <c r="R174" s="125">
        <f t="shared" si="113"/>
        <v>1060800</v>
      </c>
      <c r="S174" s="311" t="s">
        <v>78</v>
      </c>
      <c r="T174" s="126" t="str">
        <f t="shared" si="124"/>
        <v>-</v>
      </c>
      <c r="U174" s="221">
        <v>1463904</v>
      </c>
      <c r="V174" s="125">
        <f t="shared" si="121"/>
        <v>1463904</v>
      </c>
      <c r="W174" s="127">
        <f t="shared" si="95"/>
        <v>1.38</v>
      </c>
      <c r="X174" s="128"/>
      <c r="Y174" s="223" t="s">
        <v>78</v>
      </c>
      <c r="Z174" s="129">
        <f t="shared" si="96"/>
        <v>0</v>
      </c>
      <c r="AA174" s="124">
        <f t="shared" si="100"/>
        <v>2524704</v>
      </c>
      <c r="AB174" s="130">
        <f t="shared" si="101"/>
        <v>1060800</v>
      </c>
      <c r="AC174" s="221">
        <f>0.33333333*1750299</f>
        <v>583432.99416567001</v>
      </c>
      <c r="AD174" s="221">
        <f>0.666666667*1750299</f>
        <v>1166866.0005834331</v>
      </c>
      <c r="AE174" s="225">
        <v>583438</v>
      </c>
      <c r="AF174" s="225" t="s">
        <v>78</v>
      </c>
      <c r="AG174" s="225" t="s">
        <v>78</v>
      </c>
      <c r="AH174" s="125">
        <f t="shared" si="148"/>
        <v>2333736.9947491032</v>
      </c>
      <c r="AI174" s="127">
        <f t="shared" si="97"/>
        <v>2.1999783133004365</v>
      </c>
      <c r="AJ174" s="128"/>
      <c r="AK174" s="223" t="s">
        <v>78</v>
      </c>
      <c r="AL174" s="131">
        <f t="shared" si="98"/>
        <v>0</v>
      </c>
      <c r="AM174" s="368">
        <f t="shared" si="122"/>
        <v>2333736.9947491032</v>
      </c>
      <c r="AN174" s="375">
        <f t="shared" si="102"/>
        <v>4858440.9947491027</v>
      </c>
      <c r="AO174" s="376">
        <f t="shared" si="103"/>
        <v>1060800</v>
      </c>
      <c r="AP174" s="394">
        <v>350064</v>
      </c>
      <c r="AQ174" s="395" t="s">
        <v>271</v>
      </c>
      <c r="AR174" s="396">
        <f t="shared" si="139"/>
        <v>350064</v>
      </c>
      <c r="AS174" s="397"/>
      <c r="AT174" s="401" t="s">
        <v>78</v>
      </c>
      <c r="AU174" s="396" t="str">
        <f t="shared" si="140"/>
        <v>-</v>
      </c>
      <c r="AV174" s="397"/>
      <c r="AW174" s="388">
        <f t="shared" si="104"/>
        <v>5208504.9947491027</v>
      </c>
      <c r="AX174" s="389">
        <f t="shared" si="105"/>
        <v>1410864</v>
      </c>
      <c r="AY174" s="353" t="s">
        <v>78</v>
      </c>
      <c r="AZ174" s="403" t="s">
        <v>548</v>
      </c>
      <c r="BA174" s="404" t="s">
        <v>353</v>
      </c>
    </row>
    <row r="175" spans="1:54" ht="15" customHeight="1">
      <c r="A175" s="1" t="str">
        <f t="shared" si="136"/>
        <v>TSX:ELD_2023_</v>
      </c>
      <c r="B175" s="1" t="str">
        <f t="shared" si="143"/>
        <v>TSX:ELD_2023_CEO</v>
      </c>
      <c r="C175" s="1" t="str">
        <f t="shared" si="137"/>
        <v>TSX:ELD_2023_</v>
      </c>
      <c r="D175" s="114" t="str">
        <f t="shared" si="116"/>
        <v>TSX:ELD</v>
      </c>
      <c r="E175" s="133" t="str">
        <f>_xll.ciqfunctions.udf.CIQ(D175,"IQ_Company_Name")</f>
        <v>Eldorado Gold Corporation</v>
      </c>
      <c r="F175" s="328">
        <f>$G$11</f>
        <v>2023</v>
      </c>
      <c r="G175" s="114" t="str">
        <f t="shared" si="145"/>
        <v>2023-01-01</v>
      </c>
      <c r="H175" s="330" t="str">
        <f t="shared" si="108"/>
        <v>2023-12-31</v>
      </c>
      <c r="I175" s="114">
        <f t="shared" si="99"/>
        <v>12</v>
      </c>
      <c r="J175" s="407" t="s">
        <v>2</v>
      </c>
      <c r="K175" s="439">
        <f t="shared" si="144"/>
        <v>1</v>
      </c>
      <c r="L175" s="445"/>
      <c r="M175" s="445"/>
      <c r="N175" s="122" t="str">
        <f t="shared" si="149"/>
        <v>CEO</v>
      </c>
      <c r="O175" s="123" t="str">
        <f t="shared" si="149"/>
        <v>CEO</v>
      </c>
      <c r="P175" s="132" t="str">
        <f t="shared" si="149"/>
        <v>George Burns</v>
      </c>
      <c r="Q175" s="219">
        <v>1060800</v>
      </c>
      <c r="R175" s="125">
        <f t="shared" si="113"/>
        <v>1060800</v>
      </c>
      <c r="S175" s="311" t="s">
        <v>78</v>
      </c>
      <c r="T175" s="126" t="str">
        <f t="shared" si="124"/>
        <v>-</v>
      </c>
      <c r="U175" s="221">
        <v>1476103</v>
      </c>
      <c r="V175" s="125">
        <f t="shared" si="121"/>
        <v>1476103</v>
      </c>
      <c r="W175" s="127">
        <f t="shared" si="95"/>
        <v>1.3914998114630468</v>
      </c>
      <c r="X175" s="128"/>
      <c r="Y175" s="223" t="s">
        <v>78</v>
      </c>
      <c r="Z175" s="129">
        <f t="shared" si="96"/>
        <v>0</v>
      </c>
      <c r="AA175" s="124">
        <f t="shared" si="100"/>
        <v>2536903</v>
      </c>
      <c r="AB175" s="130">
        <f t="shared" si="101"/>
        <v>1060800</v>
      </c>
      <c r="AC175" s="221">
        <f>0.33333333*1750315</f>
        <v>583438.32749894995</v>
      </c>
      <c r="AD175" s="221">
        <f>0.666666667*1750315</f>
        <v>1166876.6672501049</v>
      </c>
      <c r="AE175" s="225">
        <v>583437</v>
      </c>
      <c r="AF175" s="225" t="s">
        <v>78</v>
      </c>
      <c r="AG175" s="225" t="s">
        <v>78</v>
      </c>
      <c r="AH175" s="125">
        <f t="shared" si="148"/>
        <v>2333751.9947490548</v>
      </c>
      <c r="AI175" s="127">
        <f t="shared" si="97"/>
        <v>2.199992453571884</v>
      </c>
      <c r="AJ175" s="128"/>
      <c r="AK175" s="223" t="s">
        <v>78</v>
      </c>
      <c r="AL175" s="131">
        <f t="shared" si="98"/>
        <v>0</v>
      </c>
      <c r="AM175" s="368">
        <f t="shared" ref="AM175:AM217" si="150">IFERROR($AH175*$K175,"-")</f>
        <v>2333751.9947490548</v>
      </c>
      <c r="AN175" s="375">
        <f t="shared" si="102"/>
        <v>4870654.9947490543</v>
      </c>
      <c r="AO175" s="376">
        <f t="shared" si="103"/>
        <v>1060800</v>
      </c>
      <c r="AP175" s="394">
        <v>318240</v>
      </c>
      <c r="AQ175" s="395" t="s">
        <v>271</v>
      </c>
      <c r="AR175" s="396">
        <f t="shared" si="139"/>
        <v>318240</v>
      </c>
      <c r="AS175" s="397"/>
      <c r="AT175" s="401" t="s">
        <v>78</v>
      </c>
      <c r="AU175" s="396" t="str">
        <f t="shared" si="140"/>
        <v>-</v>
      </c>
      <c r="AV175" s="397"/>
      <c r="AW175" s="388">
        <f t="shared" si="104"/>
        <v>5188894.9947490543</v>
      </c>
      <c r="AX175" s="389">
        <f t="shared" si="105"/>
        <v>1379040</v>
      </c>
      <c r="AY175" s="353" t="s">
        <v>78</v>
      </c>
      <c r="AZ175" s="403" t="s">
        <v>548</v>
      </c>
      <c r="BA175" s="404" t="s">
        <v>353</v>
      </c>
    </row>
    <row r="176" spans="1:54" ht="15" customHeight="1">
      <c r="A176" s="1" t="str">
        <f t="shared" si="136"/>
        <v>TSX:ELD_2025_</v>
      </c>
      <c r="B176" s="1" t="str">
        <f t="shared" si="143"/>
        <v>TSX:ELD_2025_CFO</v>
      </c>
      <c r="C176" s="1" t="str">
        <f t="shared" si="137"/>
        <v>TSX:ELD_2025_</v>
      </c>
      <c r="D176" s="114" t="str">
        <f t="shared" si="116"/>
        <v>TSX:ELD</v>
      </c>
      <c r="E176" s="133" t="str">
        <f>_xll.ciqfunctions.udf.CIQ(D176,"IQ_Company_Name")</f>
        <v>Eldorado Gold Corporation</v>
      </c>
      <c r="F176" s="114">
        <f t="shared" ref="F176:F187" si="151">F173</f>
        <v>2025</v>
      </c>
      <c r="G176" s="114" t="str">
        <f t="shared" si="145"/>
        <v>2025-01-01</v>
      </c>
      <c r="H176" s="330" t="str">
        <f t="shared" si="108"/>
        <v>2025-12-31</v>
      </c>
      <c r="I176" s="114">
        <f t="shared" si="99"/>
        <v>12</v>
      </c>
      <c r="J176" s="407" t="s">
        <v>2</v>
      </c>
      <c r="K176" s="439">
        <f t="shared" si="144"/>
        <v>1</v>
      </c>
      <c r="L176" s="445"/>
      <c r="M176" s="445"/>
      <c r="N176" s="351" t="s">
        <v>106</v>
      </c>
      <c r="O176" s="217" t="s">
        <v>292</v>
      </c>
      <c r="P176" s="218" t="s">
        <v>293</v>
      </c>
      <c r="Q176" s="219">
        <v>555400</v>
      </c>
      <c r="R176" s="420">
        <v>570000</v>
      </c>
      <c r="S176" s="311" t="s">
        <v>78</v>
      </c>
      <c r="T176" s="126" t="str">
        <f t="shared" si="124"/>
        <v>-</v>
      </c>
      <c r="U176" s="221">
        <v>510968</v>
      </c>
      <c r="V176" s="125">
        <f t="shared" si="121"/>
        <v>510968</v>
      </c>
      <c r="W176" s="127">
        <f t="shared" si="95"/>
        <v>0.89643508771929825</v>
      </c>
      <c r="X176" s="128">
        <f>IFERROR(AVERAGE(W176:W178),"N/A")</f>
        <v>0.90808965924426444</v>
      </c>
      <c r="Y176" s="223">
        <v>0.8</v>
      </c>
      <c r="Z176" s="129">
        <f t="shared" si="96"/>
        <v>456000</v>
      </c>
      <c r="AA176" s="124">
        <f t="shared" si="100"/>
        <v>1080968</v>
      </c>
      <c r="AB176" s="130">
        <f t="shared" si="101"/>
        <v>1026000</v>
      </c>
      <c r="AC176" s="221">
        <f>0.33333333*729078</f>
        <v>243025.99756973999</v>
      </c>
      <c r="AD176" s="221">
        <f>0.666666667*729078</f>
        <v>486052.00024302601</v>
      </c>
      <c r="AE176" s="225">
        <v>243033</v>
      </c>
      <c r="AF176" s="225" t="s">
        <v>78</v>
      </c>
      <c r="AG176" s="225" t="s">
        <v>78</v>
      </c>
      <c r="AH176" s="125">
        <f t="shared" si="148"/>
        <v>972110.997812766</v>
      </c>
      <c r="AI176" s="127">
        <f t="shared" si="97"/>
        <v>1.7054578908995894</v>
      </c>
      <c r="AJ176" s="128">
        <f>IFERROR(AVERAGE(AI176:AI178),"N/A")</f>
        <v>1.6027077899161926</v>
      </c>
      <c r="AK176" s="223">
        <v>1.75</v>
      </c>
      <c r="AL176" s="131">
        <f t="shared" si="98"/>
        <v>997500</v>
      </c>
      <c r="AM176" s="368">
        <f t="shared" si="150"/>
        <v>972110.997812766</v>
      </c>
      <c r="AN176" s="375">
        <f t="shared" si="102"/>
        <v>2053078.9978127661</v>
      </c>
      <c r="AO176" s="376">
        <f t="shared" si="103"/>
        <v>2023500</v>
      </c>
      <c r="AP176" s="394">
        <v>99972</v>
      </c>
      <c r="AQ176" s="395" t="s">
        <v>271</v>
      </c>
      <c r="AR176" s="396">
        <f t="shared" si="139"/>
        <v>99972</v>
      </c>
      <c r="AS176" s="397">
        <f>IFERROR(AVERAGE(AR176:AR178),"N/A")</f>
        <v>96773</v>
      </c>
      <c r="AT176" s="401" t="s">
        <v>78</v>
      </c>
      <c r="AU176" s="396" t="str">
        <f t="shared" si="140"/>
        <v>-</v>
      </c>
      <c r="AV176" s="397" t="str">
        <f>IFERROR(AVERAGE(AU176:AU178),"N/A")</f>
        <v>N/A</v>
      </c>
      <c r="AW176" s="388">
        <f t="shared" si="104"/>
        <v>2153050.9978127661</v>
      </c>
      <c r="AX176" s="389">
        <f t="shared" si="105"/>
        <v>2123472</v>
      </c>
      <c r="AY176" s="353" t="s">
        <v>78</v>
      </c>
      <c r="AZ176" s="403" t="s">
        <v>548</v>
      </c>
      <c r="BA176" s="404" t="s">
        <v>353</v>
      </c>
    </row>
    <row r="177" spans="1:54" ht="15" customHeight="1">
      <c r="A177" s="1" t="str">
        <f t="shared" si="136"/>
        <v>TSX:ELD_2024_</v>
      </c>
      <c r="B177" s="1" t="str">
        <f t="shared" si="143"/>
        <v>TSX:ELD_2024_CFO</v>
      </c>
      <c r="C177" s="1" t="str">
        <f t="shared" si="137"/>
        <v>TSX:ELD_2024_</v>
      </c>
      <c r="D177" s="114" t="str">
        <f t="shared" si="116"/>
        <v>TSX:ELD</v>
      </c>
      <c r="E177" s="133" t="str">
        <f>_xll.ciqfunctions.udf.CIQ(D177,"IQ_Company_Name")</f>
        <v>Eldorado Gold Corporation</v>
      </c>
      <c r="F177" s="114">
        <f t="shared" si="151"/>
        <v>2024</v>
      </c>
      <c r="G177" s="114" t="str">
        <f t="shared" si="145"/>
        <v>2024-01-01</v>
      </c>
      <c r="H177" s="330" t="str">
        <f t="shared" si="108"/>
        <v>2024-12-31</v>
      </c>
      <c r="I177" s="114">
        <f t="shared" si="99"/>
        <v>12</v>
      </c>
      <c r="J177" s="407" t="s">
        <v>2</v>
      </c>
      <c r="K177" s="439">
        <f t="shared" si="144"/>
        <v>1</v>
      </c>
      <c r="L177" s="445"/>
      <c r="M177" s="445"/>
      <c r="N177" s="122" t="str">
        <f t="shared" ref="N177:P178" si="152">N176</f>
        <v>CFO</v>
      </c>
      <c r="O177" s="123" t="str">
        <f t="shared" si="152"/>
        <v>EVP &amp; CFO</v>
      </c>
      <c r="P177" s="132" t="str">
        <f t="shared" si="152"/>
        <v>Paul Fernehough</v>
      </c>
      <c r="Q177" s="219">
        <v>519856</v>
      </c>
      <c r="R177" s="420">
        <v>520000</v>
      </c>
      <c r="S177" s="311" t="s">
        <v>78</v>
      </c>
      <c r="T177" s="126" t="str">
        <f t="shared" si="124"/>
        <v>-</v>
      </c>
      <c r="U177" s="221">
        <v>478267</v>
      </c>
      <c r="V177" s="125">
        <f t="shared" si="121"/>
        <v>478267</v>
      </c>
      <c r="W177" s="127">
        <f t="shared" si="95"/>
        <v>0.91974423076923073</v>
      </c>
      <c r="X177" s="128"/>
      <c r="Y177" s="223" t="s">
        <v>78</v>
      </c>
      <c r="Z177" s="129">
        <f t="shared" si="96"/>
        <v>0</v>
      </c>
      <c r="AA177" s="124">
        <f t="shared" si="100"/>
        <v>998267</v>
      </c>
      <c r="AB177" s="130">
        <f t="shared" si="101"/>
        <v>520000</v>
      </c>
      <c r="AC177" s="221">
        <f>0.33333333*584982</f>
        <v>194993.99805005998</v>
      </c>
      <c r="AD177" s="221">
        <f>0.666666667*584982</f>
        <v>389988.00019499398</v>
      </c>
      <c r="AE177" s="225">
        <v>194996</v>
      </c>
      <c r="AF177" s="225" t="s">
        <v>78</v>
      </c>
      <c r="AG177" s="225" t="s">
        <v>78</v>
      </c>
      <c r="AH177" s="125">
        <f t="shared" si="148"/>
        <v>779977.99824505392</v>
      </c>
      <c r="AI177" s="127">
        <f t="shared" si="97"/>
        <v>1.4999576889327959</v>
      </c>
      <c r="AJ177" s="128"/>
      <c r="AK177" s="223" t="s">
        <v>78</v>
      </c>
      <c r="AL177" s="131">
        <f t="shared" si="98"/>
        <v>0</v>
      </c>
      <c r="AM177" s="368">
        <f t="shared" si="150"/>
        <v>779977.99824505392</v>
      </c>
      <c r="AN177" s="375">
        <f t="shared" si="102"/>
        <v>1778244.9982450539</v>
      </c>
      <c r="AO177" s="376">
        <f t="shared" si="103"/>
        <v>520000</v>
      </c>
      <c r="AP177" s="394">
        <v>93574</v>
      </c>
      <c r="AQ177" s="395" t="s">
        <v>271</v>
      </c>
      <c r="AR177" s="396">
        <f t="shared" si="139"/>
        <v>93574</v>
      </c>
      <c r="AS177" s="397"/>
      <c r="AT177" s="401" t="s">
        <v>78</v>
      </c>
      <c r="AU177" s="396" t="str">
        <f t="shared" si="140"/>
        <v>-</v>
      </c>
      <c r="AV177" s="397"/>
      <c r="AW177" s="388">
        <f t="shared" si="104"/>
        <v>1871818.9982450539</v>
      </c>
      <c r="AX177" s="389">
        <f t="shared" si="105"/>
        <v>613574</v>
      </c>
      <c r="AY177" s="353" t="s">
        <v>638</v>
      </c>
      <c r="AZ177" s="403" t="s">
        <v>548</v>
      </c>
      <c r="BA177" s="404" t="s">
        <v>353</v>
      </c>
    </row>
    <row r="178" spans="1:54" ht="15" customHeight="1">
      <c r="A178" s="1" t="str">
        <f t="shared" si="136"/>
        <v>TSX:ELD_2023_</v>
      </c>
      <c r="B178" s="1" t="str">
        <f t="shared" si="143"/>
        <v>TSX:ELD_2023_CFO</v>
      </c>
      <c r="C178" s="1" t="str">
        <f t="shared" si="137"/>
        <v>TSX:ELD_2023_</v>
      </c>
      <c r="D178" s="114" t="str">
        <f t="shared" si="116"/>
        <v>TSX:ELD</v>
      </c>
      <c r="E178" s="133" t="str">
        <f>_xll.ciqfunctions.udf.CIQ(D178,"IQ_Company_Name")</f>
        <v>Eldorado Gold Corporation</v>
      </c>
      <c r="F178" s="114">
        <f t="shared" si="151"/>
        <v>2023</v>
      </c>
      <c r="G178" s="114" t="str">
        <f t="shared" si="145"/>
        <v>2023-01-01</v>
      </c>
      <c r="H178" s="330" t="str">
        <f t="shared" si="108"/>
        <v>2023-12-31</v>
      </c>
      <c r="I178" s="114">
        <f t="shared" si="99"/>
        <v>12</v>
      </c>
      <c r="J178" s="407" t="s">
        <v>2</v>
      </c>
      <c r="K178" s="439">
        <f t="shared" si="144"/>
        <v>1</v>
      </c>
      <c r="L178" s="445"/>
      <c r="M178" s="445"/>
      <c r="N178" s="122" t="str">
        <f t="shared" si="152"/>
        <v>CFO</v>
      </c>
      <c r="O178" s="123" t="str">
        <f t="shared" si="152"/>
        <v>EVP &amp; CFO</v>
      </c>
      <c r="P178" s="132" t="str">
        <f t="shared" si="152"/>
        <v>Paul Fernehough</v>
      </c>
      <c r="Q178" s="219" t="s">
        <v>78</v>
      </c>
      <c r="R178" s="125" t="str">
        <f t="shared" ref="R178:R205" si="153">IFERROR(Q178*(12/$I178)*$K178,"-")</f>
        <v>-</v>
      </c>
      <c r="S178" s="311" t="s">
        <v>78</v>
      </c>
      <c r="T178" s="126" t="str">
        <f t="shared" si="124"/>
        <v>-</v>
      </c>
      <c r="U178" s="221" t="s">
        <v>78</v>
      </c>
      <c r="V178" s="125" t="str">
        <f t="shared" si="121"/>
        <v>-</v>
      </c>
      <c r="W178" s="127" t="str">
        <f t="shared" si="95"/>
        <v>-</v>
      </c>
      <c r="X178" s="128"/>
      <c r="Y178" s="223" t="s">
        <v>78</v>
      </c>
      <c r="Z178" s="129" t="str">
        <f t="shared" si="96"/>
        <v>-</v>
      </c>
      <c r="AA178" s="124" t="str">
        <f t="shared" si="100"/>
        <v>-</v>
      </c>
      <c r="AB178" s="130" t="str">
        <f t="shared" si="101"/>
        <v>-</v>
      </c>
      <c r="AC178" s="221" t="s">
        <v>78</v>
      </c>
      <c r="AD178" s="221" t="s">
        <v>78</v>
      </c>
      <c r="AE178" s="225" t="s">
        <v>78</v>
      </c>
      <c r="AF178" s="225" t="s">
        <v>78</v>
      </c>
      <c r="AG178" s="225" t="s">
        <v>78</v>
      </c>
      <c r="AH178" s="125" t="str">
        <f t="shared" si="148"/>
        <v>-</v>
      </c>
      <c r="AI178" s="127" t="str">
        <f t="shared" si="97"/>
        <v>-</v>
      </c>
      <c r="AJ178" s="128"/>
      <c r="AK178" s="223" t="s">
        <v>78</v>
      </c>
      <c r="AL178" s="131" t="str">
        <f t="shared" si="98"/>
        <v>-</v>
      </c>
      <c r="AM178" s="368" t="str">
        <f t="shared" si="150"/>
        <v>-</v>
      </c>
      <c r="AN178" s="375" t="str">
        <f t="shared" si="102"/>
        <v>-</v>
      </c>
      <c r="AO178" s="376" t="str">
        <f t="shared" si="103"/>
        <v>-</v>
      </c>
      <c r="AP178" s="394" t="s">
        <v>78</v>
      </c>
      <c r="AQ178" s="395" t="s">
        <v>78</v>
      </c>
      <c r="AR178" s="396" t="str">
        <f t="shared" si="139"/>
        <v>-</v>
      </c>
      <c r="AS178" s="397"/>
      <c r="AT178" s="401" t="s">
        <v>78</v>
      </c>
      <c r="AU178" s="396" t="str">
        <f t="shared" si="140"/>
        <v>-</v>
      </c>
      <c r="AV178" s="397"/>
      <c r="AW178" s="388" t="str">
        <f t="shared" si="104"/>
        <v>-</v>
      </c>
      <c r="AX178" s="389" t="str">
        <f t="shared" si="105"/>
        <v>-</v>
      </c>
      <c r="AY178" s="353" t="s">
        <v>78</v>
      </c>
      <c r="AZ178" s="403" t="s">
        <v>548</v>
      </c>
      <c r="BA178" s="404" t="s">
        <v>353</v>
      </c>
    </row>
    <row r="179" spans="1:54" ht="15" customHeight="1">
      <c r="A179" s="1" t="str">
        <f t="shared" si="136"/>
        <v>TSX:ELD_2025_Region</v>
      </c>
      <c r="B179" s="1" t="str">
        <f t="shared" si="143"/>
        <v>TSX:ELD_2025_NEO1</v>
      </c>
      <c r="C179" s="1" t="str">
        <f t="shared" si="137"/>
        <v>TSX:ELD_2025_2nd Highest</v>
      </c>
      <c r="D179" s="114" t="str">
        <f t="shared" si="116"/>
        <v>TSX:ELD</v>
      </c>
      <c r="E179" s="133" t="str">
        <f>_xll.ciqfunctions.udf.CIQ(D179,"IQ_Company_Name")</f>
        <v>Eldorado Gold Corporation</v>
      </c>
      <c r="F179" s="114">
        <f t="shared" si="151"/>
        <v>2025</v>
      </c>
      <c r="G179" s="330" t="str">
        <f t="shared" si="145"/>
        <v>2025-01-01</v>
      </c>
      <c r="H179" s="330" t="str">
        <f t="shared" si="108"/>
        <v>2025-12-31</v>
      </c>
      <c r="I179" s="114">
        <f t="shared" si="99"/>
        <v>12</v>
      </c>
      <c r="J179" s="407" t="s">
        <v>2</v>
      </c>
      <c r="K179" s="439">
        <f t="shared" si="144"/>
        <v>1</v>
      </c>
      <c r="L179" s="445" t="s">
        <v>366</v>
      </c>
      <c r="M179" s="445" t="s">
        <v>669</v>
      </c>
      <c r="N179" s="351" t="s">
        <v>107</v>
      </c>
      <c r="O179" s="217" t="s">
        <v>294</v>
      </c>
      <c r="P179" s="218" t="s">
        <v>295</v>
      </c>
      <c r="Q179" s="219">
        <v>738793</v>
      </c>
      <c r="R179" s="125">
        <f t="shared" si="153"/>
        <v>738793</v>
      </c>
      <c r="S179" s="311" t="s">
        <v>78</v>
      </c>
      <c r="T179" s="126" t="str">
        <f t="shared" si="124"/>
        <v>-</v>
      </c>
      <c r="U179" s="221">
        <v>667718</v>
      </c>
      <c r="V179" s="125">
        <f t="shared" si="121"/>
        <v>667718</v>
      </c>
      <c r="W179" s="127">
        <f t="shared" si="95"/>
        <v>0.90379578582904818</v>
      </c>
      <c r="X179" s="128">
        <f>IFERROR(AVERAGE(W179:W181),"N/A")</f>
        <v>0.86809390138959153</v>
      </c>
      <c r="Y179" s="223">
        <v>0.8</v>
      </c>
      <c r="Z179" s="129">
        <f t="shared" si="96"/>
        <v>591034.4</v>
      </c>
      <c r="AA179" s="124">
        <f t="shared" si="100"/>
        <v>1406511</v>
      </c>
      <c r="AB179" s="130">
        <f t="shared" si="101"/>
        <v>1329827.3999999999</v>
      </c>
      <c r="AC179" s="221">
        <f>0.33333333*662665</f>
        <v>220888.33112444999</v>
      </c>
      <c r="AD179" s="221">
        <f>0.666666667*662665</f>
        <v>441776.66688755498</v>
      </c>
      <c r="AE179" s="225">
        <v>220899</v>
      </c>
      <c r="AF179" s="225" t="s">
        <v>78</v>
      </c>
      <c r="AG179" s="225" t="s">
        <v>78</v>
      </c>
      <c r="AH179" s="125">
        <f t="shared" si="148"/>
        <v>883563.998012005</v>
      </c>
      <c r="AI179" s="127">
        <f t="shared" si="97"/>
        <v>1.1959561040941171</v>
      </c>
      <c r="AJ179" s="128">
        <f>IFERROR(AVERAGE(AI179:AI181),"N/A")</f>
        <v>1.1201851759981403</v>
      </c>
      <c r="AK179" s="223">
        <v>1.5</v>
      </c>
      <c r="AL179" s="131">
        <f t="shared" si="98"/>
        <v>1108189.5</v>
      </c>
      <c r="AM179" s="368">
        <f t="shared" si="150"/>
        <v>883563.998012005</v>
      </c>
      <c r="AN179" s="375">
        <f t="shared" si="102"/>
        <v>2290074.9980120049</v>
      </c>
      <c r="AO179" s="376">
        <f t="shared" si="103"/>
        <v>2438016.9</v>
      </c>
      <c r="AP179" s="394" t="s">
        <v>78</v>
      </c>
      <c r="AQ179" s="395" t="s">
        <v>78</v>
      </c>
      <c r="AR179" s="396" t="str">
        <f t="shared" si="139"/>
        <v>-</v>
      </c>
      <c r="AS179" s="397" t="str">
        <f>IFERROR(AVERAGE(AR179:AR181),"N/A")</f>
        <v>N/A</v>
      </c>
      <c r="AT179" s="401">
        <v>104663</v>
      </c>
      <c r="AU179" s="396">
        <f t="shared" si="140"/>
        <v>104663</v>
      </c>
      <c r="AV179" s="397">
        <f>IFERROR(AVERAGE(AU179:AU181),"N/A")</f>
        <v>97999.5</v>
      </c>
      <c r="AW179" s="388">
        <f t="shared" si="104"/>
        <v>2394737.9980120049</v>
      </c>
      <c r="AX179" s="389">
        <f t="shared" si="105"/>
        <v>2542679.9</v>
      </c>
      <c r="AY179" s="423" t="s">
        <v>296</v>
      </c>
      <c r="AZ179" s="403" t="s">
        <v>548</v>
      </c>
      <c r="BA179" s="404" t="s">
        <v>353</v>
      </c>
    </row>
    <row r="180" spans="1:54" ht="15" customHeight="1">
      <c r="A180" s="1" t="str">
        <f t="shared" si="136"/>
        <v>TSX:ELD_2024_Region</v>
      </c>
      <c r="B180" s="1" t="str">
        <f t="shared" si="143"/>
        <v>TSX:ELD_2024_NEO1</v>
      </c>
      <c r="C180" s="1" t="str">
        <f t="shared" si="137"/>
        <v>TSX:ELD_2024_</v>
      </c>
      <c r="D180" s="114" t="str">
        <f t="shared" si="116"/>
        <v>TSX:ELD</v>
      </c>
      <c r="E180" s="133" t="str">
        <f>_xll.ciqfunctions.udf.CIQ(D180,"IQ_Company_Name")</f>
        <v>Eldorado Gold Corporation</v>
      </c>
      <c r="F180" s="114">
        <f t="shared" si="151"/>
        <v>2024</v>
      </c>
      <c r="G180" s="330" t="str">
        <f t="shared" si="145"/>
        <v>2024-01-01</v>
      </c>
      <c r="H180" s="330" t="str">
        <f t="shared" si="108"/>
        <v>2024-12-31</v>
      </c>
      <c r="I180" s="114">
        <f t="shared" si="99"/>
        <v>12</v>
      </c>
      <c r="J180" s="407" t="s">
        <v>2</v>
      </c>
      <c r="K180" s="439">
        <f t="shared" si="144"/>
        <v>1</v>
      </c>
      <c r="L180" s="445" t="s">
        <v>366</v>
      </c>
      <c r="M180" s="445"/>
      <c r="N180" s="122" t="str">
        <f t="shared" ref="N180:P181" si="154">N179</f>
        <v>NEO1</v>
      </c>
      <c r="O180" s="123" t="str">
        <f t="shared" si="154"/>
        <v>EVP, Development, Greece</v>
      </c>
      <c r="P180" s="132" t="str">
        <f t="shared" si="154"/>
        <v>Louw Smith</v>
      </c>
      <c r="Q180" s="219">
        <v>776395</v>
      </c>
      <c r="R180" s="125">
        <f t="shared" si="153"/>
        <v>776395</v>
      </c>
      <c r="S180" s="311" t="s">
        <v>78</v>
      </c>
      <c r="T180" s="126" t="str">
        <f t="shared" si="124"/>
        <v>-</v>
      </c>
      <c r="U180" s="221">
        <v>646265</v>
      </c>
      <c r="V180" s="125">
        <f t="shared" si="121"/>
        <v>646265</v>
      </c>
      <c r="W180" s="127">
        <f t="shared" si="95"/>
        <v>0.83239201695013487</v>
      </c>
      <c r="X180" s="128"/>
      <c r="Y180" s="223" t="s">
        <v>78</v>
      </c>
      <c r="Z180" s="129">
        <f t="shared" si="96"/>
        <v>0</v>
      </c>
      <c r="AA180" s="124">
        <f t="shared" si="100"/>
        <v>1422660</v>
      </c>
      <c r="AB180" s="130">
        <f t="shared" si="101"/>
        <v>776395</v>
      </c>
      <c r="AC180" s="424">
        <f>(912219/3)-(405425*0.25)</f>
        <v>202716.75</v>
      </c>
      <c r="AD180" s="420">
        <f>(912219*0.666666666666667)-(405425*0.5)</f>
        <v>405433.50000000023</v>
      </c>
      <c r="AE180" s="420">
        <f>304084-(405425*0.25)</f>
        <v>202727.75</v>
      </c>
      <c r="AF180" s="225" t="s">
        <v>78</v>
      </c>
      <c r="AG180" s="225" t="s">
        <v>78</v>
      </c>
      <c r="AH180" s="125">
        <f t="shared" si="148"/>
        <v>810878.00000000023</v>
      </c>
      <c r="AI180" s="127">
        <f t="shared" si="97"/>
        <v>1.0444142479021634</v>
      </c>
      <c r="AJ180" s="128"/>
      <c r="AK180" s="223" t="s">
        <v>78</v>
      </c>
      <c r="AL180" s="131">
        <f t="shared" si="98"/>
        <v>0</v>
      </c>
      <c r="AM180" s="368">
        <f t="shared" si="150"/>
        <v>810878.00000000023</v>
      </c>
      <c r="AN180" s="375">
        <f t="shared" si="102"/>
        <v>2233538</v>
      </c>
      <c r="AO180" s="376">
        <f t="shared" si="103"/>
        <v>776395</v>
      </c>
      <c r="AP180" s="394" t="s">
        <v>78</v>
      </c>
      <c r="AQ180" s="395" t="s">
        <v>78</v>
      </c>
      <c r="AR180" s="396" t="str">
        <f t="shared" si="139"/>
        <v>-</v>
      </c>
      <c r="AS180" s="397"/>
      <c r="AT180" s="401">
        <v>91336</v>
      </c>
      <c r="AU180" s="396">
        <f t="shared" si="140"/>
        <v>91336</v>
      </c>
      <c r="AV180" s="397"/>
      <c r="AW180" s="388">
        <f t="shared" si="104"/>
        <v>2324874</v>
      </c>
      <c r="AX180" s="389">
        <f t="shared" si="105"/>
        <v>867731</v>
      </c>
      <c r="AY180" s="353" t="s">
        <v>78</v>
      </c>
      <c r="AZ180" s="403" t="s">
        <v>548</v>
      </c>
      <c r="BA180" s="404" t="s">
        <v>353</v>
      </c>
    </row>
    <row r="181" spans="1:54" ht="15" customHeight="1">
      <c r="A181" s="1" t="str">
        <f t="shared" si="136"/>
        <v>TSX:ELD_2023_Region</v>
      </c>
      <c r="B181" s="1" t="str">
        <f t="shared" si="143"/>
        <v>TSX:ELD_2023_NEO1</v>
      </c>
      <c r="C181" s="1" t="str">
        <f t="shared" si="137"/>
        <v>TSX:ELD_2023_</v>
      </c>
      <c r="D181" s="114" t="str">
        <f t="shared" si="116"/>
        <v>TSX:ELD</v>
      </c>
      <c r="E181" s="133" t="str">
        <f>_xll.ciqfunctions.udf.CIQ(D181,"IQ_Company_Name")</f>
        <v>Eldorado Gold Corporation</v>
      </c>
      <c r="F181" s="114">
        <f t="shared" si="151"/>
        <v>2023</v>
      </c>
      <c r="G181" s="114" t="str">
        <f t="shared" si="145"/>
        <v>2023-01-01</v>
      </c>
      <c r="H181" s="330" t="str">
        <f t="shared" si="108"/>
        <v>2023-12-31</v>
      </c>
      <c r="I181" s="114">
        <f t="shared" si="99"/>
        <v>12</v>
      </c>
      <c r="J181" s="407" t="s">
        <v>2</v>
      </c>
      <c r="K181" s="439">
        <f t="shared" si="144"/>
        <v>1</v>
      </c>
      <c r="L181" s="445" t="s">
        <v>366</v>
      </c>
      <c r="M181" s="445"/>
      <c r="N181" s="122" t="str">
        <f t="shared" si="154"/>
        <v>NEO1</v>
      </c>
      <c r="O181" s="123" t="str">
        <f t="shared" si="154"/>
        <v>EVP, Development, Greece</v>
      </c>
      <c r="P181" s="132" t="str">
        <f t="shared" si="154"/>
        <v>Louw Smith</v>
      </c>
      <c r="Q181" s="219" t="s">
        <v>78</v>
      </c>
      <c r="R181" s="125" t="str">
        <f t="shared" si="153"/>
        <v>-</v>
      </c>
      <c r="S181" s="311" t="s">
        <v>78</v>
      </c>
      <c r="T181" s="126" t="str">
        <f t="shared" si="124"/>
        <v>-</v>
      </c>
      <c r="U181" s="221" t="s">
        <v>78</v>
      </c>
      <c r="V181" s="125" t="str">
        <f t="shared" si="121"/>
        <v>-</v>
      </c>
      <c r="W181" s="127" t="str">
        <f t="shared" ref="W181:W244" si="155">IFERROR($V181/$R181,"-")</f>
        <v>-</v>
      </c>
      <c r="X181" s="128"/>
      <c r="Y181" s="223" t="s">
        <v>78</v>
      </c>
      <c r="Z181" s="129" t="str">
        <f t="shared" ref="Z181:Z244" si="156">IFERROR(IF(ISNUMBER($Y181)=TRUE, $Y181*$R181,$X181*$R181),"-")</f>
        <v>-</v>
      </c>
      <c r="AA181" s="124" t="str">
        <f t="shared" si="100"/>
        <v>-</v>
      </c>
      <c r="AB181" s="130" t="str">
        <f t="shared" si="101"/>
        <v>-</v>
      </c>
      <c r="AC181" s="221" t="s">
        <v>78</v>
      </c>
      <c r="AD181" s="221" t="s">
        <v>78</v>
      </c>
      <c r="AE181" s="225" t="s">
        <v>78</v>
      </c>
      <c r="AF181" s="225" t="s">
        <v>78</v>
      </c>
      <c r="AG181" s="225" t="s">
        <v>78</v>
      </c>
      <c r="AH181" s="125" t="str">
        <f t="shared" si="148"/>
        <v>-</v>
      </c>
      <c r="AI181" s="127" t="str">
        <f t="shared" ref="AI181:AI244" si="157">IFERROR($AM181/$R181,"-")</f>
        <v>-</v>
      </c>
      <c r="AJ181" s="128"/>
      <c r="AK181" s="223" t="s">
        <v>78</v>
      </c>
      <c r="AL181" s="131" t="str">
        <f t="shared" ref="AL181:AL244" si="158">IFERROR(IF(ISNUMBER($AK181)=TRUE, $AK181*$R181, $AJ181*$R181), "-")</f>
        <v>-</v>
      </c>
      <c r="AM181" s="368" t="str">
        <f t="shared" si="150"/>
        <v>-</v>
      </c>
      <c r="AN181" s="375" t="str">
        <f t="shared" si="102"/>
        <v>-</v>
      </c>
      <c r="AO181" s="376" t="str">
        <f t="shared" si="103"/>
        <v>-</v>
      </c>
      <c r="AP181" s="394" t="s">
        <v>78</v>
      </c>
      <c r="AQ181" s="395" t="s">
        <v>78</v>
      </c>
      <c r="AR181" s="396" t="str">
        <f t="shared" si="139"/>
        <v>-</v>
      </c>
      <c r="AS181" s="397"/>
      <c r="AT181" s="401" t="s">
        <v>78</v>
      </c>
      <c r="AU181" s="396" t="str">
        <f t="shared" si="140"/>
        <v>-</v>
      </c>
      <c r="AV181" s="397"/>
      <c r="AW181" s="388" t="str">
        <f t="shared" si="104"/>
        <v>-</v>
      </c>
      <c r="AX181" s="389" t="str">
        <f t="shared" si="105"/>
        <v>-</v>
      </c>
      <c r="AY181" s="353" t="s">
        <v>78</v>
      </c>
      <c r="AZ181" s="403" t="s">
        <v>548</v>
      </c>
      <c r="BA181" s="404" t="s">
        <v>353</v>
      </c>
    </row>
    <row r="182" spans="1:54" ht="15" customHeight="1">
      <c r="A182" s="1" t="str">
        <f t="shared" si="136"/>
        <v>TSX:ELD_2025_Tech</v>
      </c>
      <c r="B182" s="1" t="str">
        <f t="shared" si="143"/>
        <v>TSX:ELD_2025_NEO2</v>
      </c>
      <c r="C182" s="1" t="str">
        <f t="shared" si="137"/>
        <v>TSX:ELD_2025_</v>
      </c>
      <c r="D182" s="114" t="str">
        <f t="shared" si="116"/>
        <v>TSX:ELD</v>
      </c>
      <c r="E182" s="133" t="str">
        <f>_xll.ciqfunctions.udf.CIQ(D182,"IQ_Company_Name")</f>
        <v>Eldorado Gold Corporation</v>
      </c>
      <c r="F182" s="114">
        <f t="shared" si="151"/>
        <v>2025</v>
      </c>
      <c r="G182" s="114" t="str">
        <f t="shared" si="145"/>
        <v>2025-01-01</v>
      </c>
      <c r="H182" s="330" t="str">
        <f t="shared" si="108"/>
        <v>2025-12-31</v>
      </c>
      <c r="I182" s="114">
        <f t="shared" ref="I182:I245" si="159">_xlfn.DAYS(H182,G182)/_xlfn.DAYS(F182&amp;"-12-31",F182&amp;"-01-01")*12</f>
        <v>12</v>
      </c>
      <c r="J182" s="407" t="s">
        <v>2</v>
      </c>
      <c r="K182" s="439">
        <f t="shared" si="144"/>
        <v>1</v>
      </c>
      <c r="L182" s="445" t="s">
        <v>361</v>
      </c>
      <c r="M182" s="445"/>
      <c r="N182" s="351" t="s">
        <v>108</v>
      </c>
      <c r="O182" s="425" t="s">
        <v>572</v>
      </c>
      <c r="P182" s="218" t="s">
        <v>299</v>
      </c>
      <c r="Q182" s="219">
        <v>531900</v>
      </c>
      <c r="R182" s="125">
        <f t="shared" si="153"/>
        <v>531900</v>
      </c>
      <c r="S182" s="311" t="s">
        <v>78</v>
      </c>
      <c r="T182" s="126" t="str">
        <f t="shared" si="124"/>
        <v>-</v>
      </c>
      <c r="U182" s="221">
        <v>489348</v>
      </c>
      <c r="V182" s="125">
        <f t="shared" si="121"/>
        <v>489348</v>
      </c>
      <c r="W182" s="127">
        <f t="shared" si="155"/>
        <v>0.92</v>
      </c>
      <c r="X182" s="128">
        <f>IFERROR(AVERAGE(W182:W184),"N/A")</f>
        <v>0.88665424436273732</v>
      </c>
      <c r="Y182" s="223">
        <v>0.8</v>
      </c>
      <c r="Z182" s="129">
        <f t="shared" si="156"/>
        <v>425520</v>
      </c>
      <c r="AA182" s="124">
        <f t="shared" ref="AA182:AA245" si="160">IFERROR(IF(SUM(R182,V182)=0,"-",SUM(R182,V182)),"-")</f>
        <v>1021248</v>
      </c>
      <c r="AB182" s="130">
        <f t="shared" ref="AB182:AB245" si="161">IFERROR(IF(SUM(R182,Z182)=0,"-",SUM(R182,Z182)),"-")</f>
        <v>957420</v>
      </c>
      <c r="AC182" s="221">
        <f>0.33333333*598375</f>
        <v>199458.33133874999</v>
      </c>
      <c r="AD182" s="221">
        <f>0.666666667*598375</f>
        <v>398916.66686612502</v>
      </c>
      <c r="AE182" s="225">
        <v>199459</v>
      </c>
      <c r="AF182" s="225" t="s">
        <v>78</v>
      </c>
      <c r="AG182" s="225" t="s">
        <v>78</v>
      </c>
      <c r="AH182" s="125">
        <f t="shared" si="148"/>
        <v>797833.99820487504</v>
      </c>
      <c r="AI182" s="127">
        <f t="shared" si="157"/>
        <v>1.499969915782807</v>
      </c>
      <c r="AJ182" s="128">
        <f>IFERROR(AVERAGE(AI182:AI184),"N/A")</f>
        <v>1.3922299110485172</v>
      </c>
      <c r="AK182" s="223">
        <v>1.5</v>
      </c>
      <c r="AL182" s="131">
        <f t="shared" si="158"/>
        <v>797850</v>
      </c>
      <c r="AM182" s="368">
        <f t="shared" si="150"/>
        <v>797833.99820487504</v>
      </c>
      <c r="AN182" s="375">
        <f t="shared" ref="AN182:AN245" si="162">IFERROR(IF(SUM(AA182,AM182)=0,"-",SUM(AA182,AM182)),"-")</f>
        <v>1819081.998204875</v>
      </c>
      <c r="AO182" s="376">
        <f t="shared" ref="AO182:AO245" si="163">IFERROR(IF(SUM($AB182,$AL182)=0,"-",SUM($AB182,$AL182)),"-")</f>
        <v>1755270</v>
      </c>
      <c r="AP182" s="394">
        <v>95742</v>
      </c>
      <c r="AQ182" s="395" t="s">
        <v>271</v>
      </c>
      <c r="AR182" s="396">
        <f t="shared" si="139"/>
        <v>95742</v>
      </c>
      <c r="AS182" s="397">
        <f>IFERROR(AVERAGE(AR182:AR184),"N/A")</f>
        <v>73870</v>
      </c>
      <c r="AT182" s="401" t="s">
        <v>78</v>
      </c>
      <c r="AU182" s="396" t="str">
        <f t="shared" si="140"/>
        <v>-</v>
      </c>
      <c r="AV182" s="397" t="str">
        <f>IFERROR(AVERAGE(AU182:AU184),"N/A")</f>
        <v>N/A</v>
      </c>
      <c r="AW182" s="388">
        <f t="shared" ref="AW182:AW245" si="164">IFERROR(IF(SUM(AN182,AR182,AU182)=0,"-",SUM(AN182,AR182,AU182)),"-")</f>
        <v>1914823.998204875</v>
      </c>
      <c r="AX182" s="389">
        <f t="shared" ref="AX182:AX245" si="165">IFERROR(IF(SUM(AO182,AR182,AU182)=0,"-",SUM(AO182,AR182,AU182)),"-")</f>
        <v>1851012</v>
      </c>
      <c r="AY182" s="353" t="s">
        <v>639</v>
      </c>
      <c r="AZ182" s="403" t="s">
        <v>548</v>
      </c>
      <c r="BA182" s="404" t="s">
        <v>353</v>
      </c>
      <c r="BB182" s="980" t="s">
        <v>659</v>
      </c>
    </row>
    <row r="183" spans="1:54" ht="15" customHeight="1">
      <c r="A183" s="1" t="str">
        <f t="shared" si="136"/>
        <v>TSX:ELD_2024_Tech</v>
      </c>
      <c r="B183" s="1" t="str">
        <f t="shared" si="143"/>
        <v>TSX:ELD_2024_NEO2</v>
      </c>
      <c r="C183" s="1" t="str">
        <f t="shared" si="137"/>
        <v>TSX:ELD_2024_</v>
      </c>
      <c r="D183" s="114" t="str">
        <f t="shared" si="116"/>
        <v>TSX:ELD</v>
      </c>
      <c r="E183" s="133" t="str">
        <f>_xll.ciqfunctions.udf.CIQ(D183,"IQ_Company_Name")</f>
        <v>Eldorado Gold Corporation</v>
      </c>
      <c r="F183" s="114">
        <f t="shared" si="151"/>
        <v>2024</v>
      </c>
      <c r="G183" s="114" t="str">
        <f t="shared" si="145"/>
        <v>2024-01-01</v>
      </c>
      <c r="H183" s="330" t="str">
        <f t="shared" si="108"/>
        <v>2024-12-31</v>
      </c>
      <c r="I183" s="114">
        <f t="shared" si="159"/>
        <v>12</v>
      </c>
      <c r="J183" s="407" t="s">
        <v>2</v>
      </c>
      <c r="K183" s="439">
        <f t="shared" si="144"/>
        <v>1</v>
      </c>
      <c r="L183" s="445" t="s">
        <v>361</v>
      </c>
      <c r="M183" s="445"/>
      <c r="N183" s="122" t="str">
        <f t="shared" ref="N183:P184" si="166">N182</f>
        <v>NEO2</v>
      </c>
      <c r="O183" s="123" t="str">
        <f t="shared" si="166"/>
        <v>Executive Vice President, Technical Services &amp; Operations</v>
      </c>
      <c r="P183" s="132" t="str">
        <f t="shared" si="166"/>
        <v>Simon Hille</v>
      </c>
      <c r="Q183" s="219">
        <v>488000</v>
      </c>
      <c r="R183" s="125">
        <f t="shared" si="153"/>
        <v>488000</v>
      </c>
      <c r="S183" s="311" t="s">
        <v>78</v>
      </c>
      <c r="T183" s="126" t="str">
        <f t="shared" si="124"/>
        <v>-</v>
      </c>
      <c r="U183" s="221">
        <v>448960</v>
      </c>
      <c r="V183" s="125">
        <f t="shared" si="121"/>
        <v>448960</v>
      </c>
      <c r="W183" s="127">
        <f t="shared" si="155"/>
        <v>0.92</v>
      </c>
      <c r="X183" s="128"/>
      <c r="Y183" s="223" t="s">
        <v>78</v>
      </c>
      <c r="Z183" s="129">
        <f t="shared" si="156"/>
        <v>0</v>
      </c>
      <c r="AA183" s="124">
        <f t="shared" si="160"/>
        <v>936960</v>
      </c>
      <c r="AB183" s="130">
        <f t="shared" si="161"/>
        <v>488000</v>
      </c>
      <c r="AC183" s="221">
        <f>0.33333333*548987</f>
        <v>182995.66483671</v>
      </c>
      <c r="AD183" s="221">
        <f>0.666666667*548987</f>
        <v>365991.333516329</v>
      </c>
      <c r="AE183" s="225">
        <v>182997</v>
      </c>
      <c r="AF183" s="225" t="s">
        <v>78</v>
      </c>
      <c r="AG183" s="225" t="s">
        <v>78</v>
      </c>
      <c r="AH183" s="125">
        <f t="shared" si="148"/>
        <v>731983.99835303903</v>
      </c>
      <c r="AI183" s="127">
        <f t="shared" si="157"/>
        <v>1.499967209739834</v>
      </c>
      <c r="AJ183" s="128"/>
      <c r="AK183" s="223" t="s">
        <v>78</v>
      </c>
      <c r="AL183" s="131">
        <f t="shared" si="158"/>
        <v>0</v>
      </c>
      <c r="AM183" s="368">
        <f t="shared" si="150"/>
        <v>731983.99835303903</v>
      </c>
      <c r="AN183" s="375">
        <f t="shared" si="162"/>
        <v>1668943.9983530389</v>
      </c>
      <c r="AO183" s="376">
        <f t="shared" si="163"/>
        <v>488000</v>
      </c>
      <c r="AP183" s="394">
        <v>87840</v>
      </c>
      <c r="AQ183" s="395" t="s">
        <v>271</v>
      </c>
      <c r="AR183" s="396">
        <f t="shared" si="139"/>
        <v>87840</v>
      </c>
      <c r="AS183" s="397"/>
      <c r="AT183" s="401" t="s">
        <v>78</v>
      </c>
      <c r="AU183" s="396" t="str">
        <f t="shared" si="140"/>
        <v>-</v>
      </c>
      <c r="AV183" s="397"/>
      <c r="AW183" s="388">
        <f t="shared" si="164"/>
        <v>1756783.9983530389</v>
      </c>
      <c r="AX183" s="389">
        <f t="shared" si="165"/>
        <v>575840</v>
      </c>
      <c r="AY183" s="353" t="s">
        <v>78</v>
      </c>
      <c r="AZ183" s="403" t="s">
        <v>548</v>
      </c>
      <c r="BA183" s="404" t="s">
        <v>353</v>
      </c>
    </row>
    <row r="184" spans="1:54" ht="15" customHeight="1">
      <c r="A184" s="1" t="str">
        <f t="shared" si="136"/>
        <v>TSX:ELD_2023_Tech</v>
      </c>
      <c r="B184" s="1" t="str">
        <f t="shared" si="143"/>
        <v>TSX:ELD_2023_NEO2</v>
      </c>
      <c r="C184" s="1" t="str">
        <f t="shared" si="137"/>
        <v>TSX:ELD_2023_</v>
      </c>
      <c r="D184" s="114" t="str">
        <f t="shared" si="116"/>
        <v>TSX:ELD</v>
      </c>
      <c r="E184" s="133" t="str">
        <f>_xll.ciqfunctions.udf.CIQ(D184,"IQ_Company_Name")</f>
        <v>Eldorado Gold Corporation</v>
      </c>
      <c r="F184" s="114">
        <f t="shared" si="151"/>
        <v>2023</v>
      </c>
      <c r="G184" s="114" t="str">
        <f t="shared" si="145"/>
        <v>2023-01-01</v>
      </c>
      <c r="H184" s="330" t="str">
        <f t="shared" si="108"/>
        <v>2023-12-31</v>
      </c>
      <c r="I184" s="114">
        <f t="shared" si="159"/>
        <v>12</v>
      </c>
      <c r="J184" s="407" t="s">
        <v>2</v>
      </c>
      <c r="K184" s="439">
        <f t="shared" si="144"/>
        <v>1</v>
      </c>
      <c r="L184" s="445" t="s">
        <v>361</v>
      </c>
      <c r="M184" s="445"/>
      <c r="N184" s="122" t="str">
        <f t="shared" si="166"/>
        <v>NEO2</v>
      </c>
      <c r="O184" s="123" t="str">
        <f t="shared" si="166"/>
        <v>Executive Vice President, Technical Services &amp; Operations</v>
      </c>
      <c r="P184" s="132" t="str">
        <f t="shared" si="166"/>
        <v>Simon Hille</v>
      </c>
      <c r="Q184" s="219">
        <v>441142</v>
      </c>
      <c r="R184" s="125">
        <f t="shared" si="153"/>
        <v>441142</v>
      </c>
      <c r="S184" s="311" t="s">
        <v>78</v>
      </c>
      <c r="T184" s="126" t="str">
        <f t="shared" si="124"/>
        <v>-</v>
      </c>
      <c r="U184" s="221">
        <v>361720</v>
      </c>
      <c r="V184" s="125">
        <f t="shared" si="121"/>
        <v>361720</v>
      </c>
      <c r="W184" s="127">
        <f t="shared" si="155"/>
        <v>0.81996273308821199</v>
      </c>
      <c r="X184" s="128"/>
      <c r="Y184" s="223" t="s">
        <v>78</v>
      </c>
      <c r="Z184" s="129">
        <f t="shared" si="156"/>
        <v>0</v>
      </c>
      <c r="AA184" s="124">
        <f t="shared" si="160"/>
        <v>802862</v>
      </c>
      <c r="AB184" s="130">
        <f t="shared" si="161"/>
        <v>441142</v>
      </c>
      <c r="AC184" s="221">
        <f>0.33333333*389338</f>
        <v>129779.33203553999</v>
      </c>
      <c r="AD184" s="221">
        <f>0.666666667*389338</f>
        <v>259558.66679644599</v>
      </c>
      <c r="AE184" s="225">
        <v>129777</v>
      </c>
      <c r="AF184" s="225" t="s">
        <v>78</v>
      </c>
      <c r="AG184" s="225" t="s">
        <v>78</v>
      </c>
      <c r="AH184" s="125">
        <f t="shared" si="148"/>
        <v>519114.99883198598</v>
      </c>
      <c r="AI184" s="127">
        <f t="shared" si="157"/>
        <v>1.1767526076229105</v>
      </c>
      <c r="AJ184" s="128"/>
      <c r="AK184" s="223" t="s">
        <v>78</v>
      </c>
      <c r="AL184" s="131">
        <f t="shared" si="158"/>
        <v>0</v>
      </c>
      <c r="AM184" s="368">
        <f t="shared" si="150"/>
        <v>519114.99883198598</v>
      </c>
      <c r="AN184" s="375">
        <f t="shared" si="162"/>
        <v>1321976.998831986</v>
      </c>
      <c r="AO184" s="376">
        <f t="shared" si="163"/>
        <v>441142</v>
      </c>
      <c r="AP184" s="394">
        <v>38028</v>
      </c>
      <c r="AQ184" s="395" t="s">
        <v>271</v>
      </c>
      <c r="AR184" s="396">
        <f t="shared" si="139"/>
        <v>38028</v>
      </c>
      <c r="AS184" s="397"/>
      <c r="AT184" s="401" t="s">
        <v>78</v>
      </c>
      <c r="AU184" s="396" t="str">
        <f t="shared" si="140"/>
        <v>-</v>
      </c>
      <c r="AV184" s="397"/>
      <c r="AW184" s="388">
        <f t="shared" si="164"/>
        <v>1360004.998831986</v>
      </c>
      <c r="AX184" s="389">
        <f t="shared" si="165"/>
        <v>479170</v>
      </c>
      <c r="AY184" s="353" t="s">
        <v>78</v>
      </c>
      <c r="AZ184" s="403" t="s">
        <v>548</v>
      </c>
      <c r="BA184" s="404" t="s">
        <v>353</v>
      </c>
    </row>
    <row r="185" spans="1:54" ht="15" customHeight="1">
      <c r="A185" s="1" t="str">
        <f t="shared" si="136"/>
        <v>TSX:ELD_2025_Legal</v>
      </c>
      <c r="B185" s="1" t="str">
        <f t="shared" si="143"/>
        <v>TSX:ELD_2025_NEO3</v>
      </c>
      <c r="C185" s="1" t="str">
        <f t="shared" si="137"/>
        <v>TSX:ELD_2025_</v>
      </c>
      <c r="D185" s="114" t="str">
        <f t="shared" si="116"/>
        <v>TSX:ELD</v>
      </c>
      <c r="E185" s="133" t="str">
        <f>_xll.ciqfunctions.udf.CIQ(D185,"IQ_Company_Name")</f>
        <v>Eldorado Gold Corporation</v>
      </c>
      <c r="F185" s="114">
        <f t="shared" si="151"/>
        <v>2025</v>
      </c>
      <c r="G185" s="114" t="str">
        <f t="shared" si="145"/>
        <v>2025-01-01</v>
      </c>
      <c r="H185" s="330" t="str">
        <f t="shared" si="108"/>
        <v>2025-12-31</v>
      </c>
      <c r="I185" s="114">
        <f t="shared" si="159"/>
        <v>12</v>
      </c>
      <c r="J185" s="407" t="s">
        <v>2</v>
      </c>
      <c r="K185" s="439">
        <f t="shared" si="144"/>
        <v>1</v>
      </c>
      <c r="L185" s="445" t="s">
        <v>360</v>
      </c>
      <c r="M185" s="445"/>
      <c r="N185" s="351" t="s">
        <v>109</v>
      </c>
      <c r="O185" s="217" t="s">
        <v>297</v>
      </c>
      <c r="P185" s="218" t="s">
        <v>298</v>
      </c>
      <c r="Q185" s="219">
        <v>492200</v>
      </c>
      <c r="R185" s="125">
        <f t="shared" si="153"/>
        <v>492200</v>
      </c>
      <c r="S185" s="311" t="s">
        <v>78</v>
      </c>
      <c r="T185" s="126" t="str">
        <f t="shared" si="124"/>
        <v>-</v>
      </c>
      <c r="U185" s="221">
        <v>452824</v>
      </c>
      <c r="V185" s="125">
        <f t="shared" si="121"/>
        <v>452824</v>
      </c>
      <c r="W185" s="127">
        <f t="shared" si="155"/>
        <v>0.92</v>
      </c>
      <c r="X185" s="128">
        <f>IFERROR(AVERAGE(W185:W187),"N/A")</f>
        <v>0.93598309740122543</v>
      </c>
      <c r="Y185" s="223">
        <v>0.8</v>
      </c>
      <c r="Z185" s="129">
        <f t="shared" si="156"/>
        <v>393760</v>
      </c>
      <c r="AA185" s="124">
        <f t="shared" si="160"/>
        <v>945024</v>
      </c>
      <c r="AB185" s="130">
        <f t="shared" si="161"/>
        <v>885960</v>
      </c>
      <c r="AC185" s="221">
        <f>0.33333333*553697</f>
        <v>184565.66482101</v>
      </c>
      <c r="AD185" s="221">
        <f>0.666666667*553697</f>
        <v>369131.33351789898</v>
      </c>
      <c r="AE185" s="225">
        <v>184572</v>
      </c>
      <c r="AF185" s="225" t="s">
        <v>78</v>
      </c>
      <c r="AG185" s="225" t="s">
        <v>78</v>
      </c>
      <c r="AH185" s="125">
        <f t="shared" si="148"/>
        <v>738268.998338909</v>
      </c>
      <c r="AI185" s="127">
        <f t="shared" si="157"/>
        <v>1.4999370140977428</v>
      </c>
      <c r="AJ185" s="128">
        <f>IFERROR(AVERAGE(AI185:AI187),"N/A")</f>
        <v>1.4999462890344655</v>
      </c>
      <c r="AK185" s="223">
        <v>1.5</v>
      </c>
      <c r="AL185" s="131">
        <f t="shared" si="158"/>
        <v>738300</v>
      </c>
      <c r="AM185" s="368">
        <f t="shared" si="150"/>
        <v>738268.998338909</v>
      </c>
      <c r="AN185" s="375">
        <f t="shared" si="162"/>
        <v>1683292.9983389089</v>
      </c>
      <c r="AO185" s="376">
        <f t="shared" si="163"/>
        <v>1624260</v>
      </c>
      <c r="AP185" s="394">
        <v>88596</v>
      </c>
      <c r="AQ185" s="395" t="s">
        <v>271</v>
      </c>
      <c r="AR185" s="396">
        <f t="shared" si="139"/>
        <v>88596</v>
      </c>
      <c r="AS185" s="397">
        <f>IFERROR(AVERAGE(AR185:AR187),"N/A")</f>
        <v>84928.333333333328</v>
      </c>
      <c r="AT185" s="401" t="s">
        <v>78</v>
      </c>
      <c r="AU185" s="396" t="str">
        <f t="shared" si="140"/>
        <v>-</v>
      </c>
      <c r="AV185" s="397" t="str">
        <f>IFERROR(AVERAGE(AU185:AU187),"N/A")</f>
        <v>N/A</v>
      </c>
      <c r="AW185" s="388">
        <f t="shared" si="164"/>
        <v>1771888.9983389089</v>
      </c>
      <c r="AX185" s="389">
        <f t="shared" si="165"/>
        <v>1712856</v>
      </c>
      <c r="AY185" s="403"/>
      <c r="AZ185" s="403" t="s">
        <v>548</v>
      </c>
      <c r="BA185" s="404" t="s">
        <v>353</v>
      </c>
    </row>
    <row r="186" spans="1:54" ht="15" customHeight="1">
      <c r="A186" s="1" t="str">
        <f t="shared" si="136"/>
        <v>TSX:ELD_2024_Legal</v>
      </c>
      <c r="B186" s="1" t="str">
        <f t="shared" si="143"/>
        <v>TSX:ELD_2024_NEO3</v>
      </c>
      <c r="C186" s="1" t="str">
        <f t="shared" si="137"/>
        <v>TSX:ELD_2024_</v>
      </c>
      <c r="D186" s="114" t="str">
        <f t="shared" si="116"/>
        <v>TSX:ELD</v>
      </c>
      <c r="E186" s="133" t="str">
        <f>_xll.ciqfunctions.udf.CIQ(D186,"IQ_Company_Name")</f>
        <v>Eldorado Gold Corporation</v>
      </c>
      <c r="F186" s="114">
        <f t="shared" si="151"/>
        <v>2024</v>
      </c>
      <c r="G186" s="114" t="str">
        <f t="shared" si="145"/>
        <v>2024-01-01</v>
      </c>
      <c r="H186" s="330" t="str">
        <f t="shared" si="108"/>
        <v>2024-12-31</v>
      </c>
      <c r="I186" s="114">
        <f t="shared" si="159"/>
        <v>12</v>
      </c>
      <c r="J186" s="407" t="s">
        <v>2</v>
      </c>
      <c r="K186" s="439">
        <f t="shared" si="144"/>
        <v>1</v>
      </c>
      <c r="L186" s="445" t="s">
        <v>360</v>
      </c>
      <c r="M186" s="445"/>
      <c r="N186" s="122" t="str">
        <f t="shared" ref="N186:P187" si="167">N185</f>
        <v>NEO3</v>
      </c>
      <c r="O186" s="123" t="str">
        <f t="shared" si="167"/>
        <v>EVP, General Counsel &amp; Chief Compliance Officer</v>
      </c>
      <c r="P186" s="132" t="str">
        <f t="shared" si="167"/>
        <v>Frank Herbert</v>
      </c>
      <c r="Q186" s="426">
        <v>473300</v>
      </c>
      <c r="R186" s="125">
        <f t="shared" si="153"/>
        <v>473300</v>
      </c>
      <c r="S186" s="311" t="s">
        <v>78</v>
      </c>
      <c r="T186" s="126" t="str">
        <f t="shared" si="124"/>
        <v>-</v>
      </c>
      <c r="U186" s="221">
        <v>435412</v>
      </c>
      <c r="V186" s="125">
        <f t="shared" si="121"/>
        <v>435412</v>
      </c>
      <c r="W186" s="127">
        <f t="shared" si="155"/>
        <v>0.91994929220367627</v>
      </c>
      <c r="X186" s="128"/>
      <c r="Y186" s="223" t="s">
        <v>78</v>
      </c>
      <c r="Z186" s="129">
        <f t="shared" si="156"/>
        <v>0</v>
      </c>
      <c r="AA186" s="124">
        <f t="shared" si="160"/>
        <v>908712</v>
      </c>
      <c r="AB186" s="130">
        <f t="shared" si="161"/>
        <v>473300</v>
      </c>
      <c r="AC186" s="221">
        <f>0.33333333*532448</f>
        <v>177482.66489183999</v>
      </c>
      <c r="AD186" s="221">
        <f>0.666666667*532448</f>
        <v>354965.33351081598</v>
      </c>
      <c r="AE186" s="225">
        <v>177485</v>
      </c>
      <c r="AF186" s="225" t="s">
        <v>78</v>
      </c>
      <c r="AG186" s="225" t="s">
        <v>78</v>
      </c>
      <c r="AH186" s="125">
        <f t="shared" si="148"/>
        <v>709932.99840265594</v>
      </c>
      <c r="AI186" s="127">
        <f t="shared" si="157"/>
        <v>1.4999640786026958</v>
      </c>
      <c r="AJ186" s="128"/>
      <c r="AK186" s="223" t="s">
        <v>78</v>
      </c>
      <c r="AL186" s="131">
        <f t="shared" si="158"/>
        <v>0</v>
      </c>
      <c r="AM186" s="368">
        <f t="shared" si="150"/>
        <v>709932.99840265594</v>
      </c>
      <c r="AN186" s="375">
        <f t="shared" si="162"/>
        <v>1618644.9984026561</v>
      </c>
      <c r="AO186" s="376">
        <f t="shared" si="163"/>
        <v>473300</v>
      </c>
      <c r="AP186" s="394">
        <v>85189</v>
      </c>
      <c r="AQ186" s="395" t="s">
        <v>271</v>
      </c>
      <c r="AR186" s="396">
        <f t="shared" si="139"/>
        <v>85189</v>
      </c>
      <c r="AS186" s="397"/>
      <c r="AT186" s="401" t="s">
        <v>78</v>
      </c>
      <c r="AU186" s="396" t="str">
        <f t="shared" si="140"/>
        <v>-</v>
      </c>
      <c r="AV186" s="397"/>
      <c r="AW186" s="388">
        <f t="shared" si="164"/>
        <v>1703833.9984026561</v>
      </c>
      <c r="AX186" s="389">
        <f t="shared" si="165"/>
        <v>558489</v>
      </c>
      <c r="AY186" s="353" t="s">
        <v>78</v>
      </c>
      <c r="AZ186" s="403" t="s">
        <v>548</v>
      </c>
      <c r="BA186" s="404" t="s">
        <v>353</v>
      </c>
    </row>
    <row r="187" spans="1:54" ht="15" customHeight="1">
      <c r="A187" s="1" t="str">
        <f t="shared" si="136"/>
        <v>TSX:ELD_2023_Legal</v>
      </c>
      <c r="B187" s="1" t="str">
        <f t="shared" si="143"/>
        <v>TSX:ELD_2023_NEO3</v>
      </c>
      <c r="C187" s="1" t="str">
        <f t="shared" si="137"/>
        <v>TSX:ELD_2023_</v>
      </c>
      <c r="D187" s="203" t="str">
        <f t="shared" si="116"/>
        <v>TSX:ELD</v>
      </c>
      <c r="E187" s="205" t="str">
        <f>_xll.ciqfunctions.udf.CIQ(D187,"IQ_Company_Name")</f>
        <v>Eldorado Gold Corporation</v>
      </c>
      <c r="F187" s="204">
        <f t="shared" si="151"/>
        <v>2023</v>
      </c>
      <c r="G187" s="204" t="str">
        <f t="shared" si="145"/>
        <v>2023-01-01</v>
      </c>
      <c r="H187" s="331" t="str">
        <f t="shared" si="108"/>
        <v>2023-12-31</v>
      </c>
      <c r="I187" s="204">
        <f t="shared" si="159"/>
        <v>12</v>
      </c>
      <c r="J187" s="408" t="s">
        <v>2</v>
      </c>
      <c r="K187" s="441">
        <f t="shared" si="144"/>
        <v>1</v>
      </c>
      <c r="L187" s="454" t="s">
        <v>360</v>
      </c>
      <c r="M187" s="454"/>
      <c r="N187" s="956" t="str">
        <f t="shared" si="167"/>
        <v>NEO3</v>
      </c>
      <c r="O187" s="206" t="str">
        <f t="shared" si="167"/>
        <v>EVP, General Counsel &amp; Chief Compliance Officer</v>
      </c>
      <c r="P187" s="207" t="str">
        <f t="shared" si="167"/>
        <v>Frank Herbert</v>
      </c>
      <c r="Q187" s="430">
        <v>450000</v>
      </c>
      <c r="R187" s="209">
        <f t="shared" si="153"/>
        <v>450000</v>
      </c>
      <c r="S187" s="312" t="s">
        <v>78</v>
      </c>
      <c r="T187" s="329" t="str">
        <f t="shared" si="124"/>
        <v>-</v>
      </c>
      <c r="U187" s="222">
        <v>435600</v>
      </c>
      <c r="V187" s="209">
        <f t="shared" si="121"/>
        <v>435600</v>
      </c>
      <c r="W187" s="211">
        <f t="shared" si="155"/>
        <v>0.96799999999999997</v>
      </c>
      <c r="X187" s="212"/>
      <c r="Y187" s="224" t="s">
        <v>78</v>
      </c>
      <c r="Z187" s="213">
        <f t="shared" si="156"/>
        <v>0</v>
      </c>
      <c r="AA187" s="208">
        <f t="shared" si="160"/>
        <v>885600</v>
      </c>
      <c r="AB187" s="214">
        <f t="shared" si="161"/>
        <v>450000</v>
      </c>
      <c r="AC187" s="222">
        <f>0.33333333*506223</f>
        <v>168740.99831259</v>
      </c>
      <c r="AD187" s="222">
        <f>0.666666667*506223</f>
        <v>337482.00016874098</v>
      </c>
      <c r="AE187" s="226">
        <v>168749</v>
      </c>
      <c r="AF187" s="226" t="s">
        <v>78</v>
      </c>
      <c r="AG187" s="226" t="s">
        <v>78</v>
      </c>
      <c r="AH187" s="418">
        <f t="shared" si="148"/>
        <v>674971.99848133093</v>
      </c>
      <c r="AI187" s="211">
        <f t="shared" si="157"/>
        <v>1.4999377744029576</v>
      </c>
      <c r="AJ187" s="212"/>
      <c r="AK187" s="224" t="s">
        <v>78</v>
      </c>
      <c r="AL187" s="215">
        <f t="shared" si="158"/>
        <v>0</v>
      </c>
      <c r="AM187" s="369">
        <f t="shared" si="150"/>
        <v>674971.99848133093</v>
      </c>
      <c r="AN187" s="377">
        <f t="shared" si="162"/>
        <v>1560571.9984813309</v>
      </c>
      <c r="AO187" s="378">
        <f t="shared" si="163"/>
        <v>450000</v>
      </c>
      <c r="AP187" s="398">
        <v>81000</v>
      </c>
      <c r="AQ187" s="399" t="s">
        <v>271</v>
      </c>
      <c r="AR187" s="951">
        <f t="shared" si="139"/>
        <v>81000</v>
      </c>
      <c r="AS187" s="400"/>
      <c r="AT187" s="402" t="s">
        <v>78</v>
      </c>
      <c r="AU187" s="396" t="str">
        <f t="shared" si="140"/>
        <v>-</v>
      </c>
      <c r="AV187" s="400"/>
      <c r="AW187" s="390">
        <f t="shared" si="164"/>
        <v>1641571.9984813309</v>
      </c>
      <c r="AX187" s="391">
        <f t="shared" si="165"/>
        <v>531000</v>
      </c>
      <c r="AY187" s="354" t="s">
        <v>78</v>
      </c>
      <c r="AZ187" s="405" t="s">
        <v>548</v>
      </c>
      <c r="BA187" s="404" t="s">
        <v>353</v>
      </c>
    </row>
    <row r="188" spans="1:54" ht="15" customHeight="1">
      <c r="A188" s="1" t="str">
        <f t="shared" si="136"/>
        <v>TSX:AGI_2025_</v>
      </c>
      <c r="B188" s="1" t="str">
        <f t="shared" si="143"/>
        <v>TSX:AGI_2025_CEO</v>
      </c>
      <c r="C188" s="1" t="str">
        <f t="shared" si="137"/>
        <v>TSX:AGI_2025_</v>
      </c>
      <c r="D188" s="216" t="str">
        <f>E14</f>
        <v>TSX:AGI</v>
      </c>
      <c r="E188" s="133" t="str">
        <f>_xll.ciqfunctions.udf.CIQ(D188,"IQ_Company_Name")</f>
        <v>Alamos Gold Inc.</v>
      </c>
      <c r="F188" s="328">
        <v>2025</v>
      </c>
      <c r="G188" s="330" t="str">
        <f t="shared" si="145"/>
        <v>2025-01-01</v>
      </c>
      <c r="H188" s="330" t="str">
        <f t="shared" si="108"/>
        <v>2025-12-31</v>
      </c>
      <c r="I188" s="114">
        <f t="shared" si="159"/>
        <v>12</v>
      </c>
      <c r="J188" s="328" t="s">
        <v>285</v>
      </c>
      <c r="K188" s="439">
        <f t="shared" si="144"/>
        <v>1.3974500000000001</v>
      </c>
      <c r="L188" s="445"/>
      <c r="M188" s="445"/>
      <c r="N188" s="351" t="s">
        <v>79</v>
      </c>
      <c r="O188" s="217" t="s">
        <v>269</v>
      </c>
      <c r="P188" s="218" t="s">
        <v>327</v>
      </c>
      <c r="Q188" s="219">
        <v>822710</v>
      </c>
      <c r="R188" s="125">
        <f t="shared" si="153"/>
        <v>1149696.0895</v>
      </c>
      <c r="S188" s="311" t="s">
        <v>78</v>
      </c>
      <c r="T188" s="126" t="str">
        <f t="shared" si="124"/>
        <v>-</v>
      </c>
      <c r="U188" s="967">
        <f>1218640-(575000*0.7154)</f>
        <v>807285</v>
      </c>
      <c r="V188" s="125">
        <f t="shared" ref="V188:V202" si="168">IFERROR(U188*(12/$I188)*$K188,"-")</f>
        <v>1128140.42325</v>
      </c>
      <c r="W188" s="127">
        <f t="shared" si="155"/>
        <v>0.98125098758979468</v>
      </c>
      <c r="X188" s="128">
        <f>IFERROR(AVERAGE(W188:W190),"N/A")</f>
        <v>1.3575005176338746</v>
      </c>
      <c r="Y188" s="223">
        <v>1.25</v>
      </c>
      <c r="Z188" s="129">
        <f t="shared" si="156"/>
        <v>1437120.1118749999</v>
      </c>
      <c r="AA188" s="124">
        <f t="shared" si="160"/>
        <v>2277836.5127499998</v>
      </c>
      <c r="AB188" s="130">
        <f t="shared" si="161"/>
        <v>2586816.2013750002</v>
      </c>
      <c r="AC188" s="221">
        <f>1/3*2159614</f>
        <v>719871.33333333326</v>
      </c>
      <c r="AD188" s="221">
        <f>2/3*2159614</f>
        <v>1439742.6666666665</v>
      </c>
      <c r="AE188" s="225">
        <v>719871</v>
      </c>
      <c r="AF188" s="225" t="s">
        <v>78</v>
      </c>
      <c r="AG188" s="225" t="s">
        <v>78</v>
      </c>
      <c r="AH188" s="125">
        <f t="shared" ref="AH188:AH202" si="169">IFERROR(IF(SUM(AC188:AG188)=0,IF(COUNTIF($AC188:$AG188,"=0")&gt;0,"$0","-"),SUM(AC188:AG188)),"-")</f>
        <v>2879485</v>
      </c>
      <c r="AI188" s="127">
        <f t="shared" si="157"/>
        <v>3.5</v>
      </c>
      <c r="AJ188" s="128">
        <f>IFERROR(AVERAGE(AI188:AI190),"N/A")</f>
        <v>3.0833331127925145</v>
      </c>
      <c r="AK188" s="421" t="s">
        <v>78</v>
      </c>
      <c r="AL188" s="131">
        <f t="shared" si="158"/>
        <v>3544896.0224034162</v>
      </c>
      <c r="AM188" s="368">
        <f t="shared" si="150"/>
        <v>4023936.3132500001</v>
      </c>
      <c r="AN188" s="375">
        <f t="shared" si="162"/>
        <v>6301772.8259999994</v>
      </c>
      <c r="AO188" s="376">
        <f t="shared" si="163"/>
        <v>6131712.2237784164</v>
      </c>
      <c r="AP188" s="394">
        <v>195599</v>
      </c>
      <c r="AQ188" s="395" t="s">
        <v>271</v>
      </c>
      <c r="AR188" s="396">
        <f t="shared" si="139"/>
        <v>273339.82255000004</v>
      </c>
      <c r="AS188" s="409">
        <f>IFERROR(AVERAGE(AR188:AR190),"N/A")</f>
        <v>304579.57603333332</v>
      </c>
      <c r="AT188" s="401">
        <v>68482</v>
      </c>
      <c r="AU188" s="396">
        <f t="shared" si="140"/>
        <v>95700.170900000012</v>
      </c>
      <c r="AV188" s="409">
        <f>IFERROR(AVERAGE(AU188:AU190),"N/A")</f>
        <v>93328.102700000003</v>
      </c>
      <c r="AW188" s="386">
        <f>IFERROR(IF(SUM(AN188,AR188,AU188)=0,"-",SUM(AN188,AR188,AU188)),"-")</f>
        <v>6670812.8194499994</v>
      </c>
      <c r="AX188" s="387">
        <f t="shared" si="165"/>
        <v>6500752.2172284164</v>
      </c>
      <c r="AY188" s="353" t="s">
        <v>640</v>
      </c>
      <c r="AZ188" s="403" t="s">
        <v>548</v>
      </c>
      <c r="BA188" s="404" t="s">
        <v>353</v>
      </c>
    </row>
    <row r="189" spans="1:54" ht="15" customHeight="1">
      <c r="A189" s="1" t="str">
        <f t="shared" si="136"/>
        <v>TSX:AGI_2024_</v>
      </c>
      <c r="B189" s="1" t="str">
        <f t="shared" si="143"/>
        <v>TSX:AGI_2024_CEO</v>
      </c>
      <c r="C189" s="1" t="str">
        <f t="shared" si="137"/>
        <v>TSX:AGI_2024_</v>
      </c>
      <c r="D189" s="114" t="str">
        <f>D188</f>
        <v>TSX:AGI</v>
      </c>
      <c r="E189" s="133" t="str">
        <f>_xll.ciqfunctions.udf.CIQ(D189,"IQ_Company_Name")</f>
        <v>Alamos Gold Inc.</v>
      </c>
      <c r="F189" s="328">
        <v>2024</v>
      </c>
      <c r="G189" s="330" t="str">
        <f t="shared" si="145"/>
        <v>2024-01-01</v>
      </c>
      <c r="H189" s="330" t="str">
        <f t="shared" ref="H189:H252" si="170">F189&amp;"-12-31"</f>
        <v>2024-12-31</v>
      </c>
      <c r="I189" s="114">
        <f t="shared" si="159"/>
        <v>12</v>
      </c>
      <c r="J189" s="407" t="s">
        <v>285</v>
      </c>
      <c r="K189" s="439">
        <f t="shared" si="144"/>
        <v>1.3701700000000001</v>
      </c>
      <c r="L189" s="445"/>
      <c r="M189" s="445"/>
      <c r="N189" s="122" t="str">
        <f t="shared" ref="N189:P190" si="171">N188</f>
        <v>CEO</v>
      </c>
      <c r="O189" s="123" t="str">
        <f t="shared" si="171"/>
        <v>President &amp; CEO</v>
      </c>
      <c r="P189" s="132" t="str">
        <f t="shared" si="171"/>
        <v>John A. McCluskey</v>
      </c>
      <c r="Q189" s="219">
        <v>784965</v>
      </c>
      <c r="R189" s="125">
        <f t="shared" si="153"/>
        <v>1075535.4940500001</v>
      </c>
      <c r="S189" s="311" t="s">
        <v>78</v>
      </c>
      <c r="T189" s="126" t="str">
        <f t="shared" si="124"/>
        <v>-</v>
      </c>
      <c r="U189" s="221">
        <v>1249076</v>
      </c>
      <c r="V189" s="125">
        <f t="shared" si="168"/>
        <v>1711446.4629200001</v>
      </c>
      <c r="W189" s="127">
        <f t="shared" si="155"/>
        <v>1.5912505653118292</v>
      </c>
      <c r="X189" s="128"/>
      <c r="Y189" s="223" t="s">
        <v>78</v>
      </c>
      <c r="Z189" s="129">
        <f t="shared" si="156"/>
        <v>0</v>
      </c>
      <c r="AA189" s="124">
        <f t="shared" si="160"/>
        <v>2786981.9569700002</v>
      </c>
      <c r="AB189" s="130">
        <f t="shared" si="161"/>
        <v>1075535.4940500001</v>
      </c>
      <c r="AC189" s="221">
        <f>1/3*1766171</f>
        <v>588723.66666666663</v>
      </c>
      <c r="AD189" s="221">
        <f>2/3*1766171</f>
        <v>1177447.3333333333</v>
      </c>
      <c r="AE189" s="225">
        <v>588724</v>
      </c>
      <c r="AF189" s="225" t="s">
        <v>78</v>
      </c>
      <c r="AG189" s="225" t="s">
        <v>78</v>
      </c>
      <c r="AH189" s="125">
        <f t="shared" si="169"/>
        <v>2354895</v>
      </c>
      <c r="AI189" s="127">
        <f t="shared" si="157"/>
        <v>3</v>
      </c>
      <c r="AJ189" s="128"/>
      <c r="AK189" s="421" t="s">
        <v>78</v>
      </c>
      <c r="AL189" s="131">
        <f t="shared" si="158"/>
        <v>0</v>
      </c>
      <c r="AM189" s="368">
        <f t="shared" si="150"/>
        <v>3226606.4821500001</v>
      </c>
      <c r="AN189" s="375">
        <f t="shared" si="162"/>
        <v>6013588.4391200002</v>
      </c>
      <c r="AO189" s="376">
        <f t="shared" si="163"/>
        <v>1075535.4940500001</v>
      </c>
      <c r="AP189" s="394">
        <v>244085</v>
      </c>
      <c r="AQ189" s="395" t="s">
        <v>271</v>
      </c>
      <c r="AR189" s="396">
        <f t="shared" si="139"/>
        <v>334437.94445000001</v>
      </c>
      <c r="AS189" s="397"/>
      <c r="AT189" s="401">
        <v>69230</v>
      </c>
      <c r="AU189" s="396">
        <f t="shared" si="140"/>
        <v>94856.869100000011</v>
      </c>
      <c r="AV189" s="397"/>
      <c r="AW189" s="388">
        <f>IFERROR(IF(SUM(AN189,AR189,AU189)=0,"-",SUM(AN189,AR189,AU189)),"-")</f>
        <v>6442883.2526700003</v>
      </c>
      <c r="AX189" s="389">
        <f t="shared" si="165"/>
        <v>1504830.3076000002</v>
      </c>
      <c r="AY189" s="353" t="s">
        <v>78</v>
      </c>
      <c r="AZ189" s="403" t="s">
        <v>548</v>
      </c>
      <c r="BA189" s="404" t="s">
        <v>353</v>
      </c>
    </row>
    <row r="190" spans="1:54" ht="15" customHeight="1">
      <c r="A190" s="1" t="str">
        <f t="shared" si="136"/>
        <v>TSX:AGI_2023_</v>
      </c>
      <c r="B190" s="1" t="str">
        <f t="shared" si="143"/>
        <v>TSX:AGI_2023_CEO</v>
      </c>
      <c r="C190" s="1" t="str">
        <f t="shared" si="137"/>
        <v>TSX:AGI_2023_</v>
      </c>
      <c r="D190" s="114" t="str">
        <f t="shared" si="116"/>
        <v>TSX:AGI</v>
      </c>
      <c r="E190" s="133" t="str">
        <f>_xll.ciqfunctions.udf.CIQ(D190,"IQ_Company_Name")</f>
        <v>Alamos Gold Inc.</v>
      </c>
      <c r="F190" s="328">
        <v>2023</v>
      </c>
      <c r="G190" s="114" t="str">
        <f t="shared" si="145"/>
        <v>2023-01-01</v>
      </c>
      <c r="H190" s="330" t="str">
        <f t="shared" si="170"/>
        <v>2023-12-31</v>
      </c>
      <c r="I190" s="114">
        <f t="shared" si="159"/>
        <v>12</v>
      </c>
      <c r="J190" s="407" t="s">
        <v>285</v>
      </c>
      <c r="K190" s="439">
        <f t="shared" si="144"/>
        <v>1.34954</v>
      </c>
      <c r="L190" s="445"/>
      <c r="M190" s="445"/>
      <c r="N190" s="122" t="str">
        <f t="shared" si="171"/>
        <v>CEO</v>
      </c>
      <c r="O190" s="123" t="str">
        <f t="shared" si="171"/>
        <v>President &amp; CEO</v>
      </c>
      <c r="P190" s="132" t="str">
        <f t="shared" si="171"/>
        <v>John A. McCluskey</v>
      </c>
      <c r="Q190" s="219">
        <v>755718</v>
      </c>
      <c r="R190" s="125">
        <f t="shared" si="153"/>
        <v>1019871.66972</v>
      </c>
      <c r="S190" s="311" t="s">
        <v>78</v>
      </c>
      <c r="T190" s="126" t="str">
        <f t="shared" si="124"/>
        <v>-</v>
      </c>
      <c r="U190" s="221">
        <v>1133577</v>
      </c>
      <c r="V190" s="125">
        <f t="shared" si="168"/>
        <v>1529807.5045799999</v>
      </c>
      <c r="W190" s="127">
        <f t="shared" si="155"/>
        <v>1.5</v>
      </c>
      <c r="X190" s="128"/>
      <c r="Y190" s="223" t="s">
        <v>78</v>
      </c>
      <c r="Z190" s="129">
        <f t="shared" si="156"/>
        <v>0</v>
      </c>
      <c r="AA190" s="124">
        <f t="shared" si="160"/>
        <v>2549679.1743000001</v>
      </c>
      <c r="AB190" s="130">
        <f t="shared" si="161"/>
        <v>1019871.66972</v>
      </c>
      <c r="AC190" s="221">
        <f>1/3*1558668</f>
        <v>519556</v>
      </c>
      <c r="AD190" s="221">
        <f>2/3*1558668</f>
        <v>1039112</v>
      </c>
      <c r="AE190" s="225">
        <v>519556</v>
      </c>
      <c r="AF190" s="225" t="s">
        <v>78</v>
      </c>
      <c r="AG190" s="225" t="s">
        <v>78</v>
      </c>
      <c r="AH190" s="125">
        <f t="shared" si="169"/>
        <v>2078224</v>
      </c>
      <c r="AI190" s="127">
        <f t="shared" si="157"/>
        <v>2.7499993383775432</v>
      </c>
      <c r="AJ190" s="128"/>
      <c r="AK190" s="421" t="s">
        <v>78</v>
      </c>
      <c r="AL190" s="131">
        <f t="shared" si="158"/>
        <v>0</v>
      </c>
      <c r="AM190" s="368">
        <f t="shared" si="150"/>
        <v>2804646.4169600001</v>
      </c>
      <c r="AN190" s="375">
        <f t="shared" si="162"/>
        <v>5354325.5912600001</v>
      </c>
      <c r="AO190" s="376">
        <f t="shared" si="163"/>
        <v>1019871.66972</v>
      </c>
      <c r="AP190" s="394">
        <v>226715</v>
      </c>
      <c r="AQ190" s="395" t="s">
        <v>271</v>
      </c>
      <c r="AR190" s="396">
        <f t="shared" si="139"/>
        <v>305960.96110000001</v>
      </c>
      <c r="AS190" s="397"/>
      <c r="AT190" s="401">
        <v>66265</v>
      </c>
      <c r="AU190" s="396">
        <f t="shared" si="140"/>
        <v>89427.268100000001</v>
      </c>
      <c r="AV190" s="397"/>
      <c r="AW190" s="388">
        <f>IFERROR(IF(SUM(AN190,AR190,AU190)=0,"-",SUM(AN190,AR190,AU190)),"-")</f>
        <v>5749713.8204600001</v>
      </c>
      <c r="AX190" s="389">
        <f t="shared" si="165"/>
        <v>1415259.8989200001</v>
      </c>
      <c r="AY190" s="353" t="s">
        <v>78</v>
      </c>
      <c r="AZ190" s="403" t="s">
        <v>548</v>
      </c>
      <c r="BA190" s="404" t="s">
        <v>353</v>
      </c>
    </row>
    <row r="191" spans="1:54" ht="15" customHeight="1">
      <c r="A191" s="1" t="str">
        <f t="shared" si="136"/>
        <v>TSX:AGI_2025_</v>
      </c>
      <c r="B191" s="1" t="str">
        <f t="shared" si="143"/>
        <v>TSX:AGI_2025_CFO</v>
      </c>
      <c r="C191" s="1" t="str">
        <f t="shared" si="137"/>
        <v>TSX:AGI_2025_</v>
      </c>
      <c r="D191" s="114" t="str">
        <f t="shared" si="116"/>
        <v>TSX:AGI</v>
      </c>
      <c r="E191" s="133" t="str">
        <f>_xll.ciqfunctions.udf.CIQ(D191,"IQ_Company_Name")</f>
        <v>Alamos Gold Inc.</v>
      </c>
      <c r="F191" s="114">
        <f t="shared" ref="F191:F202" si="172">F188</f>
        <v>2025</v>
      </c>
      <c r="G191" s="114" t="str">
        <f t="shared" si="145"/>
        <v>2025-01-01</v>
      </c>
      <c r="H191" s="330" t="str">
        <f t="shared" si="170"/>
        <v>2025-12-31</v>
      </c>
      <c r="I191" s="114">
        <f t="shared" si="159"/>
        <v>12</v>
      </c>
      <c r="J191" s="407" t="s">
        <v>285</v>
      </c>
      <c r="K191" s="439">
        <f t="shared" si="144"/>
        <v>1.3974500000000001</v>
      </c>
      <c r="L191" s="445"/>
      <c r="M191" s="445"/>
      <c r="N191" s="351" t="s">
        <v>106</v>
      </c>
      <c r="O191" s="217" t="s">
        <v>106</v>
      </c>
      <c r="P191" s="218" t="s">
        <v>328</v>
      </c>
      <c r="Q191" s="219">
        <v>400624</v>
      </c>
      <c r="R191" s="125">
        <f t="shared" si="153"/>
        <v>559852.00880000007</v>
      </c>
      <c r="S191" s="311" t="s">
        <v>78</v>
      </c>
      <c r="T191" s="126" t="str">
        <f t="shared" si="124"/>
        <v>-</v>
      </c>
      <c r="U191" s="967">
        <f>476993-(280000*0.7154)</f>
        <v>276681</v>
      </c>
      <c r="V191" s="125">
        <f t="shared" si="168"/>
        <v>386647.86345</v>
      </c>
      <c r="W191" s="127">
        <f t="shared" si="155"/>
        <v>0.69062512480530369</v>
      </c>
      <c r="X191" s="128">
        <f>IFERROR(AVERAGE(W191:W193),"N/A")</f>
        <v>0.86930734842979562</v>
      </c>
      <c r="Y191" s="223">
        <v>0.85</v>
      </c>
      <c r="Z191" s="129">
        <f t="shared" si="156"/>
        <v>475874.20748000004</v>
      </c>
      <c r="AA191" s="124">
        <f t="shared" si="160"/>
        <v>946499.87225000001</v>
      </c>
      <c r="AB191" s="130">
        <f t="shared" si="161"/>
        <v>1035726.2162800001</v>
      </c>
      <c r="AC191" s="221">
        <f>1/3*525819</f>
        <v>175273</v>
      </c>
      <c r="AD191" s="221">
        <f>2/3*525819</f>
        <v>350546</v>
      </c>
      <c r="AE191" s="225">
        <v>175273</v>
      </c>
      <c r="AF191" s="225" t="s">
        <v>78</v>
      </c>
      <c r="AG191" s="225" t="s">
        <v>78</v>
      </c>
      <c r="AH191" s="125">
        <f t="shared" si="169"/>
        <v>701092</v>
      </c>
      <c r="AI191" s="127">
        <f t="shared" si="157"/>
        <v>1.7499999999999998</v>
      </c>
      <c r="AJ191" s="128">
        <f>IFERROR(AVERAGE(AI191:AI193),"N/A")</f>
        <v>1.471045546536583</v>
      </c>
      <c r="AK191" s="421" t="s">
        <v>78</v>
      </c>
      <c r="AL191" s="131">
        <f t="shared" si="158"/>
        <v>823567.80426480004</v>
      </c>
      <c r="AM191" s="368">
        <f t="shared" si="150"/>
        <v>979741.01540000003</v>
      </c>
      <c r="AN191" s="375">
        <f t="shared" si="162"/>
        <v>1926240.8876499999</v>
      </c>
      <c r="AO191" s="376">
        <f t="shared" si="163"/>
        <v>1859294.0205448</v>
      </c>
      <c r="AP191" s="394">
        <v>81277</v>
      </c>
      <c r="AQ191" s="395" t="s">
        <v>271</v>
      </c>
      <c r="AR191" s="396">
        <f t="shared" si="139"/>
        <v>113580.54365000001</v>
      </c>
      <c r="AS191" s="397">
        <f>IFERROR(AVERAGE(AR191:AR193),"N/A")</f>
        <v>114696.52351333333</v>
      </c>
      <c r="AT191" s="401">
        <v>24903</v>
      </c>
      <c r="AU191" s="396">
        <f t="shared" si="140"/>
        <v>34800.697350000002</v>
      </c>
      <c r="AV191" s="397">
        <f>IFERROR(AVERAGE(AU191:AU193),"N/A")</f>
        <v>32304.048916666667</v>
      </c>
      <c r="AW191" s="388">
        <f>IFERROR(IF(SUM(AN191,AR191,AU191)=0,"-",SUM(AN191,AR191,AU191)),"-")</f>
        <v>2074622.1286499999</v>
      </c>
      <c r="AX191" s="389">
        <f t="shared" si="165"/>
        <v>2007675.2615447999</v>
      </c>
      <c r="AY191" s="353" t="s">
        <v>641</v>
      </c>
      <c r="AZ191" s="403" t="s">
        <v>548</v>
      </c>
      <c r="BA191" s="404" t="s">
        <v>353</v>
      </c>
    </row>
    <row r="192" spans="1:54" ht="15" customHeight="1">
      <c r="A192" s="1" t="str">
        <f t="shared" si="136"/>
        <v>TSX:AGI_2024_</v>
      </c>
      <c r="B192" s="1" t="str">
        <f t="shared" si="143"/>
        <v>TSX:AGI_2024_CFO</v>
      </c>
      <c r="C192" s="1" t="str">
        <f t="shared" si="137"/>
        <v>TSX:AGI_2024_</v>
      </c>
      <c r="D192" s="114" t="str">
        <f t="shared" si="116"/>
        <v>TSX:AGI</v>
      </c>
      <c r="E192" s="133" t="str">
        <f>_xll.ciqfunctions.udf.CIQ(D192,"IQ_Company_Name")</f>
        <v>Alamos Gold Inc.</v>
      </c>
      <c r="F192" s="114">
        <f t="shared" si="172"/>
        <v>2024</v>
      </c>
      <c r="G192" s="114" t="str">
        <f t="shared" si="145"/>
        <v>2024-01-01</v>
      </c>
      <c r="H192" s="330" t="str">
        <f t="shared" si="170"/>
        <v>2024-12-31</v>
      </c>
      <c r="I192" s="114">
        <f t="shared" si="159"/>
        <v>12</v>
      </c>
      <c r="J192" s="407" t="s">
        <v>285</v>
      </c>
      <c r="K192" s="439">
        <f t="shared" si="144"/>
        <v>1.3701700000000001</v>
      </c>
      <c r="L192" s="445"/>
      <c r="M192" s="445"/>
      <c r="N192" s="122" t="str">
        <f t="shared" ref="N192:P193" si="173">N191</f>
        <v>CFO</v>
      </c>
      <c r="O192" s="123" t="str">
        <f t="shared" si="173"/>
        <v>CFO</v>
      </c>
      <c r="P192" s="132" t="str">
        <f t="shared" si="173"/>
        <v>Gregory Fisher</v>
      </c>
      <c r="Q192" s="219">
        <v>379704</v>
      </c>
      <c r="R192" s="125">
        <f t="shared" si="153"/>
        <v>520259.02968000004</v>
      </c>
      <c r="S192" s="311" t="s">
        <v>78</v>
      </c>
      <c r="T192" s="126" t="str">
        <f t="shared" si="124"/>
        <v>-</v>
      </c>
      <c r="U192" s="221">
        <v>390371</v>
      </c>
      <c r="V192" s="125">
        <f t="shared" si="168"/>
        <v>534874.6330700001</v>
      </c>
      <c r="W192" s="127">
        <f t="shared" si="155"/>
        <v>1.0280929355497967</v>
      </c>
      <c r="X192" s="128"/>
      <c r="Y192" s="223" t="s">
        <v>78</v>
      </c>
      <c r="Z192" s="129">
        <f t="shared" si="156"/>
        <v>0</v>
      </c>
      <c r="AA192" s="124">
        <f t="shared" si="160"/>
        <v>1055133.6627500001</v>
      </c>
      <c r="AB192" s="130">
        <f t="shared" si="161"/>
        <v>520259.02968000004</v>
      </c>
      <c r="AC192" s="221">
        <f>1/3*421143</f>
        <v>140381</v>
      </c>
      <c r="AD192" s="221">
        <f>2/3*421143</f>
        <v>280762</v>
      </c>
      <c r="AE192" s="225">
        <v>140381</v>
      </c>
      <c r="AF192" s="225" t="s">
        <v>78</v>
      </c>
      <c r="AG192" s="225" t="s">
        <v>78</v>
      </c>
      <c r="AH192" s="125">
        <f t="shared" si="169"/>
        <v>561524</v>
      </c>
      <c r="AI192" s="127">
        <f t="shared" si="157"/>
        <v>1.4788466805722353</v>
      </c>
      <c r="AJ192" s="128"/>
      <c r="AK192" s="421" t="s">
        <v>78</v>
      </c>
      <c r="AL192" s="131">
        <f t="shared" si="158"/>
        <v>0</v>
      </c>
      <c r="AM192" s="368">
        <f t="shared" si="150"/>
        <v>769383.33908000006</v>
      </c>
      <c r="AN192" s="375">
        <f t="shared" si="162"/>
        <v>1824517.0018300002</v>
      </c>
      <c r="AO192" s="376">
        <f t="shared" si="163"/>
        <v>520259.02968000004</v>
      </c>
      <c r="AP192" s="394">
        <v>92409</v>
      </c>
      <c r="AQ192" s="395" t="s">
        <v>271</v>
      </c>
      <c r="AR192" s="396">
        <f t="shared" si="139"/>
        <v>126616.03953000001</v>
      </c>
      <c r="AS192" s="397"/>
      <c r="AT192" s="401">
        <v>23626</v>
      </c>
      <c r="AU192" s="396">
        <f t="shared" si="140"/>
        <v>32371.636420000003</v>
      </c>
      <c r="AV192" s="397"/>
      <c r="AW192" s="388">
        <f>IFERROR(IF(SUM(AN192,AR192,AU192)=0,"-",SUM(AN192,AR192,AU192)),"-")</f>
        <v>1983504.6777800003</v>
      </c>
      <c r="AX192" s="389">
        <f t="shared" si="165"/>
        <v>679246.7056300001</v>
      </c>
      <c r="AY192" s="353" t="s">
        <v>78</v>
      </c>
      <c r="AZ192" s="403" t="s">
        <v>548</v>
      </c>
      <c r="BA192" s="404" t="s">
        <v>353</v>
      </c>
    </row>
    <row r="193" spans="1:54" ht="15" customHeight="1">
      <c r="A193" s="1" t="str">
        <f t="shared" si="136"/>
        <v>TSX:AGI_2023_</v>
      </c>
      <c r="B193" s="1" t="str">
        <f t="shared" si="143"/>
        <v>TSX:AGI_2023_CFO</v>
      </c>
      <c r="C193" s="1" t="str">
        <f t="shared" si="137"/>
        <v>TSX:AGI_2023_</v>
      </c>
      <c r="D193" s="114" t="str">
        <f t="shared" si="116"/>
        <v>TSX:AGI</v>
      </c>
      <c r="E193" s="133" t="str">
        <f>_xll.ciqfunctions.udf.CIQ(D193,"IQ_Company_Name")</f>
        <v>Alamos Gold Inc.</v>
      </c>
      <c r="F193" s="114">
        <f t="shared" si="172"/>
        <v>2023</v>
      </c>
      <c r="G193" s="114" t="str">
        <f t="shared" si="145"/>
        <v>2023-01-01</v>
      </c>
      <c r="H193" s="330" t="str">
        <f t="shared" si="170"/>
        <v>2023-12-31</v>
      </c>
      <c r="I193" s="114">
        <f t="shared" si="159"/>
        <v>12</v>
      </c>
      <c r="J193" s="407" t="s">
        <v>285</v>
      </c>
      <c r="K193" s="439">
        <f t="shared" si="144"/>
        <v>1.34954</v>
      </c>
      <c r="L193" s="445"/>
      <c r="M193" s="445"/>
      <c r="N193" s="122" t="str">
        <f t="shared" si="173"/>
        <v>CFO</v>
      </c>
      <c r="O193" s="123" t="str">
        <f t="shared" si="173"/>
        <v>CFO</v>
      </c>
      <c r="P193" s="132" t="str">
        <f t="shared" si="173"/>
        <v>Gregory Fisher</v>
      </c>
      <c r="Q193" s="219">
        <v>339579</v>
      </c>
      <c r="R193" s="125">
        <f t="shared" si="153"/>
        <v>458275.44365999999</v>
      </c>
      <c r="S193" s="311" t="s">
        <v>78</v>
      </c>
      <c r="T193" s="126" t="str">
        <f t="shared" si="124"/>
        <v>-</v>
      </c>
      <c r="U193" s="221">
        <v>301955</v>
      </c>
      <c r="V193" s="125">
        <f t="shared" si="168"/>
        <v>407500.35070000001</v>
      </c>
      <c r="W193" s="127">
        <f t="shared" si="155"/>
        <v>0.88920398493428632</v>
      </c>
      <c r="X193" s="128"/>
      <c r="Y193" s="223" t="s">
        <v>78</v>
      </c>
      <c r="Z193" s="129">
        <f t="shared" si="156"/>
        <v>0</v>
      </c>
      <c r="AA193" s="124">
        <f t="shared" si="160"/>
        <v>865775.79435999994</v>
      </c>
      <c r="AB193" s="130">
        <f t="shared" si="161"/>
        <v>458275.44365999999</v>
      </c>
      <c r="AC193" s="221">
        <f>1/3*301620</f>
        <v>100540</v>
      </c>
      <c r="AD193" s="221">
        <f>2/3*301620</f>
        <v>201080</v>
      </c>
      <c r="AE193" s="225">
        <v>100540</v>
      </c>
      <c r="AF193" s="225" t="s">
        <v>78</v>
      </c>
      <c r="AG193" s="225" t="s">
        <v>78</v>
      </c>
      <c r="AH193" s="125">
        <f t="shared" si="169"/>
        <v>402160</v>
      </c>
      <c r="AI193" s="127">
        <f t="shared" si="157"/>
        <v>1.184289959037514</v>
      </c>
      <c r="AJ193" s="128"/>
      <c r="AK193" s="421" t="s">
        <v>78</v>
      </c>
      <c r="AL193" s="131">
        <f t="shared" si="158"/>
        <v>0</v>
      </c>
      <c r="AM193" s="368">
        <f t="shared" si="150"/>
        <v>542731.00639999995</v>
      </c>
      <c r="AN193" s="375">
        <f t="shared" si="162"/>
        <v>1408506.80076</v>
      </c>
      <c r="AO193" s="376">
        <f t="shared" si="163"/>
        <v>458275.44365999999</v>
      </c>
      <c r="AP193" s="394">
        <v>76984</v>
      </c>
      <c r="AQ193" s="395" t="s">
        <v>271</v>
      </c>
      <c r="AR193" s="396">
        <f t="shared" si="139"/>
        <v>103892.98736</v>
      </c>
      <c r="AS193" s="397"/>
      <c r="AT193" s="401">
        <v>22037</v>
      </c>
      <c r="AU193" s="396">
        <f t="shared" si="140"/>
        <v>29739.812979999999</v>
      </c>
      <c r="AV193" s="397"/>
      <c r="AW193" s="388">
        <f t="shared" ref="AW193:AW217" si="174">IFERROR(IF(SUM(AN193,AR193,AU193)=0,"-",SUM(AN193,AR193,AU193)),"-")</f>
        <v>1542139.6010999999</v>
      </c>
      <c r="AX193" s="389">
        <f t="shared" si="165"/>
        <v>591908.24400000006</v>
      </c>
      <c r="AY193" s="353" t="s">
        <v>78</v>
      </c>
      <c r="AZ193" s="403" t="s">
        <v>548</v>
      </c>
      <c r="BA193" s="404" t="s">
        <v>353</v>
      </c>
    </row>
    <row r="194" spans="1:54" ht="15" customHeight="1">
      <c r="A194" s="1" t="str">
        <f t="shared" si="136"/>
        <v>TSX:AGI_2025_COO</v>
      </c>
      <c r="B194" s="1" t="str">
        <f t="shared" si="143"/>
        <v>TSX:AGI_2025_NEO1</v>
      </c>
      <c r="C194" s="1" t="str">
        <f t="shared" si="137"/>
        <v>TSX:AGI_2025_2nd Highest</v>
      </c>
      <c r="D194" s="114" t="str">
        <f t="shared" si="116"/>
        <v>TSX:AGI</v>
      </c>
      <c r="E194" s="133" t="str">
        <f>_xll.ciqfunctions.udf.CIQ(D194,"IQ_Company_Name")</f>
        <v>Alamos Gold Inc.</v>
      </c>
      <c r="F194" s="114">
        <f t="shared" si="172"/>
        <v>2025</v>
      </c>
      <c r="G194" s="330" t="str">
        <f t="shared" si="145"/>
        <v>2025-01-01</v>
      </c>
      <c r="H194" s="330" t="str">
        <f t="shared" si="170"/>
        <v>2025-12-31</v>
      </c>
      <c r="I194" s="114">
        <f t="shared" si="159"/>
        <v>12</v>
      </c>
      <c r="J194" s="407" t="s">
        <v>285</v>
      </c>
      <c r="K194" s="439">
        <f t="shared" si="144"/>
        <v>1.3974500000000001</v>
      </c>
      <c r="L194" s="445" t="s">
        <v>272</v>
      </c>
      <c r="M194" s="445" t="s">
        <v>669</v>
      </c>
      <c r="N194" s="351" t="s">
        <v>107</v>
      </c>
      <c r="O194" s="217" t="s">
        <v>272</v>
      </c>
      <c r="P194" s="218" t="s">
        <v>329</v>
      </c>
      <c r="Q194" s="219">
        <v>482895</v>
      </c>
      <c r="R194" s="125">
        <f t="shared" si="153"/>
        <v>674821.61775000009</v>
      </c>
      <c r="S194" s="311" t="s">
        <v>78</v>
      </c>
      <c r="T194" s="126" t="str">
        <f t="shared" si="124"/>
        <v>-</v>
      </c>
      <c r="U194" s="221">
        <v>312976</v>
      </c>
      <c r="V194" s="125">
        <f t="shared" si="168"/>
        <v>437368.3112</v>
      </c>
      <c r="W194" s="127">
        <f t="shared" si="155"/>
        <v>0.64812433344722964</v>
      </c>
      <c r="X194" s="128">
        <f>IFERROR(AVERAGE(W194:W196),"N/A")</f>
        <v>0.88395107057534206</v>
      </c>
      <c r="Y194" s="223">
        <v>0.85</v>
      </c>
      <c r="Z194" s="129">
        <f t="shared" si="156"/>
        <v>573598.37508750008</v>
      </c>
      <c r="AA194" s="124">
        <f t="shared" si="160"/>
        <v>1112189.9289500001</v>
      </c>
      <c r="AB194" s="130">
        <f t="shared" si="161"/>
        <v>1248419.9928375003</v>
      </c>
      <c r="AC194" s="221">
        <f>1/3*633800</f>
        <v>211266.66666666666</v>
      </c>
      <c r="AD194" s="221">
        <f>2/3*633800</f>
        <v>422533.33333333331</v>
      </c>
      <c r="AE194" s="225">
        <v>211267</v>
      </c>
      <c r="AF194" s="225" t="s">
        <v>78</v>
      </c>
      <c r="AG194" s="225" t="s">
        <v>78</v>
      </c>
      <c r="AH194" s="125">
        <f t="shared" si="169"/>
        <v>845067</v>
      </c>
      <c r="AI194" s="127">
        <f t="shared" si="157"/>
        <v>1.7500015531326687</v>
      </c>
      <c r="AJ194" s="128">
        <f>IFERROR(AVERAGE(AI194:AI196),"N/A")</f>
        <v>1.6739857327888252</v>
      </c>
      <c r="AK194" s="421" t="s">
        <v>78</v>
      </c>
      <c r="AL194" s="131">
        <f t="shared" si="158"/>
        <v>1129641.7602909745</v>
      </c>
      <c r="AM194" s="368">
        <f t="shared" si="150"/>
        <v>1180938.8791500002</v>
      </c>
      <c r="AN194" s="375">
        <f t="shared" si="162"/>
        <v>2293128.8081</v>
      </c>
      <c r="AO194" s="376">
        <f t="shared" si="163"/>
        <v>2378061.7531284746</v>
      </c>
      <c r="AP194" s="394">
        <v>95505</v>
      </c>
      <c r="AQ194" s="395" t="s">
        <v>271</v>
      </c>
      <c r="AR194" s="396">
        <f t="shared" si="139"/>
        <v>133463.46225000001</v>
      </c>
      <c r="AS194" s="397">
        <f>IFERROR(AVERAGE(AR194:AR196),"N/A")</f>
        <v>137660.63652</v>
      </c>
      <c r="AT194" s="401">
        <v>28974</v>
      </c>
      <c r="AU194" s="396">
        <f t="shared" si="140"/>
        <v>40489.7163</v>
      </c>
      <c r="AV194" s="397">
        <f>IFERROR(AVERAGE(AU194:AU196),"N/A")</f>
        <v>37223.212183333329</v>
      </c>
      <c r="AW194" s="388">
        <f t="shared" si="174"/>
        <v>2467081.9866499999</v>
      </c>
      <c r="AX194" s="389">
        <f t="shared" si="165"/>
        <v>2552014.9316784744</v>
      </c>
      <c r="AY194" s="353" t="s">
        <v>78</v>
      </c>
      <c r="AZ194" s="403" t="s">
        <v>548</v>
      </c>
      <c r="BA194" s="404" t="s">
        <v>353</v>
      </c>
    </row>
    <row r="195" spans="1:54" ht="15" customHeight="1">
      <c r="A195" s="1" t="str">
        <f t="shared" si="136"/>
        <v>TSX:AGI_2024_COO</v>
      </c>
      <c r="B195" s="1" t="str">
        <f t="shared" si="143"/>
        <v>TSX:AGI_2024_NEO1</v>
      </c>
      <c r="C195" s="1" t="str">
        <f t="shared" si="137"/>
        <v>TSX:AGI_2024_</v>
      </c>
      <c r="D195" s="114" t="str">
        <f t="shared" si="116"/>
        <v>TSX:AGI</v>
      </c>
      <c r="E195" s="133" t="str">
        <f>_xll.ciqfunctions.udf.CIQ(D195,"IQ_Company_Name")</f>
        <v>Alamos Gold Inc.</v>
      </c>
      <c r="F195" s="114">
        <f t="shared" si="172"/>
        <v>2024</v>
      </c>
      <c r="G195" s="330" t="str">
        <f t="shared" si="145"/>
        <v>2024-01-01</v>
      </c>
      <c r="H195" s="330" t="str">
        <f t="shared" si="170"/>
        <v>2024-12-31</v>
      </c>
      <c r="I195" s="114">
        <f t="shared" si="159"/>
        <v>12</v>
      </c>
      <c r="J195" s="407" t="s">
        <v>285</v>
      </c>
      <c r="K195" s="439">
        <f t="shared" si="144"/>
        <v>1.3701700000000001</v>
      </c>
      <c r="L195" s="445" t="s">
        <v>272</v>
      </c>
      <c r="M195" s="445"/>
      <c r="N195" s="122" t="str">
        <f t="shared" ref="N195:P196" si="175">N194</f>
        <v>NEO1</v>
      </c>
      <c r="O195" s="123" t="str">
        <f t="shared" si="175"/>
        <v>COO</v>
      </c>
      <c r="P195" s="132" t="str">
        <f t="shared" si="175"/>
        <v>Luc Guimond</v>
      </c>
      <c r="Q195" s="219">
        <v>474630</v>
      </c>
      <c r="R195" s="125">
        <f t="shared" si="153"/>
        <v>650323.78710000007</v>
      </c>
      <c r="S195" s="311" t="s">
        <v>78</v>
      </c>
      <c r="T195" s="126" t="str">
        <f t="shared" si="124"/>
        <v>-</v>
      </c>
      <c r="U195" s="221">
        <v>481146</v>
      </c>
      <c r="V195" s="125">
        <f t="shared" si="168"/>
        <v>659251.81482000009</v>
      </c>
      <c r="W195" s="127">
        <f t="shared" si="155"/>
        <v>1.0137285885847924</v>
      </c>
      <c r="X195" s="128"/>
      <c r="Y195" s="223" t="s">
        <v>78</v>
      </c>
      <c r="Z195" s="129">
        <f t="shared" si="156"/>
        <v>0</v>
      </c>
      <c r="AA195" s="124">
        <f t="shared" si="160"/>
        <v>1309575.6019200003</v>
      </c>
      <c r="AB195" s="130">
        <f t="shared" si="161"/>
        <v>650323.78710000007</v>
      </c>
      <c r="AC195" s="221">
        <f>1/3*587355</f>
        <v>195785</v>
      </c>
      <c r="AD195" s="221">
        <f>2/3*587355</f>
        <v>391570</v>
      </c>
      <c r="AE195" s="225">
        <v>195785</v>
      </c>
      <c r="AF195" s="225" t="s">
        <v>78</v>
      </c>
      <c r="AG195" s="225" t="s">
        <v>78</v>
      </c>
      <c r="AH195" s="125">
        <f t="shared" si="169"/>
        <v>783140</v>
      </c>
      <c r="AI195" s="127">
        <f t="shared" si="157"/>
        <v>1.6500010534521625</v>
      </c>
      <c r="AJ195" s="128"/>
      <c r="AK195" s="421" t="s">
        <v>78</v>
      </c>
      <c r="AL195" s="131">
        <f t="shared" si="158"/>
        <v>0</v>
      </c>
      <c r="AM195" s="368">
        <f t="shared" si="150"/>
        <v>1073034.9338</v>
      </c>
      <c r="AN195" s="375">
        <f t="shared" si="162"/>
        <v>2382610.53572</v>
      </c>
      <c r="AO195" s="376">
        <f t="shared" si="163"/>
        <v>650323.78710000007</v>
      </c>
      <c r="AP195" s="394">
        <v>114693</v>
      </c>
      <c r="AQ195" s="395" t="s">
        <v>271</v>
      </c>
      <c r="AR195" s="396">
        <f t="shared" si="139"/>
        <v>157148.90781</v>
      </c>
      <c r="AS195" s="397"/>
      <c r="AT195" s="401">
        <v>28511</v>
      </c>
      <c r="AU195" s="396">
        <f t="shared" si="140"/>
        <v>39064.916870000001</v>
      </c>
      <c r="AV195" s="397"/>
      <c r="AW195" s="388">
        <f t="shared" si="174"/>
        <v>2578824.3603999997</v>
      </c>
      <c r="AX195" s="389">
        <f t="shared" si="165"/>
        <v>846537.61178000004</v>
      </c>
      <c r="AY195" s="353" t="s">
        <v>78</v>
      </c>
      <c r="AZ195" s="403" t="s">
        <v>548</v>
      </c>
      <c r="BA195" s="404" t="s">
        <v>353</v>
      </c>
    </row>
    <row r="196" spans="1:54" ht="15" customHeight="1">
      <c r="A196" s="1" t="str">
        <f t="shared" si="136"/>
        <v>TSX:AGI_2023_COO</v>
      </c>
      <c r="B196" s="1" t="str">
        <f t="shared" si="143"/>
        <v>TSX:AGI_2023_NEO1</v>
      </c>
      <c r="C196" s="1" t="str">
        <f t="shared" si="137"/>
        <v>TSX:AGI_2023_</v>
      </c>
      <c r="D196" s="114" t="str">
        <f t="shared" si="116"/>
        <v>TSX:AGI</v>
      </c>
      <c r="E196" s="133" t="str">
        <f>_xll.ciqfunctions.udf.CIQ(D196,"IQ_Company_Name")</f>
        <v>Alamos Gold Inc.</v>
      </c>
      <c r="F196" s="114">
        <f t="shared" si="172"/>
        <v>2023</v>
      </c>
      <c r="G196" s="114" t="str">
        <f t="shared" si="145"/>
        <v>2023-01-01</v>
      </c>
      <c r="H196" s="330" t="str">
        <f t="shared" si="170"/>
        <v>2023-12-31</v>
      </c>
      <c r="I196" s="114">
        <f t="shared" si="159"/>
        <v>12</v>
      </c>
      <c r="J196" s="407" t="s">
        <v>285</v>
      </c>
      <c r="K196" s="439">
        <f t="shared" si="144"/>
        <v>1.34954</v>
      </c>
      <c r="L196" s="445" t="s">
        <v>272</v>
      </c>
      <c r="M196" s="445"/>
      <c r="N196" s="122" t="str">
        <f t="shared" si="175"/>
        <v>NEO1</v>
      </c>
      <c r="O196" s="123" t="str">
        <f t="shared" si="175"/>
        <v>COO</v>
      </c>
      <c r="P196" s="132" t="str">
        <f t="shared" si="175"/>
        <v>Luc Guimond</v>
      </c>
      <c r="Q196" s="219">
        <v>379711</v>
      </c>
      <c r="R196" s="125">
        <f t="shared" si="153"/>
        <v>512435.18293999997</v>
      </c>
      <c r="S196" s="311" t="s">
        <v>78</v>
      </c>
      <c r="T196" s="126" t="str">
        <f t="shared" si="124"/>
        <v>-</v>
      </c>
      <c r="U196" s="221">
        <v>375914</v>
      </c>
      <c r="V196" s="125">
        <f t="shared" si="168"/>
        <v>507310.97956000001</v>
      </c>
      <c r="W196" s="127">
        <f t="shared" si="155"/>
        <v>0.99000028969400422</v>
      </c>
      <c r="X196" s="128"/>
      <c r="Y196" s="223" t="s">
        <v>78</v>
      </c>
      <c r="Z196" s="129">
        <f t="shared" si="156"/>
        <v>0</v>
      </c>
      <c r="AA196" s="124">
        <f t="shared" si="160"/>
        <v>1019746.1625</v>
      </c>
      <c r="AB196" s="130">
        <f t="shared" si="161"/>
        <v>512435.18293999997</v>
      </c>
      <c r="AC196" s="221">
        <f>1/3*461905</f>
        <v>153968.33333333331</v>
      </c>
      <c r="AD196" s="221">
        <f>2/3*461905</f>
        <v>307936.66666666663</v>
      </c>
      <c r="AE196" s="225">
        <v>153969</v>
      </c>
      <c r="AF196" s="225" t="s">
        <v>78</v>
      </c>
      <c r="AG196" s="225" t="s">
        <v>78</v>
      </c>
      <c r="AH196" s="125">
        <f t="shared" si="169"/>
        <v>615874</v>
      </c>
      <c r="AI196" s="127">
        <f t="shared" si="157"/>
        <v>1.6219545917816445</v>
      </c>
      <c r="AJ196" s="128"/>
      <c r="AK196" s="421" t="s">
        <v>78</v>
      </c>
      <c r="AL196" s="131">
        <f t="shared" si="158"/>
        <v>0</v>
      </c>
      <c r="AM196" s="368">
        <f t="shared" si="150"/>
        <v>831146.59795999993</v>
      </c>
      <c r="AN196" s="375">
        <f t="shared" si="162"/>
        <v>1850892.76046</v>
      </c>
      <c r="AO196" s="376">
        <f t="shared" si="163"/>
        <v>512435.18293999997</v>
      </c>
      <c r="AP196" s="394">
        <v>90675</v>
      </c>
      <c r="AQ196" s="395" t="s">
        <v>271</v>
      </c>
      <c r="AR196" s="396">
        <f t="shared" si="139"/>
        <v>122369.5395</v>
      </c>
      <c r="AS196" s="397"/>
      <c r="AT196" s="401">
        <v>23797</v>
      </c>
      <c r="AU196" s="396">
        <f t="shared" si="140"/>
        <v>32115.003379999998</v>
      </c>
      <c r="AV196" s="397"/>
      <c r="AW196" s="388">
        <f t="shared" si="174"/>
        <v>2005377.3033399999</v>
      </c>
      <c r="AX196" s="389">
        <f t="shared" si="165"/>
        <v>666919.72581999993</v>
      </c>
      <c r="AY196" s="353" t="s">
        <v>78</v>
      </c>
      <c r="AZ196" s="403" t="s">
        <v>548</v>
      </c>
      <c r="BA196" s="404" t="s">
        <v>353</v>
      </c>
    </row>
    <row r="197" spans="1:54" ht="15" customHeight="1">
      <c r="A197" s="1" t="str">
        <f t="shared" si="136"/>
        <v>TSX:AGI_2025_Tech</v>
      </c>
      <c r="B197" s="1" t="str">
        <f t="shared" si="143"/>
        <v>TSX:AGI_2025_NEO2</v>
      </c>
      <c r="C197" s="1" t="str">
        <f t="shared" si="137"/>
        <v>TSX:AGI_2025_</v>
      </c>
      <c r="D197" s="114" t="str">
        <f t="shared" ref="D197:D260" si="176">D196</f>
        <v>TSX:AGI</v>
      </c>
      <c r="E197" s="133" t="str">
        <f>_xll.ciqfunctions.udf.CIQ(D197,"IQ_Company_Name")</f>
        <v>Alamos Gold Inc.</v>
      </c>
      <c r="F197" s="114">
        <f t="shared" si="172"/>
        <v>2025</v>
      </c>
      <c r="G197" s="114" t="str">
        <f t="shared" si="145"/>
        <v>2025-01-01</v>
      </c>
      <c r="H197" s="330" t="str">
        <f t="shared" si="170"/>
        <v>2025-12-31</v>
      </c>
      <c r="I197" s="114">
        <f t="shared" si="159"/>
        <v>12</v>
      </c>
      <c r="J197" s="407" t="s">
        <v>285</v>
      </c>
      <c r="K197" s="439">
        <f t="shared" si="144"/>
        <v>1.3974500000000001</v>
      </c>
      <c r="L197" s="445" t="s">
        <v>361</v>
      </c>
      <c r="M197" s="445"/>
      <c r="N197" s="351" t="s">
        <v>108</v>
      </c>
      <c r="O197" s="217" t="s">
        <v>319</v>
      </c>
      <c r="P197" s="218" t="s">
        <v>330</v>
      </c>
      <c r="Q197" s="219">
        <v>332661</v>
      </c>
      <c r="R197" s="125">
        <f t="shared" si="153"/>
        <v>464877.11445000005</v>
      </c>
      <c r="S197" s="311" t="s">
        <v>78</v>
      </c>
      <c r="T197" s="126" t="str">
        <f t="shared" si="124"/>
        <v>-</v>
      </c>
      <c r="U197" s="967">
        <f>303554-(139000*0.7154)</f>
        <v>204113.4</v>
      </c>
      <c r="V197" s="125">
        <f t="shared" si="168"/>
        <v>285238.27082999999</v>
      </c>
      <c r="W197" s="127">
        <f t="shared" si="155"/>
        <v>0.61357778639515892</v>
      </c>
      <c r="X197" s="128">
        <f>IFERROR(AVERAGE(W197:W199),"N/A")</f>
        <v>0.72127570188721146</v>
      </c>
      <c r="Y197" s="223">
        <v>0.7</v>
      </c>
      <c r="Z197" s="129">
        <f t="shared" si="156"/>
        <v>325413.98011500004</v>
      </c>
      <c r="AA197" s="124">
        <f t="shared" ref="AA197:AA211" si="177">IFERROR(IF(SUM(R197,V197)=0,"-",SUM(R197,V197)),"-")</f>
        <v>750115.38528000005</v>
      </c>
      <c r="AB197" s="130">
        <f t="shared" ref="AB197:AB211" si="178">IFERROR(IF(SUM(R197,Z197)=0,"-",SUM(R197,Z197)),"-")</f>
        <v>790291.09456500015</v>
      </c>
      <c r="AC197" s="221">
        <f>1/3*399193</f>
        <v>133064.33333333331</v>
      </c>
      <c r="AD197" s="221">
        <f>2/3*399193</f>
        <v>266128.66666666663</v>
      </c>
      <c r="AE197" s="225">
        <v>133064</v>
      </c>
      <c r="AF197" s="225" t="s">
        <v>78</v>
      </c>
      <c r="AG197" s="225" t="s">
        <v>78</v>
      </c>
      <c r="AH197" s="125">
        <f t="shared" si="169"/>
        <v>532257</v>
      </c>
      <c r="AI197" s="127">
        <f t="shared" si="157"/>
        <v>1.5999981963620622</v>
      </c>
      <c r="AJ197" s="128">
        <f>IFERROR(AVERAGE(AI197:AI199),"N/A")</f>
        <v>1.4436314527748344</v>
      </c>
      <c r="AK197" s="421" t="s">
        <v>78</v>
      </c>
      <c r="AL197" s="131">
        <f t="shared" si="158"/>
        <v>671111.2240952265</v>
      </c>
      <c r="AM197" s="368">
        <f t="shared" si="150"/>
        <v>743802.54465000005</v>
      </c>
      <c r="AN197" s="375">
        <f t="shared" ref="AN197:AN211" si="179">IFERROR(IF(SUM(AA197,AM197)=0,"-",SUM(AA197,AM197)),"-")</f>
        <v>1493917.9299300001</v>
      </c>
      <c r="AO197" s="376">
        <f t="shared" si="163"/>
        <v>1461402.3186602267</v>
      </c>
      <c r="AP197" s="394">
        <v>64370</v>
      </c>
      <c r="AQ197" s="395" t="s">
        <v>271</v>
      </c>
      <c r="AR197" s="396">
        <f t="shared" si="139"/>
        <v>89953.856500000009</v>
      </c>
      <c r="AS197" s="397">
        <f>IFERROR(AVERAGE(AR197:AR199),"N/A")</f>
        <v>91827.690890000013</v>
      </c>
      <c r="AT197" s="401">
        <v>20774</v>
      </c>
      <c r="AU197" s="396">
        <f t="shared" si="140"/>
        <v>29030.6263</v>
      </c>
      <c r="AV197" s="397">
        <f>IFERROR(AVERAGE(AU197:AU199),"N/A")</f>
        <v>28526.98832</v>
      </c>
      <c r="AW197" s="388">
        <f t="shared" si="174"/>
        <v>1612902.41273</v>
      </c>
      <c r="AX197" s="389">
        <f t="shared" si="165"/>
        <v>1580386.8014602265</v>
      </c>
      <c r="AY197" s="353" t="s">
        <v>642</v>
      </c>
      <c r="AZ197" s="403" t="s">
        <v>548</v>
      </c>
      <c r="BA197" s="404" t="s">
        <v>353</v>
      </c>
    </row>
    <row r="198" spans="1:54" ht="15" customHeight="1">
      <c r="A198" s="1" t="str">
        <f t="shared" si="136"/>
        <v>TSX:AGI_2024_Tech</v>
      </c>
      <c r="B198" s="1" t="str">
        <f t="shared" si="143"/>
        <v>TSX:AGI_2024_NEO2</v>
      </c>
      <c r="C198" s="1" t="str">
        <f t="shared" si="137"/>
        <v>TSX:AGI_2024_</v>
      </c>
      <c r="D198" s="114" t="str">
        <f t="shared" si="176"/>
        <v>TSX:AGI</v>
      </c>
      <c r="E198" s="133" t="str">
        <f>_xll.ciqfunctions.udf.CIQ(D198,"IQ_Company_Name")</f>
        <v>Alamos Gold Inc.</v>
      </c>
      <c r="F198" s="114">
        <f t="shared" si="172"/>
        <v>2024</v>
      </c>
      <c r="G198" s="114" t="str">
        <f t="shared" si="145"/>
        <v>2024-01-01</v>
      </c>
      <c r="H198" s="330" t="str">
        <f t="shared" si="170"/>
        <v>2024-12-31</v>
      </c>
      <c r="I198" s="114">
        <f t="shared" si="159"/>
        <v>12</v>
      </c>
      <c r="J198" s="407" t="s">
        <v>285</v>
      </c>
      <c r="K198" s="439">
        <f t="shared" si="144"/>
        <v>1.3701700000000001</v>
      </c>
      <c r="L198" s="445" t="s">
        <v>361</v>
      </c>
      <c r="M198" s="445"/>
      <c r="N198" s="122" t="str">
        <f t="shared" ref="N198:P199" si="180">N197</f>
        <v>NEO2</v>
      </c>
      <c r="O198" s="123" t="str">
        <f t="shared" si="180"/>
        <v>SVP, Technical Services</v>
      </c>
      <c r="P198" s="132" t="str">
        <f t="shared" si="180"/>
        <v>Christopher Bostwick</v>
      </c>
      <c r="Q198" s="219">
        <v>324939</v>
      </c>
      <c r="R198" s="125">
        <f t="shared" si="153"/>
        <v>445221.66963000002</v>
      </c>
      <c r="S198" s="311" t="s">
        <v>78</v>
      </c>
      <c r="T198" s="126" t="str">
        <f t="shared" si="124"/>
        <v>-</v>
      </c>
      <c r="U198" s="221">
        <v>274655</v>
      </c>
      <c r="V198" s="125">
        <f t="shared" si="168"/>
        <v>376324.04135000001</v>
      </c>
      <c r="W198" s="127">
        <f t="shared" si="155"/>
        <v>0.84525095479459222</v>
      </c>
      <c r="X198" s="128"/>
      <c r="Y198" s="223" t="s">
        <v>78</v>
      </c>
      <c r="Z198" s="129">
        <f t="shared" si="156"/>
        <v>0</v>
      </c>
      <c r="AA198" s="124">
        <f t="shared" si="177"/>
        <v>821545.71097999997</v>
      </c>
      <c r="AB198" s="130">
        <f t="shared" si="178"/>
        <v>445221.66963000002</v>
      </c>
      <c r="AC198" s="221">
        <f>1/3*352960</f>
        <v>117653.33333333333</v>
      </c>
      <c r="AD198" s="221">
        <f>2/3*352960</f>
        <v>235306.66666666666</v>
      </c>
      <c r="AE198" s="225">
        <v>117653</v>
      </c>
      <c r="AF198" s="225" t="s">
        <v>78</v>
      </c>
      <c r="AG198" s="225" t="s">
        <v>78</v>
      </c>
      <c r="AH198" s="125">
        <f t="shared" si="169"/>
        <v>470613</v>
      </c>
      <c r="AI198" s="127">
        <f t="shared" si="157"/>
        <v>1.4483118369909431</v>
      </c>
      <c r="AJ198" s="128"/>
      <c r="AK198" s="421" t="s">
        <v>78</v>
      </c>
      <c r="AL198" s="131">
        <f t="shared" si="158"/>
        <v>0</v>
      </c>
      <c r="AM198" s="368">
        <f t="shared" si="150"/>
        <v>644819.8142100001</v>
      </c>
      <c r="AN198" s="375">
        <f t="shared" si="179"/>
        <v>1466365.52519</v>
      </c>
      <c r="AO198" s="376">
        <f t="shared" si="163"/>
        <v>445221.66963000002</v>
      </c>
      <c r="AP198" s="394">
        <v>71951</v>
      </c>
      <c r="AQ198" s="395" t="s">
        <v>271</v>
      </c>
      <c r="AR198" s="396">
        <f t="shared" si="139"/>
        <v>98585.101670000004</v>
      </c>
      <c r="AS198" s="397"/>
      <c r="AT198" s="401">
        <v>21026</v>
      </c>
      <c r="AU198" s="396">
        <f t="shared" si="140"/>
        <v>28809.194420000003</v>
      </c>
      <c r="AV198" s="397"/>
      <c r="AW198" s="388">
        <f t="shared" si="174"/>
        <v>1593759.82128</v>
      </c>
      <c r="AX198" s="389">
        <f t="shared" si="165"/>
        <v>572615.96571999998</v>
      </c>
      <c r="AY198" s="353" t="s">
        <v>78</v>
      </c>
      <c r="AZ198" s="403" t="s">
        <v>548</v>
      </c>
      <c r="BA198" s="404" t="s">
        <v>353</v>
      </c>
    </row>
    <row r="199" spans="1:54" ht="15" customHeight="1">
      <c r="A199" s="1" t="str">
        <f t="shared" si="136"/>
        <v>TSX:AGI_2023_Tech</v>
      </c>
      <c r="B199" s="1" t="str">
        <f t="shared" si="143"/>
        <v>TSX:AGI_2023_NEO2</v>
      </c>
      <c r="C199" s="1" t="str">
        <f t="shared" si="137"/>
        <v>TSX:AGI_2023_</v>
      </c>
      <c r="D199" s="114" t="str">
        <f t="shared" si="176"/>
        <v>TSX:AGI</v>
      </c>
      <c r="E199" s="133" t="str">
        <f>_xll.ciqfunctions.udf.CIQ(D199,"IQ_Company_Name")</f>
        <v>Alamos Gold Inc.</v>
      </c>
      <c r="F199" s="114">
        <f t="shared" si="172"/>
        <v>2023</v>
      </c>
      <c r="G199" s="114" t="str">
        <f t="shared" si="145"/>
        <v>2023-01-01</v>
      </c>
      <c r="H199" s="330" t="str">
        <f t="shared" si="170"/>
        <v>2023-12-31</v>
      </c>
      <c r="I199" s="114">
        <f t="shared" si="159"/>
        <v>12</v>
      </c>
      <c r="J199" s="407" t="s">
        <v>285</v>
      </c>
      <c r="K199" s="439">
        <f t="shared" si="144"/>
        <v>1.34954</v>
      </c>
      <c r="L199" s="445" t="s">
        <v>361</v>
      </c>
      <c r="M199" s="445"/>
      <c r="N199" s="122" t="str">
        <f t="shared" si="180"/>
        <v>NEO2</v>
      </c>
      <c r="O199" s="123" t="str">
        <f t="shared" si="180"/>
        <v>SVP, Technical Services</v>
      </c>
      <c r="P199" s="132" t="str">
        <f t="shared" si="180"/>
        <v>Christopher Bostwick</v>
      </c>
      <c r="Q199" s="219">
        <v>314883</v>
      </c>
      <c r="R199" s="125">
        <f t="shared" si="153"/>
        <v>424947.20382</v>
      </c>
      <c r="S199" s="311" t="s">
        <v>78</v>
      </c>
      <c r="T199" s="126" t="str">
        <f t="shared" si="124"/>
        <v>-</v>
      </c>
      <c r="U199" s="221">
        <v>221992</v>
      </c>
      <c r="V199" s="125">
        <f t="shared" si="168"/>
        <v>299587.08367999998</v>
      </c>
      <c r="W199" s="127">
        <f t="shared" si="155"/>
        <v>0.70499836447188313</v>
      </c>
      <c r="X199" s="128"/>
      <c r="Y199" s="223" t="s">
        <v>78</v>
      </c>
      <c r="Z199" s="129">
        <f t="shared" si="156"/>
        <v>0</v>
      </c>
      <c r="AA199" s="124">
        <f t="shared" si="177"/>
        <v>724534.28749999998</v>
      </c>
      <c r="AB199" s="130">
        <f t="shared" si="178"/>
        <v>424947.20382</v>
      </c>
      <c r="AC199" s="221">
        <f>1/3*302898</f>
        <v>100966</v>
      </c>
      <c r="AD199" s="221">
        <f>2/3*302898</f>
        <v>201932</v>
      </c>
      <c r="AE199" s="225">
        <v>100966</v>
      </c>
      <c r="AF199" s="225" t="s">
        <v>78</v>
      </c>
      <c r="AG199" s="225" t="s">
        <v>78</v>
      </c>
      <c r="AH199" s="125">
        <f t="shared" si="169"/>
        <v>403864</v>
      </c>
      <c r="AI199" s="127">
        <f t="shared" si="157"/>
        <v>1.2825843249714972</v>
      </c>
      <c r="AJ199" s="128"/>
      <c r="AK199" s="421" t="s">
        <v>78</v>
      </c>
      <c r="AL199" s="131">
        <f t="shared" si="158"/>
        <v>0</v>
      </c>
      <c r="AM199" s="368">
        <f t="shared" si="150"/>
        <v>545030.62255999993</v>
      </c>
      <c r="AN199" s="375">
        <f t="shared" si="179"/>
        <v>1269564.9100599999</v>
      </c>
      <c r="AO199" s="376">
        <f t="shared" si="163"/>
        <v>424947.20382</v>
      </c>
      <c r="AP199" s="394">
        <v>64425</v>
      </c>
      <c r="AQ199" s="395" t="s">
        <v>271</v>
      </c>
      <c r="AR199" s="396">
        <f t="shared" si="139"/>
        <v>86944.114499999996</v>
      </c>
      <c r="AS199" s="397"/>
      <c r="AT199" s="401">
        <v>20556</v>
      </c>
      <c r="AU199" s="396">
        <f t="shared" si="140"/>
        <v>27741.144239999998</v>
      </c>
      <c r="AV199" s="397"/>
      <c r="AW199" s="388">
        <f t="shared" si="174"/>
        <v>1384250.1687999999</v>
      </c>
      <c r="AX199" s="389">
        <f t="shared" si="165"/>
        <v>539632.46256000001</v>
      </c>
      <c r="AY199" s="353" t="s">
        <v>78</v>
      </c>
      <c r="AZ199" s="403" t="s">
        <v>548</v>
      </c>
      <c r="BA199" s="404" t="s">
        <v>353</v>
      </c>
    </row>
    <row r="200" spans="1:54" ht="15" customHeight="1">
      <c r="A200" s="1" t="str">
        <f t="shared" si="136"/>
        <v>TSX:AGI_2025_</v>
      </c>
      <c r="B200" s="1" t="str">
        <f t="shared" si="143"/>
        <v>TSX:AGI_2025_NEO3</v>
      </c>
      <c r="C200" s="1" t="str">
        <f t="shared" si="137"/>
        <v>TSX:AGI_2025_</v>
      </c>
      <c r="D200" s="114" t="str">
        <f t="shared" si="176"/>
        <v>TSX:AGI</v>
      </c>
      <c r="E200" s="133" t="str">
        <f>_xll.ciqfunctions.udf.CIQ(D200,"IQ_Company_Name")</f>
        <v>Alamos Gold Inc.</v>
      </c>
      <c r="F200" s="114">
        <f t="shared" si="172"/>
        <v>2025</v>
      </c>
      <c r="G200" s="114" t="str">
        <f t="shared" si="145"/>
        <v>2025-01-01</v>
      </c>
      <c r="H200" s="330" t="str">
        <f t="shared" si="170"/>
        <v>2025-12-31</v>
      </c>
      <c r="I200" s="114">
        <f t="shared" si="159"/>
        <v>12</v>
      </c>
      <c r="J200" s="407" t="s">
        <v>285</v>
      </c>
      <c r="K200" s="439">
        <f t="shared" si="144"/>
        <v>1.3974500000000001</v>
      </c>
      <c r="L200" s="445"/>
      <c r="M200" s="445"/>
      <c r="N200" s="351" t="s">
        <v>109</v>
      </c>
      <c r="O200" s="217" t="s">
        <v>573</v>
      </c>
      <c r="P200" s="218" t="s">
        <v>591</v>
      </c>
      <c r="Q200" s="219">
        <v>286160</v>
      </c>
      <c r="R200" s="125">
        <f t="shared" si="153"/>
        <v>399894.29200000002</v>
      </c>
      <c r="S200" s="311" t="s">
        <v>78</v>
      </c>
      <c r="T200" s="126" t="str">
        <f t="shared" si="124"/>
        <v>-</v>
      </c>
      <c r="U200" s="221">
        <v>195304</v>
      </c>
      <c r="V200" s="125">
        <f t="shared" si="168"/>
        <v>272927.5748</v>
      </c>
      <c r="W200" s="127">
        <f t="shared" si="155"/>
        <v>0.6824993010902991</v>
      </c>
      <c r="X200" s="128">
        <f>IFERROR(AVERAGE(W200:W202),"N/A")</f>
        <v>0.75762847677570522</v>
      </c>
      <c r="Y200" s="223">
        <v>0.7</v>
      </c>
      <c r="Z200" s="129">
        <f t="shared" si="156"/>
        <v>279926.00439999998</v>
      </c>
      <c r="AA200" s="124">
        <f t="shared" si="177"/>
        <v>672821.86679999996</v>
      </c>
      <c r="AB200" s="130">
        <f t="shared" si="178"/>
        <v>679820.29639999999</v>
      </c>
      <c r="AC200" s="221">
        <f>1/3*343392</f>
        <v>114464</v>
      </c>
      <c r="AD200" s="221">
        <f>2/3*343392</f>
        <v>228928</v>
      </c>
      <c r="AE200" s="225">
        <v>114464</v>
      </c>
      <c r="AF200" s="225" t="s">
        <v>78</v>
      </c>
      <c r="AG200" s="225" t="s">
        <v>78</v>
      </c>
      <c r="AH200" s="125">
        <f t="shared" si="169"/>
        <v>457856</v>
      </c>
      <c r="AI200" s="127">
        <f t="shared" si="157"/>
        <v>1.6</v>
      </c>
      <c r="AJ200" s="128">
        <f>IFERROR(AVERAGE(AI200:AI202),"N/A")</f>
        <v>1.4524921826176567</v>
      </c>
      <c r="AK200" s="421" t="s">
        <v>78</v>
      </c>
      <c r="AL200" s="131">
        <f t="shared" si="158"/>
        <v>580843.33300342259</v>
      </c>
      <c r="AM200" s="368">
        <f t="shared" si="150"/>
        <v>639830.8672000001</v>
      </c>
      <c r="AN200" s="375">
        <f t="shared" si="179"/>
        <v>1312652.7340000002</v>
      </c>
      <c r="AO200" s="376">
        <f t="shared" si="163"/>
        <v>1260663.6294034226</v>
      </c>
      <c r="AP200" s="394">
        <v>57776</v>
      </c>
      <c r="AQ200" s="395" t="s">
        <v>271</v>
      </c>
      <c r="AR200" s="396">
        <f t="shared" si="139"/>
        <v>80739.071200000006</v>
      </c>
      <c r="AS200" s="397">
        <f>IFERROR(AVERAGE(AR200:AR202),"N/A")</f>
        <v>76011.220116666678</v>
      </c>
      <c r="AT200" s="401">
        <v>21074</v>
      </c>
      <c r="AU200" s="396">
        <f t="shared" si="140"/>
        <v>29449.8613</v>
      </c>
      <c r="AV200" s="397">
        <f>IFERROR(AVERAGE(AU200:AU202),"N/A")</f>
        <v>27205.988840000002</v>
      </c>
      <c r="AW200" s="388">
        <f t="shared" si="174"/>
        <v>1422841.6665000003</v>
      </c>
      <c r="AX200" s="389">
        <f t="shared" si="165"/>
        <v>1370852.5619034227</v>
      </c>
      <c r="AY200" s="353" t="s">
        <v>78</v>
      </c>
      <c r="AZ200" s="403" t="s">
        <v>548</v>
      </c>
      <c r="BA200" s="404" t="s">
        <v>353</v>
      </c>
    </row>
    <row r="201" spans="1:54" ht="15" customHeight="1">
      <c r="A201" s="1" t="str">
        <f t="shared" si="136"/>
        <v>TSX:AGI_2024_</v>
      </c>
      <c r="B201" s="1" t="str">
        <f t="shared" si="143"/>
        <v>TSX:AGI_2024_NEO3</v>
      </c>
      <c r="C201" s="1" t="str">
        <f t="shared" si="137"/>
        <v>TSX:AGI_2024_</v>
      </c>
      <c r="D201" s="114" t="str">
        <f t="shared" si="176"/>
        <v>TSX:AGI</v>
      </c>
      <c r="E201" s="133" t="str">
        <f>_xll.ciqfunctions.udf.CIQ(D201,"IQ_Company_Name")</f>
        <v>Alamos Gold Inc.</v>
      </c>
      <c r="F201" s="114">
        <f t="shared" si="172"/>
        <v>2024</v>
      </c>
      <c r="G201" s="114" t="str">
        <f t="shared" si="145"/>
        <v>2024-01-01</v>
      </c>
      <c r="H201" s="330" t="str">
        <f t="shared" si="170"/>
        <v>2024-12-31</v>
      </c>
      <c r="I201" s="114">
        <f t="shared" si="159"/>
        <v>12</v>
      </c>
      <c r="J201" s="407" t="s">
        <v>285</v>
      </c>
      <c r="K201" s="439">
        <f t="shared" si="144"/>
        <v>1.3701700000000001</v>
      </c>
      <c r="L201" s="445"/>
      <c r="M201" s="445"/>
      <c r="N201" s="122" t="str">
        <f t="shared" ref="N201:P202" si="181">N200</f>
        <v>NEO3</v>
      </c>
      <c r="O201" s="123" t="str">
        <f t="shared" si="181"/>
        <v>VP Exploration</v>
      </c>
      <c r="P201" s="132" t="str">
        <f t="shared" si="181"/>
        <v>Scott R.G. Parsons</v>
      </c>
      <c r="Q201" s="219">
        <v>263176</v>
      </c>
      <c r="R201" s="125">
        <f t="shared" si="153"/>
        <v>360595.85992000002</v>
      </c>
      <c r="S201" s="311" t="s">
        <v>78</v>
      </c>
      <c r="T201" s="126" t="str">
        <f t="shared" si="124"/>
        <v>-</v>
      </c>
      <c r="U201" s="221">
        <v>217252</v>
      </c>
      <c r="V201" s="125">
        <f t="shared" si="168"/>
        <v>297672.17284000001</v>
      </c>
      <c r="W201" s="127">
        <f t="shared" si="155"/>
        <v>0.8255008055445785</v>
      </c>
      <c r="X201" s="128"/>
      <c r="Y201" s="223" t="s">
        <v>78</v>
      </c>
      <c r="Z201" s="129">
        <f t="shared" si="156"/>
        <v>0</v>
      </c>
      <c r="AA201" s="124">
        <f t="shared" si="177"/>
        <v>658268.03276000009</v>
      </c>
      <c r="AB201" s="130">
        <f t="shared" si="178"/>
        <v>360595.85992000002</v>
      </c>
      <c r="AC201" s="221">
        <f>1/3*299499</f>
        <v>99833</v>
      </c>
      <c r="AD201" s="221">
        <f>2/3*299499</f>
        <v>199666</v>
      </c>
      <c r="AE201" s="225">
        <v>99833</v>
      </c>
      <c r="AF201" s="225" t="s">
        <v>78</v>
      </c>
      <c r="AG201" s="225" t="s">
        <v>78</v>
      </c>
      <c r="AH201" s="125">
        <f t="shared" si="169"/>
        <v>399332</v>
      </c>
      <c r="AI201" s="127">
        <f t="shared" si="157"/>
        <v>1.5173572058242393</v>
      </c>
      <c r="AJ201" s="128"/>
      <c r="AK201" s="421" t="s">
        <v>78</v>
      </c>
      <c r="AL201" s="131">
        <f t="shared" si="158"/>
        <v>0</v>
      </c>
      <c r="AM201" s="368">
        <f t="shared" si="150"/>
        <v>547152.72644</v>
      </c>
      <c r="AN201" s="375">
        <f t="shared" si="179"/>
        <v>1205420.7592000002</v>
      </c>
      <c r="AO201" s="376">
        <f t="shared" si="163"/>
        <v>360595.85992000002</v>
      </c>
      <c r="AP201" s="394">
        <v>57651</v>
      </c>
      <c r="AQ201" s="395" t="s">
        <v>271</v>
      </c>
      <c r="AR201" s="396">
        <f t="shared" si="139"/>
        <v>78991.670670000007</v>
      </c>
      <c r="AS201" s="397"/>
      <c r="AT201" s="401">
        <v>17938</v>
      </c>
      <c r="AU201" s="396">
        <f t="shared" si="140"/>
        <v>24578.109460000003</v>
      </c>
      <c r="AV201" s="397"/>
      <c r="AW201" s="388">
        <f t="shared" si="174"/>
        <v>1308990.5393300001</v>
      </c>
      <c r="AX201" s="389">
        <f t="shared" si="165"/>
        <v>464165.64005000005</v>
      </c>
      <c r="AY201" s="353" t="s">
        <v>78</v>
      </c>
      <c r="AZ201" s="403" t="s">
        <v>548</v>
      </c>
      <c r="BA201" s="404" t="s">
        <v>353</v>
      </c>
    </row>
    <row r="202" spans="1:54" ht="15" customHeight="1">
      <c r="A202" s="1" t="str">
        <f t="shared" si="136"/>
        <v>TSX:AGI_2023_</v>
      </c>
      <c r="B202" s="1" t="str">
        <f t="shared" si="143"/>
        <v>TSX:AGI_2023_NEO3</v>
      </c>
      <c r="C202" s="1" t="str">
        <f t="shared" si="137"/>
        <v>TSX:AGI_2023_</v>
      </c>
      <c r="D202" s="203" t="str">
        <f t="shared" si="176"/>
        <v>TSX:AGI</v>
      </c>
      <c r="E202" s="205" t="str">
        <f>_xll.ciqfunctions.udf.CIQ(D202,"IQ_Company_Name")</f>
        <v>Alamos Gold Inc.</v>
      </c>
      <c r="F202" s="204">
        <f t="shared" si="172"/>
        <v>2023</v>
      </c>
      <c r="G202" s="204" t="str">
        <f t="shared" si="145"/>
        <v>2023-01-01</v>
      </c>
      <c r="H202" s="331" t="str">
        <f t="shared" si="170"/>
        <v>2023-12-31</v>
      </c>
      <c r="I202" s="204">
        <f t="shared" si="159"/>
        <v>12</v>
      </c>
      <c r="J202" s="408" t="s">
        <v>285</v>
      </c>
      <c r="K202" s="441">
        <f t="shared" si="144"/>
        <v>1.34954</v>
      </c>
      <c r="L202" s="454"/>
      <c r="M202" s="454"/>
      <c r="N202" s="956" t="str">
        <f t="shared" si="181"/>
        <v>NEO3</v>
      </c>
      <c r="O202" s="206" t="str">
        <f t="shared" si="181"/>
        <v>VP Exploration</v>
      </c>
      <c r="P202" s="207" t="str">
        <f t="shared" si="181"/>
        <v>Scott R.G. Parsons</v>
      </c>
      <c r="Q202" s="220">
        <v>238977</v>
      </c>
      <c r="R202" s="209">
        <f t="shared" si="153"/>
        <v>322509.02058000001</v>
      </c>
      <c r="S202" s="312" t="s">
        <v>78</v>
      </c>
      <c r="T202" s="329" t="str">
        <f t="shared" si="124"/>
        <v>-</v>
      </c>
      <c r="U202" s="222">
        <v>182790</v>
      </c>
      <c r="V202" s="209">
        <f t="shared" si="168"/>
        <v>246682.4166</v>
      </c>
      <c r="W202" s="211">
        <f t="shared" si="155"/>
        <v>0.76488532369223816</v>
      </c>
      <c r="X202" s="212"/>
      <c r="Y202" s="224" t="s">
        <v>78</v>
      </c>
      <c r="Z202" s="213">
        <f t="shared" si="156"/>
        <v>0</v>
      </c>
      <c r="AA202" s="208">
        <f t="shared" si="177"/>
        <v>569191.43718000001</v>
      </c>
      <c r="AB202" s="214">
        <f t="shared" si="178"/>
        <v>322509.02058000001</v>
      </c>
      <c r="AC202" s="222">
        <f>1/3*222270</f>
        <v>74090</v>
      </c>
      <c r="AD202" s="222">
        <f>2/3*222270</f>
        <v>148180</v>
      </c>
      <c r="AE202" s="226">
        <v>74090</v>
      </c>
      <c r="AF202" s="226" t="s">
        <v>78</v>
      </c>
      <c r="AG202" s="226" t="s">
        <v>78</v>
      </c>
      <c r="AH202" s="418">
        <f t="shared" si="169"/>
        <v>296360</v>
      </c>
      <c r="AI202" s="211">
        <f t="shared" si="157"/>
        <v>1.2401193420287306</v>
      </c>
      <c r="AJ202" s="212"/>
      <c r="AK202" s="436" t="s">
        <v>78</v>
      </c>
      <c r="AL202" s="215">
        <f t="shared" si="158"/>
        <v>0</v>
      </c>
      <c r="AM202" s="369">
        <f t="shared" si="150"/>
        <v>399949.67439999996</v>
      </c>
      <c r="AN202" s="377">
        <f t="shared" si="179"/>
        <v>969141.11158000003</v>
      </c>
      <c r="AO202" s="378">
        <f t="shared" si="163"/>
        <v>322509.02058000001</v>
      </c>
      <c r="AP202" s="398">
        <v>50612</v>
      </c>
      <c r="AQ202" s="399" t="s">
        <v>271</v>
      </c>
      <c r="AR202" s="951">
        <f t="shared" si="139"/>
        <v>68302.918479999993</v>
      </c>
      <c r="AS202" s="400"/>
      <c r="AT202" s="402">
        <v>20444</v>
      </c>
      <c r="AU202" s="396">
        <f t="shared" si="140"/>
        <v>27589.995759999998</v>
      </c>
      <c r="AV202" s="400"/>
      <c r="AW202" s="390">
        <f t="shared" si="174"/>
        <v>1065034.0258200001</v>
      </c>
      <c r="AX202" s="391">
        <f t="shared" si="165"/>
        <v>418401.93482000002</v>
      </c>
      <c r="AY202" s="354" t="s">
        <v>78</v>
      </c>
      <c r="AZ202" s="405" t="s">
        <v>548</v>
      </c>
      <c r="BA202" s="404" t="s">
        <v>353</v>
      </c>
    </row>
    <row r="203" spans="1:54" ht="15" customHeight="1">
      <c r="A203" s="1" t="str">
        <f t="shared" si="136"/>
        <v>NYSE:HL_2025_</v>
      </c>
      <c r="B203" s="1" t="str">
        <f t="shared" si="143"/>
        <v>NYSE:HL_2025_CEO</v>
      </c>
      <c r="C203" s="1" t="str">
        <f t="shared" si="137"/>
        <v>NYSE:HL_2025_</v>
      </c>
      <c r="D203" s="216" t="str">
        <f>E15</f>
        <v>NYSE:HL</v>
      </c>
      <c r="E203" s="133" t="str">
        <f>_xll.ciqfunctions.udf.CIQ(D203,"IQ_Company_Name")</f>
        <v>Hecla Mining Company</v>
      </c>
      <c r="F203" s="328">
        <v>2025</v>
      </c>
      <c r="G203" s="330" t="str">
        <f t="shared" si="145"/>
        <v>2025-01-01</v>
      </c>
      <c r="H203" s="330" t="str">
        <f t="shared" si="170"/>
        <v>2025-12-31</v>
      </c>
      <c r="I203" s="114">
        <f t="shared" si="159"/>
        <v>12</v>
      </c>
      <c r="J203" s="328" t="s">
        <v>285</v>
      </c>
      <c r="K203" s="439">
        <f t="shared" si="144"/>
        <v>1.3974500000000001</v>
      </c>
      <c r="L203" s="445"/>
      <c r="M203" s="445"/>
      <c r="N203" s="351" t="s">
        <v>79</v>
      </c>
      <c r="O203" s="217" t="s">
        <v>269</v>
      </c>
      <c r="P203" s="218" t="s">
        <v>286</v>
      </c>
      <c r="Q203" s="219">
        <v>850000</v>
      </c>
      <c r="R203" s="125">
        <f t="shared" si="153"/>
        <v>1187832.5</v>
      </c>
      <c r="S203" s="311">
        <v>850000</v>
      </c>
      <c r="T203" s="126">
        <f t="shared" si="124"/>
        <v>1187832.5</v>
      </c>
      <c r="U203" s="221">
        <v>1598850</v>
      </c>
      <c r="V203" s="125">
        <f t="shared" ref="V203:V217" si="182">IFERROR(U203*(12/$I203)*$K203,"-")</f>
        <v>2234312.9325000001</v>
      </c>
      <c r="W203" s="127">
        <f t="shared" si="155"/>
        <v>1.881</v>
      </c>
      <c r="X203" s="128">
        <f>IFERROR(AVERAGE(W203:W205),"N/A")</f>
        <v>1.881</v>
      </c>
      <c r="Y203" s="223">
        <v>1.1000000000000001</v>
      </c>
      <c r="Z203" s="129">
        <f t="shared" si="156"/>
        <v>1306615.75</v>
      </c>
      <c r="AA203" s="124">
        <f t="shared" si="177"/>
        <v>3422145.4325000001</v>
      </c>
      <c r="AB203" s="130">
        <f t="shared" si="178"/>
        <v>2494448.25</v>
      </c>
      <c r="AC203" s="221">
        <f>2800534*(1030000/2295000)</f>
        <v>1256884.5403050107</v>
      </c>
      <c r="AD203" s="221">
        <f>2800534*(1265000/2295000)</f>
        <v>1543649.459694989</v>
      </c>
      <c r="AE203" s="225" t="s">
        <v>78</v>
      </c>
      <c r="AF203" s="225" t="s">
        <v>78</v>
      </c>
      <c r="AG203" s="225" t="s">
        <v>78</v>
      </c>
      <c r="AH203" s="125">
        <f t="shared" ref="AH203:AH217" si="183">IFERROR(IF(SUM(AC203:AG203)=0,IF(COUNTIF($AC203:$AG203,"=0")&gt;0,"$0","-"),SUM(AC203:AG203)),"-")</f>
        <v>2800534</v>
      </c>
      <c r="AI203" s="127">
        <f t="shared" si="157"/>
        <v>3.2947458823529416</v>
      </c>
      <c r="AJ203" s="128">
        <f>IFERROR(AVERAGE(AI203:AI205),"N/A")</f>
        <v>3.2947458823529416</v>
      </c>
      <c r="AK203" s="223">
        <f>2295000/850000</f>
        <v>2.7</v>
      </c>
      <c r="AL203" s="131">
        <f t="shared" si="158"/>
        <v>3207147.75</v>
      </c>
      <c r="AM203" s="368">
        <f t="shared" si="150"/>
        <v>3913606.2383000003</v>
      </c>
      <c r="AN203" s="375">
        <f t="shared" si="179"/>
        <v>7335751.6708000004</v>
      </c>
      <c r="AO203" s="376">
        <f t="shared" si="163"/>
        <v>5701596</v>
      </c>
      <c r="AP203" s="394" t="s">
        <v>78</v>
      </c>
      <c r="AQ203" s="395" t="s">
        <v>78</v>
      </c>
      <c r="AR203" s="396" t="str">
        <f t="shared" si="139"/>
        <v>-</v>
      </c>
      <c r="AS203" s="409" t="str">
        <f>IFERROR(AVERAGE(AR203:AR205),"N/A")</f>
        <v>N/A</v>
      </c>
      <c r="AT203" s="401">
        <v>203783</v>
      </c>
      <c r="AU203" s="396">
        <f t="shared" si="140"/>
        <v>284776.55335</v>
      </c>
      <c r="AV203" s="409">
        <f>IFERROR(AVERAGE(AU203:AU205),"N/A")</f>
        <v>284776.55335</v>
      </c>
      <c r="AW203" s="388">
        <f t="shared" si="174"/>
        <v>7620528.2241500001</v>
      </c>
      <c r="AX203" s="389">
        <f t="shared" si="165"/>
        <v>5986372.5533499997</v>
      </c>
      <c r="AY203" s="423" t="s">
        <v>356</v>
      </c>
      <c r="AZ203" s="403" t="s">
        <v>548</v>
      </c>
      <c r="BA203" s="404" t="s">
        <v>354</v>
      </c>
      <c r="BB203" s="1" t="s">
        <v>660</v>
      </c>
    </row>
    <row r="204" spans="1:54" ht="15" customHeight="1">
      <c r="A204" s="1" t="str">
        <f t="shared" si="136"/>
        <v>NYSE:HL_2024_</v>
      </c>
      <c r="B204" s="1" t="str">
        <f t="shared" si="143"/>
        <v>NYSE:HL_2024_CEO</v>
      </c>
      <c r="C204" s="1" t="str">
        <f t="shared" si="137"/>
        <v>NYSE:HL_2024_</v>
      </c>
      <c r="D204" s="114" t="str">
        <f>D203</f>
        <v>NYSE:HL</v>
      </c>
      <c r="E204" s="133" t="str">
        <f>_xll.ciqfunctions.udf.CIQ(D204,"IQ_Company_Name")</f>
        <v>Hecla Mining Company</v>
      </c>
      <c r="F204" s="328">
        <v>2024</v>
      </c>
      <c r="G204" s="954" t="str">
        <f>F204&amp;"-11-07"</f>
        <v>2024-11-07</v>
      </c>
      <c r="H204" s="330" t="str">
        <f t="shared" si="170"/>
        <v>2024-12-31</v>
      </c>
      <c r="I204" s="114">
        <f t="shared" si="159"/>
        <v>1.7753424657534247</v>
      </c>
      <c r="J204" s="407" t="s">
        <v>285</v>
      </c>
      <c r="K204" s="439">
        <f t="shared" si="144"/>
        <v>1.3701700000000001</v>
      </c>
      <c r="L204" s="445"/>
      <c r="M204" s="445"/>
      <c r="N204" s="122" t="str">
        <f t="shared" ref="N204:P205" si="184">N203</f>
        <v>CEO</v>
      </c>
      <c r="O204" s="123" t="str">
        <f t="shared" si="184"/>
        <v>President &amp; CEO</v>
      </c>
      <c r="P204" s="132" t="str">
        <f t="shared" si="184"/>
        <v>Rob Krcmarov</v>
      </c>
      <c r="Q204" s="219" t="s">
        <v>78</v>
      </c>
      <c r="R204" s="125" t="str">
        <f t="shared" si="153"/>
        <v>-</v>
      </c>
      <c r="S204" s="311" t="s">
        <v>78</v>
      </c>
      <c r="T204" s="126" t="str">
        <f t="shared" si="124"/>
        <v>-</v>
      </c>
      <c r="U204" s="221" t="s">
        <v>78</v>
      </c>
      <c r="V204" s="125" t="str">
        <f t="shared" si="182"/>
        <v>-</v>
      </c>
      <c r="W204" s="127" t="str">
        <f t="shared" si="155"/>
        <v>-</v>
      </c>
      <c r="X204" s="128"/>
      <c r="Y204" s="223" t="s">
        <v>78</v>
      </c>
      <c r="Z204" s="129" t="str">
        <f t="shared" si="156"/>
        <v>-</v>
      </c>
      <c r="AA204" s="124" t="str">
        <f t="shared" si="177"/>
        <v>-</v>
      </c>
      <c r="AB204" s="130" t="str">
        <f t="shared" si="178"/>
        <v>-</v>
      </c>
      <c r="AC204" s="221" t="s">
        <v>78</v>
      </c>
      <c r="AD204" s="225" t="s">
        <v>78</v>
      </c>
      <c r="AE204" s="225" t="s">
        <v>78</v>
      </c>
      <c r="AF204" s="225" t="s">
        <v>78</v>
      </c>
      <c r="AG204" s="225" t="s">
        <v>78</v>
      </c>
      <c r="AH204" s="125" t="str">
        <f t="shared" si="183"/>
        <v>-</v>
      </c>
      <c r="AI204" s="127" t="str">
        <f t="shared" si="157"/>
        <v>-</v>
      </c>
      <c r="AJ204" s="128"/>
      <c r="AK204" s="223" t="s">
        <v>78</v>
      </c>
      <c r="AL204" s="131" t="str">
        <f t="shared" si="158"/>
        <v>-</v>
      </c>
      <c r="AM204" s="368" t="str">
        <f t="shared" si="150"/>
        <v>-</v>
      </c>
      <c r="AN204" s="375" t="str">
        <f t="shared" si="179"/>
        <v>-</v>
      </c>
      <c r="AO204" s="376" t="str">
        <f t="shared" si="163"/>
        <v>-</v>
      </c>
      <c r="AP204" s="394" t="s">
        <v>78</v>
      </c>
      <c r="AQ204" s="395" t="s">
        <v>78</v>
      </c>
      <c r="AR204" s="396" t="str">
        <f t="shared" si="139"/>
        <v>-</v>
      </c>
      <c r="AS204" s="397"/>
      <c r="AT204" s="401" t="s">
        <v>78</v>
      </c>
      <c r="AU204" s="396" t="str">
        <f t="shared" si="140"/>
        <v>-</v>
      </c>
      <c r="AV204" s="397"/>
      <c r="AW204" s="388" t="str">
        <f t="shared" si="174"/>
        <v>-</v>
      </c>
      <c r="AX204" s="389" t="str">
        <f t="shared" si="165"/>
        <v>-</v>
      </c>
      <c r="AY204" s="353" t="s">
        <v>78</v>
      </c>
      <c r="AZ204" s="403" t="s">
        <v>548</v>
      </c>
      <c r="BA204" s="404" t="s">
        <v>354</v>
      </c>
    </row>
    <row r="205" spans="1:54" ht="15" customHeight="1">
      <c r="A205" s="1" t="str">
        <f t="shared" si="136"/>
        <v>NYSE:HL_2023_</v>
      </c>
      <c r="B205" s="1" t="str">
        <f t="shared" si="143"/>
        <v>NYSE:HL_2023_CEO</v>
      </c>
      <c r="C205" s="1" t="str">
        <f t="shared" si="137"/>
        <v>NYSE:HL_2023_</v>
      </c>
      <c r="D205" s="114" t="str">
        <f t="shared" si="176"/>
        <v>NYSE:HL</v>
      </c>
      <c r="E205" s="133" t="str">
        <f>_xll.ciqfunctions.udf.CIQ(D205,"IQ_Company_Name")</f>
        <v>Hecla Mining Company</v>
      </c>
      <c r="F205" s="328">
        <v>2023</v>
      </c>
      <c r="G205" s="114" t="str">
        <f t="shared" si="145"/>
        <v>2023-01-01</v>
      </c>
      <c r="H205" s="330" t="str">
        <f t="shared" si="170"/>
        <v>2023-12-31</v>
      </c>
      <c r="I205" s="114">
        <f t="shared" si="159"/>
        <v>12</v>
      </c>
      <c r="J205" s="407" t="s">
        <v>285</v>
      </c>
      <c r="K205" s="439">
        <f t="shared" si="144"/>
        <v>1.34954</v>
      </c>
      <c r="L205" s="445"/>
      <c r="M205" s="445"/>
      <c r="N205" s="122" t="str">
        <f t="shared" si="184"/>
        <v>CEO</v>
      </c>
      <c r="O205" s="123" t="str">
        <f t="shared" si="184"/>
        <v>President &amp; CEO</v>
      </c>
      <c r="P205" s="132" t="str">
        <f t="shared" si="184"/>
        <v>Rob Krcmarov</v>
      </c>
      <c r="Q205" s="219" t="s">
        <v>78</v>
      </c>
      <c r="R205" s="125" t="str">
        <f t="shared" si="153"/>
        <v>-</v>
      </c>
      <c r="S205" s="311" t="s">
        <v>78</v>
      </c>
      <c r="T205" s="126" t="str">
        <f t="shared" si="124"/>
        <v>-</v>
      </c>
      <c r="U205" s="221" t="s">
        <v>78</v>
      </c>
      <c r="V205" s="125" t="str">
        <f t="shared" si="182"/>
        <v>-</v>
      </c>
      <c r="W205" s="127" t="str">
        <f t="shared" si="155"/>
        <v>-</v>
      </c>
      <c r="X205" s="128"/>
      <c r="Y205" s="223" t="s">
        <v>78</v>
      </c>
      <c r="Z205" s="129" t="str">
        <f t="shared" si="156"/>
        <v>-</v>
      </c>
      <c r="AA205" s="124" t="str">
        <f t="shared" si="177"/>
        <v>-</v>
      </c>
      <c r="AB205" s="130" t="str">
        <f t="shared" si="178"/>
        <v>-</v>
      </c>
      <c r="AC205" s="221" t="s">
        <v>78</v>
      </c>
      <c r="AD205" s="225" t="s">
        <v>78</v>
      </c>
      <c r="AE205" s="225" t="s">
        <v>78</v>
      </c>
      <c r="AF205" s="225" t="s">
        <v>78</v>
      </c>
      <c r="AG205" s="225" t="s">
        <v>78</v>
      </c>
      <c r="AH205" s="125" t="str">
        <f t="shared" si="183"/>
        <v>-</v>
      </c>
      <c r="AI205" s="127" t="str">
        <f t="shared" si="157"/>
        <v>-</v>
      </c>
      <c r="AJ205" s="128"/>
      <c r="AK205" s="223" t="s">
        <v>78</v>
      </c>
      <c r="AL205" s="131" t="str">
        <f t="shared" si="158"/>
        <v>-</v>
      </c>
      <c r="AM205" s="368" t="str">
        <f t="shared" si="150"/>
        <v>-</v>
      </c>
      <c r="AN205" s="375" t="str">
        <f t="shared" si="179"/>
        <v>-</v>
      </c>
      <c r="AO205" s="376" t="str">
        <f t="shared" si="163"/>
        <v>-</v>
      </c>
      <c r="AP205" s="394" t="s">
        <v>78</v>
      </c>
      <c r="AQ205" s="395" t="s">
        <v>78</v>
      </c>
      <c r="AR205" s="396" t="str">
        <f t="shared" si="139"/>
        <v>-</v>
      </c>
      <c r="AS205" s="397"/>
      <c r="AT205" s="401" t="s">
        <v>78</v>
      </c>
      <c r="AU205" s="396" t="str">
        <f t="shared" si="140"/>
        <v>-</v>
      </c>
      <c r="AV205" s="397"/>
      <c r="AW205" s="388" t="str">
        <f t="shared" si="174"/>
        <v>-</v>
      </c>
      <c r="AX205" s="389" t="str">
        <f t="shared" si="165"/>
        <v>-</v>
      </c>
      <c r="AY205" s="353" t="s">
        <v>78</v>
      </c>
      <c r="AZ205" s="403" t="s">
        <v>548</v>
      </c>
      <c r="BA205" s="404" t="s">
        <v>354</v>
      </c>
    </row>
    <row r="206" spans="1:54" ht="15" customHeight="1">
      <c r="A206" s="1" t="str">
        <f t="shared" si="136"/>
        <v>NYSE:HL_2025_COO</v>
      </c>
      <c r="B206" s="1" t="str">
        <f t="shared" si="143"/>
        <v>NYSE:HL_2025_NEO2</v>
      </c>
      <c r="C206" s="1" t="str">
        <f t="shared" si="137"/>
        <v>NYSE:HL_2025_</v>
      </c>
      <c r="D206" s="114" t="str">
        <f t="shared" si="176"/>
        <v>NYSE:HL</v>
      </c>
      <c r="E206" s="133" t="str">
        <f>_xll.ciqfunctions.udf.CIQ(D206,"IQ_Company_Name")</f>
        <v>Hecla Mining Company</v>
      </c>
      <c r="F206" s="114">
        <f t="shared" ref="F206:F217" si="185">F203</f>
        <v>2025</v>
      </c>
      <c r="G206" s="114" t="str">
        <f t="shared" si="145"/>
        <v>2025-01-01</v>
      </c>
      <c r="H206" s="330" t="str">
        <f t="shared" si="170"/>
        <v>2025-12-31</v>
      </c>
      <c r="I206" s="114">
        <f t="shared" si="159"/>
        <v>12</v>
      </c>
      <c r="J206" s="407" t="s">
        <v>285</v>
      </c>
      <c r="K206" s="439">
        <f t="shared" si="144"/>
        <v>1.3974500000000001</v>
      </c>
      <c r="L206" s="445" t="s">
        <v>272</v>
      </c>
      <c r="M206" s="445"/>
      <c r="N206" s="351" t="s">
        <v>108</v>
      </c>
      <c r="O206" s="217" t="s">
        <v>574</v>
      </c>
      <c r="P206" s="218" t="s">
        <v>592</v>
      </c>
      <c r="Q206" s="219">
        <v>404938</v>
      </c>
      <c r="R206" s="420">
        <f>IFERROR(435000*(12/$I206)*$K206,"-")</f>
        <v>607890.75</v>
      </c>
      <c r="S206" s="311">
        <v>435000</v>
      </c>
      <c r="T206" s="126">
        <f t="shared" si="124"/>
        <v>607890.75</v>
      </c>
      <c r="U206" s="221">
        <v>595080</v>
      </c>
      <c r="V206" s="125">
        <f t="shared" si="182"/>
        <v>831594.54600000009</v>
      </c>
      <c r="W206" s="127">
        <f t="shared" si="155"/>
        <v>1.3680000000000001</v>
      </c>
      <c r="X206" s="128">
        <f>IFERROR(AVERAGE(W206:W208),"N/A")</f>
        <v>1.3680000000000001</v>
      </c>
      <c r="Y206" s="223">
        <v>0.8</v>
      </c>
      <c r="Z206" s="129">
        <f t="shared" si="156"/>
        <v>486312.60000000003</v>
      </c>
      <c r="AA206" s="124">
        <f t="shared" si="177"/>
        <v>1439485.2960000001</v>
      </c>
      <c r="AB206" s="130">
        <f t="shared" si="178"/>
        <v>1094203.3500000001</v>
      </c>
      <c r="AC206" s="221">
        <f>0.5*384292</f>
        <v>192146</v>
      </c>
      <c r="AD206" s="221">
        <f>0.5*384292</f>
        <v>192146</v>
      </c>
      <c r="AE206" s="225" t="s">
        <v>78</v>
      </c>
      <c r="AF206" s="225" t="s">
        <v>78</v>
      </c>
      <c r="AG206" s="225">
        <v>86000</v>
      </c>
      <c r="AH206" s="125">
        <f t="shared" si="183"/>
        <v>470292</v>
      </c>
      <c r="AI206" s="127">
        <f t="shared" si="157"/>
        <v>1.0811310344827587</v>
      </c>
      <c r="AJ206" s="128">
        <f>IFERROR(AVERAGE(AI206:AI208),"N/A")</f>
        <v>1.0811310344827587</v>
      </c>
      <c r="AK206" s="223">
        <f>761250/435000</f>
        <v>1.75</v>
      </c>
      <c r="AL206" s="131">
        <f t="shared" si="158"/>
        <v>1063808.8125</v>
      </c>
      <c r="AM206" s="368">
        <f t="shared" si="150"/>
        <v>657209.55540000007</v>
      </c>
      <c r="AN206" s="375">
        <f t="shared" si="179"/>
        <v>2096694.8514</v>
      </c>
      <c r="AO206" s="376">
        <f t="shared" si="163"/>
        <v>2158012.1625000001</v>
      </c>
      <c r="AP206" s="394">
        <v>146187</v>
      </c>
      <c r="AQ206" s="395" t="s">
        <v>277</v>
      </c>
      <c r="AR206" s="396">
        <f t="shared" si="139"/>
        <v>204289.02315000002</v>
      </c>
      <c r="AS206" s="397">
        <f>IFERROR(AVERAGE(AR206:AR208),"N/A")</f>
        <v>204289.02315000002</v>
      </c>
      <c r="AT206" s="401">
        <v>23769</v>
      </c>
      <c r="AU206" s="396">
        <f t="shared" si="140"/>
        <v>33215.989050000004</v>
      </c>
      <c r="AV206" s="397">
        <f>IFERROR(AVERAGE(AU206:AU208),"N/A")</f>
        <v>33215.989050000004</v>
      </c>
      <c r="AW206" s="388">
        <f t="shared" si="174"/>
        <v>2334199.8635999998</v>
      </c>
      <c r="AX206" s="389">
        <f t="shared" si="165"/>
        <v>2395517.1747000003</v>
      </c>
      <c r="AY206" s="353" t="s">
        <v>643</v>
      </c>
      <c r="AZ206" s="403" t="s">
        <v>548</v>
      </c>
      <c r="BA206" s="404" t="s">
        <v>354</v>
      </c>
    </row>
    <row r="207" spans="1:54" ht="15" customHeight="1">
      <c r="A207" s="1" t="str">
        <f t="shared" si="136"/>
        <v>NYSE:HL_2024_COO</v>
      </c>
      <c r="B207" s="1" t="str">
        <f t="shared" si="143"/>
        <v>NYSE:HL_2024_NEO2</v>
      </c>
      <c r="C207" s="1" t="str">
        <f t="shared" si="137"/>
        <v>NYSE:HL_2024_</v>
      </c>
      <c r="D207" s="114" t="str">
        <f t="shared" si="176"/>
        <v>NYSE:HL</v>
      </c>
      <c r="E207" s="133" t="str">
        <f>_xll.ciqfunctions.udf.CIQ(D207,"IQ_Company_Name")</f>
        <v>Hecla Mining Company</v>
      </c>
      <c r="F207" s="114">
        <f t="shared" si="185"/>
        <v>2024</v>
      </c>
      <c r="G207" s="114" t="str">
        <f t="shared" si="145"/>
        <v>2024-01-01</v>
      </c>
      <c r="H207" s="330" t="str">
        <f t="shared" si="170"/>
        <v>2024-12-31</v>
      </c>
      <c r="I207" s="114">
        <f t="shared" si="159"/>
        <v>12</v>
      </c>
      <c r="J207" s="407" t="s">
        <v>285</v>
      </c>
      <c r="K207" s="439">
        <f t="shared" si="144"/>
        <v>1.3701700000000001</v>
      </c>
      <c r="L207" s="445" t="s">
        <v>272</v>
      </c>
      <c r="M207" s="445"/>
      <c r="N207" s="122" t="str">
        <f t="shared" ref="N207:P208" si="186">N206</f>
        <v>NEO2</v>
      </c>
      <c r="O207" s="123" t="str">
        <f>O206</f>
        <v>SVP &amp; COO</v>
      </c>
      <c r="P207" s="132" t="str">
        <f>P206</f>
        <v>Carlos Aguiar</v>
      </c>
      <c r="Q207" s="219" t="s">
        <v>78</v>
      </c>
      <c r="R207" s="125" t="str">
        <f>IFERROR(Q207*(12/$I207)*$K207,"-")</f>
        <v>-</v>
      </c>
      <c r="S207" s="311" t="s">
        <v>78</v>
      </c>
      <c r="T207" s="126" t="str">
        <f t="shared" si="124"/>
        <v>-</v>
      </c>
      <c r="U207" s="221" t="s">
        <v>78</v>
      </c>
      <c r="V207" s="125" t="str">
        <f t="shared" si="182"/>
        <v>-</v>
      </c>
      <c r="W207" s="127" t="str">
        <f t="shared" si="155"/>
        <v>-</v>
      </c>
      <c r="X207" s="128"/>
      <c r="Y207" s="223" t="s">
        <v>78</v>
      </c>
      <c r="Z207" s="129" t="str">
        <f t="shared" si="156"/>
        <v>-</v>
      </c>
      <c r="AA207" s="124" t="str">
        <f t="shared" si="177"/>
        <v>-</v>
      </c>
      <c r="AB207" s="130" t="str">
        <f t="shared" si="178"/>
        <v>-</v>
      </c>
      <c r="AC207" s="221" t="s">
        <v>78</v>
      </c>
      <c r="AD207" s="225" t="s">
        <v>78</v>
      </c>
      <c r="AE207" s="225" t="s">
        <v>78</v>
      </c>
      <c r="AF207" s="225" t="s">
        <v>78</v>
      </c>
      <c r="AG207" s="225" t="s">
        <v>78</v>
      </c>
      <c r="AH207" s="125" t="str">
        <f t="shared" si="183"/>
        <v>-</v>
      </c>
      <c r="AI207" s="127" t="str">
        <f t="shared" si="157"/>
        <v>-</v>
      </c>
      <c r="AJ207" s="128"/>
      <c r="AK207" s="223" t="s">
        <v>78</v>
      </c>
      <c r="AL207" s="131" t="str">
        <f t="shared" si="158"/>
        <v>-</v>
      </c>
      <c r="AM207" s="368" t="str">
        <f t="shared" si="150"/>
        <v>-</v>
      </c>
      <c r="AN207" s="375" t="str">
        <f t="shared" si="179"/>
        <v>-</v>
      </c>
      <c r="AO207" s="376" t="str">
        <f t="shared" si="163"/>
        <v>-</v>
      </c>
      <c r="AP207" s="394" t="s">
        <v>78</v>
      </c>
      <c r="AQ207" s="395" t="s">
        <v>78</v>
      </c>
      <c r="AR207" s="396" t="str">
        <f t="shared" si="139"/>
        <v>-</v>
      </c>
      <c r="AS207" s="397"/>
      <c r="AT207" s="401" t="s">
        <v>78</v>
      </c>
      <c r="AU207" s="396" t="str">
        <f t="shared" si="140"/>
        <v>-</v>
      </c>
      <c r="AV207" s="397"/>
      <c r="AW207" s="388" t="str">
        <f t="shared" si="174"/>
        <v>-</v>
      </c>
      <c r="AX207" s="389" t="str">
        <f t="shared" si="165"/>
        <v>-</v>
      </c>
      <c r="AY207" s="353" t="s">
        <v>78</v>
      </c>
      <c r="AZ207" s="403" t="s">
        <v>548</v>
      </c>
      <c r="BA207" s="404" t="s">
        <v>354</v>
      </c>
    </row>
    <row r="208" spans="1:54" ht="15" customHeight="1">
      <c r="A208" s="1" t="str">
        <f t="shared" si="136"/>
        <v>NYSE:HL_2023_COO</v>
      </c>
      <c r="B208" s="1" t="str">
        <f t="shared" si="143"/>
        <v>NYSE:HL_2023_NEO2</v>
      </c>
      <c r="C208" s="1" t="str">
        <f t="shared" si="137"/>
        <v>NYSE:HL_2023_</v>
      </c>
      <c r="D208" s="114" t="str">
        <f t="shared" si="176"/>
        <v>NYSE:HL</v>
      </c>
      <c r="E208" s="133" t="str">
        <f>_xll.ciqfunctions.udf.CIQ(D208,"IQ_Company_Name")</f>
        <v>Hecla Mining Company</v>
      </c>
      <c r="F208" s="114">
        <f t="shared" si="185"/>
        <v>2023</v>
      </c>
      <c r="G208" s="114" t="str">
        <f t="shared" si="145"/>
        <v>2023-01-01</v>
      </c>
      <c r="H208" s="330" t="str">
        <f t="shared" si="170"/>
        <v>2023-12-31</v>
      </c>
      <c r="I208" s="114">
        <f t="shared" si="159"/>
        <v>12</v>
      </c>
      <c r="J208" s="407" t="s">
        <v>285</v>
      </c>
      <c r="K208" s="439">
        <f t="shared" si="144"/>
        <v>1.34954</v>
      </c>
      <c r="L208" s="445" t="s">
        <v>272</v>
      </c>
      <c r="M208" s="445"/>
      <c r="N208" s="122" t="str">
        <f t="shared" si="186"/>
        <v>NEO2</v>
      </c>
      <c r="O208" s="123" t="str">
        <f t="shared" si="186"/>
        <v>SVP &amp; COO</v>
      </c>
      <c r="P208" s="132" t="str">
        <f t="shared" si="186"/>
        <v>Carlos Aguiar</v>
      </c>
      <c r="Q208" s="219" t="s">
        <v>78</v>
      </c>
      <c r="R208" s="125" t="str">
        <f>IFERROR(Q208*(12/$I208)*$K208,"-")</f>
        <v>-</v>
      </c>
      <c r="S208" s="311" t="s">
        <v>78</v>
      </c>
      <c r="T208" s="126" t="str">
        <f t="shared" si="124"/>
        <v>-</v>
      </c>
      <c r="U208" s="221" t="s">
        <v>78</v>
      </c>
      <c r="V208" s="125" t="str">
        <f t="shared" si="182"/>
        <v>-</v>
      </c>
      <c r="W208" s="127" t="str">
        <f t="shared" si="155"/>
        <v>-</v>
      </c>
      <c r="X208" s="128"/>
      <c r="Y208" s="223" t="s">
        <v>78</v>
      </c>
      <c r="Z208" s="129" t="str">
        <f t="shared" si="156"/>
        <v>-</v>
      </c>
      <c r="AA208" s="124" t="str">
        <f t="shared" si="177"/>
        <v>-</v>
      </c>
      <c r="AB208" s="130" t="str">
        <f t="shared" si="178"/>
        <v>-</v>
      </c>
      <c r="AC208" s="221" t="s">
        <v>78</v>
      </c>
      <c r="AD208" s="225" t="s">
        <v>78</v>
      </c>
      <c r="AE208" s="225" t="s">
        <v>78</v>
      </c>
      <c r="AF208" s="225" t="s">
        <v>78</v>
      </c>
      <c r="AG208" s="225" t="s">
        <v>78</v>
      </c>
      <c r="AH208" s="125" t="str">
        <f t="shared" si="183"/>
        <v>-</v>
      </c>
      <c r="AI208" s="127" t="str">
        <f t="shared" si="157"/>
        <v>-</v>
      </c>
      <c r="AJ208" s="128"/>
      <c r="AK208" s="223" t="s">
        <v>78</v>
      </c>
      <c r="AL208" s="131" t="str">
        <f t="shared" si="158"/>
        <v>-</v>
      </c>
      <c r="AM208" s="368" t="str">
        <f t="shared" si="150"/>
        <v>-</v>
      </c>
      <c r="AN208" s="375" t="str">
        <f t="shared" si="179"/>
        <v>-</v>
      </c>
      <c r="AO208" s="376" t="str">
        <f t="shared" si="163"/>
        <v>-</v>
      </c>
      <c r="AP208" s="394" t="s">
        <v>78</v>
      </c>
      <c r="AQ208" s="395" t="s">
        <v>78</v>
      </c>
      <c r="AR208" s="396" t="str">
        <f t="shared" si="139"/>
        <v>-</v>
      </c>
      <c r="AS208" s="397"/>
      <c r="AT208" s="401" t="s">
        <v>78</v>
      </c>
      <c r="AU208" s="396" t="str">
        <f t="shared" si="140"/>
        <v>-</v>
      </c>
      <c r="AV208" s="397"/>
      <c r="AW208" s="388" t="str">
        <f t="shared" si="174"/>
        <v>-</v>
      </c>
      <c r="AX208" s="389" t="str">
        <f t="shared" si="165"/>
        <v>-</v>
      </c>
      <c r="AY208" s="353" t="s">
        <v>78</v>
      </c>
      <c r="AZ208" s="403" t="s">
        <v>548</v>
      </c>
      <c r="BA208" s="404" t="s">
        <v>354</v>
      </c>
    </row>
    <row r="209" spans="1:54" ht="15" customHeight="1">
      <c r="A209" s="1" t="str">
        <f t="shared" si="136"/>
        <v>NYSE:HL_2025_</v>
      </c>
      <c r="B209" s="1" t="str">
        <f t="shared" si="143"/>
        <v>NYSE:HL_2025_CFO</v>
      </c>
      <c r="C209" s="1" t="str">
        <f t="shared" si="137"/>
        <v>NYSE:HL_2025_</v>
      </c>
      <c r="D209" s="114" t="str">
        <f t="shared" si="176"/>
        <v>NYSE:HL</v>
      </c>
      <c r="E209" s="133" t="str">
        <f>_xll.ciqfunctions.udf.CIQ(D209,"IQ_Company_Name")</f>
        <v>Hecla Mining Company</v>
      </c>
      <c r="F209" s="114">
        <f t="shared" si="185"/>
        <v>2025</v>
      </c>
      <c r="G209" s="330" t="str">
        <f t="shared" si="145"/>
        <v>2025-01-01</v>
      </c>
      <c r="H209" s="330" t="str">
        <f t="shared" si="170"/>
        <v>2025-12-31</v>
      </c>
      <c r="I209" s="114">
        <f t="shared" si="159"/>
        <v>12</v>
      </c>
      <c r="J209" s="407" t="s">
        <v>285</v>
      </c>
      <c r="K209" s="439">
        <f t="shared" si="144"/>
        <v>1.3974500000000001</v>
      </c>
      <c r="L209" s="445"/>
      <c r="M209" s="445"/>
      <c r="N209" s="351" t="s">
        <v>106</v>
      </c>
      <c r="O209" s="217" t="s">
        <v>287</v>
      </c>
      <c r="P209" s="218" t="s">
        <v>288</v>
      </c>
      <c r="Q209" s="219">
        <v>404938</v>
      </c>
      <c r="R209" s="420">
        <f>IFERROR(435000*(12/$I209)*$K209,"-")</f>
        <v>607890.75</v>
      </c>
      <c r="S209" s="311">
        <v>435000</v>
      </c>
      <c r="T209" s="126">
        <f t="shared" ref="T209:T272" si="187">IFERROR(IF((S209*$K209)=0,"-",(S209*$K209)),"-")</f>
        <v>607890.75</v>
      </c>
      <c r="U209" s="221">
        <v>595080</v>
      </c>
      <c r="V209" s="125">
        <f t="shared" si="182"/>
        <v>831594.54600000009</v>
      </c>
      <c r="W209" s="127">
        <f t="shared" si="155"/>
        <v>1.3680000000000001</v>
      </c>
      <c r="X209" s="128">
        <f>IFERROR(AVERAGE(W209:W211),"N/A")</f>
        <v>1.0096058310272347</v>
      </c>
      <c r="Y209" s="223">
        <v>0.8</v>
      </c>
      <c r="Z209" s="129">
        <f t="shared" si="156"/>
        <v>486312.60000000003</v>
      </c>
      <c r="AA209" s="124">
        <f t="shared" si="177"/>
        <v>1439485.2960000001</v>
      </c>
      <c r="AB209" s="130">
        <f t="shared" si="178"/>
        <v>1094203.3500000001</v>
      </c>
      <c r="AC209" s="221">
        <f>0.5*384292</f>
        <v>192146</v>
      </c>
      <c r="AD209" s="221">
        <f>0.5*384292</f>
        <v>192146</v>
      </c>
      <c r="AE209" s="225" t="s">
        <v>78</v>
      </c>
      <c r="AF209" s="225" t="s">
        <v>78</v>
      </c>
      <c r="AG209" s="225">
        <v>346150</v>
      </c>
      <c r="AH209" s="125">
        <f t="shared" si="183"/>
        <v>730442</v>
      </c>
      <c r="AI209" s="127">
        <f t="shared" si="157"/>
        <v>1.6791770114942528</v>
      </c>
      <c r="AJ209" s="128">
        <f>IFERROR(AVERAGE(AI209:AI211),"N/A")</f>
        <v>1.7860928210235942</v>
      </c>
      <c r="AK209" s="223">
        <f>761250/435000</f>
        <v>1.75</v>
      </c>
      <c r="AL209" s="131">
        <f t="shared" si="158"/>
        <v>1063808.8125</v>
      </c>
      <c r="AM209" s="368">
        <f t="shared" si="150"/>
        <v>1020756.1729</v>
      </c>
      <c r="AN209" s="375">
        <f t="shared" si="179"/>
        <v>2460241.4689000002</v>
      </c>
      <c r="AO209" s="376">
        <f t="shared" si="163"/>
        <v>2158012.1625000001</v>
      </c>
      <c r="AP209" s="394">
        <v>41404</v>
      </c>
      <c r="AQ209" s="395" t="s">
        <v>277</v>
      </c>
      <c r="AR209" s="396">
        <f t="shared" si="139"/>
        <v>57860.019800000002</v>
      </c>
      <c r="AS209" s="397">
        <f>IFERROR(AVERAGE(AR209:AR211),"N/A")</f>
        <v>68842.254643333334</v>
      </c>
      <c r="AT209" s="401">
        <v>23769</v>
      </c>
      <c r="AU209" s="396">
        <f t="shared" si="140"/>
        <v>33215.989050000004</v>
      </c>
      <c r="AV209" s="397">
        <f>IFERROR(AVERAGE(AU209:AU211),"N/A")</f>
        <v>31943.42568</v>
      </c>
      <c r="AW209" s="388">
        <f t="shared" si="174"/>
        <v>2551317.4777500001</v>
      </c>
      <c r="AX209" s="389">
        <f t="shared" si="165"/>
        <v>2249088.17135</v>
      </c>
      <c r="AY209" s="353" t="s">
        <v>78</v>
      </c>
      <c r="AZ209" s="403" t="s">
        <v>548</v>
      </c>
      <c r="BA209" s="404" t="s">
        <v>354</v>
      </c>
    </row>
    <row r="210" spans="1:54" ht="15" customHeight="1">
      <c r="A210" s="1" t="str">
        <f t="shared" si="136"/>
        <v>NYSE:HL_2024_</v>
      </c>
      <c r="B210" s="1" t="str">
        <f t="shared" si="143"/>
        <v>NYSE:HL_2024_CFO</v>
      </c>
      <c r="C210" s="1" t="str">
        <f t="shared" si="137"/>
        <v>NYSE:HL_2024_</v>
      </c>
      <c r="D210" s="114" t="str">
        <f t="shared" si="176"/>
        <v>NYSE:HL</v>
      </c>
      <c r="E210" s="133" t="str">
        <f>_xll.ciqfunctions.udf.CIQ(D210,"IQ_Company_Name")</f>
        <v>Hecla Mining Company</v>
      </c>
      <c r="F210" s="114">
        <f t="shared" si="185"/>
        <v>2024</v>
      </c>
      <c r="G210" s="330" t="str">
        <f t="shared" si="145"/>
        <v>2024-01-01</v>
      </c>
      <c r="H210" s="330" t="str">
        <f t="shared" si="170"/>
        <v>2024-12-31</v>
      </c>
      <c r="I210" s="114">
        <f t="shared" si="159"/>
        <v>12</v>
      </c>
      <c r="J210" s="407" t="s">
        <v>285</v>
      </c>
      <c r="K210" s="439">
        <f t="shared" si="144"/>
        <v>1.3701700000000001</v>
      </c>
      <c r="L210" s="445"/>
      <c r="M210" s="445"/>
      <c r="N210" s="122" t="str">
        <f t="shared" ref="N210:P211" si="188">N209</f>
        <v>CFO</v>
      </c>
      <c r="O210" s="123" t="str">
        <f>O209</f>
        <v>SVP &amp; CFO</v>
      </c>
      <c r="P210" s="132" t="str">
        <f>P209</f>
        <v>Russell D. Lawlar</v>
      </c>
      <c r="Q210" s="219">
        <v>379500</v>
      </c>
      <c r="R210" s="125">
        <f>IFERROR(Q210*(12/$I210)*$K210,"-")</f>
        <v>519979.51500000001</v>
      </c>
      <c r="S210" s="311" t="s">
        <v>78</v>
      </c>
      <c r="T210" s="126" t="str">
        <f t="shared" si="187"/>
        <v>-</v>
      </c>
      <c r="U210" s="221">
        <v>303600</v>
      </c>
      <c r="V210" s="125">
        <f t="shared" si="182"/>
        <v>415983.61200000002</v>
      </c>
      <c r="W210" s="127">
        <f t="shared" si="155"/>
        <v>0.8</v>
      </c>
      <c r="X210" s="128"/>
      <c r="Y210" s="223" t="s">
        <v>78</v>
      </c>
      <c r="Z210" s="129">
        <f t="shared" si="156"/>
        <v>0</v>
      </c>
      <c r="AA210" s="124">
        <f t="shared" si="177"/>
        <v>935963.12700000009</v>
      </c>
      <c r="AB210" s="130">
        <f t="shared" si="178"/>
        <v>519979.51500000001</v>
      </c>
      <c r="AC210" s="221">
        <f>0.5*595670</f>
        <v>297835</v>
      </c>
      <c r="AD210" s="221">
        <f>0.5*595670</f>
        <v>297835</v>
      </c>
      <c r="AE210" s="225" t="s">
        <v>78</v>
      </c>
      <c r="AF210" s="225" t="s">
        <v>78</v>
      </c>
      <c r="AG210" s="225">
        <v>264915</v>
      </c>
      <c r="AH210" s="125">
        <f t="shared" si="183"/>
        <v>860585</v>
      </c>
      <c r="AI210" s="127">
        <f t="shared" si="157"/>
        <v>2.2676811594202899</v>
      </c>
      <c r="AJ210" s="128"/>
      <c r="AK210" s="223" t="s">
        <v>78</v>
      </c>
      <c r="AL210" s="131">
        <f t="shared" si="158"/>
        <v>0</v>
      </c>
      <c r="AM210" s="368">
        <f t="shared" si="150"/>
        <v>1179147.74945</v>
      </c>
      <c r="AN210" s="375">
        <f t="shared" si="179"/>
        <v>2115110.8764500003</v>
      </c>
      <c r="AO210" s="376">
        <f t="shared" si="163"/>
        <v>519979.51500000001</v>
      </c>
      <c r="AP210" s="394">
        <v>70653</v>
      </c>
      <c r="AQ210" s="395" t="s">
        <v>277</v>
      </c>
      <c r="AR210" s="396">
        <f t="shared" si="139"/>
        <v>96806.621010000003</v>
      </c>
      <c r="AS210" s="397"/>
      <c r="AT210" s="401">
        <v>23469</v>
      </c>
      <c r="AU210" s="396">
        <f t="shared" si="140"/>
        <v>32156.519730000004</v>
      </c>
      <c r="AV210" s="397"/>
      <c r="AW210" s="388">
        <f t="shared" si="174"/>
        <v>2244074.01719</v>
      </c>
      <c r="AX210" s="389">
        <f t="shared" si="165"/>
        <v>648942.65574000007</v>
      </c>
      <c r="AY210" s="353" t="s">
        <v>78</v>
      </c>
      <c r="AZ210" s="403" t="s">
        <v>548</v>
      </c>
      <c r="BA210" s="404" t="s">
        <v>354</v>
      </c>
    </row>
    <row r="211" spans="1:54" ht="15" customHeight="1">
      <c r="A211" s="1" t="str">
        <f t="shared" si="136"/>
        <v>NYSE:HL_2023_</v>
      </c>
      <c r="B211" s="1" t="str">
        <f t="shared" si="143"/>
        <v>NYSE:HL_2023_CFO</v>
      </c>
      <c r="C211" s="1" t="str">
        <f t="shared" si="137"/>
        <v>NYSE:HL_2023_</v>
      </c>
      <c r="D211" s="114" t="str">
        <f t="shared" si="176"/>
        <v>NYSE:HL</v>
      </c>
      <c r="E211" s="133" t="str">
        <f>_xll.ciqfunctions.udf.CIQ(D211,"IQ_Company_Name")</f>
        <v>Hecla Mining Company</v>
      </c>
      <c r="F211" s="114">
        <f t="shared" si="185"/>
        <v>2023</v>
      </c>
      <c r="G211" s="114" t="str">
        <f t="shared" si="145"/>
        <v>2023-01-01</v>
      </c>
      <c r="H211" s="330" t="str">
        <f t="shared" si="170"/>
        <v>2023-12-31</v>
      </c>
      <c r="I211" s="114">
        <f t="shared" si="159"/>
        <v>12</v>
      </c>
      <c r="J211" s="407" t="s">
        <v>285</v>
      </c>
      <c r="K211" s="439">
        <f t="shared" si="144"/>
        <v>1.34954</v>
      </c>
      <c r="L211" s="445"/>
      <c r="M211" s="445"/>
      <c r="N211" s="122" t="str">
        <f t="shared" si="188"/>
        <v>CFO</v>
      </c>
      <c r="O211" s="123" t="str">
        <f t="shared" si="188"/>
        <v>SVP &amp; CFO</v>
      </c>
      <c r="P211" s="132" t="str">
        <f t="shared" si="188"/>
        <v>Russell D. Lawlar</v>
      </c>
      <c r="Q211" s="219">
        <v>352688</v>
      </c>
      <c r="R211" s="125">
        <f>IFERROR(Q211*(12/$I211)*$K211,"-")</f>
        <v>475966.56351999997</v>
      </c>
      <c r="S211" s="311" t="s">
        <v>78</v>
      </c>
      <c r="T211" s="126" t="str">
        <f t="shared" si="187"/>
        <v>-</v>
      </c>
      <c r="U211" s="221">
        <v>303600</v>
      </c>
      <c r="V211" s="125">
        <f t="shared" si="182"/>
        <v>409720.34399999998</v>
      </c>
      <c r="W211" s="127">
        <f t="shared" si="155"/>
        <v>0.86081749308170397</v>
      </c>
      <c r="X211" s="128"/>
      <c r="Y211" s="223" t="s">
        <v>78</v>
      </c>
      <c r="Z211" s="129">
        <f t="shared" si="156"/>
        <v>0</v>
      </c>
      <c r="AA211" s="124">
        <f t="shared" si="177"/>
        <v>885686.90751999989</v>
      </c>
      <c r="AB211" s="130">
        <f t="shared" si="178"/>
        <v>475966.56351999997</v>
      </c>
      <c r="AC211" s="221">
        <f>0.5*329041</f>
        <v>164520.5</v>
      </c>
      <c r="AD211" s="221">
        <f>0.5*329041</f>
        <v>164520.5</v>
      </c>
      <c r="AE211" s="225" t="s">
        <v>78</v>
      </c>
      <c r="AF211" s="225" t="s">
        <v>78</v>
      </c>
      <c r="AG211" s="225">
        <v>168750</v>
      </c>
      <c r="AH211" s="125">
        <f t="shared" si="183"/>
        <v>497791</v>
      </c>
      <c r="AI211" s="127">
        <f t="shared" si="157"/>
        <v>1.41142029215624</v>
      </c>
      <c r="AJ211" s="128"/>
      <c r="AK211" s="223" t="s">
        <v>78</v>
      </c>
      <c r="AL211" s="131">
        <f t="shared" si="158"/>
        <v>0</v>
      </c>
      <c r="AM211" s="368">
        <f t="shared" si="150"/>
        <v>671788.86613999994</v>
      </c>
      <c r="AN211" s="375">
        <f t="shared" si="179"/>
        <v>1557475.7736599999</v>
      </c>
      <c r="AO211" s="376">
        <f t="shared" si="163"/>
        <v>475966.56351999997</v>
      </c>
      <c r="AP211" s="394">
        <v>38428</v>
      </c>
      <c r="AQ211" s="395" t="s">
        <v>277</v>
      </c>
      <c r="AR211" s="396">
        <f t="shared" si="139"/>
        <v>51860.123119999997</v>
      </c>
      <c r="AS211" s="397"/>
      <c r="AT211" s="401">
        <v>22569</v>
      </c>
      <c r="AU211" s="396">
        <f t="shared" si="140"/>
        <v>30457.768260000001</v>
      </c>
      <c r="AV211" s="397"/>
      <c r="AW211" s="388">
        <f t="shared" si="174"/>
        <v>1639793.6650399999</v>
      </c>
      <c r="AX211" s="389">
        <f t="shared" si="165"/>
        <v>558284.45490000001</v>
      </c>
      <c r="AY211" s="353" t="s">
        <v>78</v>
      </c>
      <c r="AZ211" s="403" t="s">
        <v>548</v>
      </c>
      <c r="BA211" s="404" t="s">
        <v>354</v>
      </c>
    </row>
    <row r="212" spans="1:54" ht="15" customHeight="1">
      <c r="A212" s="1" t="str">
        <f t="shared" si="136"/>
        <v>NYSE:HL_2025_Legal</v>
      </c>
      <c r="B212" s="1" t="str">
        <f t="shared" si="143"/>
        <v>NYSE:HL_2025_NEO3</v>
      </c>
      <c r="C212" s="1" t="str">
        <f t="shared" si="137"/>
        <v>NYSE:HL_2025_</v>
      </c>
      <c r="D212" s="114" t="str">
        <f t="shared" si="176"/>
        <v>NYSE:HL</v>
      </c>
      <c r="E212" s="133" t="str">
        <f>_xll.ciqfunctions.udf.CIQ(D212,"IQ_Company_Name")</f>
        <v>Hecla Mining Company</v>
      </c>
      <c r="F212" s="114">
        <f t="shared" si="185"/>
        <v>2025</v>
      </c>
      <c r="G212" s="114" t="str">
        <f t="shared" si="145"/>
        <v>2025-01-01</v>
      </c>
      <c r="H212" s="330" t="str">
        <f t="shared" si="170"/>
        <v>2025-12-31</v>
      </c>
      <c r="I212" s="114">
        <f t="shared" si="159"/>
        <v>12</v>
      </c>
      <c r="J212" s="407" t="s">
        <v>285</v>
      </c>
      <c r="K212" s="439">
        <f t="shared" si="144"/>
        <v>1.3974500000000001</v>
      </c>
      <c r="L212" s="445" t="s">
        <v>360</v>
      </c>
      <c r="M212" s="445"/>
      <c r="N212" s="351" t="s">
        <v>109</v>
      </c>
      <c r="O212" s="217" t="s">
        <v>575</v>
      </c>
      <c r="P212" s="218" t="s">
        <v>290</v>
      </c>
      <c r="Q212" s="219">
        <v>370208</v>
      </c>
      <c r="R212" s="420">
        <f>IFERROR(400000*(12/$I212)*$K212,"-")</f>
        <v>558980</v>
      </c>
      <c r="S212" s="311">
        <v>400000</v>
      </c>
      <c r="T212" s="126">
        <f t="shared" si="187"/>
        <v>558980</v>
      </c>
      <c r="U212" s="221">
        <v>547200</v>
      </c>
      <c r="V212" s="125">
        <f t="shared" si="182"/>
        <v>764684.64</v>
      </c>
      <c r="W212" s="127">
        <f t="shared" si="155"/>
        <v>1.3680000000000001</v>
      </c>
      <c r="X212" s="128">
        <f>IFERROR(AVERAGE(W212:W214),"N/A")</f>
        <v>1.1451854684512428</v>
      </c>
      <c r="Y212" s="223">
        <v>0.8</v>
      </c>
      <c r="Z212" s="129">
        <f t="shared" si="156"/>
        <v>447184</v>
      </c>
      <c r="AA212" s="124">
        <f t="shared" ref="AA212:AA217" si="189">IFERROR(IF(SUM(R212,V212)=0,"-",SUM(R212,V212)),"-")</f>
        <v>1323664.6400000001</v>
      </c>
      <c r="AB212" s="130">
        <f t="shared" ref="AB212:AB217" si="190">IFERROR(IF(SUM(R212,Z212)=0,"-",SUM(R212,Z212)),"-")</f>
        <v>1006164</v>
      </c>
      <c r="AC212" s="221">
        <f>0.5*353372</f>
        <v>176686</v>
      </c>
      <c r="AD212" s="221">
        <f>0.5*353372</f>
        <v>176686</v>
      </c>
      <c r="AE212" s="225" t="s">
        <v>78</v>
      </c>
      <c r="AF212" s="225" t="s">
        <v>78</v>
      </c>
      <c r="AG212" s="225">
        <v>284574</v>
      </c>
      <c r="AH212" s="125">
        <f t="shared" si="183"/>
        <v>637946</v>
      </c>
      <c r="AI212" s="127">
        <f t="shared" si="157"/>
        <v>1.5948650000000002</v>
      </c>
      <c r="AJ212" s="128">
        <f>IFERROR(AVERAGE(AI212:AI214),"N/A")</f>
        <v>2.008026763862333</v>
      </c>
      <c r="AK212" s="223">
        <f>700000/400000</f>
        <v>1.75</v>
      </c>
      <c r="AL212" s="131">
        <f t="shared" si="158"/>
        <v>978215</v>
      </c>
      <c r="AM212" s="368">
        <f t="shared" si="150"/>
        <v>891497.63770000008</v>
      </c>
      <c r="AN212" s="375">
        <f t="shared" ref="AN212:AN217" si="191">IFERROR(IF(SUM(AA212,AM212)=0,"-",SUM(AA212,AM212)),"-")</f>
        <v>2215162.2777000004</v>
      </c>
      <c r="AO212" s="376">
        <f t="shared" si="163"/>
        <v>1984379</v>
      </c>
      <c r="AP212" s="394">
        <v>118019</v>
      </c>
      <c r="AQ212" s="395" t="s">
        <v>277</v>
      </c>
      <c r="AR212" s="396">
        <f t="shared" si="139"/>
        <v>164925.65155000001</v>
      </c>
      <c r="AS212" s="397">
        <f>IFERROR(AVERAGE(AR212:AR214),"N/A")</f>
        <v>176538.01289000001</v>
      </c>
      <c r="AT212" s="401">
        <v>23769</v>
      </c>
      <c r="AU212" s="396">
        <f t="shared" si="140"/>
        <v>33215.989050000004</v>
      </c>
      <c r="AV212" s="397">
        <f>IFERROR(AVERAGE(AU212:AU214),"N/A")</f>
        <v>31360.301160000003</v>
      </c>
      <c r="AW212" s="388">
        <f t="shared" si="174"/>
        <v>2413303.9183000005</v>
      </c>
      <c r="AX212" s="389">
        <f t="shared" si="165"/>
        <v>2182520.6406</v>
      </c>
      <c r="AY212" s="423" t="s">
        <v>355</v>
      </c>
      <c r="AZ212" s="403" t="s">
        <v>548</v>
      </c>
      <c r="BA212" s="404" t="s">
        <v>354</v>
      </c>
    </row>
    <row r="213" spans="1:54" ht="15" customHeight="1">
      <c r="A213" s="1" t="str">
        <f t="shared" si="136"/>
        <v>NYSE:HL_2024_Legal</v>
      </c>
      <c r="B213" s="1" t="str">
        <f t="shared" si="143"/>
        <v>NYSE:HL_2024_NEO3</v>
      </c>
      <c r="C213" s="1" t="str">
        <f t="shared" si="137"/>
        <v>NYSE:HL_2024_</v>
      </c>
      <c r="D213" s="114" t="str">
        <f t="shared" si="176"/>
        <v>NYSE:HL</v>
      </c>
      <c r="E213" s="133" t="str">
        <f>_xll.ciqfunctions.udf.CIQ(D213,"IQ_Company_Name")</f>
        <v>Hecla Mining Company</v>
      </c>
      <c r="F213" s="114">
        <f t="shared" si="185"/>
        <v>2024</v>
      </c>
      <c r="G213" s="114" t="str">
        <f t="shared" si="145"/>
        <v>2024-01-01</v>
      </c>
      <c r="H213" s="330" t="str">
        <f t="shared" si="170"/>
        <v>2024-12-31</v>
      </c>
      <c r="I213" s="114">
        <f t="shared" si="159"/>
        <v>12</v>
      </c>
      <c r="J213" s="407" t="s">
        <v>285</v>
      </c>
      <c r="K213" s="439">
        <f t="shared" si="144"/>
        <v>1.3701700000000001</v>
      </c>
      <c r="L213" s="445" t="s">
        <v>360</v>
      </c>
      <c r="M213" s="445"/>
      <c r="N213" s="122" t="str">
        <f t="shared" ref="N213:P214" si="192">N212</f>
        <v>NEO3</v>
      </c>
      <c r="O213" s="123" t="str">
        <f>O212</f>
        <v>SVP &amp; General Counsel &amp; Secretary</v>
      </c>
      <c r="P213" s="132" t="str">
        <f>P212</f>
        <v>David C. Sienko</v>
      </c>
      <c r="Q213" s="219">
        <v>326875</v>
      </c>
      <c r="R213" s="125">
        <f>IFERROR(Q213*(12/$I213)*$K213,"-")</f>
        <v>447874.31875000003</v>
      </c>
      <c r="S213" s="311" t="s">
        <v>78</v>
      </c>
      <c r="T213" s="126" t="str">
        <f t="shared" si="187"/>
        <v>-</v>
      </c>
      <c r="U213" s="221">
        <v>301500</v>
      </c>
      <c r="V213" s="125">
        <f t="shared" si="182"/>
        <v>413106.255</v>
      </c>
      <c r="W213" s="127">
        <f t="shared" si="155"/>
        <v>0.92237093690248562</v>
      </c>
      <c r="X213" s="128"/>
      <c r="Y213" s="223" t="s">
        <v>78</v>
      </c>
      <c r="Z213" s="129">
        <f t="shared" si="156"/>
        <v>0</v>
      </c>
      <c r="AA213" s="124">
        <f t="shared" si="189"/>
        <v>860980.57374999998</v>
      </c>
      <c r="AB213" s="130">
        <f t="shared" si="190"/>
        <v>447874.31875000003</v>
      </c>
      <c r="AC213" s="221">
        <f>0.5*553002</f>
        <v>276501</v>
      </c>
      <c r="AD213" s="221">
        <f>0.5*553002</f>
        <v>276501</v>
      </c>
      <c r="AE213" s="225" t="s">
        <v>78</v>
      </c>
      <c r="AF213" s="225" t="s">
        <v>78</v>
      </c>
      <c r="AG213" s="225">
        <v>238424</v>
      </c>
      <c r="AH213" s="125">
        <f t="shared" si="183"/>
        <v>791426</v>
      </c>
      <c r="AI213" s="127">
        <f t="shared" si="157"/>
        <v>2.4211885277246656</v>
      </c>
      <c r="AJ213" s="128"/>
      <c r="AK213" s="223" t="s">
        <v>78</v>
      </c>
      <c r="AL213" s="131">
        <f t="shared" si="158"/>
        <v>0</v>
      </c>
      <c r="AM213" s="368">
        <f t="shared" si="150"/>
        <v>1084388.1624200002</v>
      </c>
      <c r="AN213" s="375">
        <f t="shared" si="191"/>
        <v>1945368.7361700002</v>
      </c>
      <c r="AO213" s="376">
        <f t="shared" si="163"/>
        <v>447874.31875000003</v>
      </c>
      <c r="AP213" s="394">
        <v>137319</v>
      </c>
      <c r="AQ213" s="395" t="s">
        <v>277</v>
      </c>
      <c r="AR213" s="396">
        <f t="shared" si="139"/>
        <v>188150.37423000002</v>
      </c>
      <c r="AS213" s="397"/>
      <c r="AT213" s="401">
        <v>22339</v>
      </c>
      <c r="AU213" s="396">
        <f t="shared" si="140"/>
        <v>30608.227630000001</v>
      </c>
      <c r="AV213" s="397"/>
      <c r="AW213" s="388">
        <f t="shared" si="174"/>
        <v>2164127.3380300002</v>
      </c>
      <c r="AX213" s="389">
        <f t="shared" si="165"/>
        <v>666632.92061000003</v>
      </c>
      <c r="AY213" s="353" t="s">
        <v>78</v>
      </c>
      <c r="AZ213" s="403" t="s">
        <v>548</v>
      </c>
      <c r="BA213" s="404" t="s">
        <v>354</v>
      </c>
    </row>
    <row r="214" spans="1:54" ht="15" customHeight="1">
      <c r="A214" s="1" t="str">
        <f t="shared" si="136"/>
        <v>NYSE:HL_2023_Legal</v>
      </c>
      <c r="B214" s="1" t="str">
        <f t="shared" si="143"/>
        <v>NYSE:HL_2023_NEO3</v>
      </c>
      <c r="C214" s="1" t="str">
        <f t="shared" si="137"/>
        <v>NYSE:HL_2023_</v>
      </c>
      <c r="D214" s="114" t="str">
        <f t="shared" si="176"/>
        <v>NYSE:HL</v>
      </c>
      <c r="E214" s="133" t="str">
        <f>_xll.ciqfunctions.udf.CIQ(D214,"IQ_Company_Name")</f>
        <v>Hecla Mining Company</v>
      </c>
      <c r="F214" s="114">
        <f t="shared" si="185"/>
        <v>2023</v>
      </c>
      <c r="G214" s="114" t="str">
        <f t="shared" si="145"/>
        <v>2023-01-01</v>
      </c>
      <c r="H214" s="330" t="str">
        <f t="shared" si="170"/>
        <v>2023-12-31</v>
      </c>
      <c r="I214" s="114">
        <f t="shared" si="159"/>
        <v>12</v>
      </c>
      <c r="J214" s="407" t="s">
        <v>285</v>
      </c>
      <c r="K214" s="439">
        <f t="shared" si="144"/>
        <v>1.34954</v>
      </c>
      <c r="L214" s="445" t="s">
        <v>360</v>
      </c>
      <c r="M214" s="445"/>
      <c r="N214" s="122" t="str">
        <f t="shared" si="192"/>
        <v>NEO3</v>
      </c>
      <c r="O214" s="123" t="str">
        <f t="shared" si="192"/>
        <v>SVP &amp; General Counsel &amp; Secretary</v>
      </c>
      <c r="P214" s="132" t="str">
        <f t="shared" si="192"/>
        <v>David C. Sienko</v>
      </c>
      <c r="Q214" s="219" t="s">
        <v>78</v>
      </c>
      <c r="R214" s="125" t="str">
        <f>IFERROR(Q214*(12/$I214)*$K214,"-")</f>
        <v>-</v>
      </c>
      <c r="S214" s="311" t="s">
        <v>78</v>
      </c>
      <c r="T214" s="126" t="str">
        <f t="shared" si="187"/>
        <v>-</v>
      </c>
      <c r="U214" s="221" t="s">
        <v>78</v>
      </c>
      <c r="V214" s="125" t="str">
        <f t="shared" si="182"/>
        <v>-</v>
      </c>
      <c r="W214" s="127" t="str">
        <f t="shared" si="155"/>
        <v>-</v>
      </c>
      <c r="X214" s="128"/>
      <c r="Y214" s="223" t="s">
        <v>78</v>
      </c>
      <c r="Z214" s="129" t="str">
        <f t="shared" si="156"/>
        <v>-</v>
      </c>
      <c r="AA214" s="124" t="str">
        <f t="shared" si="189"/>
        <v>-</v>
      </c>
      <c r="AB214" s="130" t="str">
        <f t="shared" si="190"/>
        <v>-</v>
      </c>
      <c r="AC214" s="221" t="s">
        <v>78</v>
      </c>
      <c r="AD214" s="221" t="s">
        <v>78</v>
      </c>
      <c r="AE214" s="225" t="s">
        <v>78</v>
      </c>
      <c r="AF214" s="225" t="s">
        <v>78</v>
      </c>
      <c r="AG214" s="225" t="s">
        <v>78</v>
      </c>
      <c r="AH214" s="125" t="str">
        <f t="shared" si="183"/>
        <v>-</v>
      </c>
      <c r="AI214" s="127" t="str">
        <f t="shared" si="157"/>
        <v>-</v>
      </c>
      <c r="AJ214" s="128"/>
      <c r="AK214" s="223" t="s">
        <v>78</v>
      </c>
      <c r="AL214" s="131" t="str">
        <f t="shared" si="158"/>
        <v>-</v>
      </c>
      <c r="AM214" s="368" t="str">
        <f t="shared" si="150"/>
        <v>-</v>
      </c>
      <c r="AN214" s="375" t="str">
        <f t="shared" si="191"/>
        <v>-</v>
      </c>
      <c r="AO214" s="376" t="str">
        <f t="shared" si="163"/>
        <v>-</v>
      </c>
      <c r="AP214" s="394" t="s">
        <v>78</v>
      </c>
      <c r="AQ214" s="395" t="s">
        <v>78</v>
      </c>
      <c r="AR214" s="396" t="str">
        <f t="shared" si="139"/>
        <v>-</v>
      </c>
      <c r="AS214" s="397"/>
      <c r="AT214" s="401">
        <v>22420</v>
      </c>
      <c r="AU214" s="396">
        <f t="shared" si="140"/>
        <v>30256.686799999999</v>
      </c>
      <c r="AV214" s="397"/>
      <c r="AW214" s="388">
        <f t="shared" si="174"/>
        <v>30256.686799999999</v>
      </c>
      <c r="AX214" s="389">
        <f t="shared" si="165"/>
        <v>30256.686799999999</v>
      </c>
      <c r="AY214" s="353" t="s">
        <v>78</v>
      </c>
      <c r="AZ214" s="403" t="s">
        <v>548</v>
      </c>
      <c r="BA214" s="404" t="s">
        <v>354</v>
      </c>
    </row>
    <row r="215" spans="1:54" ht="15" customHeight="1">
      <c r="A215" s="1" t="str">
        <f t="shared" si="136"/>
        <v>NYSE:HL_2025_</v>
      </c>
      <c r="B215" s="1" t="str">
        <f t="shared" si="143"/>
        <v>NYSE:HL_2025_NEO1</v>
      </c>
      <c r="C215" s="1" t="str">
        <f t="shared" si="137"/>
        <v>NYSE:HL_2025_2nd Highest</v>
      </c>
      <c r="D215" s="114" t="str">
        <f t="shared" si="176"/>
        <v>NYSE:HL</v>
      </c>
      <c r="E215" s="133" t="str">
        <f>_xll.ciqfunctions.udf.CIQ(D215,"IQ_Company_Name")</f>
        <v>Hecla Mining Company</v>
      </c>
      <c r="F215" s="114">
        <f t="shared" si="185"/>
        <v>2025</v>
      </c>
      <c r="G215" s="114" t="str">
        <f t="shared" si="145"/>
        <v>2025-01-01</v>
      </c>
      <c r="H215" s="330" t="str">
        <f t="shared" si="170"/>
        <v>2025-12-31</v>
      </c>
      <c r="I215" s="114">
        <f t="shared" si="159"/>
        <v>12</v>
      </c>
      <c r="J215" s="407" t="s">
        <v>285</v>
      </c>
      <c r="K215" s="439">
        <f t="shared" si="144"/>
        <v>1.3974500000000001</v>
      </c>
      <c r="L215" s="445"/>
      <c r="M215" s="445" t="s">
        <v>669</v>
      </c>
      <c r="N215" s="351" t="s">
        <v>107</v>
      </c>
      <c r="O215" s="217" t="s">
        <v>576</v>
      </c>
      <c r="P215" s="218" t="s">
        <v>289</v>
      </c>
      <c r="Q215" s="219">
        <v>370208</v>
      </c>
      <c r="R215" s="420">
        <f>IFERROR(400000*(12/$I215)*$K215,"-")</f>
        <v>558980</v>
      </c>
      <c r="S215" s="311">
        <v>400000</v>
      </c>
      <c r="T215" s="126">
        <f t="shared" si="187"/>
        <v>558980</v>
      </c>
      <c r="U215" s="221" t="s">
        <v>78</v>
      </c>
      <c r="V215" s="125" t="str">
        <f t="shared" si="182"/>
        <v>-</v>
      </c>
      <c r="W215" s="127" t="str">
        <f t="shared" si="155"/>
        <v>-</v>
      </c>
      <c r="X215" s="128">
        <f>IFERROR(AVERAGE(W215:W217),"N/A")</f>
        <v>0.8573099415204678</v>
      </c>
      <c r="Y215" s="223">
        <v>0.8</v>
      </c>
      <c r="Z215" s="129">
        <f t="shared" si="156"/>
        <v>447184</v>
      </c>
      <c r="AA215" s="124">
        <f t="shared" si="189"/>
        <v>558980</v>
      </c>
      <c r="AB215" s="130">
        <f t="shared" si="190"/>
        <v>1006164</v>
      </c>
      <c r="AC215" s="221">
        <f>0.5*353372</f>
        <v>176686</v>
      </c>
      <c r="AD215" s="221">
        <f>0.5*353372</f>
        <v>176686</v>
      </c>
      <c r="AE215" s="225" t="s">
        <v>78</v>
      </c>
      <c r="AF215" s="225" t="s">
        <v>78</v>
      </c>
      <c r="AG215" s="225" t="s">
        <v>78</v>
      </c>
      <c r="AH215" s="125">
        <f t="shared" si="183"/>
        <v>353372</v>
      </c>
      <c r="AI215" s="127">
        <f t="shared" si="157"/>
        <v>0.88343000000000005</v>
      </c>
      <c r="AJ215" s="128">
        <f>IFERROR(AVERAGE(AI215:AI217),"N/A")</f>
        <v>1.5638787346385286</v>
      </c>
      <c r="AK215" s="223">
        <f>700000/400000</f>
        <v>1.75</v>
      </c>
      <c r="AL215" s="131">
        <f t="shared" si="158"/>
        <v>978215</v>
      </c>
      <c r="AM215" s="368">
        <f t="shared" si="150"/>
        <v>493819.70140000002</v>
      </c>
      <c r="AN215" s="375">
        <f t="shared" si="191"/>
        <v>1052799.7014000001</v>
      </c>
      <c r="AO215" s="376">
        <f t="shared" si="163"/>
        <v>1984379</v>
      </c>
      <c r="AP215" s="394">
        <v>454965</v>
      </c>
      <c r="AQ215" s="395" t="s">
        <v>277</v>
      </c>
      <c r="AR215" s="396">
        <f t="shared" si="139"/>
        <v>635790.83925000008</v>
      </c>
      <c r="AS215" s="397">
        <f>IFERROR(AVERAGE(AR215:AR217),"N/A")</f>
        <v>1038479.6417466667</v>
      </c>
      <c r="AT215" s="978">
        <f>2136076-2100000</f>
        <v>36076</v>
      </c>
      <c r="AU215" s="396">
        <f t="shared" si="140"/>
        <v>50414.406200000005</v>
      </c>
      <c r="AV215" s="397">
        <f>IFERROR(AVERAGE(AU215:AU217),"N/A")</f>
        <v>37628.54765</v>
      </c>
      <c r="AW215" s="388">
        <f t="shared" si="174"/>
        <v>1739004.9468500004</v>
      </c>
      <c r="AX215" s="389">
        <f t="shared" si="165"/>
        <v>2670584.2454500003</v>
      </c>
      <c r="AY215" s="353" t="s">
        <v>644</v>
      </c>
      <c r="AZ215" s="403" t="s">
        <v>548</v>
      </c>
      <c r="BA215" s="404" t="s">
        <v>354</v>
      </c>
      <c r="BB215" s="419" t="s">
        <v>661</v>
      </c>
    </row>
    <row r="216" spans="1:54" ht="15" customHeight="1">
      <c r="A216" s="1" t="str">
        <f t="shared" si="136"/>
        <v>NYSE:HL_2024_</v>
      </c>
      <c r="B216" s="1" t="str">
        <f t="shared" si="143"/>
        <v>NYSE:HL_2024_NEO1</v>
      </c>
      <c r="C216" s="1" t="str">
        <f t="shared" si="137"/>
        <v>NYSE:HL_2024_</v>
      </c>
      <c r="D216" s="114" t="str">
        <f t="shared" si="176"/>
        <v>NYSE:HL</v>
      </c>
      <c r="E216" s="133" t="str">
        <f>_xll.ciqfunctions.udf.CIQ(D216,"IQ_Company_Name")</f>
        <v>Hecla Mining Company</v>
      </c>
      <c r="F216" s="114">
        <f t="shared" si="185"/>
        <v>2024</v>
      </c>
      <c r="G216" s="114" t="str">
        <f t="shared" si="145"/>
        <v>2024-01-01</v>
      </c>
      <c r="H216" s="330" t="str">
        <f t="shared" si="170"/>
        <v>2024-12-31</v>
      </c>
      <c r="I216" s="114">
        <f t="shared" si="159"/>
        <v>12</v>
      </c>
      <c r="J216" s="407" t="s">
        <v>285</v>
      </c>
      <c r="K216" s="439">
        <f t="shared" si="144"/>
        <v>1.3701700000000001</v>
      </c>
      <c r="L216" s="445"/>
      <c r="M216" s="445"/>
      <c r="N216" s="122" t="str">
        <f t="shared" ref="N216:P217" si="193">N215</f>
        <v>NEO1</v>
      </c>
      <c r="O216" s="123" t="str">
        <f>O215</f>
        <v xml:space="preserve">Former SVP &amp; Chief Administrative Officer </v>
      </c>
      <c r="P216" s="132" t="str">
        <f>P215</f>
        <v>Michael L. Clary</v>
      </c>
      <c r="Q216" s="219">
        <v>345000</v>
      </c>
      <c r="R216" s="125">
        <f t="shared" ref="R216:R223" si="194">IFERROR(Q216*(12/$I216)*$K216,"-")</f>
        <v>472708.65</v>
      </c>
      <c r="S216" s="311" t="s">
        <v>78</v>
      </c>
      <c r="T216" s="126" t="str">
        <f t="shared" si="187"/>
        <v>-</v>
      </c>
      <c r="U216" s="221">
        <v>276000</v>
      </c>
      <c r="V216" s="125">
        <f t="shared" si="182"/>
        <v>378166.92000000004</v>
      </c>
      <c r="W216" s="127">
        <f t="shared" si="155"/>
        <v>0.8</v>
      </c>
      <c r="X216" s="128"/>
      <c r="Y216" s="223" t="s">
        <v>78</v>
      </c>
      <c r="Z216" s="129">
        <f t="shared" si="156"/>
        <v>0</v>
      </c>
      <c r="AA216" s="124">
        <f t="shared" si="189"/>
        <v>850875.57000000007</v>
      </c>
      <c r="AB216" s="130">
        <f t="shared" si="190"/>
        <v>472708.65</v>
      </c>
      <c r="AC216" s="221">
        <f>0.5*555646</f>
        <v>277823</v>
      </c>
      <c r="AD216" s="221">
        <f>0.5*555646</f>
        <v>277823</v>
      </c>
      <c r="AE216" s="225" t="s">
        <v>78</v>
      </c>
      <c r="AF216" s="225" t="s">
        <v>78</v>
      </c>
      <c r="AG216" s="225">
        <v>249777</v>
      </c>
      <c r="AH216" s="125">
        <f t="shared" si="183"/>
        <v>805423</v>
      </c>
      <c r="AI216" s="127">
        <f t="shared" si="157"/>
        <v>2.334559420289855</v>
      </c>
      <c r="AJ216" s="128"/>
      <c r="AK216" s="223" t="s">
        <v>78</v>
      </c>
      <c r="AL216" s="131">
        <f t="shared" si="158"/>
        <v>0</v>
      </c>
      <c r="AM216" s="368">
        <f t="shared" si="150"/>
        <v>1103566.43191</v>
      </c>
      <c r="AN216" s="375">
        <f t="shared" si="191"/>
        <v>1954442.0019100001</v>
      </c>
      <c r="AO216" s="376">
        <f t="shared" si="163"/>
        <v>472708.65</v>
      </c>
      <c r="AP216" s="394">
        <v>476587</v>
      </c>
      <c r="AQ216" s="395" t="s">
        <v>277</v>
      </c>
      <c r="AR216" s="396">
        <f t="shared" si="139"/>
        <v>653005.20979000011</v>
      </c>
      <c r="AS216" s="397"/>
      <c r="AT216" s="401">
        <v>23469</v>
      </c>
      <c r="AU216" s="396">
        <f t="shared" si="140"/>
        <v>32156.519730000004</v>
      </c>
      <c r="AV216" s="397"/>
      <c r="AW216" s="388">
        <f t="shared" si="174"/>
        <v>2639603.7314300002</v>
      </c>
      <c r="AX216" s="389">
        <f t="shared" si="165"/>
        <v>1157870.3795200002</v>
      </c>
      <c r="AY216" s="353" t="s">
        <v>78</v>
      </c>
      <c r="AZ216" s="403" t="s">
        <v>548</v>
      </c>
      <c r="BA216" s="404" t="s">
        <v>354</v>
      </c>
    </row>
    <row r="217" spans="1:54" ht="15" customHeight="1">
      <c r="A217" s="1" t="str">
        <f t="shared" si="136"/>
        <v>NYSE:HL_2023_</v>
      </c>
      <c r="B217" s="1" t="str">
        <f t="shared" si="143"/>
        <v>NYSE:HL_2023_NEO1</v>
      </c>
      <c r="C217" s="1" t="str">
        <f t="shared" si="137"/>
        <v>NYSE:HL_2023_</v>
      </c>
      <c r="D217" s="203" t="str">
        <f t="shared" si="176"/>
        <v>NYSE:HL</v>
      </c>
      <c r="E217" s="205" t="str">
        <f>_xll.ciqfunctions.udf.CIQ(D217,"IQ_Company_Name")</f>
        <v>Hecla Mining Company</v>
      </c>
      <c r="F217" s="204">
        <f t="shared" si="185"/>
        <v>2023</v>
      </c>
      <c r="G217" s="204" t="str">
        <f t="shared" si="145"/>
        <v>2023-01-01</v>
      </c>
      <c r="H217" s="331" t="str">
        <f t="shared" si="170"/>
        <v>2023-12-31</v>
      </c>
      <c r="I217" s="204">
        <f t="shared" si="159"/>
        <v>12</v>
      </c>
      <c r="J217" s="408" t="s">
        <v>285</v>
      </c>
      <c r="K217" s="441">
        <f t="shared" si="144"/>
        <v>1.34954</v>
      </c>
      <c r="L217" s="447"/>
      <c r="M217" s="447"/>
      <c r="N217" s="956" t="str">
        <f t="shared" si="193"/>
        <v>NEO1</v>
      </c>
      <c r="O217" s="206" t="str">
        <f t="shared" si="193"/>
        <v xml:space="preserve">Former SVP &amp; Chief Administrative Officer </v>
      </c>
      <c r="P217" s="207" t="str">
        <f t="shared" si="193"/>
        <v>Michael L. Clary</v>
      </c>
      <c r="Q217" s="220">
        <v>320625</v>
      </c>
      <c r="R217" s="209">
        <f t="shared" si="194"/>
        <v>432696.26250000001</v>
      </c>
      <c r="S217" s="312" t="s">
        <v>78</v>
      </c>
      <c r="T217" s="329" t="str">
        <f t="shared" si="187"/>
        <v>-</v>
      </c>
      <c r="U217" s="222">
        <v>293250</v>
      </c>
      <c r="V217" s="209">
        <f t="shared" si="182"/>
        <v>395752.60499999998</v>
      </c>
      <c r="W217" s="211">
        <f t="shared" si="155"/>
        <v>0.91461988304093556</v>
      </c>
      <c r="X217" s="212"/>
      <c r="Y217" s="224" t="s">
        <v>78</v>
      </c>
      <c r="Z217" s="213">
        <f t="shared" si="156"/>
        <v>0</v>
      </c>
      <c r="AA217" s="208">
        <f t="shared" si="189"/>
        <v>828448.86749999993</v>
      </c>
      <c r="AB217" s="214">
        <f t="shared" si="190"/>
        <v>432696.26250000001</v>
      </c>
      <c r="AC217" s="222">
        <f>0.5*303738</f>
        <v>151869</v>
      </c>
      <c r="AD217" s="222">
        <f>0.5*303738</f>
        <v>151869</v>
      </c>
      <c r="AE217" s="226" t="s">
        <v>78</v>
      </c>
      <c r="AF217" s="226" t="s">
        <v>78</v>
      </c>
      <c r="AG217" s="225">
        <v>168750</v>
      </c>
      <c r="AH217" s="418">
        <f t="shared" si="183"/>
        <v>472488</v>
      </c>
      <c r="AI217" s="211">
        <f t="shared" si="157"/>
        <v>1.4736467836257308</v>
      </c>
      <c r="AJ217" s="212"/>
      <c r="AK217" s="224" t="s">
        <v>78</v>
      </c>
      <c r="AL217" s="215">
        <f t="shared" si="158"/>
        <v>0</v>
      </c>
      <c r="AM217" s="369">
        <f t="shared" si="150"/>
        <v>637641.45551999996</v>
      </c>
      <c r="AN217" s="377">
        <f t="shared" si="191"/>
        <v>1466090.32302</v>
      </c>
      <c r="AO217" s="378">
        <f t="shared" si="163"/>
        <v>432696.26250000001</v>
      </c>
      <c r="AP217" s="398">
        <v>1353530</v>
      </c>
      <c r="AQ217" s="399" t="s">
        <v>277</v>
      </c>
      <c r="AR217" s="951">
        <f t="shared" si="139"/>
        <v>1826642.8762000001</v>
      </c>
      <c r="AS217" s="400"/>
      <c r="AT217" s="402">
        <v>22463</v>
      </c>
      <c r="AU217" s="396">
        <f t="shared" si="140"/>
        <v>30314.71702</v>
      </c>
      <c r="AV217" s="400"/>
      <c r="AW217" s="390">
        <f t="shared" si="174"/>
        <v>3323047.9162399997</v>
      </c>
      <c r="AX217" s="391">
        <f t="shared" si="165"/>
        <v>2289653.8557199999</v>
      </c>
      <c r="AY217" s="354" t="s">
        <v>78</v>
      </c>
      <c r="AZ217" s="405" t="s">
        <v>548</v>
      </c>
      <c r="BA217" s="404" t="s">
        <v>354</v>
      </c>
    </row>
    <row r="218" spans="1:54" ht="15" customHeight="1">
      <c r="A218" s="1" t="str">
        <f t="shared" si="136"/>
        <v>TSX:CG_2025_</v>
      </c>
      <c r="B218" s="1" t="str">
        <f t="shared" si="143"/>
        <v>TSX:CG_2025_CEO</v>
      </c>
      <c r="C218" s="1" t="str">
        <f t="shared" si="137"/>
        <v>TSX:CG_2025_</v>
      </c>
      <c r="D218" s="216" t="str">
        <f>E16</f>
        <v>TSX:CG</v>
      </c>
      <c r="E218" s="133" t="str">
        <f>_xll.ciqfunctions.udf.CIQ(D218,"IQ_Company_Name")</f>
        <v>Centerra Gold Inc.</v>
      </c>
      <c r="F218" s="328">
        <f>$G$9</f>
        <v>2025</v>
      </c>
      <c r="G218" s="330" t="str">
        <f t="shared" si="145"/>
        <v>2025-01-01</v>
      </c>
      <c r="H218" s="330" t="str">
        <f t="shared" si="170"/>
        <v>2025-12-31</v>
      </c>
      <c r="I218" s="114">
        <f t="shared" si="159"/>
        <v>12</v>
      </c>
      <c r="J218" s="328" t="s">
        <v>2</v>
      </c>
      <c r="K218" s="439">
        <f t="shared" si="144"/>
        <v>1</v>
      </c>
      <c r="L218" s="445"/>
      <c r="M218" s="445"/>
      <c r="N218" s="351" t="s">
        <v>79</v>
      </c>
      <c r="O218" s="217" t="s">
        <v>269</v>
      </c>
      <c r="P218" s="218" t="s">
        <v>307</v>
      </c>
      <c r="Q218" s="219">
        <v>825000</v>
      </c>
      <c r="R218" s="125">
        <f t="shared" si="194"/>
        <v>825000</v>
      </c>
      <c r="S218" s="311" t="s">
        <v>78</v>
      </c>
      <c r="T218" s="126" t="str">
        <f t="shared" si="187"/>
        <v>-</v>
      </c>
      <c r="U218" s="221">
        <v>1043625</v>
      </c>
      <c r="V218" s="125">
        <f t="shared" ref="V218:V247" si="195">IFERROR(U218*(12/$I218)*$K218,"-")</f>
        <v>1043625</v>
      </c>
      <c r="W218" s="127">
        <f t="shared" si="155"/>
        <v>1.2649999999999999</v>
      </c>
      <c r="X218" s="128">
        <f>IFERROR(AVERAGE(W218:W220),"N/A")</f>
        <v>1.2362500000000001</v>
      </c>
      <c r="Y218" s="223">
        <v>1.1499999999999999</v>
      </c>
      <c r="Z218" s="129">
        <f t="shared" si="156"/>
        <v>948749.99999999988</v>
      </c>
      <c r="AA218" s="124">
        <f t="shared" si="160"/>
        <v>1868625</v>
      </c>
      <c r="AB218" s="130">
        <f t="shared" si="161"/>
        <v>1773750</v>
      </c>
      <c r="AC218" s="221">
        <f>1/3*1546875</f>
        <v>515625</v>
      </c>
      <c r="AD218" s="221">
        <f>2/3*1546875</f>
        <v>1031250</v>
      </c>
      <c r="AE218" s="225">
        <v>515625</v>
      </c>
      <c r="AF218" s="225" t="s">
        <v>78</v>
      </c>
      <c r="AG218" s="225" t="s">
        <v>78</v>
      </c>
      <c r="AH218" s="125">
        <f t="shared" ref="AH218:AH230" si="196">IFERROR(IF(SUM(AC218:AG218)=0,IF(COUNTIF($AC218:$AG218,"=0")&gt;0,"$0","-"),SUM(AC218:AG218)),"-")</f>
        <v>2062500</v>
      </c>
      <c r="AI218" s="127">
        <f t="shared" si="157"/>
        <v>2.5</v>
      </c>
      <c r="AJ218" s="128">
        <f>IFERROR(AVERAGE(AI218:AI220),"N/A")</f>
        <v>2.5</v>
      </c>
      <c r="AK218" s="223">
        <v>2.5</v>
      </c>
      <c r="AL218" s="131">
        <f>IFERROR(IF(ISNUMBER($AK218)=TRUE, $AK218*$R218, $AJ218*$R218), "-")</f>
        <v>2062500</v>
      </c>
      <c r="AM218" s="368">
        <f t="shared" ref="AM218:AM237" si="197">IFERROR($AH218*$K218,"-")</f>
        <v>2062500</v>
      </c>
      <c r="AN218" s="375">
        <f t="shared" si="162"/>
        <v>3931125</v>
      </c>
      <c r="AO218" s="376">
        <f t="shared" si="163"/>
        <v>3836250</v>
      </c>
      <c r="AP218" s="394" t="s">
        <v>78</v>
      </c>
      <c r="AQ218" s="395" t="s">
        <v>78</v>
      </c>
      <c r="AR218" s="396" t="str">
        <f t="shared" si="139"/>
        <v>-</v>
      </c>
      <c r="AS218" s="409">
        <f>IFERROR(AVERAGE(AR218:AR220),"N/A")</f>
        <v>193500</v>
      </c>
      <c r="AT218" s="401">
        <v>281054</v>
      </c>
      <c r="AU218" s="396">
        <f t="shared" si="140"/>
        <v>281054</v>
      </c>
      <c r="AV218" s="409">
        <f>IFERROR(AVERAGE(AU218:AU220),"N/A")</f>
        <v>168002</v>
      </c>
      <c r="AW218" s="388">
        <f t="shared" si="164"/>
        <v>4212179</v>
      </c>
      <c r="AX218" s="389">
        <f t="shared" si="165"/>
        <v>4117304</v>
      </c>
      <c r="AY218" s="353" t="s">
        <v>78</v>
      </c>
      <c r="AZ218" s="403" t="s">
        <v>548</v>
      </c>
      <c r="BA218" s="404" t="s">
        <v>354</v>
      </c>
    </row>
    <row r="219" spans="1:54" ht="15" customHeight="1">
      <c r="A219" s="1" t="str">
        <f t="shared" si="136"/>
        <v>TSX:CG_2024_</v>
      </c>
      <c r="B219" s="1" t="str">
        <f t="shared" si="143"/>
        <v>TSX:CG_2024_CEO</v>
      </c>
      <c r="C219" s="1" t="str">
        <f t="shared" si="137"/>
        <v>TSX:CG_2024_</v>
      </c>
      <c r="D219" s="114" t="str">
        <f>D218</f>
        <v>TSX:CG</v>
      </c>
      <c r="E219" s="133" t="str">
        <f>_xll.ciqfunctions.udf.CIQ(D219,"IQ_Company_Name")</f>
        <v>Centerra Gold Inc.</v>
      </c>
      <c r="F219" s="328">
        <f>$G$10</f>
        <v>2024</v>
      </c>
      <c r="G219" s="330" t="str">
        <f t="shared" si="145"/>
        <v>2024-01-01</v>
      </c>
      <c r="H219" s="330" t="str">
        <f t="shared" si="170"/>
        <v>2024-12-31</v>
      </c>
      <c r="I219" s="114">
        <f t="shared" si="159"/>
        <v>12</v>
      </c>
      <c r="J219" s="407" t="s">
        <v>2</v>
      </c>
      <c r="K219" s="439">
        <f t="shared" si="144"/>
        <v>1</v>
      </c>
      <c r="L219" s="445"/>
      <c r="M219" s="445"/>
      <c r="N219" s="122" t="str">
        <f t="shared" ref="N219:P220" si="198">N218</f>
        <v>CEO</v>
      </c>
      <c r="O219" s="123" t="str">
        <f t="shared" si="198"/>
        <v>President &amp; CEO</v>
      </c>
      <c r="P219" s="132" t="str">
        <f t="shared" si="198"/>
        <v>Paul Tomory</v>
      </c>
      <c r="Q219" s="219">
        <v>750000</v>
      </c>
      <c r="R219" s="125">
        <f t="shared" si="194"/>
        <v>750000</v>
      </c>
      <c r="S219" s="311" t="s">
        <v>78</v>
      </c>
      <c r="T219" s="126" t="str">
        <f t="shared" si="187"/>
        <v>-</v>
      </c>
      <c r="U219" s="221">
        <v>905625</v>
      </c>
      <c r="V219" s="125">
        <f t="shared" si="195"/>
        <v>905625</v>
      </c>
      <c r="W219" s="127">
        <f t="shared" si="155"/>
        <v>1.2075</v>
      </c>
      <c r="X219" s="128"/>
      <c r="Y219" s="223" t="s">
        <v>78</v>
      </c>
      <c r="Z219" s="129">
        <f t="shared" si="156"/>
        <v>0</v>
      </c>
      <c r="AA219" s="124">
        <f t="shared" si="160"/>
        <v>1655625</v>
      </c>
      <c r="AB219" s="130">
        <f t="shared" si="161"/>
        <v>750000</v>
      </c>
      <c r="AC219" s="221">
        <f>1/3*1406250</f>
        <v>468750</v>
      </c>
      <c r="AD219" s="221">
        <f>2/3*1406250</f>
        <v>937500</v>
      </c>
      <c r="AE219" s="225">
        <v>468750</v>
      </c>
      <c r="AF219" s="225" t="s">
        <v>78</v>
      </c>
      <c r="AG219" s="225" t="s">
        <v>78</v>
      </c>
      <c r="AH219" s="125">
        <f t="shared" si="196"/>
        <v>1875000</v>
      </c>
      <c r="AI219" s="127">
        <f t="shared" si="157"/>
        <v>2.5</v>
      </c>
      <c r="AJ219" s="128"/>
      <c r="AK219" s="223" t="s">
        <v>78</v>
      </c>
      <c r="AL219" s="131">
        <f t="shared" si="158"/>
        <v>0</v>
      </c>
      <c r="AM219" s="368">
        <f t="shared" si="197"/>
        <v>1875000</v>
      </c>
      <c r="AN219" s="375">
        <f t="shared" si="162"/>
        <v>3530625</v>
      </c>
      <c r="AO219" s="376">
        <f t="shared" si="163"/>
        <v>750000</v>
      </c>
      <c r="AP219" s="394">
        <v>193500</v>
      </c>
      <c r="AQ219" s="395" t="s">
        <v>271</v>
      </c>
      <c r="AR219" s="396">
        <f t="shared" si="139"/>
        <v>193500</v>
      </c>
      <c r="AS219" s="397"/>
      <c r="AT219" s="401">
        <v>54950</v>
      </c>
      <c r="AU219" s="396">
        <f t="shared" si="140"/>
        <v>54950</v>
      </c>
      <c r="AV219" s="397"/>
      <c r="AW219" s="388">
        <f t="shared" si="164"/>
        <v>3779075</v>
      </c>
      <c r="AX219" s="389">
        <f t="shared" si="165"/>
        <v>998450</v>
      </c>
      <c r="AY219" s="353" t="s">
        <v>78</v>
      </c>
      <c r="AZ219" s="403" t="s">
        <v>548</v>
      </c>
      <c r="BA219" s="404" t="s">
        <v>354</v>
      </c>
    </row>
    <row r="220" spans="1:54" ht="15" customHeight="1">
      <c r="A220" s="1" t="str">
        <f t="shared" si="136"/>
        <v>TSX:CG_2023_</v>
      </c>
      <c r="B220" s="1" t="str">
        <f t="shared" si="143"/>
        <v>TSX:CG_2023_CEO</v>
      </c>
      <c r="C220" s="1" t="str">
        <f t="shared" si="137"/>
        <v>TSX:CG_2023_</v>
      </c>
      <c r="D220" s="114" t="str">
        <f t="shared" si="176"/>
        <v>TSX:CG</v>
      </c>
      <c r="E220" s="133" t="str">
        <f>_xll.ciqfunctions.udf.CIQ(D220,"IQ_Company_Name")</f>
        <v>Centerra Gold Inc.</v>
      </c>
      <c r="F220" s="328">
        <f>$G$11</f>
        <v>2023</v>
      </c>
      <c r="G220" s="114" t="str">
        <f t="shared" si="145"/>
        <v>2023-01-01</v>
      </c>
      <c r="H220" s="330" t="str">
        <f t="shared" si="170"/>
        <v>2023-12-31</v>
      </c>
      <c r="I220" s="114">
        <f t="shared" si="159"/>
        <v>12</v>
      </c>
      <c r="J220" s="407" t="s">
        <v>2</v>
      </c>
      <c r="K220" s="439">
        <f t="shared" si="144"/>
        <v>1</v>
      </c>
      <c r="L220" s="445"/>
      <c r="M220" s="445"/>
      <c r="N220" s="122" t="str">
        <f t="shared" si="198"/>
        <v>CEO</v>
      </c>
      <c r="O220" s="123" t="str">
        <f t="shared" si="198"/>
        <v>President &amp; CEO</v>
      </c>
      <c r="P220" s="132" t="str">
        <f t="shared" si="198"/>
        <v>Paul Tomory</v>
      </c>
      <c r="Q220" s="219" t="s">
        <v>78</v>
      </c>
      <c r="R220" s="125" t="str">
        <f t="shared" si="194"/>
        <v>-</v>
      </c>
      <c r="S220" s="311" t="s">
        <v>78</v>
      </c>
      <c r="T220" s="126" t="str">
        <f t="shared" si="187"/>
        <v>-</v>
      </c>
      <c r="U220" s="221" t="s">
        <v>78</v>
      </c>
      <c r="V220" s="125" t="str">
        <f t="shared" si="195"/>
        <v>-</v>
      </c>
      <c r="W220" s="127" t="str">
        <f t="shared" si="155"/>
        <v>-</v>
      </c>
      <c r="X220" s="128"/>
      <c r="Y220" s="223" t="s">
        <v>78</v>
      </c>
      <c r="Z220" s="129" t="str">
        <f t="shared" si="156"/>
        <v>-</v>
      </c>
      <c r="AA220" s="124" t="str">
        <f t="shared" si="160"/>
        <v>-</v>
      </c>
      <c r="AB220" s="130" t="str">
        <f t="shared" si="161"/>
        <v>-</v>
      </c>
      <c r="AC220" s="221" t="s">
        <v>78</v>
      </c>
      <c r="AD220" s="221" t="s">
        <v>78</v>
      </c>
      <c r="AE220" s="225" t="s">
        <v>78</v>
      </c>
      <c r="AF220" s="225" t="s">
        <v>78</v>
      </c>
      <c r="AG220" s="225" t="s">
        <v>78</v>
      </c>
      <c r="AH220" s="125" t="str">
        <f t="shared" si="196"/>
        <v>-</v>
      </c>
      <c r="AI220" s="127" t="str">
        <f t="shared" si="157"/>
        <v>-</v>
      </c>
      <c r="AJ220" s="128"/>
      <c r="AK220" s="223" t="s">
        <v>78</v>
      </c>
      <c r="AL220" s="131" t="str">
        <f t="shared" si="158"/>
        <v>-</v>
      </c>
      <c r="AM220" s="368" t="str">
        <f t="shared" si="197"/>
        <v>-</v>
      </c>
      <c r="AN220" s="375" t="str">
        <f t="shared" si="162"/>
        <v>-</v>
      </c>
      <c r="AO220" s="376" t="str">
        <f t="shared" si="163"/>
        <v>-</v>
      </c>
      <c r="AP220" s="394" t="s">
        <v>78</v>
      </c>
      <c r="AQ220" s="395" t="s">
        <v>271</v>
      </c>
      <c r="AR220" s="396" t="str">
        <f t="shared" si="139"/>
        <v>-</v>
      </c>
      <c r="AS220" s="397"/>
      <c r="AT220" s="401" t="s">
        <v>78</v>
      </c>
      <c r="AU220" s="396" t="str">
        <f t="shared" si="140"/>
        <v>-</v>
      </c>
      <c r="AV220" s="397"/>
      <c r="AW220" s="388" t="str">
        <f t="shared" si="164"/>
        <v>-</v>
      </c>
      <c r="AX220" s="389" t="str">
        <f t="shared" si="165"/>
        <v>-</v>
      </c>
      <c r="AY220" s="353" t="s">
        <v>645</v>
      </c>
      <c r="AZ220" s="403" t="s">
        <v>548</v>
      </c>
      <c r="BA220" s="404" t="s">
        <v>354</v>
      </c>
    </row>
    <row r="221" spans="1:54" ht="15" customHeight="1">
      <c r="A221" s="1" t="str">
        <f t="shared" si="136"/>
        <v>TSX:CG_2025_</v>
      </c>
      <c r="B221" s="1" t="str">
        <f t="shared" si="143"/>
        <v>TSX:CG_2025_CFO</v>
      </c>
      <c r="C221" s="1" t="str">
        <f t="shared" si="137"/>
        <v>TSX:CG_2025_</v>
      </c>
      <c r="D221" s="114" t="str">
        <f t="shared" si="176"/>
        <v>TSX:CG</v>
      </c>
      <c r="E221" s="133" t="str">
        <f>_xll.ciqfunctions.udf.CIQ(D221,"IQ_Company_Name")</f>
        <v>Centerra Gold Inc.</v>
      </c>
      <c r="F221" s="114">
        <f t="shared" ref="F221:F232" si="199">F218</f>
        <v>2025</v>
      </c>
      <c r="G221" s="114" t="str">
        <f t="shared" si="145"/>
        <v>2025-01-01</v>
      </c>
      <c r="H221" s="330" t="str">
        <f t="shared" si="170"/>
        <v>2025-12-31</v>
      </c>
      <c r="I221" s="114">
        <f t="shared" si="159"/>
        <v>12</v>
      </c>
      <c r="J221" s="407" t="s">
        <v>2</v>
      </c>
      <c r="K221" s="439">
        <f t="shared" si="144"/>
        <v>1</v>
      </c>
      <c r="L221" s="445"/>
      <c r="M221" s="445"/>
      <c r="N221" s="351" t="s">
        <v>106</v>
      </c>
      <c r="O221" s="217" t="s">
        <v>292</v>
      </c>
      <c r="P221" s="218" t="s">
        <v>308</v>
      </c>
      <c r="Q221" s="219">
        <v>473000</v>
      </c>
      <c r="R221" s="125">
        <f t="shared" si="194"/>
        <v>473000</v>
      </c>
      <c r="S221" s="311" t="s">
        <v>78</v>
      </c>
      <c r="T221" s="126" t="str">
        <f t="shared" si="187"/>
        <v>-</v>
      </c>
      <c r="U221" s="221">
        <v>412456</v>
      </c>
      <c r="V221" s="125">
        <f t="shared" si="195"/>
        <v>412456</v>
      </c>
      <c r="W221" s="127">
        <f t="shared" si="155"/>
        <v>0.872</v>
      </c>
      <c r="X221" s="128">
        <f>IFERROR(AVERAGE(W221:W223),"N/A")</f>
        <v>0.872</v>
      </c>
      <c r="Y221" s="223">
        <v>0.8</v>
      </c>
      <c r="Z221" s="129">
        <f t="shared" si="156"/>
        <v>378400</v>
      </c>
      <c r="AA221" s="124">
        <f t="shared" si="160"/>
        <v>885456</v>
      </c>
      <c r="AB221" s="130">
        <f t="shared" si="161"/>
        <v>851400</v>
      </c>
      <c r="AC221" s="221">
        <f>1/3*638550</f>
        <v>212850</v>
      </c>
      <c r="AD221" s="221">
        <f>2/3*638550</f>
        <v>425700</v>
      </c>
      <c r="AE221" s="225">
        <v>212850</v>
      </c>
      <c r="AF221" s="225" t="s">
        <v>78</v>
      </c>
      <c r="AG221" s="225" t="s">
        <v>78</v>
      </c>
      <c r="AH221" s="125">
        <f t="shared" si="196"/>
        <v>851400</v>
      </c>
      <c r="AI221" s="127">
        <f t="shared" si="157"/>
        <v>1.8</v>
      </c>
      <c r="AJ221" s="128">
        <f>IFERROR(AVERAGE(AI221:AI223),"N/A")</f>
        <v>1.8</v>
      </c>
      <c r="AK221" s="223">
        <v>1.8</v>
      </c>
      <c r="AL221" s="131">
        <f t="shared" si="158"/>
        <v>851400</v>
      </c>
      <c r="AM221" s="368">
        <f t="shared" si="197"/>
        <v>851400</v>
      </c>
      <c r="AN221" s="375">
        <f t="shared" si="162"/>
        <v>1736856</v>
      </c>
      <c r="AO221" s="376">
        <f t="shared" si="163"/>
        <v>1702800</v>
      </c>
      <c r="AP221" s="394" t="s">
        <v>78</v>
      </c>
      <c r="AQ221" s="395" t="s">
        <v>78</v>
      </c>
      <c r="AR221" s="396" t="str">
        <f t="shared" si="139"/>
        <v>-</v>
      </c>
      <c r="AS221" s="397" t="str">
        <f>IFERROR(AVERAGE(AR221:AR223),"N/A")</f>
        <v>N/A</v>
      </c>
      <c r="AT221" s="401">
        <v>143868</v>
      </c>
      <c r="AU221" s="396">
        <f t="shared" si="140"/>
        <v>143868</v>
      </c>
      <c r="AV221" s="397">
        <f>IFERROR(AVERAGE(AU221:AU223),"N/A")</f>
        <v>143868</v>
      </c>
      <c r="AW221" s="388">
        <f t="shared" si="164"/>
        <v>1880724</v>
      </c>
      <c r="AX221" s="389">
        <f t="shared" si="165"/>
        <v>1846668</v>
      </c>
      <c r="AY221" s="353" t="s">
        <v>646</v>
      </c>
      <c r="AZ221" s="403" t="s">
        <v>548</v>
      </c>
      <c r="BA221" s="404" t="s">
        <v>354</v>
      </c>
    </row>
    <row r="222" spans="1:54" ht="15" customHeight="1">
      <c r="A222" s="1" t="str">
        <f t="shared" si="136"/>
        <v>TSX:CG_2024_</v>
      </c>
      <c r="B222" s="1" t="str">
        <f t="shared" si="143"/>
        <v>TSX:CG_2024_CFO</v>
      </c>
      <c r="C222" s="1" t="str">
        <f t="shared" si="137"/>
        <v>TSX:CG_2024_</v>
      </c>
      <c r="D222" s="114" t="str">
        <f t="shared" si="176"/>
        <v>TSX:CG</v>
      </c>
      <c r="E222" s="133" t="str">
        <f>_xll.ciqfunctions.udf.CIQ(D222,"IQ_Company_Name")</f>
        <v>Centerra Gold Inc.</v>
      </c>
      <c r="F222" s="114">
        <f t="shared" si="199"/>
        <v>2024</v>
      </c>
      <c r="G222" s="952" t="str">
        <f>F222&amp;"-04-08"</f>
        <v>2024-04-08</v>
      </c>
      <c r="H222" s="330" t="str">
        <f t="shared" si="170"/>
        <v>2024-12-31</v>
      </c>
      <c r="I222" s="114">
        <f t="shared" si="159"/>
        <v>8.7780821917808218</v>
      </c>
      <c r="J222" s="407" t="s">
        <v>2</v>
      </c>
      <c r="K222" s="439">
        <f t="shared" si="144"/>
        <v>1</v>
      </c>
      <c r="L222" s="445"/>
      <c r="M222" s="445"/>
      <c r="N222" s="122" t="str">
        <f t="shared" ref="N222:P223" si="200">N221</f>
        <v>CFO</v>
      </c>
      <c r="O222" s="123" t="str">
        <f t="shared" si="200"/>
        <v>EVP &amp; CFO</v>
      </c>
      <c r="P222" s="132" t="str">
        <f t="shared" si="200"/>
        <v>Ryan Snyder</v>
      </c>
      <c r="Q222" s="219" t="s">
        <v>78</v>
      </c>
      <c r="R222" s="125" t="str">
        <f t="shared" si="194"/>
        <v>-</v>
      </c>
      <c r="S222" s="311" t="s">
        <v>78</v>
      </c>
      <c r="T222" s="126" t="str">
        <f t="shared" si="187"/>
        <v>-</v>
      </c>
      <c r="U222" s="221" t="s">
        <v>78</v>
      </c>
      <c r="V222" s="125" t="str">
        <f t="shared" si="195"/>
        <v>-</v>
      </c>
      <c r="W222" s="127" t="str">
        <f t="shared" si="155"/>
        <v>-</v>
      </c>
      <c r="X222" s="128"/>
      <c r="Y222" s="223" t="s">
        <v>78</v>
      </c>
      <c r="Z222" s="129" t="str">
        <f t="shared" si="156"/>
        <v>-</v>
      </c>
      <c r="AA222" s="124" t="str">
        <f t="shared" si="160"/>
        <v>-</v>
      </c>
      <c r="AB222" s="130" t="str">
        <f t="shared" si="161"/>
        <v>-</v>
      </c>
      <c r="AC222" s="221" t="s">
        <v>78</v>
      </c>
      <c r="AD222" s="221" t="s">
        <v>78</v>
      </c>
      <c r="AE222" s="225" t="s">
        <v>78</v>
      </c>
      <c r="AF222" s="225" t="s">
        <v>78</v>
      </c>
      <c r="AG222" s="225" t="s">
        <v>78</v>
      </c>
      <c r="AH222" s="125" t="str">
        <f t="shared" si="196"/>
        <v>-</v>
      </c>
      <c r="AI222" s="127" t="str">
        <f t="shared" si="157"/>
        <v>-</v>
      </c>
      <c r="AJ222" s="128"/>
      <c r="AK222" s="223" t="s">
        <v>78</v>
      </c>
      <c r="AL222" s="131" t="str">
        <f t="shared" si="158"/>
        <v>-</v>
      </c>
      <c r="AM222" s="368" t="str">
        <f t="shared" si="197"/>
        <v>-</v>
      </c>
      <c r="AN222" s="375" t="str">
        <f t="shared" si="162"/>
        <v>-</v>
      </c>
      <c r="AO222" s="376" t="str">
        <f t="shared" si="163"/>
        <v>-</v>
      </c>
      <c r="AP222" s="394" t="s">
        <v>78</v>
      </c>
      <c r="AQ222" s="395" t="s">
        <v>78</v>
      </c>
      <c r="AR222" s="396" t="str">
        <f t="shared" si="139"/>
        <v>-</v>
      </c>
      <c r="AS222" s="397"/>
      <c r="AT222" s="401" t="s">
        <v>78</v>
      </c>
      <c r="AU222" s="396" t="str">
        <f t="shared" si="140"/>
        <v>-</v>
      </c>
      <c r="AV222" s="397"/>
      <c r="AW222" s="388" t="str">
        <f t="shared" si="164"/>
        <v>-</v>
      </c>
      <c r="AX222" s="389" t="str">
        <f t="shared" si="165"/>
        <v>-</v>
      </c>
      <c r="AY222" s="353" t="s">
        <v>78</v>
      </c>
      <c r="AZ222" s="403" t="s">
        <v>548</v>
      </c>
      <c r="BA222" s="404" t="s">
        <v>354</v>
      </c>
    </row>
    <row r="223" spans="1:54" ht="15" customHeight="1">
      <c r="A223" s="1" t="str">
        <f t="shared" si="136"/>
        <v>TSX:CG_2023_</v>
      </c>
      <c r="B223" s="1" t="str">
        <f t="shared" si="143"/>
        <v>TSX:CG_2023_CFO</v>
      </c>
      <c r="C223" s="1" t="str">
        <f t="shared" si="137"/>
        <v>TSX:CG_2023_</v>
      </c>
      <c r="D223" s="114" t="str">
        <f t="shared" si="176"/>
        <v>TSX:CG</v>
      </c>
      <c r="E223" s="133" t="str">
        <f>_xll.ciqfunctions.udf.CIQ(D223,"IQ_Company_Name")</f>
        <v>Centerra Gold Inc.</v>
      </c>
      <c r="F223" s="114">
        <f t="shared" si="199"/>
        <v>2023</v>
      </c>
      <c r="G223" s="114" t="str">
        <f t="shared" si="145"/>
        <v>2023-01-01</v>
      </c>
      <c r="H223" s="330" t="str">
        <f t="shared" si="170"/>
        <v>2023-12-31</v>
      </c>
      <c r="I223" s="114">
        <f t="shared" si="159"/>
        <v>12</v>
      </c>
      <c r="J223" s="407" t="s">
        <v>2</v>
      </c>
      <c r="K223" s="439">
        <f t="shared" si="144"/>
        <v>1</v>
      </c>
      <c r="L223" s="445"/>
      <c r="M223" s="445"/>
      <c r="N223" s="122" t="str">
        <f t="shared" si="200"/>
        <v>CFO</v>
      </c>
      <c r="O223" s="123" t="str">
        <f t="shared" si="200"/>
        <v>EVP &amp; CFO</v>
      </c>
      <c r="P223" s="132" t="str">
        <f t="shared" si="200"/>
        <v>Ryan Snyder</v>
      </c>
      <c r="Q223" s="219" t="s">
        <v>78</v>
      </c>
      <c r="R223" s="125" t="str">
        <f t="shared" si="194"/>
        <v>-</v>
      </c>
      <c r="S223" s="311" t="s">
        <v>78</v>
      </c>
      <c r="T223" s="126" t="str">
        <f t="shared" si="187"/>
        <v>-</v>
      </c>
      <c r="U223" s="221" t="s">
        <v>78</v>
      </c>
      <c r="V223" s="125" t="str">
        <f t="shared" si="195"/>
        <v>-</v>
      </c>
      <c r="W223" s="127" t="str">
        <f t="shared" si="155"/>
        <v>-</v>
      </c>
      <c r="X223" s="128"/>
      <c r="Y223" s="223" t="s">
        <v>78</v>
      </c>
      <c r="Z223" s="129" t="str">
        <f t="shared" si="156"/>
        <v>-</v>
      </c>
      <c r="AA223" s="124" t="str">
        <f t="shared" si="160"/>
        <v>-</v>
      </c>
      <c r="AB223" s="130" t="str">
        <f t="shared" si="161"/>
        <v>-</v>
      </c>
      <c r="AC223" s="221" t="s">
        <v>78</v>
      </c>
      <c r="AD223" s="221" t="s">
        <v>78</v>
      </c>
      <c r="AE223" s="225" t="s">
        <v>78</v>
      </c>
      <c r="AF223" s="225" t="s">
        <v>78</v>
      </c>
      <c r="AG223" s="225" t="s">
        <v>78</v>
      </c>
      <c r="AH223" s="125" t="str">
        <f t="shared" si="196"/>
        <v>-</v>
      </c>
      <c r="AI223" s="127" t="str">
        <f t="shared" si="157"/>
        <v>-</v>
      </c>
      <c r="AJ223" s="128"/>
      <c r="AK223" s="223" t="s">
        <v>78</v>
      </c>
      <c r="AL223" s="131" t="str">
        <f t="shared" si="158"/>
        <v>-</v>
      </c>
      <c r="AM223" s="368" t="str">
        <f t="shared" si="197"/>
        <v>-</v>
      </c>
      <c r="AN223" s="375" t="str">
        <f t="shared" si="162"/>
        <v>-</v>
      </c>
      <c r="AO223" s="376" t="str">
        <f t="shared" si="163"/>
        <v>-</v>
      </c>
      <c r="AP223" s="394" t="s">
        <v>78</v>
      </c>
      <c r="AQ223" s="395" t="s">
        <v>78</v>
      </c>
      <c r="AR223" s="396" t="str">
        <f t="shared" si="139"/>
        <v>-</v>
      </c>
      <c r="AS223" s="397"/>
      <c r="AT223" s="401" t="s">
        <v>78</v>
      </c>
      <c r="AU223" s="396" t="str">
        <f t="shared" si="140"/>
        <v>-</v>
      </c>
      <c r="AV223" s="397"/>
      <c r="AW223" s="388" t="str">
        <f t="shared" si="164"/>
        <v>-</v>
      </c>
      <c r="AX223" s="389" t="str">
        <f t="shared" si="165"/>
        <v>-</v>
      </c>
      <c r="AY223" s="353" t="s">
        <v>78</v>
      </c>
      <c r="AZ223" s="403" t="s">
        <v>548</v>
      </c>
      <c r="BA223" s="404" t="s">
        <v>354</v>
      </c>
    </row>
    <row r="224" spans="1:54" ht="15" customHeight="1">
      <c r="A224" s="1" t="str">
        <f t="shared" si="136"/>
        <v>TSX:CG_2025_COO</v>
      </c>
      <c r="B224" s="1" t="str">
        <f t="shared" si="143"/>
        <v>TSX:CG_2025_NEO1</v>
      </c>
      <c r="C224" s="1" t="str">
        <f t="shared" si="137"/>
        <v>TSX:CG_2025_2nd Highest</v>
      </c>
      <c r="D224" s="114" t="str">
        <f t="shared" si="176"/>
        <v>TSX:CG</v>
      </c>
      <c r="E224" s="133" t="str">
        <f>_xll.ciqfunctions.udf.CIQ(D224,"IQ_Company_Name")</f>
        <v>Centerra Gold Inc.</v>
      </c>
      <c r="F224" s="114">
        <f t="shared" si="199"/>
        <v>2025</v>
      </c>
      <c r="G224" s="954" t="str">
        <f>F224&amp;"-04-15"</f>
        <v>2025-04-15</v>
      </c>
      <c r="H224" s="330" t="str">
        <f t="shared" si="170"/>
        <v>2025-12-31</v>
      </c>
      <c r="I224" s="114">
        <f t="shared" si="159"/>
        <v>8.5714285714285712</v>
      </c>
      <c r="J224" s="407" t="s">
        <v>2</v>
      </c>
      <c r="K224" s="439">
        <f t="shared" si="144"/>
        <v>1</v>
      </c>
      <c r="L224" s="445" t="s">
        <v>272</v>
      </c>
      <c r="M224" s="445" t="s">
        <v>669</v>
      </c>
      <c r="N224" s="351" t="s">
        <v>107</v>
      </c>
      <c r="O224" s="217" t="s">
        <v>318</v>
      </c>
      <c r="P224" s="218" t="s">
        <v>593</v>
      </c>
      <c r="Q224" s="219">
        <v>414098</v>
      </c>
      <c r="R224" s="963">
        <v>552131</v>
      </c>
      <c r="S224" s="311" t="s">
        <v>78</v>
      </c>
      <c r="T224" s="126" t="str">
        <f t="shared" si="187"/>
        <v>-</v>
      </c>
      <c r="U224" s="221">
        <v>380970</v>
      </c>
      <c r="V224" s="125">
        <f t="shared" si="195"/>
        <v>533358</v>
      </c>
      <c r="W224" s="127">
        <f t="shared" si="155"/>
        <v>0.96599901110424879</v>
      </c>
      <c r="X224" s="128">
        <f>IFERROR(AVERAGE(W224:W226),"N/A")</f>
        <v>0.96599901110424879</v>
      </c>
      <c r="Y224" s="223">
        <v>0.8</v>
      </c>
      <c r="Z224" s="129">
        <f t="shared" si="156"/>
        <v>441704.80000000005</v>
      </c>
      <c r="AA224" s="124">
        <f t="shared" si="160"/>
        <v>1085489</v>
      </c>
      <c r="AB224" s="130">
        <f t="shared" si="161"/>
        <v>993835.8</v>
      </c>
      <c r="AC224" s="221">
        <f>1/3*559033</f>
        <v>186344.33333333331</v>
      </c>
      <c r="AD224" s="221">
        <f>2/3*559033</f>
        <v>372688.66666666663</v>
      </c>
      <c r="AE224" s="225">
        <v>186344</v>
      </c>
      <c r="AF224" s="225" t="s">
        <v>78</v>
      </c>
      <c r="AG224" s="225" t="s">
        <v>78</v>
      </c>
      <c r="AH224" s="125">
        <f t="shared" si="196"/>
        <v>745377</v>
      </c>
      <c r="AI224" s="127">
        <f t="shared" si="157"/>
        <v>1.3500002716746569</v>
      </c>
      <c r="AJ224" s="128">
        <f>IFERROR(AVERAGE(AI224:AI226),"N/A")</f>
        <v>1.3500002716746569</v>
      </c>
      <c r="AK224" s="223">
        <v>1.8</v>
      </c>
      <c r="AL224" s="131">
        <f t="shared" si="158"/>
        <v>993835.8</v>
      </c>
      <c r="AM224" s="368">
        <f t="shared" si="197"/>
        <v>745377</v>
      </c>
      <c r="AN224" s="375">
        <f t="shared" si="162"/>
        <v>1830866</v>
      </c>
      <c r="AO224" s="376">
        <f t="shared" si="163"/>
        <v>1987671.6</v>
      </c>
      <c r="AP224" s="394" t="s">
        <v>78</v>
      </c>
      <c r="AQ224" s="395" t="s">
        <v>78</v>
      </c>
      <c r="AR224" s="396" t="str">
        <f t="shared" si="139"/>
        <v>-</v>
      </c>
      <c r="AS224" s="397" t="str">
        <f>IFERROR(AVERAGE(AR224:AR226),"N/A")</f>
        <v>N/A</v>
      </c>
      <c r="AT224" s="401">
        <v>143610</v>
      </c>
      <c r="AU224" s="396">
        <f t="shared" si="140"/>
        <v>201054.00000000003</v>
      </c>
      <c r="AV224" s="397">
        <f>IFERROR(AVERAGE(AU224:AU226),"N/A")</f>
        <v>201054.00000000003</v>
      </c>
      <c r="AW224" s="388">
        <f t="shared" si="164"/>
        <v>2031920</v>
      </c>
      <c r="AX224" s="389">
        <f t="shared" si="165"/>
        <v>2188725.6</v>
      </c>
      <c r="AY224" s="353" t="s">
        <v>647</v>
      </c>
      <c r="AZ224" s="403" t="s">
        <v>548</v>
      </c>
      <c r="BA224" s="404" t="s">
        <v>354</v>
      </c>
      <c r="BB224" s="1" t="s">
        <v>662</v>
      </c>
    </row>
    <row r="225" spans="1:53" ht="15" customHeight="1">
      <c r="A225" s="1" t="str">
        <f t="shared" ref="A225:A288" si="201">$D225&amp;"_"&amp;$F225&amp;"_"&amp;$L225</f>
        <v>TSX:CG_2024_COO</v>
      </c>
      <c r="B225" s="1" t="str">
        <f t="shared" si="143"/>
        <v>TSX:CG_2024_NEO1</v>
      </c>
      <c r="C225" s="1" t="str">
        <f t="shared" ref="C225:C277" si="202">$D225&amp;"_"&amp;$F225&amp;"_"&amp;$M225</f>
        <v>TSX:CG_2024_</v>
      </c>
      <c r="D225" s="114" t="str">
        <f t="shared" si="176"/>
        <v>TSX:CG</v>
      </c>
      <c r="E225" s="133" t="str">
        <f>_xll.ciqfunctions.udf.CIQ(D225,"IQ_Company_Name")</f>
        <v>Centerra Gold Inc.</v>
      </c>
      <c r="F225" s="114">
        <f t="shared" si="199"/>
        <v>2024</v>
      </c>
      <c r="G225" s="330" t="str">
        <f t="shared" si="145"/>
        <v>2024-01-01</v>
      </c>
      <c r="H225" s="330" t="str">
        <f t="shared" si="170"/>
        <v>2024-12-31</v>
      </c>
      <c r="I225" s="114">
        <f t="shared" si="159"/>
        <v>12</v>
      </c>
      <c r="J225" s="407" t="s">
        <v>2</v>
      </c>
      <c r="K225" s="439">
        <f t="shared" si="144"/>
        <v>1</v>
      </c>
      <c r="L225" s="445" t="s">
        <v>272</v>
      </c>
      <c r="M225" s="445"/>
      <c r="N225" s="122" t="str">
        <f t="shared" ref="N225:P226" si="203">N224</f>
        <v>NEO1</v>
      </c>
      <c r="O225" s="123" t="str">
        <f t="shared" si="203"/>
        <v>EVP &amp; COO</v>
      </c>
      <c r="P225" s="132" t="str">
        <f t="shared" si="203"/>
        <v>David Hendriks</v>
      </c>
      <c r="Q225" s="219" t="s">
        <v>78</v>
      </c>
      <c r="R225" s="125" t="str">
        <f t="shared" ref="R225:R232" si="204">IFERROR(Q225*(12/$I225)*$K225,"-")</f>
        <v>-</v>
      </c>
      <c r="S225" s="311" t="s">
        <v>78</v>
      </c>
      <c r="T225" s="126" t="str">
        <f t="shared" si="187"/>
        <v>-</v>
      </c>
      <c r="U225" s="221" t="s">
        <v>78</v>
      </c>
      <c r="V225" s="125" t="str">
        <f t="shared" si="195"/>
        <v>-</v>
      </c>
      <c r="W225" s="127" t="str">
        <f t="shared" si="155"/>
        <v>-</v>
      </c>
      <c r="X225" s="128"/>
      <c r="Y225" s="223" t="s">
        <v>78</v>
      </c>
      <c r="Z225" s="129" t="str">
        <f t="shared" si="156"/>
        <v>-</v>
      </c>
      <c r="AA225" s="124" t="str">
        <f t="shared" si="160"/>
        <v>-</v>
      </c>
      <c r="AB225" s="130" t="str">
        <f t="shared" si="161"/>
        <v>-</v>
      </c>
      <c r="AC225" s="221" t="s">
        <v>78</v>
      </c>
      <c r="AD225" s="221" t="s">
        <v>78</v>
      </c>
      <c r="AE225" s="225" t="s">
        <v>78</v>
      </c>
      <c r="AF225" s="225" t="s">
        <v>78</v>
      </c>
      <c r="AG225" s="225" t="s">
        <v>78</v>
      </c>
      <c r="AH225" s="125" t="str">
        <f t="shared" si="196"/>
        <v>-</v>
      </c>
      <c r="AI225" s="127" t="str">
        <f t="shared" si="157"/>
        <v>-</v>
      </c>
      <c r="AJ225" s="128"/>
      <c r="AK225" s="223" t="s">
        <v>78</v>
      </c>
      <c r="AL225" s="131" t="str">
        <f t="shared" si="158"/>
        <v>-</v>
      </c>
      <c r="AM225" s="368" t="str">
        <f t="shared" si="197"/>
        <v>-</v>
      </c>
      <c r="AN225" s="375" t="str">
        <f t="shared" si="162"/>
        <v>-</v>
      </c>
      <c r="AO225" s="376" t="str">
        <f t="shared" si="163"/>
        <v>-</v>
      </c>
      <c r="AP225" s="394" t="s">
        <v>78</v>
      </c>
      <c r="AQ225" s="395" t="s">
        <v>78</v>
      </c>
      <c r="AR225" s="396" t="str">
        <f t="shared" ref="AR225:AR288" si="205">IFERROR(AP225*(12/$I225)*$K225,"-")</f>
        <v>-</v>
      </c>
      <c r="AS225" s="397"/>
      <c r="AT225" s="401" t="s">
        <v>78</v>
      </c>
      <c r="AU225" s="396" t="str">
        <f t="shared" ref="AU225:AU288" si="206">IFERROR(AT225*(12/$I225)*$K225,"-")</f>
        <v>-</v>
      </c>
      <c r="AV225" s="397"/>
      <c r="AW225" s="388" t="str">
        <f t="shared" si="164"/>
        <v>-</v>
      </c>
      <c r="AX225" s="389" t="str">
        <f t="shared" si="165"/>
        <v>-</v>
      </c>
      <c r="AY225" s="353" t="s">
        <v>78</v>
      </c>
      <c r="AZ225" s="403" t="s">
        <v>548</v>
      </c>
      <c r="BA225" s="404" t="s">
        <v>354</v>
      </c>
    </row>
    <row r="226" spans="1:53" ht="15" customHeight="1">
      <c r="A226" s="1" t="str">
        <f t="shared" si="201"/>
        <v>TSX:CG_2023_COO</v>
      </c>
      <c r="B226" s="1" t="str">
        <f t="shared" si="143"/>
        <v>TSX:CG_2023_NEO1</v>
      </c>
      <c r="C226" s="1" t="str">
        <f t="shared" si="202"/>
        <v>TSX:CG_2023_</v>
      </c>
      <c r="D226" s="114" t="str">
        <f t="shared" si="176"/>
        <v>TSX:CG</v>
      </c>
      <c r="E226" s="133" t="str">
        <f>_xll.ciqfunctions.udf.CIQ(D226,"IQ_Company_Name")</f>
        <v>Centerra Gold Inc.</v>
      </c>
      <c r="F226" s="114">
        <f t="shared" si="199"/>
        <v>2023</v>
      </c>
      <c r="G226" s="114" t="str">
        <f t="shared" si="145"/>
        <v>2023-01-01</v>
      </c>
      <c r="H226" s="330" t="str">
        <f t="shared" si="170"/>
        <v>2023-12-31</v>
      </c>
      <c r="I226" s="114">
        <f t="shared" si="159"/>
        <v>12</v>
      </c>
      <c r="J226" s="407" t="s">
        <v>2</v>
      </c>
      <c r="K226" s="439">
        <f t="shared" si="144"/>
        <v>1</v>
      </c>
      <c r="L226" s="445" t="s">
        <v>272</v>
      </c>
      <c r="M226" s="445"/>
      <c r="N226" s="122" t="str">
        <f t="shared" si="203"/>
        <v>NEO1</v>
      </c>
      <c r="O226" s="123" t="str">
        <f t="shared" si="203"/>
        <v>EVP &amp; COO</v>
      </c>
      <c r="P226" s="132" t="str">
        <f t="shared" si="203"/>
        <v>David Hendriks</v>
      </c>
      <c r="Q226" s="219" t="s">
        <v>78</v>
      </c>
      <c r="R226" s="125" t="str">
        <f t="shared" si="204"/>
        <v>-</v>
      </c>
      <c r="S226" s="311" t="s">
        <v>78</v>
      </c>
      <c r="T226" s="126" t="str">
        <f t="shared" si="187"/>
        <v>-</v>
      </c>
      <c r="U226" s="221" t="s">
        <v>78</v>
      </c>
      <c r="V226" s="125" t="str">
        <f t="shared" si="195"/>
        <v>-</v>
      </c>
      <c r="W226" s="127" t="str">
        <f t="shared" si="155"/>
        <v>-</v>
      </c>
      <c r="X226" s="128"/>
      <c r="Y226" s="223" t="s">
        <v>78</v>
      </c>
      <c r="Z226" s="129" t="str">
        <f t="shared" si="156"/>
        <v>-</v>
      </c>
      <c r="AA226" s="124" t="str">
        <f t="shared" si="160"/>
        <v>-</v>
      </c>
      <c r="AB226" s="130" t="str">
        <f t="shared" si="161"/>
        <v>-</v>
      </c>
      <c r="AC226" s="221" t="s">
        <v>78</v>
      </c>
      <c r="AD226" s="221" t="s">
        <v>78</v>
      </c>
      <c r="AE226" s="225" t="s">
        <v>78</v>
      </c>
      <c r="AF226" s="225" t="s">
        <v>78</v>
      </c>
      <c r="AG226" s="225" t="s">
        <v>78</v>
      </c>
      <c r="AH226" s="125" t="str">
        <f t="shared" si="196"/>
        <v>-</v>
      </c>
      <c r="AI226" s="127" t="str">
        <f t="shared" si="157"/>
        <v>-</v>
      </c>
      <c r="AJ226" s="128"/>
      <c r="AK226" s="223" t="s">
        <v>78</v>
      </c>
      <c r="AL226" s="131" t="str">
        <f t="shared" si="158"/>
        <v>-</v>
      </c>
      <c r="AM226" s="368" t="str">
        <f t="shared" si="197"/>
        <v>-</v>
      </c>
      <c r="AN226" s="375" t="str">
        <f t="shared" si="162"/>
        <v>-</v>
      </c>
      <c r="AO226" s="376" t="str">
        <f t="shared" si="163"/>
        <v>-</v>
      </c>
      <c r="AP226" s="394" t="s">
        <v>78</v>
      </c>
      <c r="AQ226" s="395" t="s">
        <v>78</v>
      </c>
      <c r="AR226" s="396" t="str">
        <f t="shared" si="205"/>
        <v>-</v>
      </c>
      <c r="AS226" s="397"/>
      <c r="AT226" s="401" t="s">
        <v>78</v>
      </c>
      <c r="AU226" s="396" t="str">
        <f t="shared" si="206"/>
        <v>-</v>
      </c>
      <c r="AV226" s="397"/>
      <c r="AW226" s="388" t="str">
        <f t="shared" si="164"/>
        <v>-</v>
      </c>
      <c r="AX226" s="389" t="str">
        <f t="shared" si="165"/>
        <v>-</v>
      </c>
      <c r="AY226" s="353" t="s">
        <v>78</v>
      </c>
      <c r="AZ226" s="403" t="s">
        <v>548</v>
      </c>
      <c r="BA226" s="404" t="s">
        <v>354</v>
      </c>
    </row>
    <row r="227" spans="1:53" ht="15" customHeight="1">
      <c r="A227" s="1" t="str">
        <f t="shared" si="201"/>
        <v>TSX:CG_2025_Legal</v>
      </c>
      <c r="B227" s="1" t="str">
        <f t="shared" si="143"/>
        <v>TSX:CG_2025_NEO2</v>
      </c>
      <c r="C227" s="1" t="str">
        <f t="shared" si="202"/>
        <v>TSX:CG_2025_</v>
      </c>
      <c r="D227" s="114" t="str">
        <f t="shared" si="176"/>
        <v>TSX:CG</v>
      </c>
      <c r="E227" s="133" t="str">
        <f>_xll.ciqfunctions.udf.CIQ(D227,"IQ_Company_Name")</f>
        <v>Centerra Gold Inc.</v>
      </c>
      <c r="F227" s="114">
        <f t="shared" si="199"/>
        <v>2025</v>
      </c>
      <c r="G227" s="114" t="str">
        <f t="shared" si="145"/>
        <v>2025-01-01</v>
      </c>
      <c r="H227" s="330" t="str">
        <f t="shared" si="170"/>
        <v>2025-12-31</v>
      </c>
      <c r="I227" s="114">
        <f t="shared" si="159"/>
        <v>12</v>
      </c>
      <c r="J227" s="407" t="s">
        <v>2</v>
      </c>
      <c r="K227" s="439">
        <f t="shared" si="144"/>
        <v>1</v>
      </c>
      <c r="L227" s="445" t="s">
        <v>360</v>
      </c>
      <c r="M227" s="445"/>
      <c r="N227" s="351" t="s">
        <v>108</v>
      </c>
      <c r="O227" s="217" t="s">
        <v>309</v>
      </c>
      <c r="P227" s="218" t="s">
        <v>310</v>
      </c>
      <c r="Q227" s="219">
        <v>459000</v>
      </c>
      <c r="R227" s="125">
        <f t="shared" si="204"/>
        <v>459000</v>
      </c>
      <c r="S227" s="311" t="s">
        <v>78</v>
      </c>
      <c r="T227" s="126" t="str">
        <f t="shared" si="187"/>
        <v>-</v>
      </c>
      <c r="U227" s="221">
        <v>325202</v>
      </c>
      <c r="V227" s="125">
        <f t="shared" si="195"/>
        <v>325202</v>
      </c>
      <c r="W227" s="127">
        <f t="shared" si="155"/>
        <v>0.70850108932461875</v>
      </c>
      <c r="X227" s="128">
        <f>IFERROR(AVERAGE(W227:W229),"N/A")</f>
        <v>0.66386665524303767</v>
      </c>
      <c r="Y227" s="223">
        <v>0.65</v>
      </c>
      <c r="Z227" s="129">
        <f t="shared" si="156"/>
        <v>298350</v>
      </c>
      <c r="AA227" s="124">
        <f t="shared" si="160"/>
        <v>784202</v>
      </c>
      <c r="AB227" s="130">
        <f t="shared" si="161"/>
        <v>757350</v>
      </c>
      <c r="AC227" s="221">
        <f>1/3*550800</f>
        <v>183600</v>
      </c>
      <c r="AD227" s="221">
        <f>2/3*550800</f>
        <v>367200</v>
      </c>
      <c r="AE227" s="225">
        <v>183600</v>
      </c>
      <c r="AF227" s="225" t="s">
        <v>78</v>
      </c>
      <c r="AG227" s="225" t="s">
        <v>78</v>
      </c>
      <c r="AH227" s="125">
        <f t="shared" si="196"/>
        <v>734400</v>
      </c>
      <c r="AI227" s="127">
        <f t="shared" si="157"/>
        <v>1.6</v>
      </c>
      <c r="AJ227" s="128">
        <f>IFERROR(AVERAGE(AI227:AI229),"N/A")</f>
        <v>1.6000000000000003</v>
      </c>
      <c r="AK227" s="223">
        <v>1.6</v>
      </c>
      <c r="AL227" s="131">
        <f t="shared" si="158"/>
        <v>734400</v>
      </c>
      <c r="AM227" s="368">
        <f t="shared" si="197"/>
        <v>734400</v>
      </c>
      <c r="AN227" s="375">
        <f t="shared" si="162"/>
        <v>1518602</v>
      </c>
      <c r="AO227" s="376">
        <f t="shared" si="163"/>
        <v>1491750</v>
      </c>
      <c r="AP227" s="394" t="s">
        <v>78</v>
      </c>
      <c r="AQ227" s="395" t="s">
        <v>78</v>
      </c>
      <c r="AR227" s="396" t="str">
        <f t="shared" si="205"/>
        <v>-</v>
      </c>
      <c r="AS227" s="397">
        <f>IFERROR(AVERAGE(AR227:AR229),"N/A")</f>
        <v>87502.5</v>
      </c>
      <c r="AT227" s="401">
        <v>197021</v>
      </c>
      <c r="AU227" s="396">
        <f t="shared" si="206"/>
        <v>197021</v>
      </c>
      <c r="AV227" s="397">
        <f>IFERROR(AVERAGE(AU227:AU229),"N/A")</f>
        <v>102672.33333333333</v>
      </c>
      <c r="AW227" s="388">
        <f t="shared" si="164"/>
        <v>1715623</v>
      </c>
      <c r="AX227" s="389">
        <f t="shared" si="165"/>
        <v>1688771</v>
      </c>
      <c r="AY227" s="353" t="s">
        <v>78</v>
      </c>
      <c r="AZ227" s="403" t="s">
        <v>548</v>
      </c>
      <c r="BA227" s="404" t="s">
        <v>354</v>
      </c>
    </row>
    <row r="228" spans="1:53" ht="15" customHeight="1">
      <c r="A228" s="1" t="str">
        <f t="shared" si="201"/>
        <v>TSX:CG_2024_Legal</v>
      </c>
      <c r="B228" s="1" t="str">
        <f t="shared" si="143"/>
        <v>TSX:CG_2024_NEO2</v>
      </c>
      <c r="C228" s="1" t="str">
        <f t="shared" si="202"/>
        <v>TSX:CG_2024_</v>
      </c>
      <c r="D228" s="114" t="str">
        <f t="shared" si="176"/>
        <v>TSX:CG</v>
      </c>
      <c r="E228" s="133" t="str">
        <f>_xll.ciqfunctions.udf.CIQ(D228,"IQ_Company_Name")</f>
        <v>Centerra Gold Inc.</v>
      </c>
      <c r="F228" s="114">
        <f t="shared" si="199"/>
        <v>2024</v>
      </c>
      <c r="G228" s="114" t="str">
        <f t="shared" si="145"/>
        <v>2024-01-01</v>
      </c>
      <c r="H228" s="330" t="str">
        <f t="shared" si="170"/>
        <v>2024-12-31</v>
      </c>
      <c r="I228" s="114">
        <f t="shared" si="159"/>
        <v>12</v>
      </c>
      <c r="J228" s="407" t="s">
        <v>2</v>
      </c>
      <c r="K228" s="439">
        <f t="shared" si="144"/>
        <v>1</v>
      </c>
      <c r="L228" s="445" t="s">
        <v>360</v>
      </c>
      <c r="M228" s="445"/>
      <c r="N228" s="122" t="str">
        <f t="shared" ref="N228:P229" si="207">N227</f>
        <v>NEO2</v>
      </c>
      <c r="O228" s="123" t="str">
        <f t="shared" si="207"/>
        <v>EVP, Legal &amp; Public Affairs</v>
      </c>
      <c r="P228" s="132" t="str">
        <f t="shared" si="207"/>
        <v>Yousef Rehman</v>
      </c>
      <c r="Q228" s="219">
        <v>445000</v>
      </c>
      <c r="R228" s="125">
        <f t="shared" si="204"/>
        <v>445000</v>
      </c>
      <c r="S228" s="311" t="s">
        <v>78</v>
      </c>
      <c r="T228" s="126" t="str">
        <f t="shared" si="187"/>
        <v>-</v>
      </c>
      <c r="U228" s="221">
        <v>279126</v>
      </c>
      <c r="V228" s="125">
        <f t="shared" si="195"/>
        <v>279126</v>
      </c>
      <c r="W228" s="127">
        <f t="shared" si="155"/>
        <v>0.62724943820224721</v>
      </c>
      <c r="X228" s="128"/>
      <c r="Y228" s="223" t="s">
        <v>78</v>
      </c>
      <c r="Z228" s="129">
        <f t="shared" si="156"/>
        <v>0</v>
      </c>
      <c r="AA228" s="124">
        <f t="shared" si="160"/>
        <v>724126</v>
      </c>
      <c r="AB228" s="130">
        <f t="shared" si="161"/>
        <v>445000</v>
      </c>
      <c r="AC228" s="221">
        <f>1/3*534000</f>
        <v>178000</v>
      </c>
      <c r="AD228" s="221">
        <f>2/3*534000</f>
        <v>356000</v>
      </c>
      <c r="AE228" s="225">
        <v>178000</v>
      </c>
      <c r="AF228" s="225" t="s">
        <v>78</v>
      </c>
      <c r="AG228" s="225" t="s">
        <v>78</v>
      </c>
      <c r="AH228" s="125">
        <f t="shared" si="196"/>
        <v>712000</v>
      </c>
      <c r="AI228" s="127">
        <f t="shared" si="157"/>
        <v>1.6</v>
      </c>
      <c r="AJ228" s="128"/>
      <c r="AK228" s="223" t="s">
        <v>78</v>
      </c>
      <c r="AL228" s="131">
        <f t="shared" si="158"/>
        <v>0</v>
      </c>
      <c r="AM228" s="368">
        <f t="shared" si="197"/>
        <v>712000</v>
      </c>
      <c r="AN228" s="375">
        <f t="shared" si="162"/>
        <v>1436126</v>
      </c>
      <c r="AO228" s="376">
        <f t="shared" si="163"/>
        <v>445000</v>
      </c>
      <c r="AP228" s="394">
        <v>86895</v>
      </c>
      <c r="AQ228" s="395" t="s">
        <v>271</v>
      </c>
      <c r="AR228" s="396">
        <f t="shared" si="205"/>
        <v>86895</v>
      </c>
      <c r="AS228" s="397"/>
      <c r="AT228" s="401">
        <v>72696</v>
      </c>
      <c r="AU228" s="396">
        <f t="shared" si="206"/>
        <v>72696</v>
      </c>
      <c r="AV228" s="397"/>
      <c r="AW228" s="388">
        <f t="shared" si="164"/>
        <v>1595717</v>
      </c>
      <c r="AX228" s="389">
        <f t="shared" si="165"/>
        <v>604591</v>
      </c>
      <c r="AY228" s="353" t="s">
        <v>78</v>
      </c>
      <c r="AZ228" s="403" t="s">
        <v>548</v>
      </c>
      <c r="BA228" s="404" t="s">
        <v>354</v>
      </c>
    </row>
    <row r="229" spans="1:53" ht="15" customHeight="1">
      <c r="A229" s="1" t="str">
        <f t="shared" si="201"/>
        <v>TSX:CG_2023_Legal</v>
      </c>
      <c r="B229" s="1" t="str">
        <f t="shared" si="143"/>
        <v>TSX:CG_2023_NEO2</v>
      </c>
      <c r="C229" s="1" t="str">
        <f t="shared" si="202"/>
        <v>TSX:CG_2023_</v>
      </c>
      <c r="D229" s="114" t="str">
        <f t="shared" si="176"/>
        <v>TSX:CG</v>
      </c>
      <c r="E229" s="133" t="str">
        <f>_xll.ciqfunctions.udf.CIQ(D229,"IQ_Company_Name")</f>
        <v>Centerra Gold Inc.</v>
      </c>
      <c r="F229" s="114">
        <f t="shared" si="199"/>
        <v>2023</v>
      </c>
      <c r="G229" s="114" t="str">
        <f t="shared" si="145"/>
        <v>2023-01-01</v>
      </c>
      <c r="H229" s="330" t="str">
        <f t="shared" si="170"/>
        <v>2023-12-31</v>
      </c>
      <c r="I229" s="114">
        <f t="shared" si="159"/>
        <v>12</v>
      </c>
      <c r="J229" s="407" t="s">
        <v>2</v>
      </c>
      <c r="K229" s="439">
        <f t="shared" si="144"/>
        <v>1</v>
      </c>
      <c r="L229" s="445" t="s">
        <v>360</v>
      </c>
      <c r="M229" s="445"/>
      <c r="N229" s="122" t="str">
        <f t="shared" si="207"/>
        <v>NEO2</v>
      </c>
      <c r="O229" s="123" t="str">
        <f t="shared" si="207"/>
        <v>EVP, Legal &amp; Public Affairs</v>
      </c>
      <c r="P229" s="132" t="str">
        <f t="shared" si="207"/>
        <v>Yousef Rehman</v>
      </c>
      <c r="Q229" s="219">
        <v>445000</v>
      </c>
      <c r="R229" s="125">
        <f t="shared" si="204"/>
        <v>445000</v>
      </c>
      <c r="S229" s="311" t="s">
        <v>78</v>
      </c>
      <c r="T229" s="126" t="str">
        <f t="shared" si="187"/>
        <v>-</v>
      </c>
      <c r="U229" s="221">
        <v>291853</v>
      </c>
      <c r="V229" s="125">
        <f t="shared" si="195"/>
        <v>291853</v>
      </c>
      <c r="W229" s="127">
        <f t="shared" si="155"/>
        <v>0.65584943820224717</v>
      </c>
      <c r="X229" s="128"/>
      <c r="Y229" s="223" t="s">
        <v>78</v>
      </c>
      <c r="Z229" s="129">
        <f t="shared" si="156"/>
        <v>0</v>
      </c>
      <c r="AA229" s="124">
        <f t="shared" si="160"/>
        <v>736853</v>
      </c>
      <c r="AB229" s="130">
        <f t="shared" si="161"/>
        <v>445000</v>
      </c>
      <c r="AC229" s="221">
        <f>1/3*534000</f>
        <v>178000</v>
      </c>
      <c r="AD229" s="221">
        <f>2/3*534000</f>
        <v>356000</v>
      </c>
      <c r="AE229" s="225">
        <v>178000</v>
      </c>
      <c r="AF229" s="225" t="s">
        <v>78</v>
      </c>
      <c r="AG229" s="225" t="s">
        <v>78</v>
      </c>
      <c r="AH229" s="125">
        <f t="shared" si="196"/>
        <v>712000</v>
      </c>
      <c r="AI229" s="127">
        <f t="shared" si="157"/>
        <v>1.6</v>
      </c>
      <c r="AJ229" s="128"/>
      <c r="AK229" s="223" t="s">
        <v>78</v>
      </c>
      <c r="AL229" s="131">
        <f t="shared" si="158"/>
        <v>0</v>
      </c>
      <c r="AM229" s="368">
        <f t="shared" si="197"/>
        <v>712000</v>
      </c>
      <c r="AN229" s="375">
        <f t="shared" si="162"/>
        <v>1448853</v>
      </c>
      <c r="AO229" s="376">
        <f t="shared" si="163"/>
        <v>445000</v>
      </c>
      <c r="AP229" s="394">
        <v>88110</v>
      </c>
      <c r="AQ229" s="395" t="s">
        <v>271</v>
      </c>
      <c r="AR229" s="396">
        <f t="shared" si="205"/>
        <v>88110</v>
      </c>
      <c r="AS229" s="397"/>
      <c r="AT229" s="401">
        <v>38300</v>
      </c>
      <c r="AU229" s="396">
        <f t="shared" si="206"/>
        <v>38300</v>
      </c>
      <c r="AV229" s="397"/>
      <c r="AW229" s="388">
        <f t="shared" si="164"/>
        <v>1575263</v>
      </c>
      <c r="AX229" s="389">
        <f t="shared" si="165"/>
        <v>571410</v>
      </c>
      <c r="AY229" s="353" t="s">
        <v>78</v>
      </c>
      <c r="AZ229" s="403" t="s">
        <v>548</v>
      </c>
      <c r="BA229" s="404" t="s">
        <v>354</v>
      </c>
    </row>
    <row r="230" spans="1:53" ht="15" customHeight="1">
      <c r="A230" s="1" t="str">
        <f t="shared" si="201"/>
        <v>TSX:CG_2025_Tech</v>
      </c>
      <c r="B230" s="1" t="str">
        <f t="shared" ref="B230:B293" si="208">$D230&amp;"_"&amp;$F230&amp;"_"&amp;$N230</f>
        <v>TSX:CG_2025_NEO3</v>
      </c>
      <c r="C230" s="1" t="str">
        <f t="shared" si="202"/>
        <v>TSX:CG_2025_</v>
      </c>
      <c r="D230" s="114" t="str">
        <f t="shared" si="176"/>
        <v>TSX:CG</v>
      </c>
      <c r="E230" s="133" t="str">
        <f>_xll.ciqfunctions.udf.CIQ(D230,"IQ_Company_Name")</f>
        <v>Centerra Gold Inc.</v>
      </c>
      <c r="F230" s="114">
        <f t="shared" si="199"/>
        <v>2025</v>
      </c>
      <c r="G230" s="114" t="str">
        <f t="shared" si="145"/>
        <v>2025-01-01</v>
      </c>
      <c r="H230" s="330" t="str">
        <f t="shared" si="170"/>
        <v>2025-12-31</v>
      </c>
      <c r="I230" s="114">
        <f t="shared" si="159"/>
        <v>12</v>
      </c>
      <c r="J230" s="407" t="s">
        <v>2</v>
      </c>
      <c r="K230" s="439">
        <f t="shared" si="144"/>
        <v>1</v>
      </c>
      <c r="L230" s="445" t="s">
        <v>361</v>
      </c>
      <c r="M230" s="445"/>
      <c r="N230" s="351" t="s">
        <v>109</v>
      </c>
      <c r="O230" s="217" t="s">
        <v>311</v>
      </c>
      <c r="P230" s="218" t="s">
        <v>594</v>
      </c>
      <c r="Q230" s="219">
        <v>465000</v>
      </c>
      <c r="R230" s="125">
        <f t="shared" si="204"/>
        <v>465000</v>
      </c>
      <c r="S230" s="311" t="s">
        <v>78</v>
      </c>
      <c r="T230" s="126" t="str">
        <f t="shared" si="187"/>
        <v>-</v>
      </c>
      <c r="U230" s="221">
        <v>329453</v>
      </c>
      <c r="V230" s="125">
        <f t="shared" si="195"/>
        <v>329453</v>
      </c>
      <c r="W230" s="127">
        <f t="shared" si="155"/>
        <v>0.70850107526881723</v>
      </c>
      <c r="X230" s="128">
        <f>IFERROR(AVERAGE(W230:W232),"N/A")</f>
        <v>0.70286780028340401</v>
      </c>
      <c r="Y230" s="223">
        <v>0.65</v>
      </c>
      <c r="Z230" s="129">
        <f t="shared" si="156"/>
        <v>302250</v>
      </c>
      <c r="AA230" s="124">
        <f t="shared" si="160"/>
        <v>794453</v>
      </c>
      <c r="AB230" s="130">
        <f t="shared" si="161"/>
        <v>767250</v>
      </c>
      <c r="AC230" s="221">
        <f>1/3*558000</f>
        <v>186000</v>
      </c>
      <c r="AD230" s="221">
        <f>2/3*558000</f>
        <v>372000</v>
      </c>
      <c r="AE230" s="225">
        <v>186000</v>
      </c>
      <c r="AF230" s="225" t="s">
        <v>78</v>
      </c>
      <c r="AG230" s="225" t="s">
        <v>78</v>
      </c>
      <c r="AH230" s="125">
        <f t="shared" si="196"/>
        <v>744000</v>
      </c>
      <c r="AI230" s="127">
        <f t="shared" si="157"/>
        <v>1.6</v>
      </c>
      <c r="AJ230" s="128">
        <f>IFERROR(AVERAGE(AI230:AI232),"N/A")</f>
        <v>1.6000000000000003</v>
      </c>
      <c r="AK230" s="223">
        <v>1.6</v>
      </c>
      <c r="AL230" s="131">
        <f t="shared" si="158"/>
        <v>744000</v>
      </c>
      <c r="AM230" s="368">
        <f t="shared" si="197"/>
        <v>744000</v>
      </c>
      <c r="AN230" s="375">
        <f t="shared" si="162"/>
        <v>1538453</v>
      </c>
      <c r="AO230" s="376">
        <f t="shared" si="163"/>
        <v>1511250</v>
      </c>
      <c r="AP230" s="394" t="s">
        <v>78</v>
      </c>
      <c r="AQ230" s="395" t="s">
        <v>78</v>
      </c>
      <c r="AR230" s="396" t="str">
        <f t="shared" si="205"/>
        <v>-</v>
      </c>
      <c r="AS230" s="397">
        <f>IFERROR(AVERAGE(AR230:AR232),"N/A")</f>
        <v>85140</v>
      </c>
      <c r="AT230" s="401">
        <v>145444</v>
      </c>
      <c r="AU230" s="396">
        <f t="shared" si="206"/>
        <v>145444</v>
      </c>
      <c r="AV230" s="397">
        <f>IFERROR(AVERAGE(AU230:AU232),"N/A")</f>
        <v>110906.66666666667</v>
      </c>
      <c r="AW230" s="388">
        <f t="shared" si="164"/>
        <v>1683897</v>
      </c>
      <c r="AX230" s="389">
        <f t="shared" si="165"/>
        <v>1656694</v>
      </c>
      <c r="AY230" s="353" t="s">
        <v>78</v>
      </c>
      <c r="AZ230" s="403" t="s">
        <v>548</v>
      </c>
      <c r="BA230" s="404" t="s">
        <v>354</v>
      </c>
    </row>
    <row r="231" spans="1:53" ht="15" customHeight="1">
      <c r="A231" s="1" t="str">
        <f t="shared" si="201"/>
        <v>TSX:CG_2024_Tech</v>
      </c>
      <c r="B231" s="1" t="str">
        <f t="shared" si="208"/>
        <v>TSX:CG_2024_NEO3</v>
      </c>
      <c r="C231" s="1" t="str">
        <f t="shared" si="202"/>
        <v>TSX:CG_2024_</v>
      </c>
      <c r="D231" s="114" t="str">
        <f t="shared" si="176"/>
        <v>TSX:CG</v>
      </c>
      <c r="E231" s="133" t="str">
        <f>_xll.ciqfunctions.udf.CIQ(D231,"IQ_Company_Name")</f>
        <v>Centerra Gold Inc.</v>
      </c>
      <c r="F231" s="114">
        <f t="shared" si="199"/>
        <v>2024</v>
      </c>
      <c r="G231" s="114" t="str">
        <f t="shared" si="145"/>
        <v>2024-01-01</v>
      </c>
      <c r="H231" s="330" t="str">
        <f t="shared" si="170"/>
        <v>2024-12-31</v>
      </c>
      <c r="I231" s="114">
        <f t="shared" si="159"/>
        <v>12</v>
      </c>
      <c r="J231" s="407" t="s">
        <v>2</v>
      </c>
      <c r="K231" s="439">
        <f t="shared" ref="K231:K294" si="209">IF($J231="CAD",1,IF($J231="USD",VLOOKUP($F231,$G$9:$H$11,2,FALSE),"N/A"))</f>
        <v>1</v>
      </c>
      <c r="L231" s="445" t="s">
        <v>361</v>
      </c>
      <c r="M231" s="445"/>
      <c r="N231" s="122" t="str">
        <f t="shared" ref="N231:P232" si="210">N230</f>
        <v>NEO3</v>
      </c>
      <c r="O231" s="123" t="str">
        <f t="shared" si="210"/>
        <v>EVP, People, Technology &amp; Supply Chain</v>
      </c>
      <c r="P231" s="132" t="str">
        <f t="shared" si="210"/>
        <v>Claudia D'Orazio</v>
      </c>
      <c r="Q231" s="219">
        <v>430000</v>
      </c>
      <c r="R231" s="125">
        <f t="shared" si="204"/>
        <v>430000</v>
      </c>
      <c r="S231" s="311" t="s">
        <v>78</v>
      </c>
      <c r="T231" s="126" t="str">
        <f t="shared" si="187"/>
        <v>-</v>
      </c>
      <c r="U231" s="221">
        <v>311643</v>
      </c>
      <c r="V231" s="125">
        <f t="shared" si="195"/>
        <v>311643</v>
      </c>
      <c r="W231" s="127">
        <f t="shared" si="155"/>
        <v>0.72475116279069762</v>
      </c>
      <c r="X231" s="128"/>
      <c r="Y231" s="223" t="s">
        <v>78</v>
      </c>
      <c r="Z231" s="129">
        <f t="shared" si="156"/>
        <v>0</v>
      </c>
      <c r="AA231" s="124">
        <f t="shared" si="160"/>
        <v>741643</v>
      </c>
      <c r="AB231" s="130">
        <f t="shared" si="161"/>
        <v>430000</v>
      </c>
      <c r="AC231" s="221">
        <f>1/3*516000</f>
        <v>172000</v>
      </c>
      <c r="AD231" s="221">
        <f>2/3*516000</f>
        <v>344000</v>
      </c>
      <c r="AE231" s="225">
        <v>172000</v>
      </c>
      <c r="AF231" s="225" t="s">
        <v>78</v>
      </c>
      <c r="AG231" s="225" t="s">
        <v>78</v>
      </c>
      <c r="AH231" s="125">
        <f t="shared" ref="AH231:AH294" si="211">IFERROR(IF(SUM(AC231:AG231)=0,IF(COUNTIF($AC231:$AG231,"=0")&gt;0,"$0","-"),SUM(AC231:AG231)),"-")</f>
        <v>688000</v>
      </c>
      <c r="AI231" s="127">
        <f t="shared" si="157"/>
        <v>1.6</v>
      </c>
      <c r="AJ231" s="128"/>
      <c r="AK231" s="223" t="s">
        <v>78</v>
      </c>
      <c r="AL231" s="131">
        <f t="shared" si="158"/>
        <v>0</v>
      </c>
      <c r="AM231" s="368">
        <f t="shared" si="197"/>
        <v>688000</v>
      </c>
      <c r="AN231" s="375">
        <f t="shared" si="162"/>
        <v>1429643</v>
      </c>
      <c r="AO231" s="376">
        <f t="shared" si="163"/>
        <v>430000</v>
      </c>
      <c r="AP231" s="394">
        <v>85140</v>
      </c>
      <c r="AQ231" s="395" t="s">
        <v>271</v>
      </c>
      <c r="AR231" s="396">
        <f t="shared" si="205"/>
        <v>85140</v>
      </c>
      <c r="AS231" s="397"/>
      <c r="AT231" s="401">
        <v>39809</v>
      </c>
      <c r="AU231" s="396">
        <f t="shared" si="206"/>
        <v>39809</v>
      </c>
      <c r="AV231" s="397"/>
      <c r="AW231" s="388">
        <f t="shared" si="164"/>
        <v>1554592</v>
      </c>
      <c r="AX231" s="389">
        <f t="shared" si="165"/>
        <v>554949</v>
      </c>
      <c r="AY231" s="353" t="s">
        <v>78</v>
      </c>
      <c r="AZ231" s="403" t="s">
        <v>548</v>
      </c>
      <c r="BA231" s="404" t="s">
        <v>354</v>
      </c>
    </row>
    <row r="232" spans="1:53" ht="15" customHeight="1">
      <c r="A232" s="1" t="str">
        <f t="shared" si="201"/>
        <v>TSX:CG_2023_Tech</v>
      </c>
      <c r="B232" s="1" t="str">
        <f t="shared" si="208"/>
        <v>TSX:CG_2023_NEO3</v>
      </c>
      <c r="C232" s="1" t="str">
        <f t="shared" si="202"/>
        <v>TSX:CG_2023_</v>
      </c>
      <c r="D232" s="203" t="str">
        <f t="shared" si="176"/>
        <v>TSX:CG</v>
      </c>
      <c r="E232" s="205" t="str">
        <f>_xll.ciqfunctions.udf.CIQ(D232,"IQ_Company_Name")</f>
        <v>Centerra Gold Inc.</v>
      </c>
      <c r="F232" s="204">
        <f t="shared" si="199"/>
        <v>2023</v>
      </c>
      <c r="G232" s="204" t="str">
        <f t="shared" ref="G232:G277" si="212">F232&amp;"-01-01"</f>
        <v>2023-01-01</v>
      </c>
      <c r="H232" s="331" t="str">
        <f t="shared" si="170"/>
        <v>2023-12-31</v>
      </c>
      <c r="I232" s="204">
        <f t="shared" si="159"/>
        <v>12</v>
      </c>
      <c r="J232" s="408" t="s">
        <v>2</v>
      </c>
      <c r="K232" s="441">
        <f t="shared" si="209"/>
        <v>1</v>
      </c>
      <c r="L232" s="454" t="s">
        <v>361</v>
      </c>
      <c r="M232" s="454"/>
      <c r="N232" s="956" t="str">
        <f t="shared" si="210"/>
        <v>NEO3</v>
      </c>
      <c r="O232" s="206" t="str">
        <f t="shared" si="210"/>
        <v>EVP, People, Technology &amp; Supply Chain</v>
      </c>
      <c r="P232" s="207" t="str">
        <f t="shared" si="210"/>
        <v>Claudia D'Orazio</v>
      </c>
      <c r="Q232" s="220">
        <v>430000</v>
      </c>
      <c r="R232" s="209">
        <f t="shared" si="204"/>
        <v>430000</v>
      </c>
      <c r="S232" s="312" t="s">
        <v>78</v>
      </c>
      <c r="T232" s="329" t="str">
        <f t="shared" si="187"/>
        <v>-</v>
      </c>
      <c r="U232" s="222">
        <v>290401</v>
      </c>
      <c r="V232" s="209">
        <f t="shared" si="195"/>
        <v>290401</v>
      </c>
      <c r="W232" s="211">
        <f t="shared" si="155"/>
        <v>0.67535116279069762</v>
      </c>
      <c r="X232" s="212"/>
      <c r="Y232" s="224" t="s">
        <v>78</v>
      </c>
      <c r="Z232" s="213">
        <f t="shared" si="156"/>
        <v>0</v>
      </c>
      <c r="AA232" s="208">
        <f t="shared" si="160"/>
        <v>720401</v>
      </c>
      <c r="AB232" s="214">
        <f t="shared" si="161"/>
        <v>430000</v>
      </c>
      <c r="AC232" s="222">
        <f>1/3*516000</f>
        <v>172000</v>
      </c>
      <c r="AD232" s="222">
        <f>2/3*516000</f>
        <v>344000</v>
      </c>
      <c r="AE232" s="226">
        <v>172000</v>
      </c>
      <c r="AF232" s="226" t="s">
        <v>78</v>
      </c>
      <c r="AG232" s="226" t="s">
        <v>78</v>
      </c>
      <c r="AH232" s="418">
        <f t="shared" si="211"/>
        <v>688000</v>
      </c>
      <c r="AI232" s="211">
        <f t="shared" si="157"/>
        <v>1.6</v>
      </c>
      <c r="AJ232" s="212"/>
      <c r="AK232" s="224" t="s">
        <v>78</v>
      </c>
      <c r="AL232" s="215">
        <f t="shared" si="158"/>
        <v>0</v>
      </c>
      <c r="AM232" s="369">
        <f t="shared" si="197"/>
        <v>688000</v>
      </c>
      <c r="AN232" s="377">
        <f t="shared" si="162"/>
        <v>1408401</v>
      </c>
      <c r="AO232" s="378">
        <f t="shared" si="163"/>
        <v>430000</v>
      </c>
      <c r="AP232" s="398">
        <v>85140</v>
      </c>
      <c r="AQ232" s="399" t="s">
        <v>271</v>
      </c>
      <c r="AR232" s="951">
        <f t="shared" si="205"/>
        <v>85140</v>
      </c>
      <c r="AS232" s="400"/>
      <c r="AT232" s="402">
        <v>147467</v>
      </c>
      <c r="AU232" s="951">
        <f t="shared" si="206"/>
        <v>147467</v>
      </c>
      <c r="AV232" s="400"/>
      <c r="AW232" s="390">
        <f t="shared" si="164"/>
        <v>1641008</v>
      </c>
      <c r="AX232" s="391">
        <f t="shared" si="165"/>
        <v>662607</v>
      </c>
      <c r="AY232" s="354" t="s">
        <v>78</v>
      </c>
      <c r="AZ232" s="405" t="s">
        <v>548</v>
      </c>
      <c r="BA232" s="404" t="s">
        <v>354</v>
      </c>
    </row>
    <row r="233" spans="1:53" ht="15" customHeight="1">
      <c r="A233" s="1" t="str">
        <f t="shared" si="201"/>
        <v>TSX:FM_2025_</v>
      </c>
      <c r="B233" s="1" t="str">
        <f t="shared" si="208"/>
        <v>TSX:FM_2025_CEO</v>
      </c>
      <c r="C233" s="1" t="str">
        <f t="shared" si="202"/>
        <v>TSX:FM_2025_</v>
      </c>
      <c r="D233" s="216" t="str">
        <f>E17</f>
        <v>TSX:FM</v>
      </c>
      <c r="E233" s="133" t="str">
        <f>_xll.ciqfunctions.udf.CIQ(D233,"IQ_Company_Name")</f>
        <v>First Quantum Minerals Ltd.</v>
      </c>
      <c r="F233" s="328">
        <f>$G$9</f>
        <v>2025</v>
      </c>
      <c r="G233" s="330" t="str">
        <f t="shared" si="212"/>
        <v>2025-01-01</v>
      </c>
      <c r="H233" s="330" t="str">
        <f t="shared" si="170"/>
        <v>2025-12-31</v>
      </c>
      <c r="I233" s="114">
        <f t="shared" si="159"/>
        <v>12</v>
      </c>
      <c r="J233" s="328" t="s">
        <v>285</v>
      </c>
      <c r="K233" s="439">
        <f t="shared" si="209"/>
        <v>1.3974500000000001</v>
      </c>
      <c r="L233" s="445"/>
      <c r="M233" s="445"/>
      <c r="N233" s="351" t="s">
        <v>79</v>
      </c>
      <c r="O233" s="217" t="s">
        <v>79</v>
      </c>
      <c r="P233" s="218" t="s">
        <v>595</v>
      </c>
      <c r="Q233" s="219">
        <v>1287917</v>
      </c>
      <c r="R233" s="420">
        <f>IFERROR(1300000*(12/$I233)*$K233,"-")</f>
        <v>1816685</v>
      </c>
      <c r="S233" s="311">
        <v>1340000</v>
      </c>
      <c r="T233" s="126">
        <f t="shared" si="187"/>
        <v>1872583</v>
      </c>
      <c r="U233" s="221">
        <v>975000</v>
      </c>
      <c r="V233" s="125">
        <f t="shared" si="195"/>
        <v>1362513.75</v>
      </c>
      <c r="W233" s="127">
        <f t="shared" si="155"/>
        <v>0.75</v>
      </c>
      <c r="X233" s="128">
        <f>IFERROR(AVERAGE(W233:W235),"N/A")</f>
        <v>0.66978296228902134</v>
      </c>
      <c r="Y233" s="223">
        <v>1</v>
      </c>
      <c r="Z233" s="129">
        <f t="shared" si="156"/>
        <v>1816685</v>
      </c>
      <c r="AA233" s="124">
        <f t="shared" si="160"/>
        <v>3179198.75</v>
      </c>
      <c r="AB233" s="130">
        <f t="shared" si="161"/>
        <v>3633370</v>
      </c>
      <c r="AC233" s="221">
        <f>1/3*2925000</f>
        <v>975000</v>
      </c>
      <c r="AD233" s="221">
        <f>2/3*2925000</f>
        <v>1950000</v>
      </c>
      <c r="AE233" s="225" t="s">
        <v>78</v>
      </c>
      <c r="AF233" s="225" t="s">
        <v>78</v>
      </c>
      <c r="AG233" s="225" t="s">
        <v>78</v>
      </c>
      <c r="AH233" s="125">
        <f t="shared" si="211"/>
        <v>2925000</v>
      </c>
      <c r="AI233" s="127">
        <f t="shared" si="157"/>
        <v>2.2500000000000004</v>
      </c>
      <c r="AJ233" s="128">
        <f>IFERROR(AVERAGE(AI233:AI235),"N/A")</f>
        <v>2.1586557204112649</v>
      </c>
      <c r="AK233" s="223">
        <v>2.25</v>
      </c>
      <c r="AL233" s="131">
        <f t="shared" si="158"/>
        <v>4087541.25</v>
      </c>
      <c r="AM233" s="368">
        <f t="shared" si="197"/>
        <v>4087541.2500000005</v>
      </c>
      <c r="AN233" s="375">
        <f t="shared" si="162"/>
        <v>7266740</v>
      </c>
      <c r="AO233" s="376">
        <f t="shared" si="163"/>
        <v>7720911.25</v>
      </c>
      <c r="AP233" s="394">
        <v>8189</v>
      </c>
      <c r="AQ233" s="422" t="s">
        <v>271</v>
      </c>
      <c r="AR233" s="396">
        <f t="shared" si="205"/>
        <v>11443.718050000001</v>
      </c>
      <c r="AS233" s="409">
        <f>IFERROR(AVERAGE(AR233:AR235),"N/A")</f>
        <v>10393.272116666667</v>
      </c>
      <c r="AT233" s="401">
        <v>119541</v>
      </c>
      <c r="AU233" s="396">
        <f t="shared" si="206"/>
        <v>167052.57045</v>
      </c>
      <c r="AV233" s="409">
        <f>IFERROR(AVERAGE(AU233:AU235),"N/A")</f>
        <v>365565.83748000005</v>
      </c>
      <c r="AW233" s="388">
        <f t="shared" si="164"/>
        <v>7445236.2884999998</v>
      </c>
      <c r="AX233" s="389">
        <f t="shared" si="165"/>
        <v>7899407.5384999998</v>
      </c>
      <c r="AY233" s="353" t="s">
        <v>78</v>
      </c>
      <c r="AZ233" s="403" t="s">
        <v>548</v>
      </c>
      <c r="BA233" s="404" t="s">
        <v>354</v>
      </c>
    </row>
    <row r="234" spans="1:53" ht="15" customHeight="1">
      <c r="A234" s="1" t="str">
        <f t="shared" si="201"/>
        <v>TSX:FM_2024_</v>
      </c>
      <c r="B234" s="1" t="str">
        <f t="shared" si="208"/>
        <v>TSX:FM_2024_CEO</v>
      </c>
      <c r="C234" s="1" t="str">
        <f t="shared" si="202"/>
        <v>TSX:FM_2024_</v>
      </c>
      <c r="D234" s="114" t="str">
        <f>D233</f>
        <v>TSX:FM</v>
      </c>
      <c r="E234" s="133" t="str">
        <f>_xll.ciqfunctions.udf.CIQ(D234,"IQ_Company_Name")</f>
        <v>First Quantum Minerals Ltd.</v>
      </c>
      <c r="F234" s="328">
        <f>$G$10</f>
        <v>2024</v>
      </c>
      <c r="G234" s="330" t="str">
        <f t="shared" si="212"/>
        <v>2024-01-01</v>
      </c>
      <c r="H234" s="330" t="str">
        <f t="shared" si="170"/>
        <v>2024-12-31</v>
      </c>
      <c r="I234" s="114">
        <f t="shared" si="159"/>
        <v>12</v>
      </c>
      <c r="J234" s="407" t="s">
        <v>285</v>
      </c>
      <c r="K234" s="439">
        <f t="shared" si="209"/>
        <v>1.3701700000000001</v>
      </c>
      <c r="L234" s="445"/>
      <c r="M234" s="445"/>
      <c r="N234" s="122" t="str">
        <f t="shared" ref="N234:P235" si="213">N233</f>
        <v>CEO</v>
      </c>
      <c r="O234" s="123" t="str">
        <f t="shared" si="213"/>
        <v>CEO</v>
      </c>
      <c r="P234" s="132" t="str">
        <f t="shared" si="213"/>
        <v>Tristan Pascall</v>
      </c>
      <c r="Q234" s="219">
        <v>1199740</v>
      </c>
      <c r="R234" s="125">
        <f>IFERROR(Q234*(12/$I234)*$K234,"-")</f>
        <v>1643847.7558000002</v>
      </c>
      <c r="S234" s="311" t="s">
        <v>78</v>
      </c>
      <c r="T234" s="126" t="str">
        <f t="shared" si="187"/>
        <v>-</v>
      </c>
      <c r="U234" s="221">
        <v>810000</v>
      </c>
      <c r="V234" s="125">
        <f t="shared" si="195"/>
        <v>1109837.7000000002</v>
      </c>
      <c r="W234" s="127">
        <f t="shared" si="155"/>
        <v>0.67514628169436719</v>
      </c>
      <c r="X234" s="128"/>
      <c r="Y234" s="223" t="s">
        <v>78</v>
      </c>
      <c r="Z234" s="129">
        <f t="shared" si="156"/>
        <v>0</v>
      </c>
      <c r="AA234" s="124">
        <f t="shared" si="160"/>
        <v>2753685.4558000006</v>
      </c>
      <c r="AB234" s="130">
        <f t="shared" si="161"/>
        <v>1643847.7558000002</v>
      </c>
      <c r="AC234" s="221">
        <f>1/3*2400000</f>
        <v>800000</v>
      </c>
      <c r="AD234" s="221">
        <f>2/3*2400000</f>
        <v>1600000</v>
      </c>
      <c r="AE234" s="225" t="s">
        <v>78</v>
      </c>
      <c r="AF234" s="225" t="s">
        <v>78</v>
      </c>
      <c r="AG234" s="225" t="s">
        <v>78</v>
      </c>
      <c r="AH234" s="125">
        <f t="shared" si="211"/>
        <v>2400000</v>
      </c>
      <c r="AI234" s="127">
        <f t="shared" si="157"/>
        <v>2.0004334272425695</v>
      </c>
      <c r="AJ234" s="128"/>
      <c r="AK234" s="223" t="s">
        <v>78</v>
      </c>
      <c r="AL234" s="131">
        <f t="shared" si="158"/>
        <v>0</v>
      </c>
      <c r="AM234" s="368">
        <f t="shared" si="197"/>
        <v>3288408.0000000005</v>
      </c>
      <c r="AN234" s="375">
        <f t="shared" si="162"/>
        <v>6042093.4558000006</v>
      </c>
      <c r="AO234" s="376">
        <f t="shared" si="163"/>
        <v>1643847.7558000002</v>
      </c>
      <c r="AP234" s="394">
        <v>7936</v>
      </c>
      <c r="AQ234" s="422" t="s">
        <v>271</v>
      </c>
      <c r="AR234" s="396">
        <f t="shared" si="205"/>
        <v>10873.66912</v>
      </c>
      <c r="AS234" s="397"/>
      <c r="AT234" s="401">
        <v>281003</v>
      </c>
      <c r="AU234" s="396">
        <f t="shared" si="206"/>
        <v>385021.88051000005</v>
      </c>
      <c r="AV234" s="397"/>
      <c r="AW234" s="388">
        <f t="shared" si="164"/>
        <v>6437989.0054299999</v>
      </c>
      <c r="AX234" s="389">
        <f t="shared" si="165"/>
        <v>2039743.3054300002</v>
      </c>
      <c r="AY234" s="353" t="s">
        <v>78</v>
      </c>
      <c r="AZ234" s="403" t="s">
        <v>548</v>
      </c>
      <c r="BA234" s="404" t="s">
        <v>354</v>
      </c>
    </row>
    <row r="235" spans="1:53" ht="15" customHeight="1">
      <c r="A235" s="1" t="str">
        <f t="shared" si="201"/>
        <v>TSX:FM_2023_</v>
      </c>
      <c r="B235" s="1" t="str">
        <f t="shared" si="208"/>
        <v>TSX:FM_2023_CEO</v>
      </c>
      <c r="C235" s="1" t="str">
        <f t="shared" si="202"/>
        <v>TSX:FM_2023_</v>
      </c>
      <c r="D235" s="114" t="str">
        <f t="shared" si="176"/>
        <v>TSX:FM</v>
      </c>
      <c r="E235" s="133" t="str">
        <f>_xll.ciqfunctions.udf.CIQ(D235,"IQ_Company_Name")</f>
        <v>First Quantum Minerals Ltd.</v>
      </c>
      <c r="F235" s="328">
        <f>$G$11</f>
        <v>2023</v>
      </c>
      <c r="G235" s="114" t="str">
        <f t="shared" si="212"/>
        <v>2023-01-01</v>
      </c>
      <c r="H235" s="330" t="str">
        <f t="shared" si="170"/>
        <v>2023-12-31</v>
      </c>
      <c r="I235" s="114">
        <f t="shared" si="159"/>
        <v>12</v>
      </c>
      <c r="J235" s="407" t="s">
        <v>285</v>
      </c>
      <c r="K235" s="439">
        <f t="shared" si="209"/>
        <v>1.34954</v>
      </c>
      <c r="L235" s="445"/>
      <c r="M235" s="445"/>
      <c r="N235" s="122" t="str">
        <f t="shared" si="213"/>
        <v>CEO</v>
      </c>
      <c r="O235" s="123" t="str">
        <f t="shared" si="213"/>
        <v>CEO</v>
      </c>
      <c r="P235" s="132" t="str">
        <f t="shared" si="213"/>
        <v>Tristan Pascall</v>
      </c>
      <c r="Q235" s="219">
        <v>1078393</v>
      </c>
      <c r="R235" s="125">
        <f>IFERROR(Q235*(12/$I235)*$K235,"-")</f>
        <v>1455334.4892199999</v>
      </c>
      <c r="S235" s="311" t="s">
        <v>78</v>
      </c>
      <c r="T235" s="126" t="str">
        <f t="shared" si="187"/>
        <v>-</v>
      </c>
      <c r="U235" s="221">
        <v>630000</v>
      </c>
      <c r="V235" s="125">
        <f t="shared" si="195"/>
        <v>850210.2</v>
      </c>
      <c r="W235" s="127">
        <f t="shared" si="155"/>
        <v>0.58420260517269684</v>
      </c>
      <c r="X235" s="128"/>
      <c r="Y235" s="223" t="s">
        <v>78</v>
      </c>
      <c r="Z235" s="129">
        <f t="shared" si="156"/>
        <v>0</v>
      </c>
      <c r="AA235" s="124">
        <f t="shared" si="160"/>
        <v>2305544.6892200001</v>
      </c>
      <c r="AB235" s="130">
        <f t="shared" si="161"/>
        <v>1455334.4892199999</v>
      </c>
      <c r="AC235" s="221">
        <f>1/3*2400000</f>
        <v>800000</v>
      </c>
      <c r="AD235" s="221">
        <f>2/3*2400000</f>
        <v>1600000</v>
      </c>
      <c r="AE235" s="225" t="s">
        <v>78</v>
      </c>
      <c r="AF235" s="225" t="s">
        <v>78</v>
      </c>
      <c r="AG235" s="225" t="s">
        <v>78</v>
      </c>
      <c r="AH235" s="125">
        <f t="shared" si="211"/>
        <v>2400000</v>
      </c>
      <c r="AI235" s="127">
        <f t="shared" si="157"/>
        <v>2.225533733991226</v>
      </c>
      <c r="AJ235" s="128"/>
      <c r="AK235" s="223" t="s">
        <v>78</v>
      </c>
      <c r="AL235" s="131">
        <f t="shared" si="158"/>
        <v>0</v>
      </c>
      <c r="AM235" s="368">
        <f t="shared" si="197"/>
        <v>3238896</v>
      </c>
      <c r="AN235" s="375">
        <f t="shared" si="162"/>
        <v>5544440.6892200001</v>
      </c>
      <c r="AO235" s="376">
        <f t="shared" si="163"/>
        <v>1455334.4892199999</v>
      </c>
      <c r="AP235" s="394">
        <v>6567</v>
      </c>
      <c r="AQ235" s="422" t="s">
        <v>271</v>
      </c>
      <c r="AR235" s="396">
        <f t="shared" si="205"/>
        <v>8862.4291799999992</v>
      </c>
      <c r="AS235" s="397"/>
      <c r="AT235" s="401">
        <v>403562</v>
      </c>
      <c r="AU235" s="396">
        <f t="shared" si="206"/>
        <v>544623.06148000003</v>
      </c>
      <c r="AV235" s="397"/>
      <c r="AW235" s="388">
        <f t="shared" si="164"/>
        <v>6097926.1798799997</v>
      </c>
      <c r="AX235" s="389">
        <f t="shared" si="165"/>
        <v>2008819.97988</v>
      </c>
      <c r="AY235" s="353" t="s">
        <v>78</v>
      </c>
      <c r="AZ235" s="403" t="s">
        <v>548</v>
      </c>
      <c r="BA235" s="404" t="s">
        <v>354</v>
      </c>
    </row>
    <row r="236" spans="1:53" ht="15" customHeight="1">
      <c r="A236" s="1" t="str">
        <f t="shared" si="201"/>
        <v>TSX:FM_2025_</v>
      </c>
      <c r="B236" s="1" t="str">
        <f t="shared" si="208"/>
        <v>TSX:FM_2025_CFO</v>
      </c>
      <c r="C236" s="1" t="str">
        <f t="shared" si="202"/>
        <v>TSX:FM_2025_2nd Highest</v>
      </c>
      <c r="D236" s="114" t="str">
        <f t="shared" si="176"/>
        <v>TSX:FM</v>
      </c>
      <c r="E236" s="133" t="str">
        <f>_xll.ciqfunctions.udf.CIQ(D236,"IQ_Company_Name")</f>
        <v>First Quantum Minerals Ltd.</v>
      </c>
      <c r="F236" s="114">
        <f t="shared" ref="F236:F247" si="214">F233</f>
        <v>2025</v>
      </c>
      <c r="G236" s="114" t="str">
        <f t="shared" si="212"/>
        <v>2025-01-01</v>
      </c>
      <c r="H236" s="330" t="str">
        <f t="shared" si="170"/>
        <v>2025-12-31</v>
      </c>
      <c r="I236" s="114">
        <f t="shared" si="159"/>
        <v>12</v>
      </c>
      <c r="J236" s="407" t="s">
        <v>285</v>
      </c>
      <c r="K236" s="439">
        <f t="shared" si="209"/>
        <v>1.3974500000000001</v>
      </c>
      <c r="L236" s="445"/>
      <c r="M236" s="445" t="s">
        <v>669</v>
      </c>
      <c r="N236" s="351" t="s">
        <v>106</v>
      </c>
      <c r="O236" s="217" t="s">
        <v>106</v>
      </c>
      <c r="P236" s="218" t="s">
        <v>596</v>
      </c>
      <c r="Q236" s="219">
        <v>735548</v>
      </c>
      <c r="R236" s="420">
        <f>IFERROR(825000*(12/$I236)*$K236,"-")</f>
        <v>1152896.25</v>
      </c>
      <c r="S236" s="311">
        <v>825000</v>
      </c>
      <c r="T236" s="126">
        <f t="shared" si="187"/>
        <v>1152896.25</v>
      </c>
      <c r="U236" s="221">
        <v>395000</v>
      </c>
      <c r="V236" s="125">
        <f t="shared" si="195"/>
        <v>551992.75</v>
      </c>
      <c r="W236" s="127">
        <f t="shared" si="155"/>
        <v>0.47878787878787876</v>
      </c>
      <c r="X236" s="128">
        <f>IFERROR(AVERAGE(W236:W238),"N/A")</f>
        <v>0.47021324019611344</v>
      </c>
      <c r="Y236" s="223">
        <v>0.5</v>
      </c>
      <c r="Z236" s="129">
        <f t="shared" si="156"/>
        <v>576448.125</v>
      </c>
      <c r="AA236" s="124">
        <f t="shared" si="160"/>
        <v>1704889</v>
      </c>
      <c r="AB236" s="130">
        <f t="shared" si="161"/>
        <v>1729344.375</v>
      </c>
      <c r="AC236" s="221">
        <f>1/3*1125000</f>
        <v>375000</v>
      </c>
      <c r="AD236" s="221">
        <f>2/3*1125000</f>
        <v>750000</v>
      </c>
      <c r="AE236" s="225" t="s">
        <v>78</v>
      </c>
      <c r="AF236" s="225" t="s">
        <v>78</v>
      </c>
      <c r="AG236" s="225" t="s">
        <v>78</v>
      </c>
      <c r="AH236" s="125">
        <f t="shared" si="211"/>
        <v>1125000</v>
      </c>
      <c r="AI236" s="127">
        <f t="shared" si="157"/>
        <v>1.3636363636363635</v>
      </c>
      <c r="AJ236" s="128">
        <f>IFERROR(AVERAGE(AI236:AI238),"N/A")</f>
        <v>1.4319809094252474</v>
      </c>
      <c r="AK236" s="223">
        <v>1.5</v>
      </c>
      <c r="AL236" s="131">
        <f t="shared" si="158"/>
        <v>1729344.375</v>
      </c>
      <c r="AM236" s="368">
        <f t="shared" si="197"/>
        <v>1572131.25</v>
      </c>
      <c r="AN236" s="375">
        <f t="shared" si="162"/>
        <v>3277020.25</v>
      </c>
      <c r="AO236" s="376">
        <f t="shared" si="163"/>
        <v>3458688.75</v>
      </c>
      <c r="AP236" s="394">
        <v>8189</v>
      </c>
      <c r="AQ236" s="422" t="s">
        <v>271</v>
      </c>
      <c r="AR236" s="396">
        <f t="shared" si="205"/>
        <v>11443.718050000001</v>
      </c>
      <c r="AS236" s="397">
        <f>IFERROR(AVERAGE(AR236:AR238),"N/A")</f>
        <v>10393.272116666667</v>
      </c>
      <c r="AT236" s="401">
        <v>62667</v>
      </c>
      <c r="AU236" s="396">
        <f t="shared" si="206"/>
        <v>87573.999150000003</v>
      </c>
      <c r="AV236" s="397">
        <f>IFERROR(AVERAGE(AU236:AU238),"N/A")</f>
        <v>78691.450966666671</v>
      </c>
      <c r="AW236" s="388">
        <f t="shared" si="164"/>
        <v>3376037.9671999998</v>
      </c>
      <c r="AX236" s="389">
        <f t="shared" si="165"/>
        <v>3557706.4671999998</v>
      </c>
      <c r="AY236" s="353" t="s">
        <v>78</v>
      </c>
      <c r="AZ236" s="403" t="s">
        <v>548</v>
      </c>
      <c r="BA236" s="404" t="s">
        <v>354</v>
      </c>
    </row>
    <row r="237" spans="1:53" ht="15" customHeight="1">
      <c r="A237" s="1" t="str">
        <f t="shared" si="201"/>
        <v>TSX:FM_2024_</v>
      </c>
      <c r="B237" s="1" t="str">
        <f t="shared" si="208"/>
        <v>TSX:FM_2024_CFO</v>
      </c>
      <c r="C237" s="1" t="str">
        <f t="shared" si="202"/>
        <v>TSX:FM_2024_</v>
      </c>
      <c r="D237" s="114" t="str">
        <f t="shared" si="176"/>
        <v>TSX:FM</v>
      </c>
      <c r="E237" s="133" t="str">
        <f>_xll.ciqfunctions.udf.CIQ(D237,"IQ_Company_Name")</f>
        <v>First Quantum Minerals Ltd.</v>
      </c>
      <c r="F237" s="114">
        <f t="shared" si="214"/>
        <v>2024</v>
      </c>
      <c r="G237" s="114" t="str">
        <f t="shared" si="212"/>
        <v>2024-01-01</v>
      </c>
      <c r="H237" s="330" t="str">
        <f t="shared" si="170"/>
        <v>2024-12-31</v>
      </c>
      <c r="I237" s="114">
        <f t="shared" si="159"/>
        <v>12</v>
      </c>
      <c r="J237" s="407" t="s">
        <v>285</v>
      </c>
      <c r="K237" s="439">
        <f t="shared" si="209"/>
        <v>1.3701700000000001</v>
      </c>
      <c r="L237" s="445"/>
      <c r="M237" s="445"/>
      <c r="N237" s="122" t="str">
        <f t="shared" ref="N237:P238" si="215">N236</f>
        <v>CFO</v>
      </c>
      <c r="O237" s="123" t="str">
        <f t="shared" si="215"/>
        <v>CFO</v>
      </c>
      <c r="P237" s="132" t="str">
        <f t="shared" si="215"/>
        <v>Ryan MacWilliam</v>
      </c>
      <c r="Q237" s="219">
        <v>649859</v>
      </c>
      <c r="R237" s="125">
        <f>IFERROR(Q237*(12/$I237)*$K237,"-")</f>
        <v>890417.30603000009</v>
      </c>
      <c r="S237" s="311" t="s">
        <v>78</v>
      </c>
      <c r="T237" s="126" t="str">
        <f t="shared" si="187"/>
        <v>-</v>
      </c>
      <c r="U237" s="221">
        <v>300000</v>
      </c>
      <c r="V237" s="125">
        <f t="shared" si="195"/>
        <v>411051.00000000006</v>
      </c>
      <c r="W237" s="127">
        <f t="shared" si="155"/>
        <v>0.46163860160434805</v>
      </c>
      <c r="X237" s="128"/>
      <c r="Y237" s="223" t="s">
        <v>78</v>
      </c>
      <c r="Z237" s="129">
        <f t="shared" si="156"/>
        <v>0</v>
      </c>
      <c r="AA237" s="124">
        <f t="shared" si="160"/>
        <v>1301468.3060300001</v>
      </c>
      <c r="AB237" s="130">
        <f t="shared" si="161"/>
        <v>890417.30603000009</v>
      </c>
      <c r="AC237" s="221">
        <f>1/3*975000</f>
        <v>325000</v>
      </c>
      <c r="AD237" s="221">
        <f>2/3*975000</f>
        <v>650000</v>
      </c>
      <c r="AE237" s="225" t="s">
        <v>78</v>
      </c>
      <c r="AF237" s="225" t="s">
        <v>78</v>
      </c>
      <c r="AG237" s="225" t="s">
        <v>78</v>
      </c>
      <c r="AH237" s="125">
        <f t="shared" si="211"/>
        <v>975000</v>
      </c>
      <c r="AI237" s="127">
        <f t="shared" si="157"/>
        <v>1.500325455214131</v>
      </c>
      <c r="AJ237" s="128"/>
      <c r="AK237" s="223" t="s">
        <v>78</v>
      </c>
      <c r="AL237" s="131">
        <f t="shared" si="158"/>
        <v>0</v>
      </c>
      <c r="AM237" s="368">
        <f t="shared" si="197"/>
        <v>1335915.75</v>
      </c>
      <c r="AN237" s="375">
        <f t="shared" si="162"/>
        <v>2637384.0560300001</v>
      </c>
      <c r="AO237" s="376">
        <f t="shared" si="163"/>
        <v>890417.30603000009</v>
      </c>
      <c r="AP237" s="394">
        <v>7936</v>
      </c>
      <c r="AQ237" s="422" t="s">
        <v>271</v>
      </c>
      <c r="AR237" s="396">
        <f t="shared" si="205"/>
        <v>10873.66912</v>
      </c>
      <c r="AS237" s="397"/>
      <c r="AT237" s="401">
        <v>53233</v>
      </c>
      <c r="AU237" s="396">
        <f t="shared" si="206"/>
        <v>72938.259610000008</v>
      </c>
      <c r="AV237" s="397"/>
      <c r="AW237" s="388">
        <f t="shared" si="164"/>
        <v>2721195.9847600004</v>
      </c>
      <c r="AX237" s="389">
        <f t="shared" si="165"/>
        <v>974229.23476000014</v>
      </c>
      <c r="AY237" s="353" t="s">
        <v>78</v>
      </c>
      <c r="AZ237" s="403" t="s">
        <v>548</v>
      </c>
      <c r="BA237" s="404" t="s">
        <v>354</v>
      </c>
    </row>
    <row r="238" spans="1:53" ht="15" customHeight="1">
      <c r="A238" s="1" t="str">
        <f t="shared" si="201"/>
        <v>TSX:FM_2023_</v>
      </c>
      <c r="B238" s="1" t="str">
        <f t="shared" si="208"/>
        <v>TSX:FM_2023_CFO</v>
      </c>
      <c r="C238" s="1" t="str">
        <f t="shared" si="202"/>
        <v>TSX:FM_2023_</v>
      </c>
      <c r="D238" s="114" t="str">
        <f t="shared" si="176"/>
        <v>TSX:FM</v>
      </c>
      <c r="E238" s="133" t="str">
        <f>_xll.ciqfunctions.udf.CIQ(D238,"IQ_Company_Name")</f>
        <v>First Quantum Minerals Ltd.</v>
      </c>
      <c r="F238" s="114">
        <f t="shared" si="214"/>
        <v>2023</v>
      </c>
      <c r="G238" s="114" t="str">
        <f t="shared" si="212"/>
        <v>2023-01-01</v>
      </c>
      <c r="H238" s="330" t="str">
        <f t="shared" si="170"/>
        <v>2023-12-31</v>
      </c>
      <c r="I238" s="114">
        <f t="shared" si="159"/>
        <v>12</v>
      </c>
      <c r="J238" s="407" t="s">
        <v>285</v>
      </c>
      <c r="K238" s="439">
        <f t="shared" si="209"/>
        <v>1.34954</v>
      </c>
      <c r="L238" s="445"/>
      <c r="M238" s="445"/>
      <c r="N238" s="122" t="str">
        <f t="shared" si="215"/>
        <v>CFO</v>
      </c>
      <c r="O238" s="123" t="str">
        <f t="shared" si="215"/>
        <v>CFO</v>
      </c>
      <c r="P238" s="132" t="str">
        <f t="shared" si="215"/>
        <v>Ryan MacWilliam</v>
      </c>
      <c r="Q238" s="219">
        <v>631440</v>
      </c>
      <c r="R238" s="125">
        <f>IFERROR(Q238*(12/$I238)*$K238,"-")</f>
        <v>852153.53759999992</v>
      </c>
      <c r="S238" s="311" t="s">
        <v>78</v>
      </c>
      <c r="T238" s="126" t="str">
        <f t="shared" si="187"/>
        <v>-</v>
      </c>
      <c r="U238" s="221">
        <v>219375</v>
      </c>
      <c r="V238" s="125"/>
      <c r="W238" s="127"/>
      <c r="X238" s="128"/>
      <c r="Y238" s="223" t="s">
        <v>78</v>
      </c>
      <c r="Z238" s="129"/>
      <c r="AA238" s="124"/>
      <c r="AB238" s="130"/>
      <c r="AC238" s="221">
        <f>1/3*975000</f>
        <v>325000</v>
      </c>
      <c r="AD238" s="221">
        <f>2/3*975000</f>
        <v>650000</v>
      </c>
      <c r="AE238" s="225" t="s">
        <v>78</v>
      </c>
      <c r="AF238" s="225" t="s">
        <v>78</v>
      </c>
      <c r="AG238" s="225" t="s">
        <v>78</v>
      </c>
      <c r="AH238" s="125"/>
      <c r="AI238" s="127"/>
      <c r="AJ238" s="128"/>
      <c r="AK238" s="223" t="s">
        <v>78</v>
      </c>
      <c r="AL238" s="131"/>
      <c r="AM238" s="368"/>
      <c r="AN238" s="375"/>
      <c r="AO238" s="376"/>
      <c r="AP238" s="394">
        <v>6567</v>
      </c>
      <c r="AQ238" s="422" t="s">
        <v>271</v>
      </c>
      <c r="AR238" s="396">
        <f t="shared" si="205"/>
        <v>8862.4291799999992</v>
      </c>
      <c r="AS238" s="397"/>
      <c r="AT238" s="401">
        <v>55991</v>
      </c>
      <c r="AU238" s="396">
        <f t="shared" si="206"/>
        <v>75562.094140000001</v>
      </c>
      <c r="AV238" s="397"/>
      <c r="AW238" s="388"/>
      <c r="AX238" s="389"/>
      <c r="AY238" s="353" t="s">
        <v>78</v>
      </c>
      <c r="AZ238" s="403" t="s">
        <v>548</v>
      </c>
      <c r="BA238" s="404" t="s">
        <v>354</v>
      </c>
    </row>
    <row r="239" spans="1:53" ht="15" customHeight="1">
      <c r="A239" s="1" t="str">
        <f t="shared" si="201"/>
        <v>TSX:FM_2025_COO</v>
      </c>
      <c r="B239" s="1" t="str">
        <f t="shared" si="208"/>
        <v>TSX:FM_2025_NEO1</v>
      </c>
      <c r="C239" s="1" t="str">
        <f t="shared" si="202"/>
        <v>TSX:FM_2025_</v>
      </c>
      <c r="D239" s="114" t="str">
        <f t="shared" si="176"/>
        <v>TSX:FM</v>
      </c>
      <c r="E239" s="133" t="str">
        <f>_xll.ciqfunctions.udf.CIQ(D239,"IQ_Company_Name")</f>
        <v>First Quantum Minerals Ltd.</v>
      </c>
      <c r="F239" s="114">
        <f t="shared" si="214"/>
        <v>2025</v>
      </c>
      <c r="G239" s="330" t="str">
        <f t="shared" si="212"/>
        <v>2025-01-01</v>
      </c>
      <c r="H239" s="330" t="str">
        <f t="shared" si="170"/>
        <v>2025-12-31</v>
      </c>
      <c r="I239" s="114">
        <f t="shared" si="159"/>
        <v>12</v>
      </c>
      <c r="J239" s="407" t="s">
        <v>285</v>
      </c>
      <c r="K239" s="439">
        <f t="shared" si="209"/>
        <v>1.3974500000000001</v>
      </c>
      <c r="L239" s="445" t="s">
        <v>272</v>
      </c>
      <c r="M239" s="445"/>
      <c r="N239" s="351" t="s">
        <v>107</v>
      </c>
      <c r="O239" s="217" t="s">
        <v>272</v>
      </c>
      <c r="P239" s="218" t="s">
        <v>597</v>
      </c>
      <c r="Q239" s="219">
        <v>803446</v>
      </c>
      <c r="R239" s="420">
        <f>IFERROR(820000*(12/$I239)*$K239,"-")</f>
        <v>1145909</v>
      </c>
      <c r="S239" s="311">
        <v>820000</v>
      </c>
      <c r="T239" s="126">
        <f t="shared" si="187"/>
        <v>1145909</v>
      </c>
      <c r="U239" s="221">
        <v>250000</v>
      </c>
      <c r="V239" s="125">
        <f t="shared" si="195"/>
        <v>349362.5</v>
      </c>
      <c r="W239" s="127">
        <f t="shared" si="155"/>
        <v>0.3048780487804878</v>
      </c>
      <c r="X239" s="128">
        <f>IFERROR(AVERAGE(W239:W241),"N/A")</f>
        <v>0.23681988292451328</v>
      </c>
      <c r="Y239" s="223">
        <v>0.5</v>
      </c>
      <c r="Z239" s="129">
        <f t="shared" si="156"/>
        <v>572954.5</v>
      </c>
      <c r="AA239" s="124">
        <f t="shared" si="160"/>
        <v>1495271.5</v>
      </c>
      <c r="AB239" s="130">
        <f t="shared" si="161"/>
        <v>1718863.5</v>
      </c>
      <c r="AC239" s="221">
        <f>1/3*600000</f>
        <v>200000</v>
      </c>
      <c r="AD239" s="221">
        <f>2/3*600000</f>
        <v>400000</v>
      </c>
      <c r="AE239" s="225" t="s">
        <v>78</v>
      </c>
      <c r="AF239" s="225" t="s">
        <v>78</v>
      </c>
      <c r="AG239" s="225" t="s">
        <v>78</v>
      </c>
      <c r="AH239" s="125">
        <f t="shared" si="211"/>
        <v>600000</v>
      </c>
      <c r="AI239" s="127">
        <f t="shared" si="157"/>
        <v>0.73170731707317072</v>
      </c>
      <c r="AJ239" s="128">
        <f>IFERROR(AVERAGE(AI239:AI241),"N/A")</f>
        <v>0.82827642559928449</v>
      </c>
      <c r="AK239" s="223">
        <v>0.75</v>
      </c>
      <c r="AL239" s="131">
        <f t="shared" si="158"/>
        <v>859431.75</v>
      </c>
      <c r="AM239" s="368">
        <f t="shared" ref="AM239:AM262" si="216">IFERROR($AH239*$K239,"-")</f>
        <v>838470</v>
      </c>
      <c r="AN239" s="375">
        <f t="shared" si="162"/>
        <v>2333741.5</v>
      </c>
      <c r="AO239" s="376">
        <f t="shared" si="163"/>
        <v>2578295.25</v>
      </c>
      <c r="AP239" s="394">
        <v>8189</v>
      </c>
      <c r="AQ239" s="422" t="s">
        <v>271</v>
      </c>
      <c r="AR239" s="396">
        <f t="shared" si="205"/>
        <v>11443.718050000001</v>
      </c>
      <c r="AS239" s="397">
        <f>IFERROR(AVERAGE(AR239:AR241),"N/A")</f>
        <v>8597.0343766666683</v>
      </c>
      <c r="AT239" s="401">
        <v>265702</v>
      </c>
      <c r="AU239" s="396">
        <f t="shared" si="206"/>
        <v>371305.2599</v>
      </c>
      <c r="AV239" s="397">
        <f>IFERROR(AVERAGE(AU239:AU241),"N/A")</f>
        <v>328033.41931333335</v>
      </c>
      <c r="AW239" s="388">
        <f t="shared" si="164"/>
        <v>2716490.4779499997</v>
      </c>
      <c r="AX239" s="389">
        <f t="shared" si="165"/>
        <v>2961044.2279499997</v>
      </c>
      <c r="AY239" s="353" t="s">
        <v>78</v>
      </c>
      <c r="AZ239" s="403" t="s">
        <v>548</v>
      </c>
      <c r="BA239" s="404" t="s">
        <v>354</v>
      </c>
    </row>
    <row r="240" spans="1:53" ht="15" customHeight="1">
      <c r="A240" s="1" t="str">
        <f t="shared" si="201"/>
        <v>TSX:FM_2024_COO</v>
      </c>
      <c r="B240" s="1" t="str">
        <f t="shared" si="208"/>
        <v>TSX:FM_2024_NEO1</v>
      </c>
      <c r="C240" s="1" t="str">
        <f t="shared" si="202"/>
        <v>TSX:FM_2024_</v>
      </c>
      <c r="D240" s="114" t="str">
        <f t="shared" si="176"/>
        <v>TSX:FM</v>
      </c>
      <c r="E240" s="133" t="str">
        <f>_xll.ciqfunctions.udf.CIQ(D240,"IQ_Company_Name")</f>
        <v>First Quantum Minerals Ltd.</v>
      </c>
      <c r="F240" s="114">
        <f t="shared" si="214"/>
        <v>2024</v>
      </c>
      <c r="G240" s="330" t="str">
        <f t="shared" si="212"/>
        <v>2024-01-01</v>
      </c>
      <c r="H240" s="330" t="str">
        <f t="shared" si="170"/>
        <v>2024-12-31</v>
      </c>
      <c r="I240" s="114">
        <f t="shared" si="159"/>
        <v>12</v>
      </c>
      <c r="J240" s="407" t="s">
        <v>285</v>
      </c>
      <c r="K240" s="439">
        <f t="shared" si="209"/>
        <v>1.3701700000000001</v>
      </c>
      <c r="L240" s="445" t="s">
        <v>272</v>
      </c>
      <c r="M240" s="445"/>
      <c r="N240" s="122" t="str">
        <f t="shared" ref="N240:P241" si="217">N239</f>
        <v>NEO1</v>
      </c>
      <c r="O240" s="123" t="str">
        <f t="shared" si="217"/>
        <v>COO</v>
      </c>
      <c r="P240" s="132" t="str">
        <f t="shared" si="217"/>
        <v>Rudi Badenhorst</v>
      </c>
      <c r="Q240" s="219">
        <v>799827</v>
      </c>
      <c r="R240" s="125">
        <f>IFERROR(Q240*(12/$I240)*$K240,"-")</f>
        <v>1095898.96059</v>
      </c>
      <c r="S240" s="311" t="s">
        <v>78</v>
      </c>
      <c r="T240" s="126" t="str">
        <f t="shared" si="187"/>
        <v>-</v>
      </c>
      <c r="U240" s="221">
        <v>180000</v>
      </c>
      <c r="V240" s="125">
        <f t="shared" si="195"/>
        <v>246630.6</v>
      </c>
      <c r="W240" s="127">
        <f t="shared" si="155"/>
        <v>0.22504866677418991</v>
      </c>
      <c r="X240" s="128"/>
      <c r="Y240" s="223" t="s">
        <v>78</v>
      </c>
      <c r="Z240" s="129">
        <f t="shared" si="156"/>
        <v>0</v>
      </c>
      <c r="AA240" s="124">
        <f t="shared" si="160"/>
        <v>1342529.5605900001</v>
      </c>
      <c r="AB240" s="130">
        <f t="shared" si="161"/>
        <v>1095898.96059</v>
      </c>
      <c r="AC240" s="221">
        <f>1/3*600000</f>
        <v>200000</v>
      </c>
      <c r="AD240" s="221">
        <f>2/3*600000</f>
        <v>400000</v>
      </c>
      <c r="AE240" s="225" t="s">
        <v>78</v>
      </c>
      <c r="AF240" s="225" t="s">
        <v>78</v>
      </c>
      <c r="AG240" s="225" t="s">
        <v>78</v>
      </c>
      <c r="AH240" s="125">
        <f t="shared" si="211"/>
        <v>600000</v>
      </c>
      <c r="AI240" s="127">
        <f t="shared" si="157"/>
        <v>0.75016222258063314</v>
      </c>
      <c r="AJ240" s="128"/>
      <c r="AK240" s="223" t="s">
        <v>78</v>
      </c>
      <c r="AL240" s="131">
        <f t="shared" si="158"/>
        <v>0</v>
      </c>
      <c r="AM240" s="368">
        <f t="shared" si="216"/>
        <v>822102.00000000012</v>
      </c>
      <c r="AN240" s="375">
        <f t="shared" si="162"/>
        <v>2164631.5605900004</v>
      </c>
      <c r="AO240" s="376">
        <f t="shared" si="163"/>
        <v>1095898.96059</v>
      </c>
      <c r="AP240" s="394">
        <v>7936</v>
      </c>
      <c r="AQ240" s="422" t="s">
        <v>271</v>
      </c>
      <c r="AR240" s="396">
        <f t="shared" si="205"/>
        <v>10873.66912</v>
      </c>
      <c r="AS240" s="397"/>
      <c r="AT240" s="401">
        <v>279128</v>
      </c>
      <c r="AU240" s="396">
        <f t="shared" si="206"/>
        <v>382452.81176000001</v>
      </c>
      <c r="AV240" s="397"/>
      <c r="AW240" s="388">
        <f t="shared" si="164"/>
        <v>2557958.0414700005</v>
      </c>
      <c r="AX240" s="389">
        <f t="shared" si="165"/>
        <v>1489225.44147</v>
      </c>
      <c r="AY240" s="353" t="s">
        <v>78</v>
      </c>
      <c r="AZ240" s="403" t="s">
        <v>548</v>
      </c>
      <c r="BA240" s="404" t="s">
        <v>354</v>
      </c>
    </row>
    <row r="241" spans="1:53" ht="15" customHeight="1">
      <c r="A241" s="1" t="str">
        <f t="shared" si="201"/>
        <v>TSX:FM_2023_COO</v>
      </c>
      <c r="B241" s="1" t="str">
        <f t="shared" si="208"/>
        <v>TSX:FM_2023_NEO1</v>
      </c>
      <c r="C241" s="1" t="str">
        <f t="shared" si="202"/>
        <v>TSX:FM_2023_</v>
      </c>
      <c r="D241" s="114" t="str">
        <f t="shared" si="176"/>
        <v>TSX:FM</v>
      </c>
      <c r="E241" s="133" t="str">
        <f>_xll.ciqfunctions.udf.CIQ(D241,"IQ_Company_Name")</f>
        <v>First Quantum Minerals Ltd.</v>
      </c>
      <c r="F241" s="114">
        <f t="shared" si="214"/>
        <v>2023</v>
      </c>
      <c r="G241" s="114" t="str">
        <f t="shared" si="212"/>
        <v>2023-01-01</v>
      </c>
      <c r="H241" s="330" t="str">
        <f t="shared" si="170"/>
        <v>2023-12-31</v>
      </c>
      <c r="I241" s="114">
        <f t="shared" si="159"/>
        <v>12</v>
      </c>
      <c r="J241" s="407" t="s">
        <v>285</v>
      </c>
      <c r="K241" s="439">
        <f t="shared" si="209"/>
        <v>1.34954</v>
      </c>
      <c r="L241" s="445" t="s">
        <v>272</v>
      </c>
      <c r="M241" s="445"/>
      <c r="N241" s="122" t="str">
        <f t="shared" si="217"/>
        <v>NEO1</v>
      </c>
      <c r="O241" s="123" t="str">
        <f t="shared" si="217"/>
        <v>COO</v>
      </c>
      <c r="P241" s="132" t="str">
        <f t="shared" si="217"/>
        <v>Rudi Badenhorst</v>
      </c>
      <c r="Q241" s="219">
        <v>997048</v>
      </c>
      <c r="R241" s="125">
        <f>IFERROR(Q241*(12/$I241)*$K241,"-")</f>
        <v>1345556.1579199999</v>
      </c>
      <c r="S241" s="311" t="s">
        <v>78</v>
      </c>
      <c r="T241" s="126" t="str">
        <f t="shared" si="187"/>
        <v>-</v>
      </c>
      <c r="U241" s="221">
        <v>180000</v>
      </c>
      <c r="V241" s="125">
        <f t="shared" si="195"/>
        <v>242917.19999999998</v>
      </c>
      <c r="W241" s="127">
        <f t="shared" si="155"/>
        <v>0.18053293321886207</v>
      </c>
      <c r="X241" s="128"/>
      <c r="Y241" s="223" t="s">
        <v>78</v>
      </c>
      <c r="Z241" s="129">
        <f t="shared" si="156"/>
        <v>0</v>
      </c>
      <c r="AA241" s="124">
        <f t="shared" si="160"/>
        <v>1588473.3579199999</v>
      </c>
      <c r="AB241" s="130">
        <f t="shared" si="161"/>
        <v>1345556.1579199999</v>
      </c>
      <c r="AC241" s="221">
        <f>1/3*999999</f>
        <v>333333</v>
      </c>
      <c r="AD241" s="221">
        <f>2/3*999999</f>
        <v>666666</v>
      </c>
      <c r="AE241" s="225" t="s">
        <v>78</v>
      </c>
      <c r="AF241" s="225" t="s">
        <v>78</v>
      </c>
      <c r="AG241" s="225" t="s">
        <v>78</v>
      </c>
      <c r="AH241" s="125">
        <f t="shared" si="211"/>
        <v>999999</v>
      </c>
      <c r="AI241" s="127">
        <f t="shared" si="157"/>
        <v>1.0029597371440493</v>
      </c>
      <c r="AJ241" s="128"/>
      <c r="AK241" s="223" t="s">
        <v>78</v>
      </c>
      <c r="AL241" s="131">
        <f t="shared" si="158"/>
        <v>0</v>
      </c>
      <c r="AM241" s="368">
        <f t="shared" si="216"/>
        <v>1349538.6504599999</v>
      </c>
      <c r="AN241" s="375">
        <f t="shared" si="162"/>
        <v>2938012.0083799995</v>
      </c>
      <c r="AO241" s="376">
        <f t="shared" si="163"/>
        <v>1345556.1579199999</v>
      </c>
      <c r="AP241" s="394">
        <v>2574</v>
      </c>
      <c r="AQ241" s="422" t="s">
        <v>271</v>
      </c>
      <c r="AR241" s="396">
        <f t="shared" si="205"/>
        <v>3473.71596</v>
      </c>
      <c r="AS241" s="397"/>
      <c r="AT241" s="401">
        <v>170682</v>
      </c>
      <c r="AU241" s="396">
        <f t="shared" si="206"/>
        <v>230342.18627999999</v>
      </c>
      <c r="AV241" s="397"/>
      <c r="AW241" s="388">
        <f t="shared" si="164"/>
        <v>3171827.9106199997</v>
      </c>
      <c r="AX241" s="389">
        <f t="shared" si="165"/>
        <v>1579372.0601599999</v>
      </c>
      <c r="AY241" s="353" t="s">
        <v>648</v>
      </c>
      <c r="AZ241" s="403" t="s">
        <v>548</v>
      </c>
      <c r="BA241" s="404" t="s">
        <v>354</v>
      </c>
    </row>
    <row r="242" spans="1:53" ht="15" customHeight="1">
      <c r="A242" s="1" t="str">
        <f t="shared" si="201"/>
        <v>TSX:FM_2025_</v>
      </c>
      <c r="B242" s="1" t="str">
        <f t="shared" si="208"/>
        <v>TSX:FM_2025_NEO2</v>
      </c>
      <c r="C242" s="1" t="str">
        <f t="shared" si="202"/>
        <v>TSX:FM_2025_</v>
      </c>
      <c r="D242" s="114" t="str">
        <f t="shared" si="176"/>
        <v>TSX:FM</v>
      </c>
      <c r="E242" s="133" t="str">
        <f>_xll.ciqfunctions.udf.CIQ(D242,"IQ_Company_Name")</f>
        <v>First Quantum Minerals Ltd.</v>
      </c>
      <c r="F242" s="114">
        <f t="shared" si="214"/>
        <v>2025</v>
      </c>
      <c r="G242" s="114" t="str">
        <f t="shared" si="212"/>
        <v>2025-01-01</v>
      </c>
      <c r="H242" s="330" t="str">
        <f t="shared" si="170"/>
        <v>2025-12-31</v>
      </c>
      <c r="I242" s="114">
        <f t="shared" si="159"/>
        <v>12</v>
      </c>
      <c r="J242" s="407" t="s">
        <v>285</v>
      </c>
      <c r="K242" s="439">
        <f t="shared" si="209"/>
        <v>1.3974500000000001</v>
      </c>
      <c r="L242" s="445"/>
      <c r="M242" s="445"/>
      <c r="N242" s="351" t="s">
        <v>108</v>
      </c>
      <c r="O242" s="217" t="s">
        <v>577</v>
      </c>
      <c r="P242" s="218" t="s">
        <v>598</v>
      </c>
      <c r="Q242" s="219">
        <v>423912</v>
      </c>
      <c r="R242" s="420">
        <f>IFERROR(423254*(12/$I242)*$K242,"-")</f>
        <v>591476.30229999998</v>
      </c>
      <c r="S242" s="311" t="s">
        <v>78</v>
      </c>
      <c r="T242" s="126" t="str">
        <f t="shared" si="187"/>
        <v>-</v>
      </c>
      <c r="U242" s="221">
        <v>183548</v>
      </c>
      <c r="V242" s="125">
        <f t="shared" si="195"/>
        <v>256499.1526</v>
      </c>
      <c r="W242" s="127">
        <f t="shared" si="155"/>
        <v>0.43365922117688199</v>
      </c>
      <c r="X242" s="128">
        <f>IFERROR(AVERAGE(W242:W244),"N/A")</f>
        <v>0.36406259300419413</v>
      </c>
      <c r="Y242" s="223">
        <v>0.5</v>
      </c>
      <c r="Z242" s="129">
        <f t="shared" si="156"/>
        <v>295738.15114999999</v>
      </c>
      <c r="AA242" s="124">
        <f t="shared" si="160"/>
        <v>847975.45490000001</v>
      </c>
      <c r="AB242" s="130">
        <f t="shared" si="161"/>
        <v>887214.45344999991</v>
      </c>
      <c r="AC242" s="221" t="s">
        <v>78</v>
      </c>
      <c r="AD242" s="221" t="s">
        <v>78</v>
      </c>
      <c r="AE242" s="225" t="s">
        <v>78</v>
      </c>
      <c r="AF242" s="225" t="s">
        <v>78</v>
      </c>
      <c r="AG242" s="225" t="s">
        <v>78</v>
      </c>
      <c r="AH242" s="125" t="str">
        <f t="shared" si="211"/>
        <v>-</v>
      </c>
      <c r="AI242" s="127" t="str">
        <f t="shared" si="157"/>
        <v>-</v>
      </c>
      <c r="AJ242" s="128">
        <f>IFERROR(AVERAGE(AI242:AI244),"N/A")</f>
        <v>1.2375989920231514</v>
      </c>
      <c r="AK242" s="223">
        <v>0.75</v>
      </c>
      <c r="AL242" s="131">
        <f t="shared" si="158"/>
        <v>443607.22672499996</v>
      </c>
      <c r="AM242" s="368" t="str">
        <f t="shared" si="216"/>
        <v>-</v>
      </c>
      <c r="AN242" s="375">
        <f t="shared" si="162"/>
        <v>847975.45490000001</v>
      </c>
      <c r="AO242" s="376">
        <f t="shared" si="163"/>
        <v>1330821.6801749999</v>
      </c>
      <c r="AP242" s="394">
        <v>19325</v>
      </c>
      <c r="AQ242" s="422" t="s">
        <v>271</v>
      </c>
      <c r="AR242" s="396">
        <f t="shared" si="205"/>
        <v>27005.721250000002</v>
      </c>
      <c r="AS242" s="397">
        <f>IFERROR(AVERAGE(AR242:AR244),"N/A")</f>
        <v>25514.47451</v>
      </c>
      <c r="AT242" s="401">
        <v>25647</v>
      </c>
      <c r="AU242" s="396">
        <f t="shared" si="206"/>
        <v>35840.400150000001</v>
      </c>
      <c r="AV242" s="397">
        <f>IFERROR(AVERAGE(AU242:AU244),"N/A")</f>
        <v>58282.130683333344</v>
      </c>
      <c r="AW242" s="388">
        <f t="shared" si="164"/>
        <v>910821.57629999996</v>
      </c>
      <c r="AX242" s="389">
        <f t="shared" si="165"/>
        <v>1393667.8015749999</v>
      </c>
      <c r="AY242" s="353" t="s">
        <v>649</v>
      </c>
      <c r="AZ242" s="403" t="s">
        <v>548</v>
      </c>
      <c r="BA242" s="404" t="s">
        <v>354</v>
      </c>
    </row>
    <row r="243" spans="1:53" ht="15" customHeight="1">
      <c r="A243" s="1" t="str">
        <f t="shared" si="201"/>
        <v>TSX:FM_2024_</v>
      </c>
      <c r="B243" s="1" t="str">
        <f t="shared" si="208"/>
        <v>TSX:FM_2024_NEO2</v>
      </c>
      <c r="C243" s="1" t="str">
        <f t="shared" si="202"/>
        <v>TSX:FM_2024_</v>
      </c>
      <c r="D243" s="114" t="str">
        <f t="shared" si="176"/>
        <v>TSX:FM</v>
      </c>
      <c r="E243" s="133" t="str">
        <f>_xll.ciqfunctions.udf.CIQ(D243,"IQ_Company_Name")</f>
        <v>First Quantum Minerals Ltd.</v>
      </c>
      <c r="F243" s="114">
        <f t="shared" si="214"/>
        <v>2024</v>
      </c>
      <c r="G243" s="114" t="str">
        <f t="shared" si="212"/>
        <v>2024-01-01</v>
      </c>
      <c r="H243" s="330" t="str">
        <f t="shared" si="170"/>
        <v>2024-12-31</v>
      </c>
      <c r="I243" s="114">
        <f t="shared" si="159"/>
        <v>12</v>
      </c>
      <c r="J243" s="407" t="s">
        <v>285</v>
      </c>
      <c r="K243" s="439">
        <f t="shared" si="209"/>
        <v>1.3701700000000001</v>
      </c>
      <c r="L243" s="445"/>
      <c r="M243" s="445"/>
      <c r="N243" s="122" t="str">
        <f t="shared" ref="N243:P244" si="218">N242</f>
        <v>NEO2</v>
      </c>
      <c r="O243" s="123" t="str">
        <f t="shared" si="218"/>
        <v>Former Director, Projects</v>
      </c>
      <c r="P243" s="132" t="str">
        <f t="shared" si="218"/>
        <v>Zenon Wozniak</v>
      </c>
      <c r="Q243" s="219">
        <v>446711</v>
      </c>
      <c r="R243" s="125">
        <f>IFERROR(Q243*(12/$I243)*$K243,"-")</f>
        <v>612070.01087</v>
      </c>
      <c r="S243" s="311" t="s">
        <v>78</v>
      </c>
      <c r="T243" s="126" t="str">
        <f t="shared" si="187"/>
        <v>-</v>
      </c>
      <c r="U243" s="221">
        <v>141879</v>
      </c>
      <c r="V243" s="125">
        <f t="shared" si="195"/>
        <v>194398.34943</v>
      </c>
      <c r="W243" s="127">
        <f t="shared" si="155"/>
        <v>0.31760802845687702</v>
      </c>
      <c r="X243" s="128"/>
      <c r="Y243" s="223" t="s">
        <v>78</v>
      </c>
      <c r="Z243" s="129">
        <f t="shared" si="156"/>
        <v>0</v>
      </c>
      <c r="AA243" s="124">
        <f t="shared" si="160"/>
        <v>806468.36030000006</v>
      </c>
      <c r="AB243" s="130">
        <f t="shared" si="161"/>
        <v>612070.01087</v>
      </c>
      <c r="AC243" s="221">
        <f>1/3*420382</f>
        <v>140127.33333333331</v>
      </c>
      <c r="AD243" s="221">
        <f>2/3*420382</f>
        <v>280254.66666666663</v>
      </c>
      <c r="AE243" s="225" t="s">
        <v>78</v>
      </c>
      <c r="AF243" s="225" t="s">
        <v>78</v>
      </c>
      <c r="AG243" s="225" t="s">
        <v>78</v>
      </c>
      <c r="AH243" s="125">
        <f t="shared" si="211"/>
        <v>420381.99999999994</v>
      </c>
      <c r="AI243" s="127">
        <f t="shared" si="157"/>
        <v>0.94106032759435065</v>
      </c>
      <c r="AJ243" s="128"/>
      <c r="AK243" s="223" t="s">
        <v>78</v>
      </c>
      <c r="AL243" s="131">
        <f t="shared" si="158"/>
        <v>0</v>
      </c>
      <c r="AM243" s="368">
        <f t="shared" si="216"/>
        <v>575994.80493999994</v>
      </c>
      <c r="AN243" s="375">
        <f t="shared" si="162"/>
        <v>1382463.16524</v>
      </c>
      <c r="AO243" s="376">
        <f t="shared" si="163"/>
        <v>612070.01087</v>
      </c>
      <c r="AP243" s="394">
        <v>18912</v>
      </c>
      <c r="AQ243" s="422" t="s">
        <v>271</v>
      </c>
      <c r="AR243" s="396">
        <f t="shared" si="205"/>
        <v>25912.655040000001</v>
      </c>
      <c r="AS243" s="397"/>
      <c r="AT243" s="401">
        <v>26330</v>
      </c>
      <c r="AU243" s="396">
        <f t="shared" si="206"/>
        <v>36076.576100000006</v>
      </c>
      <c r="AV243" s="397"/>
      <c r="AW243" s="388">
        <f t="shared" si="164"/>
        <v>1444452.39638</v>
      </c>
      <c r="AX243" s="389">
        <f t="shared" si="165"/>
        <v>674059.24200999993</v>
      </c>
      <c r="AY243" s="353" t="s">
        <v>78</v>
      </c>
      <c r="AZ243" s="403" t="s">
        <v>548</v>
      </c>
      <c r="BA243" s="404" t="s">
        <v>354</v>
      </c>
    </row>
    <row r="244" spans="1:53" ht="15" customHeight="1">
      <c r="A244" s="1" t="str">
        <f t="shared" si="201"/>
        <v>TSX:FM_2023_</v>
      </c>
      <c r="B244" s="1" t="str">
        <f t="shared" si="208"/>
        <v>TSX:FM_2023_NEO2</v>
      </c>
      <c r="C244" s="1" t="str">
        <f t="shared" si="202"/>
        <v>TSX:FM_2023_</v>
      </c>
      <c r="D244" s="114" t="str">
        <f t="shared" si="176"/>
        <v>TSX:FM</v>
      </c>
      <c r="E244" s="133" t="str">
        <f>_xll.ciqfunctions.udf.CIQ(D244,"IQ_Company_Name")</f>
        <v>First Quantum Minerals Ltd.</v>
      </c>
      <c r="F244" s="114">
        <f t="shared" si="214"/>
        <v>2023</v>
      </c>
      <c r="G244" s="114" t="str">
        <f t="shared" si="212"/>
        <v>2023-01-01</v>
      </c>
      <c r="H244" s="330" t="str">
        <f t="shared" si="170"/>
        <v>2023-12-31</v>
      </c>
      <c r="I244" s="114">
        <f t="shared" si="159"/>
        <v>12</v>
      </c>
      <c r="J244" s="407" t="s">
        <v>285</v>
      </c>
      <c r="K244" s="439">
        <f t="shared" si="209"/>
        <v>1.34954</v>
      </c>
      <c r="L244" s="445"/>
      <c r="M244" s="445"/>
      <c r="N244" s="122" t="str">
        <f t="shared" si="218"/>
        <v>NEO2</v>
      </c>
      <c r="O244" s="123" t="str">
        <f t="shared" si="218"/>
        <v>Former Director, Projects</v>
      </c>
      <c r="P244" s="132" t="str">
        <f t="shared" si="218"/>
        <v>Zenon Wozniak</v>
      </c>
      <c r="Q244" s="219">
        <v>423213</v>
      </c>
      <c r="R244" s="125">
        <f>IFERROR(Q244*(12/$I244)*$K244,"-")</f>
        <v>571142.87202000001</v>
      </c>
      <c r="S244" s="311" t="s">
        <v>78</v>
      </c>
      <c r="T244" s="126" t="str">
        <f t="shared" si="187"/>
        <v>-</v>
      </c>
      <c r="U244" s="221">
        <v>144282</v>
      </c>
      <c r="V244" s="125">
        <f t="shared" si="195"/>
        <v>194714.33027999999</v>
      </c>
      <c r="W244" s="127">
        <f t="shared" si="155"/>
        <v>0.34092052937882339</v>
      </c>
      <c r="X244" s="128"/>
      <c r="Y244" s="223" t="s">
        <v>78</v>
      </c>
      <c r="Z244" s="129">
        <f t="shared" si="156"/>
        <v>0</v>
      </c>
      <c r="AA244" s="124">
        <f t="shared" si="160"/>
        <v>765857.2023</v>
      </c>
      <c r="AB244" s="130">
        <f t="shared" si="161"/>
        <v>571142.87202000001</v>
      </c>
      <c r="AC244" s="221">
        <f>1/3*649267</f>
        <v>216422.33333333331</v>
      </c>
      <c r="AD244" s="221">
        <f>2/3*649267</f>
        <v>432844.66666666663</v>
      </c>
      <c r="AE244" s="225" t="s">
        <v>78</v>
      </c>
      <c r="AF244" s="225" t="s">
        <v>78</v>
      </c>
      <c r="AG244" s="225" t="s">
        <v>78</v>
      </c>
      <c r="AH244" s="125">
        <f t="shared" si="211"/>
        <v>649267</v>
      </c>
      <c r="AI244" s="127">
        <f t="shared" si="157"/>
        <v>1.534137656451952</v>
      </c>
      <c r="AJ244" s="128"/>
      <c r="AK244" s="223" t="s">
        <v>78</v>
      </c>
      <c r="AL244" s="131">
        <f t="shared" si="158"/>
        <v>0</v>
      </c>
      <c r="AM244" s="368">
        <f t="shared" si="216"/>
        <v>876211.78717999998</v>
      </c>
      <c r="AN244" s="375">
        <f t="shared" si="162"/>
        <v>1642068.98948</v>
      </c>
      <c r="AO244" s="376">
        <f t="shared" si="163"/>
        <v>571142.87202000001</v>
      </c>
      <c r="AP244" s="394">
        <v>17506</v>
      </c>
      <c r="AQ244" s="422" t="s">
        <v>271</v>
      </c>
      <c r="AR244" s="396">
        <f t="shared" si="205"/>
        <v>23625.04724</v>
      </c>
      <c r="AS244" s="397"/>
      <c r="AT244" s="401">
        <v>76270</v>
      </c>
      <c r="AU244" s="396">
        <f t="shared" si="206"/>
        <v>102929.4158</v>
      </c>
      <c r="AV244" s="397"/>
      <c r="AW244" s="388">
        <f t="shared" si="164"/>
        <v>1768623.45252</v>
      </c>
      <c r="AX244" s="389">
        <f t="shared" si="165"/>
        <v>697697.33505999995</v>
      </c>
      <c r="AY244" s="353" t="s">
        <v>78</v>
      </c>
      <c r="AZ244" s="403" t="s">
        <v>548</v>
      </c>
      <c r="BA244" s="404" t="s">
        <v>354</v>
      </c>
    </row>
    <row r="245" spans="1:53" ht="15" customHeight="1">
      <c r="A245" s="1" t="str">
        <f t="shared" si="201"/>
        <v>TSX:FM_2025_Tech</v>
      </c>
      <c r="B245" s="1" t="str">
        <f t="shared" si="208"/>
        <v>TSX:FM_2025_NEO3</v>
      </c>
      <c r="C245" s="1" t="str">
        <f t="shared" si="202"/>
        <v>TSX:FM_2025_</v>
      </c>
      <c r="D245" s="114" t="str">
        <f t="shared" si="176"/>
        <v>TSX:FM</v>
      </c>
      <c r="E245" s="133" t="str">
        <f>_xll.ciqfunctions.udf.CIQ(D245,"IQ_Company_Name")</f>
        <v>First Quantum Minerals Ltd.</v>
      </c>
      <c r="F245" s="114">
        <f t="shared" si="214"/>
        <v>2025</v>
      </c>
      <c r="G245" s="114" t="str">
        <f t="shared" si="212"/>
        <v>2025-01-01</v>
      </c>
      <c r="H245" s="330" t="str">
        <f t="shared" si="170"/>
        <v>2025-12-31</v>
      </c>
      <c r="I245" s="114">
        <f t="shared" si="159"/>
        <v>12</v>
      </c>
      <c r="J245" s="407" t="s">
        <v>285</v>
      </c>
      <c r="K245" s="439">
        <f t="shared" si="209"/>
        <v>1.3974500000000001</v>
      </c>
      <c r="L245" s="445" t="s">
        <v>361</v>
      </c>
      <c r="M245" s="445"/>
      <c r="N245" s="351" t="s">
        <v>109</v>
      </c>
      <c r="O245" s="217" t="s">
        <v>578</v>
      </c>
      <c r="P245" s="218" t="s">
        <v>599</v>
      </c>
      <c r="Q245" s="219">
        <v>384011</v>
      </c>
      <c r="R245" s="420">
        <f>IFERROR(425634*(12/$I245)*$K245,"-")</f>
        <v>594802.23330000008</v>
      </c>
      <c r="S245" s="311">
        <v>425634</v>
      </c>
      <c r="T245" s="126">
        <f t="shared" si="187"/>
        <v>594802.23330000008</v>
      </c>
      <c r="U245" s="221">
        <v>178588</v>
      </c>
      <c r="V245" s="125">
        <f t="shared" si="195"/>
        <v>249567.80060000002</v>
      </c>
      <c r="W245" s="127">
        <f t="shared" ref="W245:W308" si="219">IFERROR($V245/$R245,"-")</f>
        <v>0.41958114248391809</v>
      </c>
      <c r="X245" s="128">
        <f>IFERROR(AVERAGE(W245:W247),"N/A")</f>
        <v>0.34293980686893</v>
      </c>
      <c r="Y245" s="223">
        <v>0.5</v>
      </c>
      <c r="Z245" s="129">
        <f t="shared" ref="Z245:Z308" si="220">IFERROR(IF(ISNUMBER($Y245)=TRUE, $Y245*$R245,$X245*$R245),"-")</f>
        <v>297401.11665000004</v>
      </c>
      <c r="AA245" s="124">
        <f t="shared" si="160"/>
        <v>844370.03390000015</v>
      </c>
      <c r="AB245" s="130">
        <f t="shared" si="161"/>
        <v>892203.34995000018</v>
      </c>
      <c r="AC245" s="221">
        <f>1/3*290205</f>
        <v>96735</v>
      </c>
      <c r="AD245" s="221">
        <f>2/3*290205</f>
        <v>193470</v>
      </c>
      <c r="AE245" s="225" t="s">
        <v>78</v>
      </c>
      <c r="AF245" s="225" t="s">
        <v>78</v>
      </c>
      <c r="AG245" s="225" t="s">
        <v>78</v>
      </c>
      <c r="AH245" s="125">
        <f t="shared" si="211"/>
        <v>290205</v>
      </c>
      <c r="AI245" s="127">
        <f t="shared" ref="AI245:AI308" si="221">IFERROR($AM245/$R245,"-")</f>
        <v>0.68181818181818177</v>
      </c>
      <c r="AJ245" s="128">
        <f>IFERROR(AVERAGE(AI245:AI247),"N/A")</f>
        <v>0.91985758824873953</v>
      </c>
      <c r="AK245" s="223">
        <v>0.75</v>
      </c>
      <c r="AL245" s="131">
        <f t="shared" ref="AL245:AL308" si="222">IFERROR(IF(ISNUMBER($AK245)=TRUE, $AK245*$R245, $AJ245*$R245), "-")</f>
        <v>446101.67497500009</v>
      </c>
      <c r="AM245" s="368">
        <f t="shared" si="216"/>
        <v>405546.97725</v>
      </c>
      <c r="AN245" s="375">
        <f t="shared" si="162"/>
        <v>1249917.0111500002</v>
      </c>
      <c r="AO245" s="376">
        <f t="shared" si="163"/>
        <v>1338305.0249250003</v>
      </c>
      <c r="AP245" s="394">
        <v>19325</v>
      </c>
      <c r="AQ245" s="422" t="s">
        <v>271</v>
      </c>
      <c r="AR245" s="396">
        <f t="shared" si="205"/>
        <v>27005.721250000002</v>
      </c>
      <c r="AS245" s="397">
        <f>IFERROR(AVERAGE(AR245:AR247),"N/A")</f>
        <v>25844.212116666666</v>
      </c>
      <c r="AT245" s="401">
        <v>17668</v>
      </c>
      <c r="AU245" s="396">
        <f t="shared" si="206"/>
        <v>24690.1466</v>
      </c>
      <c r="AV245" s="397">
        <f>IFERROR(AVERAGE(AU245:AU247),"N/A")</f>
        <v>28110.250936666667</v>
      </c>
      <c r="AW245" s="388">
        <f t="shared" si="164"/>
        <v>1301612.8790000002</v>
      </c>
      <c r="AX245" s="389">
        <f t="shared" si="165"/>
        <v>1390000.8927750003</v>
      </c>
      <c r="AY245" s="353" t="s">
        <v>78</v>
      </c>
      <c r="AZ245" s="403" t="s">
        <v>548</v>
      </c>
      <c r="BA245" s="404" t="s">
        <v>354</v>
      </c>
    </row>
    <row r="246" spans="1:53" ht="15" customHeight="1">
      <c r="A246" s="1" t="str">
        <f t="shared" si="201"/>
        <v>TSX:FM_2024_Tech</v>
      </c>
      <c r="B246" s="1" t="str">
        <f t="shared" si="208"/>
        <v>TSX:FM_2024_NEO3</v>
      </c>
      <c r="C246" s="1" t="str">
        <f t="shared" si="202"/>
        <v>TSX:FM_2024_</v>
      </c>
      <c r="D246" s="114" t="str">
        <f t="shared" si="176"/>
        <v>TSX:FM</v>
      </c>
      <c r="E246" s="133" t="str">
        <f>_xll.ciqfunctions.udf.CIQ(D246,"IQ_Company_Name")</f>
        <v>First Quantum Minerals Ltd.</v>
      </c>
      <c r="F246" s="114">
        <f t="shared" si="214"/>
        <v>2024</v>
      </c>
      <c r="G246" s="114" t="str">
        <f t="shared" si="212"/>
        <v>2024-01-01</v>
      </c>
      <c r="H246" s="330" t="str">
        <f t="shared" si="170"/>
        <v>2024-12-31</v>
      </c>
      <c r="I246" s="114">
        <f t="shared" ref="I246:I277" si="223">_xlfn.DAYS(H246,G246)/_xlfn.DAYS(F246&amp;"-12-31",F246&amp;"-01-01")*12</f>
        <v>12</v>
      </c>
      <c r="J246" s="407" t="s">
        <v>285</v>
      </c>
      <c r="K246" s="439">
        <f t="shared" si="209"/>
        <v>1.3701700000000001</v>
      </c>
      <c r="L246" s="445" t="s">
        <v>361</v>
      </c>
      <c r="M246" s="445"/>
      <c r="N246" s="122" t="str">
        <f t="shared" ref="N246:P247" si="224">N245</f>
        <v>NEO3</v>
      </c>
      <c r="O246" s="123" t="str">
        <f t="shared" si="224"/>
        <v>Director, Technical Reporting</v>
      </c>
      <c r="P246" s="132" t="str">
        <f t="shared" si="224"/>
        <v>Gavin Ashley</v>
      </c>
      <c r="Q246" s="219">
        <v>359892</v>
      </c>
      <c r="R246" s="125">
        <f t="shared" ref="R246:R262" si="225">IFERROR(Q246*(12/$I246)*$K246,"-")</f>
        <v>493113.22164000006</v>
      </c>
      <c r="S246" s="311" t="s">
        <v>78</v>
      </c>
      <c r="T246" s="126" t="str">
        <f t="shared" si="187"/>
        <v>-</v>
      </c>
      <c r="U246" s="221">
        <v>104369</v>
      </c>
      <c r="V246" s="125">
        <f t="shared" si="195"/>
        <v>143003.27273</v>
      </c>
      <c r="W246" s="127">
        <f t="shared" si="219"/>
        <v>0.29000088915563554</v>
      </c>
      <c r="X246" s="128"/>
      <c r="Y246" s="223" t="s">
        <v>78</v>
      </c>
      <c r="Z246" s="129">
        <f t="shared" si="220"/>
        <v>0</v>
      </c>
      <c r="AA246" s="124">
        <f t="shared" ref="AA246:AA309" si="226">IFERROR(IF(SUM(R246,V246)=0,"-",SUM(R246,V246)),"-")</f>
        <v>636116.49437000009</v>
      </c>
      <c r="AB246" s="130">
        <f t="shared" ref="AB246:AB309" si="227">IFERROR(IF(SUM(R246,Z246)=0,"-",SUM(R246,Z246)),"-")</f>
        <v>493113.22164000006</v>
      </c>
      <c r="AC246" s="221">
        <f>1/3*290205</f>
        <v>96735</v>
      </c>
      <c r="AD246" s="221">
        <f>2/3*290205</f>
        <v>193470</v>
      </c>
      <c r="AE246" s="225" t="s">
        <v>78</v>
      </c>
      <c r="AF246" s="225" t="s">
        <v>78</v>
      </c>
      <c r="AG246" s="225" t="s">
        <v>78</v>
      </c>
      <c r="AH246" s="125">
        <f t="shared" si="211"/>
        <v>290205</v>
      </c>
      <c r="AI246" s="127">
        <f t="shared" si="221"/>
        <v>0.80636691007302186</v>
      </c>
      <c r="AJ246" s="128"/>
      <c r="AK246" s="223" t="s">
        <v>78</v>
      </c>
      <c r="AL246" s="131">
        <f t="shared" si="222"/>
        <v>0</v>
      </c>
      <c r="AM246" s="368">
        <f t="shared" si="216"/>
        <v>397630.18485000002</v>
      </c>
      <c r="AN246" s="375">
        <f t="shared" ref="AN246:AN309" si="228">IFERROR(IF(SUM(AA246,AM246)=0,"-",SUM(AA246,AM246)),"-")</f>
        <v>1033746.67922</v>
      </c>
      <c r="AO246" s="376">
        <f t="shared" ref="AO246:AO309" si="229">IFERROR(IF(SUM($AB246,$AL246)=0,"-",SUM($AB246,$AL246)),"-")</f>
        <v>493113.22164000006</v>
      </c>
      <c r="AP246" s="394">
        <v>18912</v>
      </c>
      <c r="AQ246" s="422" t="s">
        <v>271</v>
      </c>
      <c r="AR246" s="396">
        <f t="shared" si="205"/>
        <v>25912.655040000001</v>
      </c>
      <c r="AS246" s="397"/>
      <c r="AT246" s="401">
        <v>18139</v>
      </c>
      <c r="AU246" s="396">
        <f t="shared" si="206"/>
        <v>24853.513630000001</v>
      </c>
      <c r="AV246" s="397"/>
      <c r="AW246" s="388">
        <f t="shared" ref="AW246:AW309" si="230">IFERROR(IF(SUM(AN246,AR246,AU246)=0,"-",SUM(AN246,AR246,AU246)),"-")</f>
        <v>1084512.8478900001</v>
      </c>
      <c r="AX246" s="389">
        <f t="shared" ref="AX246:AX309" si="231">IFERROR(IF(SUM(AO246,AR246,AU246)=0,"-",SUM(AO246,AR246,AU246)),"-")</f>
        <v>543879.39031000005</v>
      </c>
      <c r="AY246" s="353" t="s">
        <v>78</v>
      </c>
      <c r="AZ246" s="403" t="s">
        <v>548</v>
      </c>
      <c r="BA246" s="404" t="s">
        <v>354</v>
      </c>
    </row>
    <row r="247" spans="1:53" ht="15" customHeight="1">
      <c r="A247" s="1" t="str">
        <f t="shared" si="201"/>
        <v>TSX:FM_2023_Tech</v>
      </c>
      <c r="B247" s="1" t="str">
        <f t="shared" si="208"/>
        <v>TSX:FM_2023_NEO3</v>
      </c>
      <c r="C247" s="1" t="str">
        <f t="shared" si="202"/>
        <v>TSX:FM_2023_</v>
      </c>
      <c r="D247" s="203" t="str">
        <f t="shared" si="176"/>
        <v>TSX:FM</v>
      </c>
      <c r="E247" s="205" t="str">
        <f>_xll.ciqfunctions.udf.CIQ(D247,"IQ_Company_Name")</f>
        <v>First Quantum Minerals Ltd.</v>
      </c>
      <c r="F247" s="204">
        <f t="shared" si="214"/>
        <v>2023</v>
      </c>
      <c r="G247" s="204" t="str">
        <f t="shared" si="212"/>
        <v>2023-01-01</v>
      </c>
      <c r="H247" s="331" t="str">
        <f t="shared" si="170"/>
        <v>2023-12-31</v>
      </c>
      <c r="I247" s="204">
        <f t="shared" si="223"/>
        <v>12</v>
      </c>
      <c r="J247" s="408" t="s">
        <v>285</v>
      </c>
      <c r="K247" s="441">
        <f t="shared" si="209"/>
        <v>1.34954</v>
      </c>
      <c r="L247" s="454" t="s">
        <v>361</v>
      </c>
      <c r="M247" s="454"/>
      <c r="N247" s="956" t="str">
        <f t="shared" si="224"/>
        <v>NEO3</v>
      </c>
      <c r="O247" s="206" t="str">
        <f t="shared" si="224"/>
        <v>Director, Technical Reporting</v>
      </c>
      <c r="P247" s="207" t="str">
        <f t="shared" si="224"/>
        <v>Gavin Ashley</v>
      </c>
      <c r="Q247" s="220">
        <v>353837</v>
      </c>
      <c r="R247" s="209">
        <f t="shared" si="225"/>
        <v>477517.18497999996</v>
      </c>
      <c r="S247" s="312" t="s">
        <v>78</v>
      </c>
      <c r="T247" s="329" t="str">
        <f t="shared" si="187"/>
        <v>-</v>
      </c>
      <c r="U247" s="222">
        <v>112958</v>
      </c>
      <c r="V247" s="209">
        <f t="shared" si="195"/>
        <v>152441.33932</v>
      </c>
      <c r="W247" s="211">
        <f t="shared" si="219"/>
        <v>0.31923738896723636</v>
      </c>
      <c r="X247" s="212"/>
      <c r="Y247" s="224" t="s">
        <v>78</v>
      </c>
      <c r="Z247" s="213">
        <f t="shared" si="220"/>
        <v>0</v>
      </c>
      <c r="AA247" s="208">
        <f t="shared" si="226"/>
        <v>629958.52429999993</v>
      </c>
      <c r="AB247" s="214">
        <f t="shared" si="227"/>
        <v>477517.18497999996</v>
      </c>
      <c r="AC247" s="222">
        <f>1/3*449864</f>
        <v>149954.66666666666</v>
      </c>
      <c r="AD247" s="222">
        <f>2/3*449864</f>
        <v>299909.33333333331</v>
      </c>
      <c r="AE247" s="226" t="s">
        <v>78</v>
      </c>
      <c r="AF247" s="226" t="s">
        <v>78</v>
      </c>
      <c r="AG247" s="226" t="s">
        <v>78</v>
      </c>
      <c r="AH247" s="418">
        <f t="shared" si="211"/>
        <v>449864</v>
      </c>
      <c r="AI247" s="211">
        <f t="shared" si="221"/>
        <v>1.2713876728550153</v>
      </c>
      <c r="AJ247" s="212"/>
      <c r="AK247" s="224" t="s">
        <v>78</v>
      </c>
      <c r="AL247" s="215">
        <f t="shared" si="222"/>
        <v>0</v>
      </c>
      <c r="AM247" s="369">
        <f t="shared" si="216"/>
        <v>607109.46256000001</v>
      </c>
      <c r="AN247" s="377">
        <f t="shared" si="228"/>
        <v>1237067.9868600001</v>
      </c>
      <c r="AO247" s="378">
        <f t="shared" si="229"/>
        <v>477517.18497999996</v>
      </c>
      <c r="AP247" s="398">
        <v>18239</v>
      </c>
      <c r="AQ247" s="422" t="s">
        <v>271</v>
      </c>
      <c r="AR247" s="396">
        <f t="shared" si="205"/>
        <v>24614.260060000001</v>
      </c>
      <c r="AS247" s="400"/>
      <c r="AT247" s="402">
        <v>25777</v>
      </c>
      <c r="AU247" s="951">
        <f t="shared" si="206"/>
        <v>34787.092579999997</v>
      </c>
      <c r="AV247" s="400"/>
      <c r="AW247" s="390">
        <f t="shared" si="230"/>
        <v>1296469.3395</v>
      </c>
      <c r="AX247" s="391">
        <f t="shared" si="231"/>
        <v>536918.53761999996</v>
      </c>
      <c r="AY247" s="354" t="s">
        <v>78</v>
      </c>
      <c r="AZ247" s="405" t="s">
        <v>548</v>
      </c>
      <c r="BA247" s="404" t="s">
        <v>354</v>
      </c>
    </row>
    <row r="248" spans="1:53" ht="15" customHeight="1">
      <c r="A248" s="1" t="str">
        <f t="shared" si="201"/>
        <v>TSX:CDE_2025_</v>
      </c>
      <c r="B248" s="1" t="str">
        <f t="shared" si="208"/>
        <v>TSX:CDE_2025_CEO</v>
      </c>
      <c r="C248" s="1" t="str">
        <f t="shared" si="202"/>
        <v>TSX:CDE_2025_</v>
      </c>
      <c r="D248" s="216" t="str">
        <f>E18</f>
        <v>TSX:CDE</v>
      </c>
      <c r="E248" s="133" t="str">
        <f>_xll.ciqfunctions.udf.CIQ(D248,"IQ_Company_Name")</f>
        <v>Coeur Mining, Inc.</v>
      </c>
      <c r="F248" s="328">
        <v>2025</v>
      </c>
      <c r="G248" s="330" t="str">
        <f t="shared" si="212"/>
        <v>2025-01-01</v>
      </c>
      <c r="H248" s="330" t="str">
        <f t="shared" si="170"/>
        <v>2025-12-31</v>
      </c>
      <c r="I248" s="114">
        <f t="shared" si="223"/>
        <v>12</v>
      </c>
      <c r="J248" s="328" t="s">
        <v>285</v>
      </c>
      <c r="K248" s="439">
        <f t="shared" si="209"/>
        <v>1.3974500000000001</v>
      </c>
      <c r="L248" s="445"/>
      <c r="M248" s="445"/>
      <c r="N248" s="351" t="s">
        <v>79</v>
      </c>
      <c r="O248" s="217" t="s">
        <v>579</v>
      </c>
      <c r="P248" s="218" t="s">
        <v>600</v>
      </c>
      <c r="Q248" s="219">
        <v>850000</v>
      </c>
      <c r="R248" s="125">
        <f t="shared" si="225"/>
        <v>1187832.5</v>
      </c>
      <c r="S248" s="311" t="s">
        <v>78</v>
      </c>
      <c r="T248" s="126" t="str">
        <f t="shared" si="187"/>
        <v>-</v>
      </c>
      <c r="U248" s="221">
        <v>1413125</v>
      </c>
      <c r="V248" s="125">
        <f>IFERROR(U248*(12/$I248)*$K248,"-")</f>
        <v>1974771.53125</v>
      </c>
      <c r="W248" s="127">
        <f t="shared" si="219"/>
        <v>1.6625000000000001</v>
      </c>
      <c r="X248" s="128">
        <f>IFERROR(AVERAGE(W248:W250),"N/A")</f>
        <v>1.3166666666666667</v>
      </c>
      <c r="Y248" s="223">
        <v>1.25</v>
      </c>
      <c r="Z248" s="129">
        <f t="shared" si="220"/>
        <v>1484790.625</v>
      </c>
      <c r="AA248" s="124">
        <f t="shared" si="226"/>
        <v>3162604.03125</v>
      </c>
      <c r="AB248" s="130">
        <f t="shared" si="227"/>
        <v>2672623.125</v>
      </c>
      <c r="AC248" s="221">
        <f>0.4*4223336</f>
        <v>1689334.4000000001</v>
      </c>
      <c r="AD248" s="221">
        <f>0.6*4223336</f>
        <v>2534001.6</v>
      </c>
      <c r="AE248" s="225" t="s">
        <v>78</v>
      </c>
      <c r="AF248" s="225" t="s">
        <v>78</v>
      </c>
      <c r="AG248" s="225" t="s">
        <v>78</v>
      </c>
      <c r="AH248" s="125">
        <f>IFERROR(IF(SUM(AC248:AG248)=0,IF(COUNTIF($AC248:$AG248,"=0")&gt;0,"$0","-"),SUM(AC248:AG248)),"-")</f>
        <v>4223336</v>
      </c>
      <c r="AI248" s="127">
        <f t="shared" si="221"/>
        <v>4.9686305882352944</v>
      </c>
      <c r="AJ248" s="128">
        <f>IFERROR(AVERAGE(AI248:AI250),"N/A")</f>
        <v>3.4402976470588236</v>
      </c>
      <c r="AK248" s="223">
        <v>3.3</v>
      </c>
      <c r="AL248" s="131">
        <f t="shared" si="222"/>
        <v>3919847.25</v>
      </c>
      <c r="AM248" s="368">
        <f t="shared" si="216"/>
        <v>5901900.8932000007</v>
      </c>
      <c r="AN248" s="375">
        <f t="shared" si="228"/>
        <v>9064504.9244500007</v>
      </c>
      <c r="AO248" s="376">
        <f t="shared" si="229"/>
        <v>6592470.375</v>
      </c>
      <c r="AP248" s="394">
        <v>21000</v>
      </c>
      <c r="AQ248" s="395" t="s">
        <v>271</v>
      </c>
      <c r="AR248" s="396">
        <f t="shared" si="205"/>
        <v>29346.45</v>
      </c>
      <c r="AS248" s="409">
        <f>IFERROR(AVERAGE(AR248:AR250),"N/A")</f>
        <v>29346.45</v>
      </c>
      <c r="AT248" s="401">
        <f>160140-21000</f>
        <v>139140</v>
      </c>
      <c r="AU248" s="396">
        <f t="shared" si="206"/>
        <v>194441.193</v>
      </c>
      <c r="AV248" s="409">
        <f>IFERROR(AVERAGE(AU248:AU250),"N/A")</f>
        <v>202151.94576666667</v>
      </c>
      <c r="AW248" s="388">
        <f t="shared" si="230"/>
        <v>9288292.56745</v>
      </c>
      <c r="AX248" s="389">
        <f t="shared" si="231"/>
        <v>6816258.0180000002</v>
      </c>
      <c r="AY248" s="353" t="s">
        <v>78</v>
      </c>
      <c r="AZ248" s="403" t="s">
        <v>548</v>
      </c>
      <c r="BA248" s="404" t="s">
        <v>354</v>
      </c>
    </row>
    <row r="249" spans="1:53" ht="15" customHeight="1">
      <c r="A249" s="1" t="str">
        <f t="shared" si="201"/>
        <v>TSX:CDE_2024_</v>
      </c>
      <c r="B249" s="1" t="str">
        <f t="shared" si="208"/>
        <v>TSX:CDE_2024_CEO</v>
      </c>
      <c r="C249" s="1" t="str">
        <f t="shared" si="202"/>
        <v>TSX:CDE_2024_</v>
      </c>
      <c r="D249" s="114" t="str">
        <f>D248</f>
        <v>TSX:CDE</v>
      </c>
      <c r="E249" s="133" t="str">
        <f>_xll.ciqfunctions.udf.CIQ(D249,"IQ_Company_Name")</f>
        <v>Coeur Mining, Inc.</v>
      </c>
      <c r="F249" s="328">
        <v>2024</v>
      </c>
      <c r="G249" s="330" t="str">
        <f t="shared" si="212"/>
        <v>2024-01-01</v>
      </c>
      <c r="H249" s="330" t="str">
        <f t="shared" si="170"/>
        <v>2024-12-31</v>
      </c>
      <c r="I249" s="114">
        <f t="shared" si="223"/>
        <v>12</v>
      </c>
      <c r="J249" s="407" t="s">
        <v>285</v>
      </c>
      <c r="K249" s="439">
        <f t="shared" si="209"/>
        <v>1.3701700000000001</v>
      </c>
      <c r="L249" s="445"/>
      <c r="M249" s="445"/>
      <c r="N249" s="122" t="str">
        <f t="shared" ref="N249:P250" si="232">N248</f>
        <v>CEO</v>
      </c>
      <c r="O249" s="123" t="str">
        <f t="shared" si="232"/>
        <v>Chairman, President &amp; CEO</v>
      </c>
      <c r="P249" s="132" t="str">
        <f t="shared" si="232"/>
        <v>Mitchell J. Krebs</v>
      </c>
      <c r="Q249" s="219">
        <v>850000</v>
      </c>
      <c r="R249" s="125">
        <f t="shared" si="225"/>
        <v>1164644.5</v>
      </c>
      <c r="S249" s="311" t="s">
        <v>78</v>
      </c>
      <c r="T249" s="126" t="str">
        <f t="shared" si="187"/>
        <v>-</v>
      </c>
      <c r="U249" s="221">
        <v>1051875</v>
      </c>
      <c r="V249" s="125">
        <f>IFERROR(U249*(12/$I249)*$K249,"-")</f>
        <v>1441247.5687500001</v>
      </c>
      <c r="W249" s="127">
        <f t="shared" si="219"/>
        <v>1.2375</v>
      </c>
      <c r="X249" s="128"/>
      <c r="Y249" s="223" t="s">
        <v>78</v>
      </c>
      <c r="Z249" s="129">
        <f t="shared" si="220"/>
        <v>0</v>
      </c>
      <c r="AA249" s="124">
        <f t="shared" si="226"/>
        <v>2605892.0687500001</v>
      </c>
      <c r="AB249" s="130">
        <f t="shared" si="227"/>
        <v>1164644.5</v>
      </c>
      <c r="AC249" s="221">
        <f>0.4*2334161</f>
        <v>933664.4</v>
      </c>
      <c r="AD249" s="221">
        <f>0.6*2334161</f>
        <v>1400496.5999999999</v>
      </c>
      <c r="AE249" s="225" t="s">
        <v>78</v>
      </c>
      <c r="AF249" s="225" t="s">
        <v>78</v>
      </c>
      <c r="AG249" s="225" t="s">
        <v>78</v>
      </c>
      <c r="AH249" s="125">
        <f>IFERROR(IF(SUM(AC249:AG249)=0,IF(COUNTIF($AC249:$AG249,"=0")&gt;0,"$0","-"),SUM(AC249:AG249)),"-")</f>
        <v>2334161</v>
      </c>
      <c r="AI249" s="127">
        <f t="shared" si="221"/>
        <v>2.7460717647058828</v>
      </c>
      <c r="AJ249" s="128"/>
      <c r="AK249" s="223" t="s">
        <v>78</v>
      </c>
      <c r="AL249" s="131">
        <f t="shared" si="222"/>
        <v>0</v>
      </c>
      <c r="AM249" s="368">
        <f t="shared" si="216"/>
        <v>3198197.3773700004</v>
      </c>
      <c r="AN249" s="375">
        <f t="shared" si="228"/>
        <v>5804089.4461200004</v>
      </c>
      <c r="AO249" s="376">
        <f t="shared" si="229"/>
        <v>1164644.5</v>
      </c>
      <c r="AP249" s="394" t="s">
        <v>78</v>
      </c>
      <c r="AQ249" s="395" t="s">
        <v>78</v>
      </c>
      <c r="AR249" s="396" t="str">
        <f t="shared" si="205"/>
        <v>-</v>
      </c>
      <c r="AS249" s="397"/>
      <c r="AT249" s="401">
        <v>151770</v>
      </c>
      <c r="AU249" s="396">
        <f t="shared" si="206"/>
        <v>207950.70090000003</v>
      </c>
      <c r="AV249" s="397"/>
      <c r="AW249" s="388">
        <f t="shared" si="230"/>
        <v>6012040.14702</v>
      </c>
      <c r="AX249" s="389">
        <f t="shared" si="231"/>
        <v>1372595.2009000001</v>
      </c>
      <c r="AY249" s="353" t="s">
        <v>78</v>
      </c>
      <c r="AZ249" s="403" t="s">
        <v>548</v>
      </c>
      <c r="BA249" s="404" t="s">
        <v>354</v>
      </c>
    </row>
    <row r="250" spans="1:53" ht="15" customHeight="1">
      <c r="A250" s="1" t="str">
        <f t="shared" si="201"/>
        <v>TSX:CDE_2023_</v>
      </c>
      <c r="B250" s="1" t="str">
        <f t="shared" si="208"/>
        <v>TSX:CDE_2023_CEO</v>
      </c>
      <c r="C250" s="1" t="str">
        <f t="shared" si="202"/>
        <v>TSX:CDE_2023_</v>
      </c>
      <c r="D250" s="114" t="str">
        <f t="shared" si="176"/>
        <v>TSX:CDE</v>
      </c>
      <c r="E250" s="133" t="str">
        <f>_xll.ciqfunctions.udf.CIQ(D250,"IQ_Company_Name")</f>
        <v>Coeur Mining, Inc.</v>
      </c>
      <c r="F250" s="328">
        <v>2023</v>
      </c>
      <c r="G250" s="114" t="str">
        <f t="shared" si="212"/>
        <v>2023-01-01</v>
      </c>
      <c r="H250" s="330" t="str">
        <f t="shared" si="170"/>
        <v>2023-12-31</v>
      </c>
      <c r="I250" s="114">
        <f t="shared" si="223"/>
        <v>12</v>
      </c>
      <c r="J250" s="407" t="s">
        <v>285</v>
      </c>
      <c r="K250" s="439">
        <f t="shared" si="209"/>
        <v>1.34954</v>
      </c>
      <c r="L250" s="445"/>
      <c r="M250" s="445"/>
      <c r="N250" s="122" t="str">
        <f t="shared" si="232"/>
        <v>CEO</v>
      </c>
      <c r="O250" s="123" t="str">
        <f t="shared" si="232"/>
        <v>Chairman, President &amp; CEO</v>
      </c>
      <c r="P250" s="132" t="str">
        <f t="shared" si="232"/>
        <v>Mitchell J. Krebs</v>
      </c>
      <c r="Q250" s="219">
        <v>850000</v>
      </c>
      <c r="R250" s="125">
        <f t="shared" si="225"/>
        <v>1147109</v>
      </c>
      <c r="S250" s="311" t="s">
        <v>78</v>
      </c>
      <c r="T250" s="126" t="str">
        <f t="shared" si="187"/>
        <v>-</v>
      </c>
      <c r="U250" s="221">
        <v>892500</v>
      </c>
      <c r="V250" s="125">
        <f>IFERROR(U250*(12/$I250)*$K250,"-")</f>
        <v>1204464.45</v>
      </c>
      <c r="W250" s="127">
        <f t="shared" si="219"/>
        <v>1.05</v>
      </c>
      <c r="X250" s="128"/>
      <c r="Y250" s="223" t="s">
        <v>78</v>
      </c>
      <c r="Z250" s="129">
        <f t="shared" si="220"/>
        <v>0</v>
      </c>
      <c r="AA250" s="124">
        <f t="shared" si="226"/>
        <v>2351573.4500000002</v>
      </c>
      <c r="AB250" s="130">
        <f t="shared" si="227"/>
        <v>1147109</v>
      </c>
      <c r="AC250" s="221">
        <f>0.4*2215262</f>
        <v>886104.8</v>
      </c>
      <c r="AD250" s="221">
        <f>0.6*2215262</f>
        <v>1329157.2</v>
      </c>
      <c r="AE250" s="225" t="s">
        <v>78</v>
      </c>
      <c r="AF250" s="225" t="s">
        <v>78</v>
      </c>
      <c r="AG250" s="225" t="s">
        <v>78</v>
      </c>
      <c r="AH250" s="125">
        <f>IFERROR(IF(SUM(AC250:AG250)=0,IF(COUNTIF($AC250:$AG250,"=0")&gt;0,"$0","-"),SUM(AC250:AG250)),"-")</f>
        <v>2215262</v>
      </c>
      <c r="AI250" s="127">
        <f t="shared" si="221"/>
        <v>2.606190588235294</v>
      </c>
      <c r="AJ250" s="128"/>
      <c r="AK250" s="223" t="s">
        <v>78</v>
      </c>
      <c r="AL250" s="131">
        <f t="shared" si="222"/>
        <v>0</v>
      </c>
      <c r="AM250" s="368">
        <f t="shared" si="216"/>
        <v>2989584.6794799999</v>
      </c>
      <c r="AN250" s="375">
        <f t="shared" si="228"/>
        <v>5341158.1294800006</v>
      </c>
      <c r="AO250" s="376">
        <f t="shared" si="229"/>
        <v>1147109</v>
      </c>
      <c r="AP250" s="394" t="s">
        <v>78</v>
      </c>
      <c r="AQ250" s="395" t="s">
        <v>78</v>
      </c>
      <c r="AR250" s="396" t="str">
        <f t="shared" si="205"/>
        <v>-</v>
      </c>
      <c r="AS250" s="397"/>
      <c r="AT250" s="401">
        <v>151210</v>
      </c>
      <c r="AU250" s="396">
        <f t="shared" si="206"/>
        <v>204063.94339999999</v>
      </c>
      <c r="AV250" s="397"/>
      <c r="AW250" s="388">
        <f t="shared" si="230"/>
        <v>5545222.0728800008</v>
      </c>
      <c r="AX250" s="389">
        <f t="shared" si="231"/>
        <v>1351172.9434</v>
      </c>
      <c r="AY250" s="353" t="s">
        <v>78</v>
      </c>
      <c r="AZ250" s="403" t="s">
        <v>548</v>
      </c>
      <c r="BA250" s="404" t="s">
        <v>354</v>
      </c>
    </row>
    <row r="251" spans="1:53" ht="15" customHeight="1">
      <c r="A251" s="1" t="str">
        <f t="shared" si="201"/>
        <v>TSX:CDE_2025_</v>
      </c>
      <c r="B251" s="1" t="str">
        <f t="shared" si="208"/>
        <v>TSX:CDE_2025_CFO</v>
      </c>
      <c r="C251" s="1" t="str">
        <f t="shared" si="202"/>
        <v>TSX:CDE_2025_</v>
      </c>
      <c r="D251" s="114" t="str">
        <f t="shared" si="176"/>
        <v>TSX:CDE</v>
      </c>
      <c r="E251" s="133" t="str">
        <f>_xll.ciqfunctions.udf.CIQ(D251,"IQ_Company_Name")</f>
        <v>Coeur Mining, Inc.</v>
      </c>
      <c r="F251" s="114">
        <f t="shared" ref="F251:F262" si="233">F248</f>
        <v>2025</v>
      </c>
      <c r="G251" s="114" t="str">
        <f t="shared" si="212"/>
        <v>2025-01-01</v>
      </c>
      <c r="H251" s="330" t="str">
        <f t="shared" si="170"/>
        <v>2025-12-31</v>
      </c>
      <c r="I251" s="114">
        <f t="shared" si="223"/>
        <v>12</v>
      </c>
      <c r="J251" s="407" t="s">
        <v>285</v>
      </c>
      <c r="K251" s="439">
        <f t="shared" si="209"/>
        <v>1.3974500000000001</v>
      </c>
      <c r="L251" s="445"/>
      <c r="M251" s="445"/>
      <c r="N251" s="351" t="s">
        <v>106</v>
      </c>
      <c r="O251" s="217" t="s">
        <v>292</v>
      </c>
      <c r="P251" s="218" t="s">
        <v>601</v>
      </c>
      <c r="Q251" s="219">
        <v>475000</v>
      </c>
      <c r="R251" s="125">
        <f t="shared" si="225"/>
        <v>663788.75</v>
      </c>
      <c r="S251" s="311" t="s">
        <v>78</v>
      </c>
      <c r="T251" s="126" t="str">
        <f t="shared" si="187"/>
        <v>-</v>
      </c>
      <c r="U251" s="221">
        <v>638400</v>
      </c>
      <c r="V251" s="125">
        <f>IFERROR(U251*(12/$I251)*$K251,"-")</f>
        <v>892132.08000000007</v>
      </c>
      <c r="W251" s="127">
        <f t="shared" si="219"/>
        <v>1.3440000000000001</v>
      </c>
      <c r="X251" s="128">
        <f>IFERROR(AVERAGE(W251:W253),"N/A")</f>
        <v>1.218</v>
      </c>
      <c r="Y251" s="223">
        <v>1</v>
      </c>
      <c r="Z251" s="129">
        <f t="shared" si="220"/>
        <v>663788.75</v>
      </c>
      <c r="AA251" s="124">
        <f t="shared" si="226"/>
        <v>1555920.83</v>
      </c>
      <c r="AB251" s="130">
        <f t="shared" si="227"/>
        <v>1327577.5</v>
      </c>
      <c r="AC251" s="221">
        <f>0.4*1609149</f>
        <v>643659.60000000009</v>
      </c>
      <c r="AD251" s="221">
        <f>0.6*1609149</f>
        <v>965489.39999999991</v>
      </c>
      <c r="AE251" s="225" t="s">
        <v>78</v>
      </c>
      <c r="AF251" s="225" t="s">
        <v>78</v>
      </c>
      <c r="AG251" s="225" t="s">
        <v>78</v>
      </c>
      <c r="AH251" s="125">
        <f>IFERROR(IF(SUM(AC251:AG251)=0,IF(COUNTIF($AC251:$AG251,"=0")&gt;0,"$0","-"),SUM(AC251:AG251)),"-")</f>
        <v>1609149</v>
      </c>
      <c r="AI251" s="127">
        <f t="shared" si="221"/>
        <v>3.3876821052631576</v>
      </c>
      <c r="AJ251" s="128">
        <f>IFERROR(AVERAGE(AI251:AI253),"N/A")</f>
        <v>2.7236157894736843</v>
      </c>
      <c r="AK251" s="223">
        <v>2.25</v>
      </c>
      <c r="AL251" s="131">
        <f t="shared" si="222"/>
        <v>1493524.6875</v>
      </c>
      <c r="AM251" s="368">
        <f t="shared" si="216"/>
        <v>2248705.2700499999</v>
      </c>
      <c r="AN251" s="375">
        <f t="shared" si="228"/>
        <v>3804626.10005</v>
      </c>
      <c r="AO251" s="376">
        <f t="shared" si="229"/>
        <v>2821102.1875</v>
      </c>
      <c r="AP251" s="394">
        <v>21000</v>
      </c>
      <c r="AQ251" s="395" t="s">
        <v>271</v>
      </c>
      <c r="AR251" s="396">
        <f t="shared" si="205"/>
        <v>29346.45</v>
      </c>
      <c r="AS251" s="397">
        <f>IFERROR(AVERAGE(AR251:AR253),"N/A")</f>
        <v>29346.45</v>
      </c>
      <c r="AT251" s="401">
        <f>88016-21000</f>
        <v>67016</v>
      </c>
      <c r="AU251" s="396">
        <f t="shared" si="206"/>
        <v>93651.5092</v>
      </c>
      <c r="AV251" s="397">
        <f>IFERROR(AVERAGE(AU251:AU253),"N/A")</f>
        <v>90982.24295333332</v>
      </c>
      <c r="AW251" s="388">
        <f t="shared" si="230"/>
        <v>3927624.0592500004</v>
      </c>
      <c r="AX251" s="389">
        <f t="shared" si="231"/>
        <v>2944100.1467000004</v>
      </c>
      <c r="AY251" s="353" t="s">
        <v>78</v>
      </c>
      <c r="AZ251" s="403" t="s">
        <v>548</v>
      </c>
      <c r="BA251" s="404" t="s">
        <v>354</v>
      </c>
    </row>
    <row r="252" spans="1:53" ht="15" customHeight="1">
      <c r="A252" s="1" t="str">
        <f t="shared" si="201"/>
        <v>TSX:CDE_2024_</v>
      </c>
      <c r="B252" s="1" t="str">
        <f t="shared" si="208"/>
        <v>TSX:CDE_2024_CFO</v>
      </c>
      <c r="C252" s="1" t="str">
        <f t="shared" si="202"/>
        <v>TSX:CDE_2024_</v>
      </c>
      <c r="D252" s="114" t="str">
        <f t="shared" si="176"/>
        <v>TSX:CDE</v>
      </c>
      <c r="E252" s="133" t="str">
        <f>_xll.ciqfunctions.udf.CIQ(D252,"IQ_Company_Name")</f>
        <v>Coeur Mining, Inc.</v>
      </c>
      <c r="F252" s="114">
        <f t="shared" si="233"/>
        <v>2024</v>
      </c>
      <c r="G252" s="114" t="str">
        <f t="shared" si="212"/>
        <v>2024-01-01</v>
      </c>
      <c r="H252" s="330" t="str">
        <f t="shared" si="170"/>
        <v>2024-12-31</v>
      </c>
      <c r="I252" s="114">
        <f t="shared" si="223"/>
        <v>12</v>
      </c>
      <c r="J252" s="407" t="s">
        <v>285</v>
      </c>
      <c r="K252" s="439">
        <f t="shared" si="209"/>
        <v>1.3701700000000001</v>
      </c>
      <c r="L252" s="445"/>
      <c r="M252" s="445"/>
      <c r="N252" s="122" t="str">
        <f t="shared" ref="N252:P253" si="234">N251</f>
        <v>CFO</v>
      </c>
      <c r="O252" s="123" t="str">
        <f>O251</f>
        <v>EVP &amp; CFO</v>
      </c>
      <c r="P252" s="132" t="str">
        <f>P251</f>
        <v>Thomas S. Whelan</v>
      </c>
      <c r="Q252" s="219">
        <v>475000</v>
      </c>
      <c r="R252" s="125">
        <f t="shared" si="225"/>
        <v>650830.75</v>
      </c>
      <c r="S252" s="311" t="s">
        <v>78</v>
      </c>
      <c r="T252" s="126" t="str">
        <f t="shared" si="187"/>
        <v>-</v>
      </c>
      <c r="U252" s="221">
        <v>518700</v>
      </c>
      <c r="V252" s="125">
        <f>IFERROR(U252*(12/$I252)*$K252,"-")</f>
        <v>710707.179</v>
      </c>
      <c r="W252" s="127">
        <f t="shared" si="219"/>
        <v>1.0920000000000001</v>
      </c>
      <c r="X252" s="128"/>
      <c r="Y252" s="223" t="s">
        <v>78</v>
      </c>
      <c r="Z252" s="129">
        <f t="shared" si="220"/>
        <v>0</v>
      </c>
      <c r="AA252" s="124">
        <f t="shared" si="226"/>
        <v>1361537.929</v>
      </c>
      <c r="AB252" s="130">
        <f t="shared" si="227"/>
        <v>650830.75</v>
      </c>
      <c r="AC252" s="221">
        <f>0.4*978286</f>
        <v>391314.4</v>
      </c>
      <c r="AD252" s="221">
        <f>0.6*978286</f>
        <v>586971.6</v>
      </c>
      <c r="AE252" s="225" t="s">
        <v>78</v>
      </c>
      <c r="AF252" s="225" t="s">
        <v>78</v>
      </c>
      <c r="AG252" s="225" t="s">
        <v>78</v>
      </c>
      <c r="AH252" s="125">
        <f>IFERROR(IF(SUM(AC252:AG252)=0,IF(COUNTIF($AC252:$AG252,"=0")&gt;0,"$0","-"),SUM(AC252:AG252)),"-")</f>
        <v>978286</v>
      </c>
      <c r="AI252" s="127">
        <f t="shared" si="221"/>
        <v>2.0595494736842106</v>
      </c>
      <c r="AJ252" s="128"/>
      <c r="AK252" s="223" t="s">
        <v>78</v>
      </c>
      <c r="AL252" s="131">
        <f t="shared" si="222"/>
        <v>0</v>
      </c>
      <c r="AM252" s="368">
        <f t="shared" si="216"/>
        <v>1340418.1286200001</v>
      </c>
      <c r="AN252" s="375">
        <f t="shared" si="228"/>
        <v>2701956.0576200001</v>
      </c>
      <c r="AO252" s="376">
        <f t="shared" si="229"/>
        <v>650830.75</v>
      </c>
      <c r="AP252" s="394" t="s">
        <v>78</v>
      </c>
      <c r="AQ252" s="395" t="s">
        <v>78</v>
      </c>
      <c r="AR252" s="396" t="str">
        <f t="shared" si="205"/>
        <v>-</v>
      </c>
      <c r="AS252" s="397"/>
      <c r="AT252" s="401">
        <v>69704</v>
      </c>
      <c r="AU252" s="396">
        <f t="shared" si="206"/>
        <v>95506.32968000001</v>
      </c>
      <c r="AV252" s="397"/>
      <c r="AW252" s="388">
        <f t="shared" si="230"/>
        <v>2797462.3873000001</v>
      </c>
      <c r="AX252" s="389">
        <f t="shared" si="231"/>
        <v>746337.07967999997</v>
      </c>
      <c r="AY252" s="353" t="s">
        <v>78</v>
      </c>
      <c r="AZ252" s="403" t="s">
        <v>548</v>
      </c>
      <c r="BA252" s="404" t="s">
        <v>354</v>
      </c>
    </row>
    <row r="253" spans="1:53" ht="15" customHeight="1">
      <c r="A253" s="1" t="str">
        <f t="shared" si="201"/>
        <v>TSX:CDE_2023_</v>
      </c>
      <c r="B253" s="1" t="str">
        <f t="shared" si="208"/>
        <v>TSX:CDE_2023_CFO</v>
      </c>
      <c r="C253" s="1" t="str">
        <f t="shared" si="202"/>
        <v>TSX:CDE_2023_</v>
      </c>
      <c r="D253" s="114" t="str">
        <f t="shared" si="176"/>
        <v>TSX:CDE</v>
      </c>
      <c r="E253" s="133" t="str">
        <f>_xll.ciqfunctions.udf.CIQ(D253,"IQ_Company_Name")</f>
        <v>Coeur Mining, Inc.</v>
      </c>
      <c r="F253" s="114">
        <f t="shared" si="233"/>
        <v>2023</v>
      </c>
      <c r="G253" s="114" t="str">
        <f t="shared" si="212"/>
        <v>2023-01-01</v>
      </c>
      <c r="H253" s="330" t="str">
        <f t="shared" ref="H253:H277" si="235">F253&amp;"-12-31"</f>
        <v>2023-12-31</v>
      </c>
      <c r="I253" s="114">
        <f t="shared" si="223"/>
        <v>12</v>
      </c>
      <c r="J253" s="407" t="s">
        <v>285</v>
      </c>
      <c r="K253" s="439">
        <f t="shared" si="209"/>
        <v>1.34954</v>
      </c>
      <c r="L253" s="445"/>
      <c r="M253" s="445"/>
      <c r="N253" s="122" t="str">
        <f t="shared" si="234"/>
        <v>CFO</v>
      </c>
      <c r="O253" s="123" t="str">
        <f t="shared" si="234"/>
        <v>EVP &amp; CFO</v>
      </c>
      <c r="P253" s="132" t="str">
        <f t="shared" si="234"/>
        <v>Thomas S. Whelan</v>
      </c>
      <c r="Q253" s="219">
        <v>466667</v>
      </c>
      <c r="R253" s="125">
        <f t="shared" si="225"/>
        <v>629785.78318000003</v>
      </c>
      <c r="S253" s="311" t="s">
        <v>78</v>
      </c>
      <c r="T253" s="126" t="str">
        <f t="shared" si="187"/>
        <v>-</v>
      </c>
      <c r="U253" s="221">
        <v>461700</v>
      </c>
      <c r="V253" s="125"/>
      <c r="W253" s="127"/>
      <c r="X253" s="128"/>
      <c r="Y253" s="223" t="s">
        <v>78</v>
      </c>
      <c r="Z253" s="129"/>
      <c r="AA253" s="124"/>
      <c r="AB253" s="130"/>
      <c r="AC253" s="221">
        <f>0.4*879588</f>
        <v>351835.2</v>
      </c>
      <c r="AD253" s="221">
        <f>0.6*879588</f>
        <v>527752.79999999993</v>
      </c>
      <c r="AE253" s="225" t="s">
        <v>78</v>
      </c>
      <c r="AF253" s="225" t="s">
        <v>78</v>
      </c>
      <c r="AG253" s="225" t="s">
        <v>78</v>
      </c>
      <c r="AH253" s="125"/>
      <c r="AI253" s="127"/>
      <c r="AJ253" s="128"/>
      <c r="AK253" s="223" t="s">
        <v>78</v>
      </c>
      <c r="AL253" s="131"/>
      <c r="AM253" s="368"/>
      <c r="AN253" s="375"/>
      <c r="AO253" s="376"/>
      <c r="AP253" s="394" t="s">
        <v>78</v>
      </c>
      <c r="AQ253" s="395" t="s">
        <v>78</v>
      </c>
      <c r="AR253" s="396" t="str">
        <f t="shared" si="205"/>
        <v>-</v>
      </c>
      <c r="AS253" s="397"/>
      <c r="AT253" s="401">
        <v>62087</v>
      </c>
      <c r="AU253" s="396">
        <f t="shared" si="206"/>
        <v>83788.889979999993</v>
      </c>
      <c r="AV253" s="397"/>
      <c r="AW253" s="388">
        <f t="shared" si="230"/>
        <v>83788.889979999993</v>
      </c>
      <c r="AX253" s="389">
        <f t="shared" si="231"/>
        <v>83788.889979999993</v>
      </c>
      <c r="AY253" s="353" t="s">
        <v>78</v>
      </c>
      <c r="AZ253" s="403" t="s">
        <v>548</v>
      </c>
      <c r="BA253" s="404" t="s">
        <v>354</v>
      </c>
    </row>
    <row r="254" spans="1:53" ht="15" customHeight="1">
      <c r="A254" s="1" t="str">
        <f t="shared" si="201"/>
        <v>TSX:CDE_2025_COO</v>
      </c>
      <c r="B254" s="1" t="str">
        <f t="shared" si="208"/>
        <v>TSX:CDE_2025_NEO1</v>
      </c>
      <c r="C254" s="1" t="str">
        <f t="shared" si="202"/>
        <v>TSX:CDE_2025_2nd Highest</v>
      </c>
      <c r="D254" s="114" t="str">
        <f t="shared" si="176"/>
        <v>TSX:CDE</v>
      </c>
      <c r="E254" s="133" t="str">
        <f>_xll.ciqfunctions.udf.CIQ(D254,"IQ_Company_Name")</f>
        <v>Coeur Mining, Inc.</v>
      </c>
      <c r="F254" s="114">
        <f t="shared" si="233"/>
        <v>2025</v>
      </c>
      <c r="G254" s="330" t="str">
        <f t="shared" si="212"/>
        <v>2025-01-01</v>
      </c>
      <c r="H254" s="330" t="str">
        <f t="shared" si="235"/>
        <v>2025-12-31</v>
      </c>
      <c r="I254" s="114">
        <f t="shared" si="223"/>
        <v>12</v>
      </c>
      <c r="J254" s="407" t="s">
        <v>285</v>
      </c>
      <c r="K254" s="439">
        <f t="shared" si="209"/>
        <v>1.3974500000000001</v>
      </c>
      <c r="L254" s="445" t="s">
        <v>272</v>
      </c>
      <c r="M254" s="445" t="s">
        <v>669</v>
      </c>
      <c r="N254" s="351" t="s">
        <v>107</v>
      </c>
      <c r="O254" s="217" t="s">
        <v>318</v>
      </c>
      <c r="P254" s="218" t="s">
        <v>602</v>
      </c>
      <c r="Q254" s="219">
        <v>525000</v>
      </c>
      <c r="R254" s="125">
        <f t="shared" si="225"/>
        <v>733661.25</v>
      </c>
      <c r="S254" s="311" t="s">
        <v>78</v>
      </c>
      <c r="T254" s="126" t="str">
        <f t="shared" si="187"/>
        <v>-</v>
      </c>
      <c r="U254" s="221">
        <v>689850</v>
      </c>
      <c r="V254" s="125">
        <f t="shared" ref="V254:V262" si="236">IFERROR(U254*(12/$I254)*$K254,"-")</f>
        <v>964030.88250000007</v>
      </c>
      <c r="W254" s="127">
        <f t="shared" si="219"/>
        <v>1.3140000000000001</v>
      </c>
      <c r="X254" s="128">
        <f>IFERROR(AVERAGE(W254:W256),"N/A")</f>
        <v>1.0693333333333332</v>
      </c>
      <c r="Y254" s="223">
        <v>1</v>
      </c>
      <c r="Z254" s="129">
        <f t="shared" si="220"/>
        <v>733661.25</v>
      </c>
      <c r="AA254" s="124">
        <f t="shared" ref="AA254:AA262" si="237">IFERROR(IF(SUM(R254,V254)=0,"-",SUM(R254,V254)),"-")</f>
        <v>1697692.1325000001</v>
      </c>
      <c r="AB254" s="130">
        <f t="shared" ref="AB254:AB262" si="238">IFERROR(IF(SUM(R254,Z254)=0,"-",SUM(R254,Z254)),"-")</f>
        <v>1467322.5</v>
      </c>
      <c r="AC254" s="221">
        <f>0.4*1778538</f>
        <v>711415.20000000007</v>
      </c>
      <c r="AD254" s="221">
        <f>0.6*1778538</f>
        <v>1067122.8</v>
      </c>
      <c r="AE254" s="225" t="s">
        <v>78</v>
      </c>
      <c r="AF254" s="225" t="s">
        <v>78</v>
      </c>
      <c r="AG254" s="225" t="s">
        <v>78</v>
      </c>
      <c r="AH254" s="125">
        <f t="shared" ref="AH254:AH262" si="239">IFERROR(IF(SUM(AC254:AG254)=0,IF(COUNTIF($AC254:$AG254,"=0")&gt;0,"$0","-"),SUM(AC254:AG254)),"-")</f>
        <v>1778538</v>
      </c>
      <c r="AI254" s="127">
        <f t="shared" si="221"/>
        <v>3.3876914285714288</v>
      </c>
      <c r="AJ254" s="128">
        <f>IFERROR(AVERAGE(AI254:AI256),"N/A")</f>
        <v>2.4672939682539679</v>
      </c>
      <c r="AK254" s="223">
        <v>2.25</v>
      </c>
      <c r="AL254" s="131">
        <f t="shared" si="222"/>
        <v>1650737.8125</v>
      </c>
      <c r="AM254" s="368">
        <f t="shared" si="216"/>
        <v>2485417.9281000001</v>
      </c>
      <c r="AN254" s="375">
        <f t="shared" ref="AN254:AN262" si="240">IFERROR(IF(SUM(AA254,AM254)=0,"-",SUM(AA254,AM254)),"-")</f>
        <v>4183110.0606000004</v>
      </c>
      <c r="AO254" s="376">
        <f t="shared" si="229"/>
        <v>3118060.3125</v>
      </c>
      <c r="AP254" s="394">
        <v>21000</v>
      </c>
      <c r="AQ254" s="395" t="s">
        <v>271</v>
      </c>
      <c r="AR254" s="396">
        <f t="shared" si="205"/>
        <v>29346.45</v>
      </c>
      <c r="AS254" s="397">
        <f>IFERROR(AVERAGE(AR254:AR256),"N/A")</f>
        <v>29346.45</v>
      </c>
      <c r="AT254" s="401">
        <f>72349-21000</f>
        <v>51349</v>
      </c>
      <c r="AU254" s="396">
        <f t="shared" si="206"/>
        <v>71757.660050000006</v>
      </c>
      <c r="AV254" s="397">
        <f>IFERROR(AVERAGE(AU254:AU256),"N/A")</f>
        <v>84997.562856666671</v>
      </c>
      <c r="AW254" s="388">
        <f t="shared" si="230"/>
        <v>4284214.1706500007</v>
      </c>
      <c r="AX254" s="389">
        <f t="shared" si="231"/>
        <v>3219164.4225500003</v>
      </c>
      <c r="AY254" s="353" t="s">
        <v>78</v>
      </c>
      <c r="AZ254" s="403" t="s">
        <v>548</v>
      </c>
      <c r="BA254" s="404" t="s">
        <v>354</v>
      </c>
    </row>
    <row r="255" spans="1:53" ht="15" customHeight="1">
      <c r="A255" s="1" t="str">
        <f t="shared" si="201"/>
        <v>TSX:CDE_2024_COO</v>
      </c>
      <c r="B255" s="1" t="str">
        <f t="shared" si="208"/>
        <v>TSX:CDE_2024_NEO1</v>
      </c>
      <c r="C255" s="1" t="str">
        <f t="shared" si="202"/>
        <v>TSX:CDE_2024_</v>
      </c>
      <c r="D255" s="114" t="str">
        <f t="shared" si="176"/>
        <v>TSX:CDE</v>
      </c>
      <c r="E255" s="133" t="str">
        <f>_xll.ciqfunctions.udf.CIQ(D255,"IQ_Company_Name")</f>
        <v>Coeur Mining, Inc.</v>
      </c>
      <c r="F255" s="114">
        <f t="shared" si="233"/>
        <v>2024</v>
      </c>
      <c r="G255" s="330" t="str">
        <f t="shared" si="212"/>
        <v>2024-01-01</v>
      </c>
      <c r="H255" s="330" t="str">
        <f t="shared" si="235"/>
        <v>2024-12-31</v>
      </c>
      <c r="I255" s="114">
        <f t="shared" si="223"/>
        <v>12</v>
      </c>
      <c r="J255" s="407" t="s">
        <v>285</v>
      </c>
      <c r="K255" s="439">
        <f t="shared" si="209"/>
        <v>1.3701700000000001</v>
      </c>
      <c r="L255" s="445" t="s">
        <v>272</v>
      </c>
      <c r="M255" s="445"/>
      <c r="N255" s="122" t="str">
        <f t="shared" ref="N255:P256" si="241">N254</f>
        <v>NEO1</v>
      </c>
      <c r="O255" s="123" t="str">
        <f>O254</f>
        <v>EVP &amp; COO</v>
      </c>
      <c r="P255" s="132" t="str">
        <f>P254</f>
        <v>Michael Routledge</v>
      </c>
      <c r="Q255" s="219">
        <v>525000</v>
      </c>
      <c r="R255" s="125">
        <f t="shared" si="225"/>
        <v>719339.25</v>
      </c>
      <c r="S255" s="311" t="s">
        <v>78</v>
      </c>
      <c r="T255" s="126" t="str">
        <f t="shared" si="187"/>
        <v>-</v>
      </c>
      <c r="U255" s="221">
        <v>547050</v>
      </c>
      <c r="V255" s="125">
        <f t="shared" si="236"/>
        <v>749551.4985000001</v>
      </c>
      <c r="W255" s="127">
        <f t="shared" si="219"/>
        <v>1.042</v>
      </c>
      <c r="X255" s="128"/>
      <c r="Y255" s="223" t="s">
        <v>78</v>
      </c>
      <c r="Z255" s="129">
        <f t="shared" si="220"/>
        <v>0</v>
      </c>
      <c r="AA255" s="124">
        <f t="shared" si="237"/>
        <v>1468890.7485000002</v>
      </c>
      <c r="AB255" s="130">
        <f t="shared" si="238"/>
        <v>719339.25</v>
      </c>
      <c r="AC255" s="221">
        <f>0.4*1081264</f>
        <v>432505.60000000003</v>
      </c>
      <c r="AD255" s="221">
        <f>0.6*1081264</f>
        <v>648758.4</v>
      </c>
      <c r="AE255" s="225" t="s">
        <v>78</v>
      </c>
      <c r="AF255" s="225" t="s">
        <v>78</v>
      </c>
      <c r="AG255" s="225" t="s">
        <v>78</v>
      </c>
      <c r="AH255" s="125">
        <f t="shared" si="239"/>
        <v>1081264</v>
      </c>
      <c r="AI255" s="127">
        <f t="shared" si="221"/>
        <v>2.0595504761904762</v>
      </c>
      <c r="AJ255" s="128"/>
      <c r="AK255" s="223" t="s">
        <v>78</v>
      </c>
      <c r="AL255" s="131">
        <f t="shared" si="222"/>
        <v>0</v>
      </c>
      <c r="AM255" s="368">
        <f t="shared" si="216"/>
        <v>1481515.4948800001</v>
      </c>
      <c r="AN255" s="375">
        <f t="shared" si="240"/>
        <v>2950406.2433800003</v>
      </c>
      <c r="AO255" s="376">
        <f t="shared" si="229"/>
        <v>719339.25</v>
      </c>
      <c r="AP255" s="394" t="s">
        <v>78</v>
      </c>
      <c r="AQ255" s="395" t="s">
        <v>78</v>
      </c>
      <c r="AR255" s="396" t="str">
        <f t="shared" si="205"/>
        <v>-</v>
      </c>
      <c r="AS255" s="397"/>
      <c r="AT255" s="401">
        <v>65280</v>
      </c>
      <c r="AU255" s="396">
        <f t="shared" si="206"/>
        <v>89444.697600000014</v>
      </c>
      <c r="AV255" s="397"/>
      <c r="AW255" s="388">
        <f t="shared" si="230"/>
        <v>3039850.9409800004</v>
      </c>
      <c r="AX255" s="389">
        <f t="shared" si="231"/>
        <v>808783.94760000007</v>
      </c>
      <c r="AY255" s="353" t="s">
        <v>78</v>
      </c>
      <c r="AZ255" s="403" t="s">
        <v>548</v>
      </c>
      <c r="BA255" s="404" t="s">
        <v>354</v>
      </c>
    </row>
    <row r="256" spans="1:53" ht="15" customHeight="1">
      <c r="A256" s="1" t="str">
        <f t="shared" si="201"/>
        <v>TSX:CDE_2023_COO</v>
      </c>
      <c r="B256" s="1" t="str">
        <f t="shared" si="208"/>
        <v>TSX:CDE_2023_NEO1</v>
      </c>
      <c r="C256" s="1" t="str">
        <f t="shared" si="202"/>
        <v>TSX:CDE_2023_</v>
      </c>
      <c r="D256" s="114" t="str">
        <f t="shared" si="176"/>
        <v>TSX:CDE</v>
      </c>
      <c r="E256" s="133" t="str">
        <f>_xll.ciqfunctions.udf.CIQ(D256,"IQ_Company_Name")</f>
        <v>Coeur Mining, Inc.</v>
      </c>
      <c r="F256" s="114">
        <f t="shared" si="233"/>
        <v>2023</v>
      </c>
      <c r="G256" s="114" t="str">
        <f t="shared" si="212"/>
        <v>2023-01-01</v>
      </c>
      <c r="H256" s="330" t="str">
        <f t="shared" si="235"/>
        <v>2023-12-31</v>
      </c>
      <c r="I256" s="114">
        <f t="shared" si="223"/>
        <v>12</v>
      </c>
      <c r="J256" s="407" t="s">
        <v>285</v>
      </c>
      <c r="K256" s="439">
        <f t="shared" si="209"/>
        <v>1.34954</v>
      </c>
      <c r="L256" s="445" t="s">
        <v>272</v>
      </c>
      <c r="M256" s="445"/>
      <c r="N256" s="122" t="str">
        <f t="shared" si="241"/>
        <v>NEO1</v>
      </c>
      <c r="O256" s="123" t="str">
        <f t="shared" si="241"/>
        <v>EVP &amp; COO</v>
      </c>
      <c r="P256" s="132" t="str">
        <f t="shared" si="241"/>
        <v>Michael Routledge</v>
      </c>
      <c r="Q256" s="219">
        <v>525000</v>
      </c>
      <c r="R256" s="125">
        <f t="shared" si="225"/>
        <v>708508.5</v>
      </c>
      <c r="S256" s="311" t="s">
        <v>78</v>
      </c>
      <c r="T256" s="126" t="str">
        <f t="shared" si="187"/>
        <v>-</v>
      </c>
      <c r="U256" s="221">
        <v>447300</v>
      </c>
      <c r="V256" s="125">
        <f t="shared" si="236"/>
        <v>603649.24199999997</v>
      </c>
      <c r="W256" s="127">
        <f t="shared" si="219"/>
        <v>0.85199999999999998</v>
      </c>
      <c r="X256" s="128"/>
      <c r="Y256" s="223" t="s">
        <v>78</v>
      </c>
      <c r="Z256" s="129">
        <f t="shared" si="220"/>
        <v>0</v>
      </c>
      <c r="AA256" s="124">
        <f t="shared" si="237"/>
        <v>1312157.7420000001</v>
      </c>
      <c r="AB256" s="130">
        <f t="shared" si="238"/>
        <v>708508.5</v>
      </c>
      <c r="AC256" s="221">
        <f>0.4*1026186</f>
        <v>410474.4</v>
      </c>
      <c r="AD256" s="221">
        <f>0.6*1026186</f>
        <v>615711.6</v>
      </c>
      <c r="AE256" s="225" t="s">
        <v>78</v>
      </c>
      <c r="AF256" s="225" t="s">
        <v>78</v>
      </c>
      <c r="AG256" s="225" t="s">
        <v>78</v>
      </c>
      <c r="AH256" s="125">
        <f t="shared" si="239"/>
        <v>1026186</v>
      </c>
      <c r="AI256" s="127">
        <f t="shared" si="221"/>
        <v>1.9546399999999997</v>
      </c>
      <c r="AJ256" s="128"/>
      <c r="AK256" s="223" t="s">
        <v>78</v>
      </c>
      <c r="AL256" s="131">
        <f t="shared" si="222"/>
        <v>0</v>
      </c>
      <c r="AM256" s="368">
        <f t="shared" si="216"/>
        <v>1384879.0544399999</v>
      </c>
      <c r="AN256" s="375">
        <f t="shared" si="240"/>
        <v>2697036.7964399997</v>
      </c>
      <c r="AO256" s="376">
        <f t="shared" si="229"/>
        <v>708508.5</v>
      </c>
      <c r="AP256" s="394" t="s">
        <v>78</v>
      </c>
      <c r="AQ256" s="395" t="s">
        <v>78</v>
      </c>
      <c r="AR256" s="396" t="str">
        <f t="shared" si="205"/>
        <v>-</v>
      </c>
      <c r="AS256" s="397"/>
      <c r="AT256" s="401">
        <v>69498</v>
      </c>
      <c r="AU256" s="396">
        <f t="shared" si="206"/>
        <v>93790.330919999993</v>
      </c>
      <c r="AV256" s="397"/>
      <c r="AW256" s="388">
        <f t="shared" si="230"/>
        <v>2790827.1273599998</v>
      </c>
      <c r="AX256" s="389">
        <f t="shared" si="231"/>
        <v>802298.83091999998</v>
      </c>
      <c r="AY256" s="353" t="s">
        <v>78</v>
      </c>
      <c r="AZ256" s="403" t="s">
        <v>548</v>
      </c>
      <c r="BA256" s="404" t="s">
        <v>354</v>
      </c>
    </row>
    <row r="257" spans="1:54" ht="15" customHeight="1">
      <c r="A257" s="1" t="str">
        <f t="shared" si="201"/>
        <v>TSX:CDE_2025_Legal</v>
      </c>
      <c r="B257" s="1" t="str">
        <f t="shared" si="208"/>
        <v>TSX:CDE_2025_NEO2</v>
      </c>
      <c r="C257" s="1" t="str">
        <f t="shared" si="202"/>
        <v>TSX:CDE_2025_</v>
      </c>
      <c r="D257" s="114" t="str">
        <f t="shared" si="176"/>
        <v>TSX:CDE</v>
      </c>
      <c r="E257" s="133" t="str">
        <f>_xll.ciqfunctions.udf.CIQ(D257,"IQ_Company_Name")</f>
        <v>Coeur Mining, Inc.</v>
      </c>
      <c r="F257" s="114">
        <f t="shared" si="233"/>
        <v>2025</v>
      </c>
      <c r="G257" s="114" t="str">
        <f t="shared" si="212"/>
        <v>2025-01-01</v>
      </c>
      <c r="H257" s="330" t="str">
        <f t="shared" si="235"/>
        <v>2025-12-31</v>
      </c>
      <c r="I257" s="114">
        <f t="shared" si="223"/>
        <v>12</v>
      </c>
      <c r="J257" s="407" t="s">
        <v>285</v>
      </c>
      <c r="K257" s="439">
        <f t="shared" si="209"/>
        <v>1.3974500000000001</v>
      </c>
      <c r="L257" s="445" t="s">
        <v>360</v>
      </c>
      <c r="M257" s="445"/>
      <c r="N257" s="351" t="s">
        <v>108</v>
      </c>
      <c r="O257" s="217" t="s">
        <v>580</v>
      </c>
      <c r="P257" s="218" t="s">
        <v>603</v>
      </c>
      <c r="Q257" s="219">
        <v>425000</v>
      </c>
      <c r="R257" s="125">
        <f t="shared" si="225"/>
        <v>593916.25</v>
      </c>
      <c r="S257" s="311" t="s">
        <v>78</v>
      </c>
      <c r="T257" s="126" t="str">
        <f t="shared" si="187"/>
        <v>-</v>
      </c>
      <c r="U257" s="221">
        <v>558450</v>
      </c>
      <c r="V257" s="125">
        <f t="shared" si="236"/>
        <v>780405.95250000001</v>
      </c>
      <c r="W257" s="127">
        <f t="shared" si="219"/>
        <v>1.3140000000000001</v>
      </c>
      <c r="X257" s="128">
        <f>IFERROR(AVERAGE(W257:W259),"N/A")</f>
        <v>1.0860000000000001</v>
      </c>
      <c r="Y257" s="223">
        <v>1</v>
      </c>
      <c r="Z257" s="129">
        <f t="shared" si="220"/>
        <v>593916.25</v>
      </c>
      <c r="AA257" s="124">
        <f t="shared" si="237"/>
        <v>1374322.2025000001</v>
      </c>
      <c r="AB257" s="130">
        <f t="shared" si="238"/>
        <v>1187832.5</v>
      </c>
      <c r="AC257" s="221">
        <f>0.4*1439771</f>
        <v>575908.4</v>
      </c>
      <c r="AD257" s="221">
        <f>0.6*1439771</f>
        <v>863862.6</v>
      </c>
      <c r="AE257" s="225" t="s">
        <v>78</v>
      </c>
      <c r="AF257" s="225" t="s">
        <v>78</v>
      </c>
      <c r="AG257" s="225" t="s">
        <v>78</v>
      </c>
      <c r="AH257" s="125">
        <f t="shared" si="239"/>
        <v>1439771</v>
      </c>
      <c r="AI257" s="127">
        <f t="shared" si="221"/>
        <v>3.3876964705882355</v>
      </c>
      <c r="AJ257" s="128">
        <f>IFERROR(AVERAGE(AI257:AI259),"N/A")</f>
        <v>2.4672972549019607</v>
      </c>
      <c r="AK257" s="223">
        <v>2.25</v>
      </c>
      <c r="AL257" s="131">
        <f t="shared" si="222"/>
        <v>1336311.5625</v>
      </c>
      <c r="AM257" s="368">
        <f t="shared" si="216"/>
        <v>2012007.98395</v>
      </c>
      <c r="AN257" s="375">
        <f t="shared" si="240"/>
        <v>3386330.1864499999</v>
      </c>
      <c r="AO257" s="376">
        <f t="shared" si="229"/>
        <v>2524144.0625</v>
      </c>
      <c r="AP257" s="394">
        <v>21000</v>
      </c>
      <c r="AQ257" s="395" t="s">
        <v>271</v>
      </c>
      <c r="AR257" s="396">
        <f t="shared" si="205"/>
        <v>29346.45</v>
      </c>
      <c r="AS257" s="397">
        <f>IFERROR(AVERAGE(AR257:AR259),"N/A")</f>
        <v>29346.45</v>
      </c>
      <c r="AT257" s="401">
        <f>67036-21000</f>
        <v>46036</v>
      </c>
      <c r="AU257" s="396">
        <f t="shared" si="206"/>
        <v>64333.008200000004</v>
      </c>
      <c r="AV257" s="397">
        <f>IFERROR(AVERAGE(AU257:AU259),"N/A")</f>
        <v>73997.292843333329</v>
      </c>
      <c r="AW257" s="388">
        <f t="shared" si="230"/>
        <v>3480009.6446500001</v>
      </c>
      <c r="AX257" s="389">
        <f t="shared" si="231"/>
        <v>2617823.5207000002</v>
      </c>
      <c r="AY257" s="353" t="s">
        <v>78</v>
      </c>
      <c r="AZ257" s="403" t="s">
        <v>548</v>
      </c>
      <c r="BA257" s="404" t="s">
        <v>354</v>
      </c>
    </row>
    <row r="258" spans="1:54" ht="15" customHeight="1">
      <c r="A258" s="1" t="str">
        <f t="shared" si="201"/>
        <v>TSX:CDE_2024_Legal</v>
      </c>
      <c r="B258" s="1" t="str">
        <f t="shared" si="208"/>
        <v>TSX:CDE_2024_NEO2</v>
      </c>
      <c r="C258" s="1" t="str">
        <f t="shared" si="202"/>
        <v>TSX:CDE_2024_</v>
      </c>
      <c r="D258" s="114" t="str">
        <f t="shared" si="176"/>
        <v>TSX:CDE</v>
      </c>
      <c r="E258" s="133" t="str">
        <f>_xll.ciqfunctions.udf.CIQ(D258,"IQ_Company_Name")</f>
        <v>Coeur Mining, Inc.</v>
      </c>
      <c r="F258" s="114">
        <f t="shared" si="233"/>
        <v>2024</v>
      </c>
      <c r="G258" s="114" t="str">
        <f t="shared" si="212"/>
        <v>2024-01-01</v>
      </c>
      <c r="H258" s="330" t="str">
        <f t="shared" si="235"/>
        <v>2024-12-31</v>
      </c>
      <c r="I258" s="114">
        <f t="shared" si="223"/>
        <v>12</v>
      </c>
      <c r="J258" s="407" t="s">
        <v>285</v>
      </c>
      <c r="K258" s="439">
        <f t="shared" si="209"/>
        <v>1.3701700000000001</v>
      </c>
      <c r="L258" s="445" t="s">
        <v>360</v>
      </c>
      <c r="M258" s="445"/>
      <c r="N258" s="122" t="str">
        <f t="shared" ref="N258:P259" si="242">N257</f>
        <v>NEO2</v>
      </c>
      <c r="O258" s="123" t="str">
        <f>O257</f>
        <v>EVP, General Counsel &amp; Secretary</v>
      </c>
      <c r="P258" s="132" t="str">
        <f>P257</f>
        <v>Casey M. Nault</v>
      </c>
      <c r="Q258" s="219">
        <v>425000</v>
      </c>
      <c r="R258" s="125">
        <f t="shared" si="225"/>
        <v>582322.25</v>
      </c>
      <c r="S258" s="311" t="s">
        <v>78</v>
      </c>
      <c r="T258" s="126" t="str">
        <f t="shared" si="187"/>
        <v>-</v>
      </c>
      <c r="U258" s="221">
        <v>434350</v>
      </c>
      <c r="V258" s="125">
        <f t="shared" si="236"/>
        <v>595133.3395</v>
      </c>
      <c r="W258" s="127">
        <f t="shared" si="219"/>
        <v>1.022</v>
      </c>
      <c r="X258" s="128"/>
      <c r="Y258" s="223" t="s">
        <v>78</v>
      </c>
      <c r="Z258" s="129">
        <f t="shared" si="220"/>
        <v>0</v>
      </c>
      <c r="AA258" s="124">
        <f t="shared" si="237"/>
        <v>1177455.5895</v>
      </c>
      <c r="AB258" s="130">
        <f t="shared" si="238"/>
        <v>582322.25</v>
      </c>
      <c r="AC258" s="221">
        <f>0.4*875311</f>
        <v>350124.4</v>
      </c>
      <c r="AD258" s="221">
        <f>0.6*875311</f>
        <v>525186.6</v>
      </c>
      <c r="AE258" s="225" t="s">
        <v>78</v>
      </c>
      <c r="AF258" s="225" t="s">
        <v>78</v>
      </c>
      <c r="AG258" s="225" t="s">
        <v>78</v>
      </c>
      <c r="AH258" s="125">
        <f t="shared" si="239"/>
        <v>875311</v>
      </c>
      <c r="AI258" s="127">
        <f t="shared" si="221"/>
        <v>2.0595552941176472</v>
      </c>
      <c r="AJ258" s="128"/>
      <c r="AK258" s="223" t="s">
        <v>78</v>
      </c>
      <c r="AL258" s="131">
        <f t="shared" si="222"/>
        <v>0</v>
      </c>
      <c r="AM258" s="368">
        <f t="shared" si="216"/>
        <v>1199324.8728700001</v>
      </c>
      <c r="AN258" s="375">
        <f t="shared" si="240"/>
        <v>2376780.4623699998</v>
      </c>
      <c r="AO258" s="376">
        <f t="shared" si="229"/>
        <v>582322.25</v>
      </c>
      <c r="AP258" s="394" t="s">
        <v>78</v>
      </c>
      <c r="AQ258" s="395" t="s">
        <v>78</v>
      </c>
      <c r="AR258" s="396" t="str">
        <f t="shared" si="205"/>
        <v>-</v>
      </c>
      <c r="AS258" s="397"/>
      <c r="AT258" s="401">
        <v>53717</v>
      </c>
      <c r="AU258" s="396">
        <f t="shared" si="206"/>
        <v>73601.421890000012</v>
      </c>
      <c r="AV258" s="397"/>
      <c r="AW258" s="388">
        <f t="shared" si="230"/>
        <v>2450381.8842599997</v>
      </c>
      <c r="AX258" s="389">
        <f t="shared" si="231"/>
        <v>655923.67189</v>
      </c>
      <c r="AY258" s="353" t="s">
        <v>78</v>
      </c>
      <c r="AZ258" s="403" t="s">
        <v>548</v>
      </c>
      <c r="BA258" s="404" t="s">
        <v>354</v>
      </c>
    </row>
    <row r="259" spans="1:54" ht="15" customHeight="1">
      <c r="A259" s="1" t="str">
        <f t="shared" si="201"/>
        <v>TSX:CDE_2023_Legal</v>
      </c>
      <c r="B259" s="1" t="str">
        <f t="shared" si="208"/>
        <v>TSX:CDE_2023_NEO2</v>
      </c>
      <c r="C259" s="1" t="str">
        <f t="shared" si="202"/>
        <v>TSX:CDE_2023_</v>
      </c>
      <c r="D259" s="114" t="str">
        <f t="shared" si="176"/>
        <v>TSX:CDE</v>
      </c>
      <c r="E259" s="133" t="str">
        <f>_xll.ciqfunctions.udf.CIQ(D259,"IQ_Company_Name")</f>
        <v>Coeur Mining, Inc.</v>
      </c>
      <c r="F259" s="114">
        <f t="shared" si="233"/>
        <v>2023</v>
      </c>
      <c r="G259" s="114" t="str">
        <f t="shared" si="212"/>
        <v>2023-01-01</v>
      </c>
      <c r="H259" s="330" t="str">
        <f t="shared" si="235"/>
        <v>2023-12-31</v>
      </c>
      <c r="I259" s="114">
        <f t="shared" si="223"/>
        <v>12</v>
      </c>
      <c r="J259" s="407" t="s">
        <v>285</v>
      </c>
      <c r="K259" s="439">
        <f t="shared" si="209"/>
        <v>1.34954</v>
      </c>
      <c r="L259" s="445" t="s">
        <v>360</v>
      </c>
      <c r="M259" s="445"/>
      <c r="N259" s="122" t="str">
        <f t="shared" si="242"/>
        <v>NEO2</v>
      </c>
      <c r="O259" s="123" t="str">
        <f t="shared" si="242"/>
        <v>EVP, General Counsel &amp; Secretary</v>
      </c>
      <c r="P259" s="132" t="str">
        <f t="shared" si="242"/>
        <v>Casey M. Nault</v>
      </c>
      <c r="Q259" s="219">
        <v>425000</v>
      </c>
      <c r="R259" s="125">
        <f t="shared" si="225"/>
        <v>573554.5</v>
      </c>
      <c r="S259" s="311" t="s">
        <v>78</v>
      </c>
      <c r="T259" s="126" t="str">
        <f t="shared" si="187"/>
        <v>-</v>
      </c>
      <c r="U259" s="221">
        <v>391850</v>
      </c>
      <c r="V259" s="125">
        <f t="shared" si="236"/>
        <v>528817.24899999995</v>
      </c>
      <c r="W259" s="127">
        <f t="shared" si="219"/>
        <v>0.92199999999999993</v>
      </c>
      <c r="X259" s="128"/>
      <c r="Y259" s="223" t="s">
        <v>78</v>
      </c>
      <c r="Z259" s="129">
        <f t="shared" si="220"/>
        <v>0</v>
      </c>
      <c r="AA259" s="124">
        <f t="shared" si="237"/>
        <v>1102371.7489999998</v>
      </c>
      <c r="AB259" s="130">
        <f t="shared" si="238"/>
        <v>573554.5</v>
      </c>
      <c r="AC259" s="221">
        <f>0.4*830722</f>
        <v>332288.80000000005</v>
      </c>
      <c r="AD259" s="221">
        <f>0.6*830722</f>
        <v>498433.19999999995</v>
      </c>
      <c r="AE259" s="225" t="s">
        <v>78</v>
      </c>
      <c r="AF259" s="225" t="s">
        <v>78</v>
      </c>
      <c r="AG259" s="225" t="s">
        <v>78</v>
      </c>
      <c r="AH259" s="125">
        <f t="shared" si="239"/>
        <v>830722</v>
      </c>
      <c r="AI259" s="127">
        <f t="shared" si="221"/>
        <v>1.9546399999999999</v>
      </c>
      <c r="AJ259" s="128"/>
      <c r="AK259" s="223" t="s">
        <v>78</v>
      </c>
      <c r="AL259" s="131">
        <f t="shared" si="222"/>
        <v>0</v>
      </c>
      <c r="AM259" s="368">
        <f t="shared" si="216"/>
        <v>1121092.56788</v>
      </c>
      <c r="AN259" s="375">
        <f t="shared" si="240"/>
        <v>2223464.3168799998</v>
      </c>
      <c r="AO259" s="376">
        <f t="shared" si="229"/>
        <v>573554.5</v>
      </c>
      <c r="AP259" s="394" t="s">
        <v>78</v>
      </c>
      <c r="AQ259" s="395" t="s">
        <v>78</v>
      </c>
      <c r="AR259" s="396" t="str">
        <f t="shared" si="205"/>
        <v>-</v>
      </c>
      <c r="AS259" s="397"/>
      <c r="AT259" s="401">
        <v>62286</v>
      </c>
      <c r="AU259" s="396">
        <f t="shared" si="206"/>
        <v>84057.448439999993</v>
      </c>
      <c r="AV259" s="397"/>
      <c r="AW259" s="388">
        <f t="shared" si="230"/>
        <v>2307521.7653199998</v>
      </c>
      <c r="AX259" s="389">
        <f t="shared" si="231"/>
        <v>657611.94843999995</v>
      </c>
      <c r="AY259" s="353" t="s">
        <v>78</v>
      </c>
      <c r="AZ259" s="403" t="s">
        <v>548</v>
      </c>
      <c r="BA259" s="404" t="s">
        <v>354</v>
      </c>
    </row>
    <row r="260" spans="1:54" ht="15" customHeight="1">
      <c r="A260" s="1" t="str">
        <f t="shared" si="201"/>
        <v>TSX:CDE_2025_Tech</v>
      </c>
      <c r="B260" s="1" t="str">
        <f t="shared" si="208"/>
        <v>TSX:CDE_2025_NEO3</v>
      </c>
      <c r="C260" s="1" t="str">
        <f t="shared" si="202"/>
        <v>TSX:CDE_2025_</v>
      </c>
      <c r="D260" s="114" t="str">
        <f t="shared" si="176"/>
        <v>TSX:CDE</v>
      </c>
      <c r="E260" s="133" t="str">
        <f>_xll.ciqfunctions.udf.CIQ(D260,"IQ_Company_Name")</f>
        <v>Coeur Mining, Inc.</v>
      </c>
      <c r="F260" s="114">
        <f t="shared" si="233"/>
        <v>2025</v>
      </c>
      <c r="G260" s="114" t="str">
        <f t="shared" si="212"/>
        <v>2025-01-01</v>
      </c>
      <c r="H260" s="330" t="str">
        <f t="shared" si="235"/>
        <v>2025-12-31</v>
      </c>
      <c r="I260" s="114">
        <f t="shared" si="223"/>
        <v>12</v>
      </c>
      <c r="J260" s="407" t="s">
        <v>285</v>
      </c>
      <c r="K260" s="439">
        <f t="shared" si="209"/>
        <v>1.3974500000000001</v>
      </c>
      <c r="L260" s="445" t="s">
        <v>361</v>
      </c>
      <c r="M260" s="445"/>
      <c r="N260" s="351" t="s">
        <v>109</v>
      </c>
      <c r="O260" s="217" t="s">
        <v>581</v>
      </c>
      <c r="P260" s="218" t="s">
        <v>604</v>
      </c>
      <c r="Q260" s="219">
        <v>360000</v>
      </c>
      <c r="R260" s="125">
        <f t="shared" si="225"/>
        <v>503082.00000000006</v>
      </c>
      <c r="S260" s="311" t="s">
        <v>78</v>
      </c>
      <c r="T260" s="126" t="str">
        <f t="shared" si="187"/>
        <v>-</v>
      </c>
      <c r="U260" s="221">
        <v>341280</v>
      </c>
      <c r="V260" s="125">
        <f t="shared" si="236"/>
        <v>476921.73600000003</v>
      </c>
      <c r="W260" s="127">
        <f t="shared" si="219"/>
        <v>0.94799999999999995</v>
      </c>
      <c r="X260" s="128">
        <f>IFERROR(AVERAGE(W260:W262),"N/A")</f>
        <v>0.94799999999999995</v>
      </c>
      <c r="Y260" s="223">
        <v>0.75</v>
      </c>
      <c r="Z260" s="129">
        <f t="shared" si="220"/>
        <v>377311.50000000006</v>
      </c>
      <c r="AA260" s="124">
        <f t="shared" si="237"/>
        <v>980003.73600000003</v>
      </c>
      <c r="AB260" s="130">
        <f t="shared" si="238"/>
        <v>880393.50000000012</v>
      </c>
      <c r="AC260" s="221">
        <f>0.4*1029852</f>
        <v>411940.80000000005</v>
      </c>
      <c r="AD260" s="221">
        <f>0.6*1029852</f>
        <v>617911.19999999995</v>
      </c>
      <c r="AE260" s="225" t="s">
        <v>78</v>
      </c>
      <c r="AF260" s="225" t="s">
        <v>78</v>
      </c>
      <c r="AG260" s="225" t="s">
        <v>78</v>
      </c>
      <c r="AH260" s="125">
        <f t="shared" si="239"/>
        <v>1029852</v>
      </c>
      <c r="AI260" s="127">
        <f t="shared" si="221"/>
        <v>2.8607</v>
      </c>
      <c r="AJ260" s="128">
        <f>IFERROR(AVERAGE(AI260:AI262),"N/A")</f>
        <v>2.8607</v>
      </c>
      <c r="AK260" s="223">
        <v>1.9</v>
      </c>
      <c r="AL260" s="131">
        <f t="shared" si="222"/>
        <v>955855.8</v>
      </c>
      <c r="AM260" s="368">
        <f t="shared" si="216"/>
        <v>1439166.6774000002</v>
      </c>
      <c r="AN260" s="375">
        <f t="shared" si="240"/>
        <v>2419170.4134</v>
      </c>
      <c r="AO260" s="376">
        <f t="shared" si="229"/>
        <v>1836249.3000000003</v>
      </c>
      <c r="AP260" s="394">
        <v>21000</v>
      </c>
      <c r="AQ260" s="395" t="s">
        <v>271</v>
      </c>
      <c r="AR260" s="396">
        <f t="shared" si="205"/>
        <v>29346.45</v>
      </c>
      <c r="AS260" s="397">
        <f>IFERROR(AVERAGE(AR260:AR262),"N/A")</f>
        <v>29346.45</v>
      </c>
      <c r="AT260" s="401">
        <f>55448-21000</f>
        <v>34448</v>
      </c>
      <c r="AU260" s="396">
        <f t="shared" si="206"/>
        <v>48139.357600000003</v>
      </c>
      <c r="AV260" s="397">
        <f>IFERROR(AVERAGE(AU260:AU262),"N/A")</f>
        <v>48139.357600000003</v>
      </c>
      <c r="AW260" s="388">
        <f t="shared" si="230"/>
        <v>2496656.2210000004</v>
      </c>
      <c r="AX260" s="389">
        <f t="shared" si="231"/>
        <v>1913735.1076000002</v>
      </c>
      <c r="AY260" s="353" t="s">
        <v>78</v>
      </c>
      <c r="AZ260" s="403" t="s">
        <v>548</v>
      </c>
      <c r="BA260" s="404" t="s">
        <v>354</v>
      </c>
    </row>
    <row r="261" spans="1:54" ht="15" customHeight="1">
      <c r="A261" s="1" t="str">
        <f t="shared" si="201"/>
        <v>TSX:CDE_2024_Tech</v>
      </c>
      <c r="B261" s="1" t="str">
        <f t="shared" si="208"/>
        <v>TSX:CDE_2024_NEO3</v>
      </c>
      <c r="C261" s="1" t="str">
        <f t="shared" si="202"/>
        <v>TSX:CDE_2024_</v>
      </c>
      <c r="D261" s="114" t="str">
        <f t="shared" ref="D261:D322" si="243">D260</f>
        <v>TSX:CDE</v>
      </c>
      <c r="E261" s="133" t="str">
        <f>_xll.ciqfunctions.udf.CIQ(D261,"IQ_Company_Name")</f>
        <v>Coeur Mining, Inc.</v>
      </c>
      <c r="F261" s="114">
        <f t="shared" si="233"/>
        <v>2024</v>
      </c>
      <c r="G261" s="114" t="str">
        <f t="shared" si="212"/>
        <v>2024-01-01</v>
      </c>
      <c r="H261" s="330" t="str">
        <f t="shared" si="235"/>
        <v>2024-12-31</v>
      </c>
      <c r="I261" s="114">
        <f t="shared" si="223"/>
        <v>12</v>
      </c>
      <c r="J261" s="407" t="s">
        <v>285</v>
      </c>
      <c r="K261" s="439">
        <f t="shared" si="209"/>
        <v>1.3701700000000001</v>
      </c>
      <c r="L261" s="445" t="s">
        <v>361</v>
      </c>
      <c r="M261" s="445"/>
      <c r="N261" s="122" t="str">
        <f t="shared" ref="N261:P262" si="244">N260</f>
        <v>NEO3</v>
      </c>
      <c r="O261" s="123" t="str">
        <f>O260</f>
        <v>EVP, Exploration</v>
      </c>
      <c r="P261" s="132" t="str">
        <f>P260</f>
        <v>Aoife McGrath</v>
      </c>
      <c r="Q261" s="219" t="s">
        <v>78</v>
      </c>
      <c r="R261" s="125" t="str">
        <f t="shared" si="225"/>
        <v>-</v>
      </c>
      <c r="S261" s="311" t="s">
        <v>78</v>
      </c>
      <c r="T261" s="126" t="str">
        <f t="shared" si="187"/>
        <v>-</v>
      </c>
      <c r="U261" s="221" t="s">
        <v>78</v>
      </c>
      <c r="V261" s="125" t="str">
        <f t="shared" si="236"/>
        <v>-</v>
      </c>
      <c r="W261" s="127" t="str">
        <f t="shared" si="219"/>
        <v>-</v>
      </c>
      <c r="X261" s="128"/>
      <c r="Y261" s="223" t="s">
        <v>78</v>
      </c>
      <c r="Z261" s="129" t="str">
        <f t="shared" si="220"/>
        <v>-</v>
      </c>
      <c r="AA261" s="124" t="str">
        <f t="shared" si="237"/>
        <v>-</v>
      </c>
      <c r="AB261" s="130" t="str">
        <f t="shared" si="238"/>
        <v>-</v>
      </c>
      <c r="AC261" s="221" t="s">
        <v>78</v>
      </c>
      <c r="AD261" s="225" t="s">
        <v>78</v>
      </c>
      <c r="AE261" s="225" t="s">
        <v>78</v>
      </c>
      <c r="AF261" s="225" t="s">
        <v>78</v>
      </c>
      <c r="AG261" s="225" t="s">
        <v>78</v>
      </c>
      <c r="AH261" s="125" t="str">
        <f t="shared" si="239"/>
        <v>-</v>
      </c>
      <c r="AI261" s="127" t="str">
        <f t="shared" si="221"/>
        <v>-</v>
      </c>
      <c r="AJ261" s="128"/>
      <c r="AK261" s="223" t="s">
        <v>78</v>
      </c>
      <c r="AL261" s="131" t="str">
        <f t="shared" si="222"/>
        <v>-</v>
      </c>
      <c r="AM261" s="368" t="str">
        <f t="shared" si="216"/>
        <v>-</v>
      </c>
      <c r="AN261" s="375" t="str">
        <f t="shared" si="240"/>
        <v>-</v>
      </c>
      <c r="AO261" s="376" t="str">
        <f t="shared" si="229"/>
        <v>-</v>
      </c>
      <c r="AP261" s="394" t="s">
        <v>78</v>
      </c>
      <c r="AQ261" s="395" t="s">
        <v>78</v>
      </c>
      <c r="AR261" s="396" t="str">
        <f t="shared" si="205"/>
        <v>-</v>
      </c>
      <c r="AS261" s="397"/>
      <c r="AT261" s="401" t="s">
        <v>78</v>
      </c>
      <c r="AU261" s="396" t="str">
        <f t="shared" si="206"/>
        <v>-</v>
      </c>
      <c r="AV261" s="397"/>
      <c r="AW261" s="388" t="str">
        <f t="shared" si="230"/>
        <v>-</v>
      </c>
      <c r="AX261" s="389" t="str">
        <f t="shared" si="231"/>
        <v>-</v>
      </c>
      <c r="AY261" s="353" t="s">
        <v>78</v>
      </c>
      <c r="AZ261" s="403" t="s">
        <v>548</v>
      </c>
      <c r="BA261" s="404" t="s">
        <v>354</v>
      </c>
    </row>
    <row r="262" spans="1:54" ht="15" customHeight="1">
      <c r="A262" s="1" t="str">
        <f t="shared" si="201"/>
        <v>TSX:CDE_2023_Tech</v>
      </c>
      <c r="B262" s="1" t="str">
        <f t="shared" si="208"/>
        <v>TSX:CDE_2023_NEO3</v>
      </c>
      <c r="C262" s="1" t="str">
        <f t="shared" si="202"/>
        <v>TSX:CDE_2023_</v>
      </c>
      <c r="D262" s="203" t="str">
        <f t="shared" si="243"/>
        <v>TSX:CDE</v>
      </c>
      <c r="E262" s="205" t="str">
        <f>_xll.ciqfunctions.udf.CIQ(D262,"IQ_Company_Name")</f>
        <v>Coeur Mining, Inc.</v>
      </c>
      <c r="F262" s="204">
        <f t="shared" si="233"/>
        <v>2023</v>
      </c>
      <c r="G262" s="204" t="str">
        <f t="shared" si="212"/>
        <v>2023-01-01</v>
      </c>
      <c r="H262" s="331" t="str">
        <f t="shared" si="235"/>
        <v>2023-12-31</v>
      </c>
      <c r="I262" s="204">
        <f t="shared" si="223"/>
        <v>12</v>
      </c>
      <c r="J262" s="408" t="s">
        <v>285</v>
      </c>
      <c r="K262" s="441">
        <f t="shared" si="209"/>
        <v>1.34954</v>
      </c>
      <c r="L262" s="454" t="s">
        <v>361</v>
      </c>
      <c r="M262" s="454"/>
      <c r="N262" s="956" t="str">
        <f t="shared" si="244"/>
        <v>NEO3</v>
      </c>
      <c r="O262" s="206" t="str">
        <f t="shared" si="244"/>
        <v>EVP, Exploration</v>
      </c>
      <c r="P262" s="207" t="str">
        <f t="shared" si="244"/>
        <v>Aoife McGrath</v>
      </c>
      <c r="Q262" s="220" t="s">
        <v>78</v>
      </c>
      <c r="R262" s="209" t="str">
        <f t="shared" si="225"/>
        <v>-</v>
      </c>
      <c r="S262" s="312" t="s">
        <v>78</v>
      </c>
      <c r="T262" s="329" t="str">
        <f t="shared" si="187"/>
        <v>-</v>
      </c>
      <c r="U262" s="222" t="s">
        <v>78</v>
      </c>
      <c r="V262" s="209" t="str">
        <f t="shared" si="236"/>
        <v>-</v>
      </c>
      <c r="W262" s="211" t="str">
        <f t="shared" si="219"/>
        <v>-</v>
      </c>
      <c r="X262" s="212"/>
      <c r="Y262" s="224" t="s">
        <v>78</v>
      </c>
      <c r="Z262" s="213" t="str">
        <f t="shared" si="220"/>
        <v>-</v>
      </c>
      <c r="AA262" s="208" t="str">
        <f t="shared" si="237"/>
        <v>-</v>
      </c>
      <c r="AB262" s="214" t="str">
        <f t="shared" si="238"/>
        <v>-</v>
      </c>
      <c r="AC262" s="222" t="s">
        <v>78</v>
      </c>
      <c r="AD262" s="226" t="s">
        <v>78</v>
      </c>
      <c r="AE262" s="226" t="s">
        <v>78</v>
      </c>
      <c r="AF262" s="226" t="s">
        <v>78</v>
      </c>
      <c r="AG262" s="226" t="s">
        <v>78</v>
      </c>
      <c r="AH262" s="418" t="str">
        <f t="shared" si="239"/>
        <v>-</v>
      </c>
      <c r="AI262" s="211" t="str">
        <f t="shared" si="221"/>
        <v>-</v>
      </c>
      <c r="AJ262" s="212"/>
      <c r="AK262" s="224" t="s">
        <v>78</v>
      </c>
      <c r="AL262" s="215" t="str">
        <f t="shared" si="222"/>
        <v>-</v>
      </c>
      <c r="AM262" s="369" t="str">
        <f t="shared" si="216"/>
        <v>-</v>
      </c>
      <c r="AN262" s="377" t="str">
        <f t="shared" si="240"/>
        <v>-</v>
      </c>
      <c r="AO262" s="378" t="str">
        <f t="shared" si="229"/>
        <v>-</v>
      </c>
      <c r="AP262" s="398" t="s">
        <v>78</v>
      </c>
      <c r="AQ262" s="399" t="s">
        <v>78</v>
      </c>
      <c r="AR262" s="951" t="str">
        <f t="shared" si="205"/>
        <v>-</v>
      </c>
      <c r="AS262" s="400"/>
      <c r="AT262" s="402" t="s">
        <v>78</v>
      </c>
      <c r="AU262" s="951" t="str">
        <f t="shared" si="206"/>
        <v>-</v>
      </c>
      <c r="AV262" s="400"/>
      <c r="AW262" s="390" t="str">
        <f t="shared" si="230"/>
        <v>-</v>
      </c>
      <c r="AX262" s="391" t="str">
        <f t="shared" si="231"/>
        <v>-</v>
      </c>
      <c r="AY262" s="354" t="s">
        <v>78</v>
      </c>
      <c r="AZ262" s="405" t="s">
        <v>548</v>
      </c>
      <c r="BA262" s="404" t="s">
        <v>354</v>
      </c>
    </row>
    <row r="263" spans="1:54" ht="15" customHeight="1">
      <c r="A263" s="1" t="str">
        <f t="shared" si="201"/>
        <v>TSX:EQX_2025_</v>
      </c>
      <c r="B263" s="1" t="str">
        <f t="shared" si="208"/>
        <v>TSX:EQX_2025_CEO</v>
      </c>
      <c r="C263" s="1" t="str">
        <f t="shared" si="202"/>
        <v>TSX:EQX_2025_</v>
      </c>
      <c r="D263" s="216" t="str">
        <f>E19</f>
        <v>TSX:EQX</v>
      </c>
      <c r="E263" s="133" t="str">
        <f>_xll.ciqfunctions.udf.CIQ(D263,"IQ_Company_Name")</f>
        <v>Equinox Gold Corp.</v>
      </c>
      <c r="F263" s="328">
        <f>$G$9</f>
        <v>2025</v>
      </c>
      <c r="G263" s="954" t="str">
        <f>F263&amp;"-07-21"</f>
        <v>2025-07-21</v>
      </c>
      <c r="H263" s="330" t="str">
        <f t="shared" si="235"/>
        <v>2025-12-31</v>
      </c>
      <c r="I263" s="952">
        <v>12</v>
      </c>
      <c r="J263" s="328" t="s">
        <v>2</v>
      </c>
      <c r="K263" s="439">
        <f t="shared" si="209"/>
        <v>1</v>
      </c>
      <c r="L263" s="445"/>
      <c r="M263" s="445"/>
      <c r="N263" s="351" t="s">
        <v>79</v>
      </c>
      <c r="O263" s="217" t="s">
        <v>79</v>
      </c>
      <c r="P263" s="218" t="s">
        <v>605</v>
      </c>
      <c r="Q263" s="219">
        <v>587548</v>
      </c>
      <c r="R263" s="125">
        <f>IFERROR(626639*(12/$I263)*$K263,"-")</f>
        <v>626639</v>
      </c>
      <c r="S263" s="311" t="s">
        <v>78</v>
      </c>
      <c r="T263" s="126" t="str">
        <f t="shared" si="187"/>
        <v>-</v>
      </c>
      <c r="U263" s="221">
        <v>1658983</v>
      </c>
      <c r="V263" s="125">
        <f t="shared" ref="V263:V324" si="245">IFERROR(U263*(12/$I263)*$K263,"-")</f>
        <v>1658983</v>
      </c>
      <c r="W263" s="127">
        <f t="shared" si="219"/>
        <v>2.6474301790983326</v>
      </c>
      <c r="X263" s="128">
        <f>IFERROR(AVERAGE(W263:W265),"N/A")</f>
        <v>2.6474301790983326</v>
      </c>
      <c r="Y263" s="223">
        <v>2</v>
      </c>
      <c r="Z263" s="129">
        <f t="shared" si="220"/>
        <v>1253278</v>
      </c>
      <c r="AA263" s="124">
        <f t="shared" si="226"/>
        <v>2285622</v>
      </c>
      <c r="AB263" s="130">
        <f t="shared" si="227"/>
        <v>1879917</v>
      </c>
      <c r="AC263" s="221">
        <f>0.5*1024077</f>
        <v>512038.5</v>
      </c>
      <c r="AD263" s="221">
        <f>0.5*1024077</f>
        <v>512038.5</v>
      </c>
      <c r="AE263" s="225" t="s">
        <v>78</v>
      </c>
      <c r="AF263" s="225" t="s">
        <v>78</v>
      </c>
      <c r="AG263" s="225" t="s">
        <v>78</v>
      </c>
      <c r="AH263" s="125">
        <f t="shared" si="211"/>
        <v>1024077</v>
      </c>
      <c r="AI263" s="127">
        <f t="shared" si="221"/>
        <v>1.6342375753823175</v>
      </c>
      <c r="AJ263" s="128">
        <f>IFERROR(AVERAGE(AI263:AI265),"N/A")</f>
        <v>1.6342375753823175</v>
      </c>
      <c r="AK263" s="223" t="s">
        <v>78</v>
      </c>
      <c r="AL263" s="131">
        <f>IFERROR(IF(ISNUMBER($AK263)=TRUE, $AK263*$R263, $AJ263*$R263), "-")</f>
        <v>1024077.0000000001</v>
      </c>
      <c r="AM263" s="368">
        <f t="shared" ref="AM263:AM294" si="246">IFERROR($AH263*$K263,"-")</f>
        <v>1024077</v>
      </c>
      <c r="AN263" s="375">
        <f t="shared" si="228"/>
        <v>3309699</v>
      </c>
      <c r="AO263" s="989" t="s">
        <v>78</v>
      </c>
      <c r="AP263" s="395" t="s">
        <v>489</v>
      </c>
      <c r="AQ263" s="395" t="s">
        <v>489</v>
      </c>
      <c r="AR263" s="396" t="str">
        <f t="shared" si="205"/>
        <v>-</v>
      </c>
      <c r="AS263" s="409" t="str">
        <f>IFERROR(AVERAGE(AR263:AR265),"N/A")</f>
        <v>N/A</v>
      </c>
      <c r="AT263" s="978">
        <f>3446376-3393007</f>
        <v>53369</v>
      </c>
      <c r="AU263" s="396">
        <f t="shared" si="206"/>
        <v>53369</v>
      </c>
      <c r="AV263" s="409">
        <f>IFERROR(AVERAGE(AU263:AU265),"N/A")</f>
        <v>53369</v>
      </c>
      <c r="AW263" s="388">
        <f t="shared" si="230"/>
        <v>3363068</v>
      </c>
      <c r="AX263" s="989" t="s">
        <v>78</v>
      </c>
      <c r="AY263" s="353" t="s">
        <v>650</v>
      </c>
      <c r="AZ263" s="403" t="s">
        <v>548</v>
      </c>
      <c r="BA263" s="404" t="s">
        <v>353</v>
      </c>
      <c r="BB263" s="1" t="s">
        <v>663</v>
      </c>
    </row>
    <row r="264" spans="1:54" ht="15" customHeight="1">
      <c r="A264" s="1" t="str">
        <f t="shared" si="201"/>
        <v>TSX:EQX_2024_</v>
      </c>
      <c r="B264" s="1" t="str">
        <f t="shared" si="208"/>
        <v>TSX:EQX_2024_CEO</v>
      </c>
      <c r="C264" s="1" t="str">
        <f t="shared" si="202"/>
        <v>TSX:EQX_2024_</v>
      </c>
      <c r="D264" s="114" t="str">
        <f>D263</f>
        <v>TSX:EQX</v>
      </c>
      <c r="E264" s="133" t="str">
        <f>_xll.ciqfunctions.udf.CIQ(D264,"IQ_Company_Name")</f>
        <v>Equinox Gold Corp.</v>
      </c>
      <c r="F264" s="328">
        <f>$G$10</f>
        <v>2024</v>
      </c>
      <c r="G264" s="330" t="str">
        <f t="shared" si="212"/>
        <v>2024-01-01</v>
      </c>
      <c r="H264" s="330" t="str">
        <f t="shared" si="235"/>
        <v>2024-12-31</v>
      </c>
      <c r="I264" s="114">
        <f t="shared" si="223"/>
        <v>12</v>
      </c>
      <c r="J264" s="407" t="s">
        <v>2</v>
      </c>
      <c r="K264" s="439">
        <f t="shared" si="209"/>
        <v>1</v>
      </c>
      <c r="L264" s="445"/>
      <c r="M264" s="445"/>
      <c r="N264" s="122" t="str">
        <f t="shared" ref="N264:P265" si="247">N263</f>
        <v>CEO</v>
      </c>
      <c r="O264" s="123" t="str">
        <f t="shared" si="247"/>
        <v>CEO</v>
      </c>
      <c r="P264" s="132" t="str">
        <f t="shared" si="247"/>
        <v>Darren Hall</v>
      </c>
      <c r="Q264" s="219" t="s">
        <v>78</v>
      </c>
      <c r="R264" s="125" t="str">
        <f>IFERROR(Q264*(12/$I264)*$K264,"-")</f>
        <v>-</v>
      </c>
      <c r="S264" s="311" t="s">
        <v>78</v>
      </c>
      <c r="T264" s="126" t="str">
        <f t="shared" si="187"/>
        <v>-</v>
      </c>
      <c r="U264" s="221" t="s">
        <v>78</v>
      </c>
      <c r="V264" s="125" t="str">
        <f t="shared" si="245"/>
        <v>-</v>
      </c>
      <c r="W264" s="127" t="str">
        <f t="shared" si="219"/>
        <v>-</v>
      </c>
      <c r="X264" s="128"/>
      <c r="Y264" s="223" t="s">
        <v>78</v>
      </c>
      <c r="Z264" s="129" t="str">
        <f t="shared" si="220"/>
        <v>-</v>
      </c>
      <c r="AA264" s="124" t="str">
        <f t="shared" si="226"/>
        <v>-</v>
      </c>
      <c r="AB264" s="130" t="str">
        <f t="shared" si="227"/>
        <v>-</v>
      </c>
      <c r="AC264" s="221" t="s">
        <v>78</v>
      </c>
      <c r="AD264" s="221" t="s">
        <v>78</v>
      </c>
      <c r="AE264" s="225" t="s">
        <v>78</v>
      </c>
      <c r="AF264" s="225" t="s">
        <v>78</v>
      </c>
      <c r="AG264" s="225" t="s">
        <v>78</v>
      </c>
      <c r="AH264" s="125" t="str">
        <f t="shared" si="211"/>
        <v>-</v>
      </c>
      <c r="AI264" s="127" t="str">
        <f t="shared" si="221"/>
        <v>-</v>
      </c>
      <c r="AJ264" s="128"/>
      <c r="AK264" s="223" t="s">
        <v>78</v>
      </c>
      <c r="AL264" s="131" t="str">
        <f t="shared" si="222"/>
        <v>-</v>
      </c>
      <c r="AM264" s="368" t="str">
        <f t="shared" si="246"/>
        <v>-</v>
      </c>
      <c r="AN264" s="375" t="str">
        <f t="shared" si="228"/>
        <v>-</v>
      </c>
      <c r="AO264" s="376" t="str">
        <f t="shared" si="229"/>
        <v>-</v>
      </c>
      <c r="AP264" s="395" t="s">
        <v>78</v>
      </c>
      <c r="AQ264" s="395" t="s">
        <v>78</v>
      </c>
      <c r="AR264" s="396" t="str">
        <f t="shared" si="205"/>
        <v>-</v>
      </c>
      <c r="AS264" s="397"/>
      <c r="AT264" s="401" t="s">
        <v>78</v>
      </c>
      <c r="AU264" s="396" t="str">
        <f t="shared" si="206"/>
        <v>-</v>
      </c>
      <c r="AV264" s="397"/>
      <c r="AW264" s="388" t="str">
        <f t="shared" si="230"/>
        <v>-</v>
      </c>
      <c r="AX264" s="389" t="str">
        <f t="shared" si="231"/>
        <v>-</v>
      </c>
      <c r="AY264" s="353" t="s">
        <v>78</v>
      </c>
      <c r="AZ264" s="403" t="s">
        <v>548</v>
      </c>
      <c r="BA264" s="404" t="s">
        <v>353</v>
      </c>
    </row>
    <row r="265" spans="1:54" ht="15" customHeight="1">
      <c r="A265" s="1" t="str">
        <f t="shared" si="201"/>
        <v>TSX:EQX_2023_</v>
      </c>
      <c r="B265" s="1" t="str">
        <f t="shared" si="208"/>
        <v>TSX:EQX_2023_CEO</v>
      </c>
      <c r="C265" s="1" t="str">
        <f t="shared" si="202"/>
        <v>TSX:EQX_2023_</v>
      </c>
      <c r="D265" s="114" t="str">
        <f t="shared" si="243"/>
        <v>TSX:EQX</v>
      </c>
      <c r="E265" s="133" t="str">
        <f>_xll.ciqfunctions.udf.CIQ(D265,"IQ_Company_Name")</f>
        <v>Equinox Gold Corp.</v>
      </c>
      <c r="F265" s="328">
        <f>$G$11</f>
        <v>2023</v>
      </c>
      <c r="G265" s="114" t="str">
        <f t="shared" si="212"/>
        <v>2023-01-01</v>
      </c>
      <c r="H265" s="330" t="str">
        <f t="shared" si="235"/>
        <v>2023-12-31</v>
      </c>
      <c r="I265" s="114">
        <f t="shared" si="223"/>
        <v>12</v>
      </c>
      <c r="J265" s="407" t="s">
        <v>2</v>
      </c>
      <c r="K265" s="439">
        <f t="shared" si="209"/>
        <v>1</v>
      </c>
      <c r="L265" s="445"/>
      <c r="M265" s="445"/>
      <c r="N265" s="122" t="str">
        <f t="shared" si="247"/>
        <v>CEO</v>
      </c>
      <c r="O265" s="123" t="str">
        <f t="shared" si="247"/>
        <v>CEO</v>
      </c>
      <c r="P265" s="132" t="str">
        <f t="shared" si="247"/>
        <v>Darren Hall</v>
      </c>
      <c r="Q265" s="219" t="s">
        <v>78</v>
      </c>
      <c r="R265" s="125" t="str">
        <f>IFERROR(Q265*(12/$I265)*$K265,"-")</f>
        <v>-</v>
      </c>
      <c r="S265" s="311" t="s">
        <v>78</v>
      </c>
      <c r="T265" s="126" t="str">
        <f t="shared" si="187"/>
        <v>-</v>
      </c>
      <c r="U265" s="221" t="s">
        <v>78</v>
      </c>
      <c r="V265" s="125" t="str">
        <f t="shared" si="245"/>
        <v>-</v>
      </c>
      <c r="W265" s="127" t="str">
        <f t="shared" si="219"/>
        <v>-</v>
      </c>
      <c r="X265" s="128"/>
      <c r="Y265" s="223" t="s">
        <v>78</v>
      </c>
      <c r="Z265" s="129" t="str">
        <f t="shared" si="220"/>
        <v>-</v>
      </c>
      <c r="AA265" s="124" t="str">
        <f t="shared" si="226"/>
        <v>-</v>
      </c>
      <c r="AB265" s="130" t="str">
        <f t="shared" si="227"/>
        <v>-</v>
      </c>
      <c r="AC265" s="221" t="s">
        <v>78</v>
      </c>
      <c r="AD265" s="221" t="s">
        <v>78</v>
      </c>
      <c r="AE265" s="225" t="s">
        <v>78</v>
      </c>
      <c r="AF265" s="225" t="s">
        <v>78</v>
      </c>
      <c r="AG265" s="225" t="s">
        <v>78</v>
      </c>
      <c r="AH265" s="125" t="str">
        <f t="shared" si="211"/>
        <v>-</v>
      </c>
      <c r="AI265" s="127" t="str">
        <f t="shared" si="221"/>
        <v>-</v>
      </c>
      <c r="AJ265" s="128"/>
      <c r="AK265" s="223" t="s">
        <v>78</v>
      </c>
      <c r="AL265" s="131" t="str">
        <f t="shared" si="222"/>
        <v>-</v>
      </c>
      <c r="AM265" s="368" t="str">
        <f t="shared" si="246"/>
        <v>-</v>
      </c>
      <c r="AN265" s="375" t="str">
        <f t="shared" si="228"/>
        <v>-</v>
      </c>
      <c r="AO265" s="376" t="str">
        <f t="shared" si="229"/>
        <v>-</v>
      </c>
      <c r="AP265" s="395" t="s">
        <v>78</v>
      </c>
      <c r="AQ265" s="395" t="s">
        <v>78</v>
      </c>
      <c r="AR265" s="396" t="str">
        <f t="shared" si="205"/>
        <v>-</v>
      </c>
      <c r="AS265" s="397"/>
      <c r="AT265" s="401" t="s">
        <v>78</v>
      </c>
      <c r="AU265" s="396" t="str">
        <f t="shared" si="206"/>
        <v>-</v>
      </c>
      <c r="AV265" s="397"/>
      <c r="AW265" s="388" t="str">
        <f t="shared" si="230"/>
        <v>-</v>
      </c>
      <c r="AX265" s="389" t="str">
        <f t="shared" si="231"/>
        <v>-</v>
      </c>
      <c r="AY265" s="353" t="s">
        <v>78</v>
      </c>
      <c r="AZ265" s="403" t="s">
        <v>548</v>
      </c>
      <c r="BA265" s="404" t="s">
        <v>353</v>
      </c>
    </row>
    <row r="266" spans="1:54" ht="15" customHeight="1">
      <c r="A266" s="1" t="str">
        <f t="shared" si="201"/>
        <v>TSX:EQX_2025_</v>
      </c>
      <c r="B266" s="1" t="str">
        <f t="shared" si="208"/>
        <v>TSX:EQX_2025_CFO</v>
      </c>
      <c r="C266" s="1" t="str">
        <f t="shared" si="202"/>
        <v>TSX:EQX_2025_2nd Highest</v>
      </c>
      <c r="D266" s="114" t="str">
        <f t="shared" si="243"/>
        <v>TSX:EQX</v>
      </c>
      <c r="E266" s="133" t="str">
        <f>_xll.ciqfunctions.udf.CIQ(D266,"IQ_Company_Name")</f>
        <v>Equinox Gold Corp.</v>
      </c>
      <c r="F266" s="114">
        <f t="shared" ref="F266:F314" si="248">F263</f>
        <v>2025</v>
      </c>
      <c r="G266" s="114" t="str">
        <f t="shared" si="212"/>
        <v>2025-01-01</v>
      </c>
      <c r="H266" s="330" t="str">
        <f t="shared" si="235"/>
        <v>2025-12-31</v>
      </c>
      <c r="I266" s="114">
        <f t="shared" si="223"/>
        <v>12</v>
      </c>
      <c r="J266" s="407" t="s">
        <v>2</v>
      </c>
      <c r="K266" s="439">
        <f t="shared" si="209"/>
        <v>1</v>
      </c>
      <c r="L266" s="445"/>
      <c r="M266" s="445" t="s">
        <v>669</v>
      </c>
      <c r="N266" s="351" t="s">
        <v>106</v>
      </c>
      <c r="O266" s="217" t="s">
        <v>106</v>
      </c>
      <c r="P266" s="218" t="s">
        <v>606</v>
      </c>
      <c r="Q266" s="219">
        <v>445716</v>
      </c>
      <c r="R266" s="125">
        <f>IFERROR(Q266*(12/$I266)*$K266,"-")</f>
        <v>445716</v>
      </c>
      <c r="S266" s="311" t="s">
        <v>78</v>
      </c>
      <c r="T266" s="126" t="str">
        <f t="shared" si="187"/>
        <v>-</v>
      </c>
      <c r="U266" s="221">
        <v>535627</v>
      </c>
      <c r="V266" s="125">
        <f t="shared" si="245"/>
        <v>535627</v>
      </c>
      <c r="W266" s="127">
        <f t="shared" si="219"/>
        <v>1.2017226215796606</v>
      </c>
      <c r="X266" s="128">
        <f>IFERROR(AVERAGE(W266:W268),"N/A")</f>
        <v>1.0556540410307196</v>
      </c>
      <c r="Y266" s="223">
        <v>0.9</v>
      </c>
      <c r="Z266" s="129">
        <f t="shared" si="220"/>
        <v>401144.4</v>
      </c>
      <c r="AA266" s="124">
        <f t="shared" si="226"/>
        <v>981343</v>
      </c>
      <c r="AB266" s="130">
        <f t="shared" si="227"/>
        <v>846860.4</v>
      </c>
      <c r="AC266" s="221">
        <f>0.5*663985</f>
        <v>331992.5</v>
      </c>
      <c r="AD266" s="221">
        <f>0.5*663985</f>
        <v>331992.5</v>
      </c>
      <c r="AE266" s="225" t="s">
        <v>78</v>
      </c>
      <c r="AF266" s="225" t="s">
        <v>78</v>
      </c>
      <c r="AG266" s="225" t="s">
        <v>78</v>
      </c>
      <c r="AH266" s="125">
        <f t="shared" si="211"/>
        <v>663985</v>
      </c>
      <c r="AI266" s="127">
        <f t="shared" si="221"/>
        <v>1.4897042062658734</v>
      </c>
      <c r="AJ266" s="128">
        <f>IFERROR(AVERAGE(AI266:AI268),"N/A")</f>
        <v>1.8976945242457617</v>
      </c>
      <c r="AK266" s="421">
        <v>1.5</v>
      </c>
      <c r="AL266" s="131">
        <f t="shared" si="222"/>
        <v>668574</v>
      </c>
      <c r="AM266" s="368">
        <f t="shared" si="246"/>
        <v>663985</v>
      </c>
      <c r="AN266" s="375">
        <f t="shared" si="228"/>
        <v>1645328</v>
      </c>
      <c r="AO266" s="376">
        <f t="shared" si="229"/>
        <v>1515434.4</v>
      </c>
      <c r="AP266" s="395" t="s">
        <v>489</v>
      </c>
      <c r="AQ266" s="395" t="s">
        <v>489</v>
      </c>
      <c r="AR266" s="396" t="str">
        <f t="shared" si="205"/>
        <v>-</v>
      </c>
      <c r="AS266" s="397" t="str">
        <f>IFERROR(AVERAGE(AR266:AR268),"N/A")</f>
        <v>N/A</v>
      </c>
      <c r="AT266" s="978">
        <f>1759390-1738291</f>
        <v>21099</v>
      </c>
      <c r="AU266" s="396">
        <f t="shared" si="206"/>
        <v>21099</v>
      </c>
      <c r="AV266" s="397">
        <f>IFERROR(AVERAGE(AU266:AU268),"N/A")</f>
        <v>16717</v>
      </c>
      <c r="AW266" s="388">
        <f t="shared" si="230"/>
        <v>1666427</v>
      </c>
      <c r="AX266" s="389">
        <f t="shared" si="231"/>
        <v>1536533.4</v>
      </c>
      <c r="AY266" s="353" t="s">
        <v>651</v>
      </c>
      <c r="AZ266" s="403" t="s">
        <v>548</v>
      </c>
      <c r="BA266" s="404" t="s">
        <v>353</v>
      </c>
    </row>
    <row r="267" spans="1:54" ht="15" customHeight="1">
      <c r="A267" s="1" t="str">
        <f t="shared" si="201"/>
        <v>TSX:EQX_2024_</v>
      </c>
      <c r="B267" s="1" t="str">
        <f t="shared" si="208"/>
        <v>TSX:EQX_2024_CFO</v>
      </c>
      <c r="C267" s="1" t="str">
        <f t="shared" si="202"/>
        <v>TSX:EQX_2024_</v>
      </c>
      <c r="D267" s="114" t="str">
        <f t="shared" si="243"/>
        <v>TSX:EQX</v>
      </c>
      <c r="E267" s="133" t="str">
        <f>_xll.ciqfunctions.udf.CIQ(D267,"IQ_Company_Name")</f>
        <v>Equinox Gold Corp.</v>
      </c>
      <c r="F267" s="114">
        <f t="shared" si="248"/>
        <v>2024</v>
      </c>
      <c r="G267" s="114" t="str">
        <f t="shared" si="212"/>
        <v>2024-01-01</v>
      </c>
      <c r="H267" s="330" t="str">
        <f t="shared" si="235"/>
        <v>2024-12-31</v>
      </c>
      <c r="I267" s="114">
        <f t="shared" si="223"/>
        <v>12</v>
      </c>
      <c r="J267" s="407" t="s">
        <v>2</v>
      </c>
      <c r="K267" s="439">
        <f t="shared" si="209"/>
        <v>1</v>
      </c>
      <c r="L267" s="445"/>
      <c r="M267" s="445"/>
      <c r="N267" s="122" t="str">
        <f t="shared" ref="N267:P268" si="249">N266</f>
        <v>CFO</v>
      </c>
      <c r="O267" s="123" t="str">
        <f t="shared" si="249"/>
        <v>CFO</v>
      </c>
      <c r="P267" s="132" t="str">
        <f t="shared" si="249"/>
        <v>Peter Hardie</v>
      </c>
      <c r="Q267" s="219">
        <v>409040</v>
      </c>
      <c r="R267" s="125">
        <f>IFERROR(Q267*(12/$I267)*$K267,"-")</f>
        <v>409040</v>
      </c>
      <c r="S267" s="311" t="s">
        <v>78</v>
      </c>
      <c r="T267" s="126" t="str">
        <f t="shared" si="187"/>
        <v>-</v>
      </c>
      <c r="U267" s="221">
        <v>382476</v>
      </c>
      <c r="V267" s="125">
        <f t="shared" si="245"/>
        <v>382476</v>
      </c>
      <c r="W267" s="127">
        <f t="shared" si="219"/>
        <v>0.93505769606884415</v>
      </c>
      <c r="X267" s="128"/>
      <c r="Y267" s="223" t="s">
        <v>78</v>
      </c>
      <c r="Z267" s="129">
        <f t="shared" si="220"/>
        <v>0</v>
      </c>
      <c r="AA267" s="124">
        <f t="shared" si="226"/>
        <v>791516</v>
      </c>
      <c r="AB267" s="130">
        <f t="shared" si="227"/>
        <v>409040</v>
      </c>
      <c r="AC267" s="221">
        <f>0.5*507689</f>
        <v>253844.5</v>
      </c>
      <c r="AD267" s="221">
        <f>0.5*507689</f>
        <v>253844.5</v>
      </c>
      <c r="AE267" s="225" t="s">
        <v>78</v>
      </c>
      <c r="AF267" s="225" t="s">
        <v>78</v>
      </c>
      <c r="AG267" s="225" t="s">
        <v>78</v>
      </c>
      <c r="AH267" s="125">
        <f t="shared" si="211"/>
        <v>507689</v>
      </c>
      <c r="AI267" s="127">
        <f t="shared" si="221"/>
        <v>1.2411720125171133</v>
      </c>
      <c r="AJ267" s="128"/>
      <c r="AK267" s="223" t="s">
        <v>78</v>
      </c>
      <c r="AL267" s="131">
        <f t="shared" si="222"/>
        <v>0</v>
      </c>
      <c r="AM267" s="368">
        <f t="shared" si="246"/>
        <v>507689</v>
      </c>
      <c r="AN267" s="375">
        <f t="shared" si="228"/>
        <v>1299205</v>
      </c>
      <c r="AO267" s="376">
        <f t="shared" si="229"/>
        <v>409040</v>
      </c>
      <c r="AP267" s="395" t="s">
        <v>489</v>
      </c>
      <c r="AQ267" s="395" t="s">
        <v>489</v>
      </c>
      <c r="AR267" s="396" t="str">
        <f t="shared" si="205"/>
        <v>-</v>
      </c>
      <c r="AS267" s="397"/>
      <c r="AT267" s="401">
        <v>13908</v>
      </c>
      <c r="AU267" s="396">
        <f t="shared" si="206"/>
        <v>13908</v>
      </c>
      <c r="AV267" s="397"/>
      <c r="AW267" s="388">
        <f t="shared" si="230"/>
        <v>1313113</v>
      </c>
      <c r="AX267" s="389">
        <f t="shared" si="231"/>
        <v>422948</v>
      </c>
      <c r="AY267" s="353" t="s">
        <v>78</v>
      </c>
      <c r="AZ267" s="403" t="s">
        <v>548</v>
      </c>
      <c r="BA267" s="404" t="s">
        <v>353</v>
      </c>
    </row>
    <row r="268" spans="1:54" ht="15" customHeight="1">
      <c r="A268" s="1" t="str">
        <f t="shared" si="201"/>
        <v>TSX:EQX_2023_</v>
      </c>
      <c r="B268" s="1" t="str">
        <f t="shared" si="208"/>
        <v>TSX:EQX_2023_CFO</v>
      </c>
      <c r="C268" s="1" t="str">
        <f t="shared" si="202"/>
        <v>TSX:EQX_2023_</v>
      </c>
      <c r="D268" s="114" t="str">
        <f t="shared" si="243"/>
        <v>TSX:EQX</v>
      </c>
      <c r="E268" s="133" t="str">
        <f>_xll.ciqfunctions.udf.CIQ(D268,"IQ_Company_Name")</f>
        <v>Equinox Gold Corp.</v>
      </c>
      <c r="F268" s="114">
        <f t="shared" si="248"/>
        <v>2023</v>
      </c>
      <c r="G268" s="114" t="str">
        <f t="shared" si="212"/>
        <v>2023-01-01</v>
      </c>
      <c r="H268" s="330" t="str">
        <f t="shared" si="235"/>
        <v>2023-12-31</v>
      </c>
      <c r="I268" s="114">
        <f t="shared" si="223"/>
        <v>12</v>
      </c>
      <c r="J268" s="407" t="s">
        <v>2</v>
      </c>
      <c r="K268" s="439">
        <f t="shared" si="209"/>
        <v>1</v>
      </c>
      <c r="L268" s="445"/>
      <c r="M268" s="445"/>
      <c r="N268" s="122" t="str">
        <f t="shared" si="249"/>
        <v>CFO</v>
      </c>
      <c r="O268" s="123" t="str">
        <f t="shared" si="249"/>
        <v>CFO</v>
      </c>
      <c r="P268" s="132" t="str">
        <f t="shared" si="249"/>
        <v>Peter Hardie</v>
      </c>
      <c r="Q268" s="219">
        <v>428205</v>
      </c>
      <c r="R268" s="125">
        <f>IFERROR(Q268*(12/$I268)*$K268,"-")</f>
        <v>428205</v>
      </c>
      <c r="S268" s="311" t="s">
        <v>78</v>
      </c>
      <c r="T268" s="126" t="str">
        <f t="shared" si="187"/>
        <v>-</v>
      </c>
      <c r="U268" s="221">
        <v>441129</v>
      </c>
      <c r="V268" s="125">
        <f t="shared" si="245"/>
        <v>441129</v>
      </c>
      <c r="W268" s="127">
        <f t="shared" si="219"/>
        <v>1.0301818054436542</v>
      </c>
      <c r="X268" s="128"/>
      <c r="Y268" s="223" t="s">
        <v>78</v>
      </c>
      <c r="Z268" s="129">
        <f t="shared" si="220"/>
        <v>0</v>
      </c>
      <c r="AA268" s="124">
        <f t="shared" si="226"/>
        <v>869334</v>
      </c>
      <c r="AB268" s="130">
        <f t="shared" si="227"/>
        <v>428205</v>
      </c>
      <c r="AC268" s="221">
        <f>0.5*1268432</f>
        <v>634216</v>
      </c>
      <c r="AD268" s="221">
        <f>0.5*1268432</f>
        <v>634216</v>
      </c>
      <c r="AE268" s="225" t="s">
        <v>78</v>
      </c>
      <c r="AF268" s="225" t="s">
        <v>78</v>
      </c>
      <c r="AG268" s="225" t="s">
        <v>78</v>
      </c>
      <c r="AH268" s="125">
        <f t="shared" si="211"/>
        <v>1268432</v>
      </c>
      <c r="AI268" s="127">
        <f t="shared" si="221"/>
        <v>2.9622073539542977</v>
      </c>
      <c r="AJ268" s="128"/>
      <c r="AK268" s="223" t="s">
        <v>78</v>
      </c>
      <c r="AL268" s="131">
        <f t="shared" si="222"/>
        <v>0</v>
      </c>
      <c r="AM268" s="368">
        <f t="shared" si="246"/>
        <v>1268432</v>
      </c>
      <c r="AN268" s="375">
        <f t="shared" si="228"/>
        <v>2137766</v>
      </c>
      <c r="AO268" s="376">
        <f t="shared" si="229"/>
        <v>428205</v>
      </c>
      <c r="AP268" s="395" t="s">
        <v>489</v>
      </c>
      <c r="AQ268" s="395" t="s">
        <v>489</v>
      </c>
      <c r="AR268" s="396" t="str">
        <f t="shared" si="205"/>
        <v>-</v>
      </c>
      <c r="AS268" s="397"/>
      <c r="AT268" s="401">
        <v>15144</v>
      </c>
      <c r="AU268" s="396">
        <f t="shared" si="206"/>
        <v>15144</v>
      </c>
      <c r="AV268" s="397"/>
      <c r="AW268" s="388">
        <f t="shared" si="230"/>
        <v>2152910</v>
      </c>
      <c r="AX268" s="389">
        <f t="shared" si="231"/>
        <v>443349</v>
      </c>
      <c r="AY268" s="353" t="s">
        <v>78</v>
      </c>
      <c r="AZ268" s="403" t="s">
        <v>548</v>
      </c>
      <c r="BA268" s="404" t="s">
        <v>353</v>
      </c>
    </row>
    <row r="269" spans="1:54" ht="15" customHeight="1">
      <c r="A269" s="1" t="str">
        <f t="shared" si="201"/>
        <v>TSX:EQX_2025_COO</v>
      </c>
      <c r="B269" s="1" t="str">
        <f t="shared" si="208"/>
        <v>TSX:EQX_2025_NEO1</v>
      </c>
      <c r="C269" s="1" t="str">
        <f t="shared" si="202"/>
        <v>TSX:EQX_2025_</v>
      </c>
      <c r="D269" s="114" t="str">
        <f t="shared" si="243"/>
        <v>TSX:EQX</v>
      </c>
      <c r="E269" s="133" t="str">
        <f>_xll.ciqfunctions.udf.CIQ(D269,"IQ_Company_Name")</f>
        <v>Equinox Gold Corp.</v>
      </c>
      <c r="F269" s="114">
        <f t="shared" si="248"/>
        <v>2025</v>
      </c>
      <c r="G269" s="954" t="str">
        <f>F269&amp;"-07-21"</f>
        <v>2025-07-21</v>
      </c>
      <c r="H269" s="330" t="str">
        <f t="shared" si="235"/>
        <v>2025-12-31</v>
      </c>
      <c r="I269" s="952">
        <v>12</v>
      </c>
      <c r="J269" s="407" t="s">
        <v>2</v>
      </c>
      <c r="K269" s="439">
        <f t="shared" si="209"/>
        <v>1</v>
      </c>
      <c r="L269" s="445" t="s">
        <v>272</v>
      </c>
      <c r="M269" s="445"/>
      <c r="N269" s="351" t="s">
        <v>107</v>
      </c>
      <c r="O269" s="217" t="s">
        <v>272</v>
      </c>
      <c r="P269" s="218" t="s">
        <v>607</v>
      </c>
      <c r="Q269" s="219">
        <v>408904</v>
      </c>
      <c r="R269" s="125">
        <f>IFERROR(500000*(12/$I269)*$K269,"-")</f>
        <v>500000</v>
      </c>
      <c r="S269" s="311" t="s">
        <v>78</v>
      </c>
      <c r="T269" s="126" t="str">
        <f t="shared" si="187"/>
        <v>-</v>
      </c>
      <c r="U269" s="221">
        <v>622959</v>
      </c>
      <c r="V269" s="125">
        <f t="shared" si="245"/>
        <v>622959</v>
      </c>
      <c r="W269" s="127">
        <f t="shared" si="219"/>
        <v>1.2459180000000001</v>
      </c>
      <c r="X269" s="128">
        <f>IFERROR(AVERAGE(W269:W271),"N/A")</f>
        <v>1.2459180000000001</v>
      </c>
      <c r="Y269" s="223">
        <v>0.9</v>
      </c>
      <c r="Z269" s="129">
        <f t="shared" si="220"/>
        <v>450000</v>
      </c>
      <c r="AA269" s="124">
        <f t="shared" si="226"/>
        <v>1122959</v>
      </c>
      <c r="AB269" s="130">
        <f t="shared" si="227"/>
        <v>950000</v>
      </c>
      <c r="AC269" s="221">
        <f>0.5*439328</f>
        <v>219664</v>
      </c>
      <c r="AD269" s="221">
        <f>0.5*439328</f>
        <v>219664</v>
      </c>
      <c r="AE269" s="225" t="s">
        <v>78</v>
      </c>
      <c r="AF269" s="225" t="s">
        <v>78</v>
      </c>
      <c r="AG269" s="225" t="s">
        <v>78</v>
      </c>
      <c r="AH269" s="125">
        <f t="shared" si="211"/>
        <v>439328</v>
      </c>
      <c r="AI269" s="127">
        <f t="shared" si="221"/>
        <v>0.87865599999999999</v>
      </c>
      <c r="AJ269" s="128">
        <f>IFERROR(AVERAGE(AI269:AI271),"N/A")</f>
        <v>0.87865599999999999</v>
      </c>
      <c r="AK269" s="421" t="s">
        <v>78</v>
      </c>
      <c r="AL269" s="131">
        <f t="shared" si="222"/>
        <v>439328</v>
      </c>
      <c r="AM269" s="368">
        <f t="shared" si="246"/>
        <v>439328</v>
      </c>
      <c r="AN269" s="375">
        <f t="shared" si="228"/>
        <v>1562287</v>
      </c>
      <c r="AO269" s="989" t="s">
        <v>78</v>
      </c>
      <c r="AP269" s="395" t="s">
        <v>489</v>
      </c>
      <c r="AQ269" s="395" t="s">
        <v>489</v>
      </c>
      <c r="AR269" s="396" t="str">
        <f t="shared" si="205"/>
        <v>-</v>
      </c>
      <c r="AS269" s="397" t="str">
        <f>IFERROR(AVERAGE(AR269:AR271),"N/A")</f>
        <v>N/A</v>
      </c>
      <c r="AT269" s="401">
        <f>1178497-1165749</f>
        <v>12748</v>
      </c>
      <c r="AU269" s="396">
        <f t="shared" si="206"/>
        <v>12748</v>
      </c>
      <c r="AV269" s="397">
        <f>IFERROR(AVERAGE(AU269:AU271),"N/A")</f>
        <v>12748</v>
      </c>
      <c r="AW269" s="388">
        <f t="shared" si="230"/>
        <v>1575035</v>
      </c>
      <c r="AX269" s="989" t="s">
        <v>78</v>
      </c>
      <c r="AY269" s="353" t="s">
        <v>652</v>
      </c>
      <c r="AZ269" s="403" t="s">
        <v>548</v>
      </c>
      <c r="BA269" s="404" t="s">
        <v>353</v>
      </c>
      <c r="BB269" s="1" t="s">
        <v>664</v>
      </c>
    </row>
    <row r="270" spans="1:54" ht="15" customHeight="1">
      <c r="A270" s="1" t="str">
        <f t="shared" si="201"/>
        <v>TSX:EQX_2024_COO</v>
      </c>
      <c r="B270" s="1" t="str">
        <f t="shared" si="208"/>
        <v>TSX:EQX_2024_NEO1</v>
      </c>
      <c r="C270" s="1" t="str">
        <f t="shared" si="202"/>
        <v>TSX:EQX_2024_</v>
      </c>
      <c r="D270" s="114" t="str">
        <f t="shared" si="243"/>
        <v>TSX:EQX</v>
      </c>
      <c r="E270" s="133" t="str">
        <f>_xll.ciqfunctions.udf.CIQ(D270,"IQ_Company_Name")</f>
        <v>Equinox Gold Corp.</v>
      </c>
      <c r="F270" s="114">
        <f t="shared" si="248"/>
        <v>2024</v>
      </c>
      <c r="G270" s="330" t="str">
        <f t="shared" si="212"/>
        <v>2024-01-01</v>
      </c>
      <c r="H270" s="330" t="str">
        <f t="shared" si="235"/>
        <v>2024-12-31</v>
      </c>
      <c r="I270" s="114">
        <f t="shared" si="223"/>
        <v>12</v>
      </c>
      <c r="J270" s="407" t="s">
        <v>2</v>
      </c>
      <c r="K270" s="439">
        <f t="shared" si="209"/>
        <v>1</v>
      </c>
      <c r="L270" s="445" t="s">
        <v>272</v>
      </c>
      <c r="M270" s="445"/>
      <c r="N270" s="122" t="str">
        <f t="shared" ref="N270:P271" si="250">N269</f>
        <v>NEO1</v>
      </c>
      <c r="O270" s="123" t="str">
        <f t="shared" si="250"/>
        <v>COO</v>
      </c>
      <c r="P270" s="132" t="str">
        <f t="shared" si="250"/>
        <v>David Schummer</v>
      </c>
      <c r="Q270" s="219" t="s">
        <v>78</v>
      </c>
      <c r="R270" s="125" t="str">
        <f>IFERROR(Q270*(12/$I270)*$K270,"-")</f>
        <v>-</v>
      </c>
      <c r="S270" s="311" t="s">
        <v>78</v>
      </c>
      <c r="T270" s="126" t="str">
        <f t="shared" si="187"/>
        <v>-</v>
      </c>
      <c r="U270" s="221" t="s">
        <v>78</v>
      </c>
      <c r="V270" s="125" t="str">
        <f t="shared" si="245"/>
        <v>-</v>
      </c>
      <c r="W270" s="127" t="str">
        <f t="shared" si="219"/>
        <v>-</v>
      </c>
      <c r="X270" s="128"/>
      <c r="Y270" s="223" t="s">
        <v>78</v>
      </c>
      <c r="Z270" s="129" t="str">
        <f t="shared" si="220"/>
        <v>-</v>
      </c>
      <c r="AA270" s="124" t="str">
        <f t="shared" si="226"/>
        <v>-</v>
      </c>
      <c r="AB270" s="130" t="str">
        <f t="shared" si="227"/>
        <v>-</v>
      </c>
      <c r="AC270" s="221" t="s">
        <v>78</v>
      </c>
      <c r="AD270" s="221" t="s">
        <v>78</v>
      </c>
      <c r="AE270" s="225" t="s">
        <v>78</v>
      </c>
      <c r="AF270" s="225" t="s">
        <v>78</v>
      </c>
      <c r="AG270" s="225" t="s">
        <v>78</v>
      </c>
      <c r="AH270" s="125" t="str">
        <f t="shared" si="211"/>
        <v>-</v>
      </c>
      <c r="AI270" s="127" t="str">
        <f t="shared" si="221"/>
        <v>-</v>
      </c>
      <c r="AJ270" s="128"/>
      <c r="AK270" s="223" t="s">
        <v>78</v>
      </c>
      <c r="AL270" s="131" t="str">
        <f t="shared" si="222"/>
        <v>-</v>
      </c>
      <c r="AM270" s="368" t="str">
        <f t="shared" si="246"/>
        <v>-</v>
      </c>
      <c r="AN270" s="375" t="str">
        <f t="shared" si="228"/>
        <v>-</v>
      </c>
      <c r="AO270" s="376" t="str">
        <f t="shared" si="229"/>
        <v>-</v>
      </c>
      <c r="AP270" s="395" t="s">
        <v>78</v>
      </c>
      <c r="AQ270" s="395" t="s">
        <v>78</v>
      </c>
      <c r="AR270" s="396" t="str">
        <f t="shared" si="205"/>
        <v>-</v>
      </c>
      <c r="AS270" s="397"/>
      <c r="AT270" s="401" t="s">
        <v>78</v>
      </c>
      <c r="AU270" s="396" t="str">
        <f t="shared" si="206"/>
        <v>-</v>
      </c>
      <c r="AV270" s="397"/>
      <c r="AW270" s="388" t="str">
        <f t="shared" si="230"/>
        <v>-</v>
      </c>
      <c r="AX270" s="389" t="str">
        <f t="shared" si="231"/>
        <v>-</v>
      </c>
      <c r="AY270" s="353" t="s">
        <v>78</v>
      </c>
      <c r="AZ270" s="403" t="s">
        <v>548</v>
      </c>
      <c r="BA270" s="404" t="s">
        <v>353</v>
      </c>
      <c r="BB270" s="1" t="s">
        <v>663</v>
      </c>
    </row>
    <row r="271" spans="1:54" ht="15" customHeight="1">
      <c r="A271" s="1" t="str">
        <f t="shared" si="201"/>
        <v>TSX:EQX_2023_COO</v>
      </c>
      <c r="B271" s="1" t="str">
        <f t="shared" si="208"/>
        <v>TSX:EQX_2023_NEO1</v>
      </c>
      <c r="C271" s="1" t="str">
        <f t="shared" si="202"/>
        <v>TSX:EQX_2023_</v>
      </c>
      <c r="D271" s="114" t="str">
        <f t="shared" si="243"/>
        <v>TSX:EQX</v>
      </c>
      <c r="E271" s="133" t="str">
        <f>_xll.ciqfunctions.udf.CIQ(D271,"IQ_Company_Name")</f>
        <v>Equinox Gold Corp.</v>
      </c>
      <c r="F271" s="114">
        <f t="shared" si="248"/>
        <v>2023</v>
      </c>
      <c r="G271" s="114" t="str">
        <f t="shared" si="212"/>
        <v>2023-01-01</v>
      </c>
      <c r="H271" s="330" t="str">
        <f t="shared" si="235"/>
        <v>2023-12-31</v>
      </c>
      <c r="I271" s="114">
        <f t="shared" si="223"/>
        <v>12</v>
      </c>
      <c r="J271" s="407" t="s">
        <v>2</v>
      </c>
      <c r="K271" s="439">
        <f t="shared" si="209"/>
        <v>1</v>
      </c>
      <c r="L271" s="445" t="s">
        <v>272</v>
      </c>
      <c r="M271" s="445"/>
      <c r="N271" s="122" t="str">
        <f t="shared" si="250"/>
        <v>NEO1</v>
      </c>
      <c r="O271" s="123" t="str">
        <f t="shared" si="250"/>
        <v>COO</v>
      </c>
      <c r="P271" s="132" t="str">
        <f t="shared" si="250"/>
        <v>David Schummer</v>
      </c>
      <c r="Q271" s="219" t="s">
        <v>78</v>
      </c>
      <c r="R271" s="125" t="str">
        <f>IFERROR(Q271*(12/$I271)*$K271,"-")</f>
        <v>-</v>
      </c>
      <c r="S271" s="311" t="s">
        <v>78</v>
      </c>
      <c r="T271" s="126" t="str">
        <f t="shared" si="187"/>
        <v>-</v>
      </c>
      <c r="U271" s="221" t="s">
        <v>78</v>
      </c>
      <c r="V271" s="125" t="str">
        <f t="shared" si="245"/>
        <v>-</v>
      </c>
      <c r="W271" s="127" t="str">
        <f t="shared" si="219"/>
        <v>-</v>
      </c>
      <c r="X271" s="128"/>
      <c r="Y271" s="223" t="s">
        <v>78</v>
      </c>
      <c r="Z271" s="129" t="str">
        <f t="shared" si="220"/>
        <v>-</v>
      </c>
      <c r="AA271" s="124" t="str">
        <f t="shared" si="226"/>
        <v>-</v>
      </c>
      <c r="AB271" s="130" t="str">
        <f t="shared" si="227"/>
        <v>-</v>
      </c>
      <c r="AC271" s="221" t="s">
        <v>78</v>
      </c>
      <c r="AD271" s="221" t="s">
        <v>78</v>
      </c>
      <c r="AE271" s="225" t="s">
        <v>78</v>
      </c>
      <c r="AF271" s="225" t="s">
        <v>78</v>
      </c>
      <c r="AG271" s="225" t="s">
        <v>78</v>
      </c>
      <c r="AH271" s="125" t="str">
        <f t="shared" si="211"/>
        <v>-</v>
      </c>
      <c r="AI271" s="127" t="str">
        <f t="shared" si="221"/>
        <v>-</v>
      </c>
      <c r="AJ271" s="128"/>
      <c r="AK271" s="223" t="s">
        <v>78</v>
      </c>
      <c r="AL271" s="131" t="str">
        <f t="shared" si="222"/>
        <v>-</v>
      </c>
      <c r="AM271" s="368" t="str">
        <f t="shared" si="246"/>
        <v>-</v>
      </c>
      <c r="AN271" s="375" t="str">
        <f t="shared" si="228"/>
        <v>-</v>
      </c>
      <c r="AO271" s="376" t="str">
        <f t="shared" si="229"/>
        <v>-</v>
      </c>
      <c r="AP271" s="395" t="s">
        <v>78</v>
      </c>
      <c r="AQ271" s="395" t="s">
        <v>78</v>
      </c>
      <c r="AR271" s="396" t="str">
        <f t="shared" si="205"/>
        <v>-</v>
      </c>
      <c r="AS271" s="397"/>
      <c r="AT271" s="401" t="s">
        <v>78</v>
      </c>
      <c r="AU271" s="396" t="str">
        <f t="shared" si="206"/>
        <v>-</v>
      </c>
      <c r="AV271" s="397"/>
      <c r="AW271" s="388" t="str">
        <f t="shared" si="230"/>
        <v>-</v>
      </c>
      <c r="AX271" s="389" t="str">
        <f t="shared" si="231"/>
        <v>-</v>
      </c>
      <c r="AY271" s="353" t="s">
        <v>78</v>
      </c>
      <c r="AZ271" s="403" t="s">
        <v>548</v>
      </c>
      <c r="BA271" s="404" t="s">
        <v>353</v>
      </c>
    </row>
    <row r="272" spans="1:54" ht="15" customHeight="1">
      <c r="A272" s="1" t="str">
        <f t="shared" si="201"/>
        <v>TSX:EQX_2025_</v>
      </c>
      <c r="B272" s="1" t="str">
        <f t="shared" si="208"/>
        <v>TSX:EQX_2025_NEO2</v>
      </c>
      <c r="C272" s="1" t="str">
        <f t="shared" si="202"/>
        <v>TSX:EQX_2025_</v>
      </c>
      <c r="D272" s="114" t="str">
        <f t="shared" si="243"/>
        <v>TSX:EQX</v>
      </c>
      <c r="E272" s="133" t="str">
        <f>_xll.ciqfunctions.udf.CIQ(D272,"IQ_Company_Name")</f>
        <v>Equinox Gold Corp.</v>
      </c>
      <c r="F272" s="114">
        <f t="shared" si="248"/>
        <v>2025</v>
      </c>
      <c r="G272" s="952" t="str">
        <f>F272&amp;"-08-01"</f>
        <v>2025-08-01</v>
      </c>
      <c r="H272" s="330" t="str">
        <f t="shared" si="235"/>
        <v>2025-12-31</v>
      </c>
      <c r="I272" s="952">
        <v>12</v>
      </c>
      <c r="J272" s="407" t="s">
        <v>2</v>
      </c>
      <c r="K272" s="439">
        <f t="shared" si="209"/>
        <v>1</v>
      </c>
      <c r="L272" s="445"/>
      <c r="M272" s="445"/>
      <c r="N272" s="351" t="s">
        <v>108</v>
      </c>
      <c r="O272" s="217" t="s">
        <v>582</v>
      </c>
      <c r="P272" s="218" t="s">
        <v>608</v>
      </c>
      <c r="Q272" s="219">
        <v>311589</v>
      </c>
      <c r="R272" s="125">
        <f>IFERROR(437190*(12/$I272)*$K272,"-")</f>
        <v>437190</v>
      </c>
      <c r="S272" s="311" t="s">
        <v>78</v>
      </c>
      <c r="T272" s="126" t="str">
        <f t="shared" si="187"/>
        <v>-</v>
      </c>
      <c r="U272" s="221">
        <v>501324</v>
      </c>
      <c r="V272" s="125">
        <f t="shared" si="245"/>
        <v>501324</v>
      </c>
      <c r="W272" s="127">
        <f t="shared" si="219"/>
        <v>1.1466959445549989</v>
      </c>
      <c r="X272" s="128">
        <f>IFERROR(AVERAGE(W272:W274),"N/A")</f>
        <v>1.1466959445549989</v>
      </c>
      <c r="Y272" s="223">
        <v>0.9</v>
      </c>
      <c r="Z272" s="129">
        <f t="shared" si="220"/>
        <v>393471</v>
      </c>
      <c r="AA272" s="124">
        <f t="shared" si="226"/>
        <v>938514</v>
      </c>
      <c r="AB272" s="130">
        <f t="shared" si="227"/>
        <v>830661</v>
      </c>
      <c r="AC272" s="221">
        <f>0.5*358428</f>
        <v>179214</v>
      </c>
      <c r="AD272" s="221">
        <f>0.5*358428</f>
        <v>179214</v>
      </c>
      <c r="AE272" s="225" t="s">
        <v>78</v>
      </c>
      <c r="AF272" s="225" t="s">
        <v>78</v>
      </c>
      <c r="AG272" s="225" t="s">
        <v>78</v>
      </c>
      <c r="AH272" s="125">
        <f t="shared" si="211"/>
        <v>358428</v>
      </c>
      <c r="AI272" s="127">
        <f t="shared" si="221"/>
        <v>0.81984491868523979</v>
      </c>
      <c r="AJ272" s="128">
        <f>IFERROR(AVERAGE(AI272:AI274),"N/A")</f>
        <v>0.81984491868523979</v>
      </c>
      <c r="AK272" s="223" t="s">
        <v>78</v>
      </c>
      <c r="AL272" s="131">
        <f t="shared" si="222"/>
        <v>358428</v>
      </c>
      <c r="AM272" s="368">
        <f t="shared" si="246"/>
        <v>358428</v>
      </c>
      <c r="AN272" s="375">
        <f t="shared" si="228"/>
        <v>1296942</v>
      </c>
      <c r="AO272" s="989" t="s">
        <v>78</v>
      </c>
      <c r="AP272" s="395" t="s">
        <v>489</v>
      </c>
      <c r="AQ272" s="395" t="s">
        <v>489</v>
      </c>
      <c r="AR272" s="396" t="str">
        <f t="shared" si="205"/>
        <v>-</v>
      </c>
      <c r="AS272" s="397" t="str">
        <f>IFERROR(AVERAGE(AR272:AR274),"N/A")</f>
        <v>N/A</v>
      </c>
      <c r="AT272" s="978">
        <f>1067382-990969</f>
        <v>76413</v>
      </c>
      <c r="AU272" s="396">
        <f t="shared" si="206"/>
        <v>76413</v>
      </c>
      <c r="AV272" s="397">
        <f>IFERROR(AVERAGE(AU272:AU274),"N/A")</f>
        <v>76413</v>
      </c>
      <c r="AW272" s="388">
        <f t="shared" si="230"/>
        <v>1373355</v>
      </c>
      <c r="AX272" s="989" t="s">
        <v>78</v>
      </c>
      <c r="AY272" s="353" t="s">
        <v>466</v>
      </c>
      <c r="AZ272" s="403" t="s">
        <v>548</v>
      </c>
      <c r="BA272" s="404" t="s">
        <v>353</v>
      </c>
      <c r="BB272" s="1" t="s">
        <v>665</v>
      </c>
    </row>
    <row r="273" spans="1:54" ht="15" customHeight="1">
      <c r="A273" s="1" t="str">
        <f t="shared" si="201"/>
        <v>TSX:EQX_2024_</v>
      </c>
      <c r="B273" s="1" t="str">
        <f t="shared" si="208"/>
        <v>TSX:EQX_2024_NEO2</v>
      </c>
      <c r="C273" s="1" t="str">
        <f t="shared" si="202"/>
        <v>TSX:EQX_2024_</v>
      </c>
      <c r="D273" s="114" t="str">
        <f t="shared" si="243"/>
        <v>TSX:EQX</v>
      </c>
      <c r="E273" s="133" t="str">
        <f>_xll.ciqfunctions.udf.CIQ(D273,"IQ_Company_Name")</f>
        <v>Equinox Gold Corp.</v>
      </c>
      <c r="F273" s="114">
        <f t="shared" si="248"/>
        <v>2024</v>
      </c>
      <c r="G273" s="114" t="str">
        <f t="shared" si="212"/>
        <v>2024-01-01</v>
      </c>
      <c r="H273" s="330" t="str">
        <f t="shared" si="235"/>
        <v>2024-12-31</v>
      </c>
      <c r="I273" s="114">
        <f t="shared" si="223"/>
        <v>12</v>
      </c>
      <c r="J273" s="407" t="s">
        <v>2</v>
      </c>
      <c r="K273" s="439">
        <f t="shared" si="209"/>
        <v>1</v>
      </c>
      <c r="L273" s="445"/>
      <c r="M273" s="445"/>
      <c r="N273" s="122" t="str">
        <f t="shared" ref="N273:P274" si="251">N272</f>
        <v>NEO2</v>
      </c>
      <c r="O273" s="123" t="str">
        <f t="shared" si="251"/>
        <v>EVP, Sustainability, People &amp; Strategy</v>
      </c>
      <c r="P273" s="132" t="str">
        <f t="shared" si="251"/>
        <v>Daniella Dimitrov</v>
      </c>
      <c r="Q273" s="219" t="s">
        <v>78</v>
      </c>
      <c r="R273" s="125" t="str">
        <f t="shared" ref="R273:R304" si="252">IFERROR(Q273*(12/$I273)*$K273,"-")</f>
        <v>-</v>
      </c>
      <c r="S273" s="311" t="s">
        <v>78</v>
      </c>
      <c r="T273" s="126" t="str">
        <f t="shared" ref="T273:T336" si="253">IFERROR(IF((S273*$K273)=0,"-",(S273*$K273)),"-")</f>
        <v>-</v>
      </c>
      <c r="U273" s="221" t="s">
        <v>78</v>
      </c>
      <c r="V273" s="125" t="str">
        <f t="shared" si="245"/>
        <v>-</v>
      </c>
      <c r="W273" s="127" t="str">
        <f t="shared" si="219"/>
        <v>-</v>
      </c>
      <c r="X273" s="128"/>
      <c r="Y273" s="223" t="s">
        <v>78</v>
      </c>
      <c r="Z273" s="129" t="str">
        <f t="shared" si="220"/>
        <v>-</v>
      </c>
      <c r="AA273" s="124" t="str">
        <f t="shared" si="226"/>
        <v>-</v>
      </c>
      <c r="AB273" s="130" t="str">
        <f t="shared" si="227"/>
        <v>-</v>
      </c>
      <c r="AC273" s="221" t="s">
        <v>78</v>
      </c>
      <c r="AD273" s="221" t="s">
        <v>78</v>
      </c>
      <c r="AE273" s="225" t="s">
        <v>78</v>
      </c>
      <c r="AF273" s="225" t="s">
        <v>78</v>
      </c>
      <c r="AG273" s="225" t="s">
        <v>78</v>
      </c>
      <c r="AH273" s="125" t="str">
        <f t="shared" si="211"/>
        <v>-</v>
      </c>
      <c r="AI273" s="127" t="str">
        <f t="shared" si="221"/>
        <v>-</v>
      </c>
      <c r="AJ273" s="128"/>
      <c r="AK273" s="223" t="s">
        <v>78</v>
      </c>
      <c r="AL273" s="131" t="str">
        <f t="shared" si="222"/>
        <v>-</v>
      </c>
      <c r="AM273" s="368" t="str">
        <f t="shared" si="246"/>
        <v>-</v>
      </c>
      <c r="AN273" s="375" t="str">
        <f t="shared" si="228"/>
        <v>-</v>
      </c>
      <c r="AO273" s="376" t="str">
        <f t="shared" si="229"/>
        <v>-</v>
      </c>
      <c r="AP273" s="395" t="s">
        <v>78</v>
      </c>
      <c r="AQ273" s="395" t="s">
        <v>78</v>
      </c>
      <c r="AR273" s="396" t="str">
        <f t="shared" si="205"/>
        <v>-</v>
      </c>
      <c r="AS273" s="397"/>
      <c r="AT273" s="401" t="s">
        <v>78</v>
      </c>
      <c r="AU273" s="396" t="str">
        <f t="shared" si="206"/>
        <v>-</v>
      </c>
      <c r="AV273" s="397"/>
      <c r="AW273" s="388" t="str">
        <f t="shared" si="230"/>
        <v>-</v>
      </c>
      <c r="AX273" s="389" t="str">
        <f t="shared" si="231"/>
        <v>-</v>
      </c>
      <c r="AY273" s="353" t="s">
        <v>78</v>
      </c>
      <c r="AZ273" s="403" t="s">
        <v>548</v>
      </c>
      <c r="BA273" s="404" t="s">
        <v>353</v>
      </c>
      <c r="BB273" s="1" t="s">
        <v>663</v>
      </c>
    </row>
    <row r="274" spans="1:54" ht="15" customHeight="1">
      <c r="A274" s="1" t="str">
        <f t="shared" si="201"/>
        <v>TSX:EQX_2023_</v>
      </c>
      <c r="B274" s="1" t="str">
        <f t="shared" si="208"/>
        <v>TSX:EQX_2023_NEO2</v>
      </c>
      <c r="C274" s="1" t="str">
        <f t="shared" si="202"/>
        <v>TSX:EQX_2023_</v>
      </c>
      <c r="D274" s="114" t="str">
        <f t="shared" si="243"/>
        <v>TSX:EQX</v>
      </c>
      <c r="E274" s="133" t="str">
        <f>_xll.ciqfunctions.udf.CIQ(D274,"IQ_Company_Name")</f>
        <v>Equinox Gold Corp.</v>
      </c>
      <c r="F274" s="114">
        <f t="shared" si="248"/>
        <v>2023</v>
      </c>
      <c r="G274" s="114" t="str">
        <f t="shared" si="212"/>
        <v>2023-01-01</v>
      </c>
      <c r="H274" s="330" t="str">
        <f t="shared" si="235"/>
        <v>2023-12-31</v>
      </c>
      <c r="I274" s="114">
        <f t="shared" si="223"/>
        <v>12</v>
      </c>
      <c r="J274" s="407" t="s">
        <v>2</v>
      </c>
      <c r="K274" s="439">
        <f t="shared" si="209"/>
        <v>1</v>
      </c>
      <c r="L274" s="445"/>
      <c r="M274" s="445"/>
      <c r="N274" s="122" t="str">
        <f t="shared" si="251"/>
        <v>NEO2</v>
      </c>
      <c r="O274" s="123" t="str">
        <f t="shared" si="251"/>
        <v>EVP, Sustainability, People &amp; Strategy</v>
      </c>
      <c r="P274" s="132" t="str">
        <f t="shared" si="251"/>
        <v>Daniella Dimitrov</v>
      </c>
      <c r="Q274" s="219" t="s">
        <v>78</v>
      </c>
      <c r="R274" s="125" t="str">
        <f t="shared" si="252"/>
        <v>-</v>
      </c>
      <c r="S274" s="311" t="s">
        <v>78</v>
      </c>
      <c r="T274" s="126" t="str">
        <f t="shared" si="253"/>
        <v>-</v>
      </c>
      <c r="U274" s="221" t="s">
        <v>78</v>
      </c>
      <c r="V274" s="125" t="str">
        <f t="shared" si="245"/>
        <v>-</v>
      </c>
      <c r="W274" s="127" t="str">
        <f t="shared" si="219"/>
        <v>-</v>
      </c>
      <c r="X274" s="128"/>
      <c r="Y274" s="223" t="s">
        <v>78</v>
      </c>
      <c r="Z274" s="129" t="str">
        <f t="shared" si="220"/>
        <v>-</v>
      </c>
      <c r="AA274" s="124" t="str">
        <f t="shared" si="226"/>
        <v>-</v>
      </c>
      <c r="AB274" s="130" t="str">
        <f t="shared" si="227"/>
        <v>-</v>
      </c>
      <c r="AC274" s="221" t="s">
        <v>78</v>
      </c>
      <c r="AD274" s="221" t="s">
        <v>78</v>
      </c>
      <c r="AE274" s="225" t="s">
        <v>78</v>
      </c>
      <c r="AF274" s="225" t="s">
        <v>78</v>
      </c>
      <c r="AG274" s="225" t="s">
        <v>78</v>
      </c>
      <c r="AH274" s="125" t="str">
        <f t="shared" si="211"/>
        <v>-</v>
      </c>
      <c r="AI274" s="127" t="str">
        <f t="shared" si="221"/>
        <v>-</v>
      </c>
      <c r="AJ274" s="128"/>
      <c r="AK274" s="223" t="s">
        <v>78</v>
      </c>
      <c r="AL274" s="131" t="str">
        <f t="shared" si="222"/>
        <v>-</v>
      </c>
      <c r="AM274" s="368" t="str">
        <f t="shared" si="246"/>
        <v>-</v>
      </c>
      <c r="AN274" s="375" t="str">
        <f t="shared" si="228"/>
        <v>-</v>
      </c>
      <c r="AO274" s="376" t="str">
        <f t="shared" si="229"/>
        <v>-</v>
      </c>
      <c r="AP274" s="395" t="s">
        <v>78</v>
      </c>
      <c r="AQ274" s="395" t="s">
        <v>78</v>
      </c>
      <c r="AR274" s="396" t="str">
        <f t="shared" si="205"/>
        <v>-</v>
      </c>
      <c r="AS274" s="397"/>
      <c r="AT274" s="401" t="s">
        <v>78</v>
      </c>
      <c r="AU274" s="396" t="str">
        <f t="shared" si="206"/>
        <v>-</v>
      </c>
      <c r="AV274" s="397"/>
      <c r="AW274" s="388" t="str">
        <f t="shared" si="230"/>
        <v>-</v>
      </c>
      <c r="AX274" s="389" t="str">
        <f t="shared" si="231"/>
        <v>-</v>
      </c>
      <c r="AY274" s="353" t="s">
        <v>78</v>
      </c>
      <c r="AZ274" s="403" t="s">
        <v>548</v>
      </c>
      <c r="BA274" s="404" t="s">
        <v>353</v>
      </c>
    </row>
    <row r="275" spans="1:54" ht="15" customHeight="1">
      <c r="A275" s="1" t="str">
        <f t="shared" si="201"/>
        <v>TSX:EQX_2025_Legal</v>
      </c>
      <c r="B275" s="1" t="str">
        <f t="shared" si="208"/>
        <v>TSX:EQX_2025_NEO3</v>
      </c>
      <c r="C275" s="1" t="str">
        <f t="shared" si="202"/>
        <v>TSX:EQX_2025_</v>
      </c>
      <c r="D275" s="114" t="str">
        <f t="shared" si="243"/>
        <v>TSX:EQX</v>
      </c>
      <c r="E275" s="133" t="str">
        <f>_xll.ciqfunctions.udf.CIQ(D275,"IQ_Company_Name")</f>
        <v>Equinox Gold Corp.</v>
      </c>
      <c r="F275" s="114">
        <f t="shared" si="248"/>
        <v>2025</v>
      </c>
      <c r="G275" s="114" t="str">
        <f t="shared" si="212"/>
        <v>2025-01-01</v>
      </c>
      <c r="H275" s="330" t="str">
        <f t="shared" si="235"/>
        <v>2025-12-31</v>
      </c>
      <c r="I275" s="114">
        <f t="shared" si="223"/>
        <v>12</v>
      </c>
      <c r="J275" s="407" t="s">
        <v>2</v>
      </c>
      <c r="K275" s="439">
        <f t="shared" si="209"/>
        <v>1</v>
      </c>
      <c r="L275" s="445" t="s">
        <v>360</v>
      </c>
      <c r="M275" s="445"/>
      <c r="N275" s="351" t="s">
        <v>109</v>
      </c>
      <c r="O275" s="217" t="s">
        <v>583</v>
      </c>
      <c r="P275" s="218" t="s">
        <v>609</v>
      </c>
      <c r="Q275" s="219">
        <v>355727</v>
      </c>
      <c r="R275" s="125">
        <f t="shared" si="252"/>
        <v>355727</v>
      </c>
      <c r="S275" s="311" t="s">
        <v>78</v>
      </c>
      <c r="T275" s="126" t="str">
        <f t="shared" si="253"/>
        <v>-</v>
      </c>
      <c r="U275" s="221">
        <v>368891</v>
      </c>
      <c r="V275" s="125">
        <f t="shared" si="245"/>
        <v>368891</v>
      </c>
      <c r="W275" s="127">
        <f t="shared" si="219"/>
        <v>1.0370059062145971</v>
      </c>
      <c r="X275" s="128">
        <f>IFERROR(AVERAGE(W275:W277),"N/A")</f>
        <v>0.90528206300378422</v>
      </c>
      <c r="Y275" s="223">
        <v>0.8</v>
      </c>
      <c r="Z275" s="129">
        <f t="shared" si="220"/>
        <v>284581.60000000003</v>
      </c>
      <c r="AA275" s="124">
        <f t="shared" si="226"/>
        <v>724618</v>
      </c>
      <c r="AB275" s="130">
        <f t="shared" si="227"/>
        <v>640308.60000000009</v>
      </c>
      <c r="AC275" s="221">
        <f>0.5*320344</f>
        <v>160172</v>
      </c>
      <c r="AD275" s="221">
        <f>0.5*320344</f>
        <v>160172</v>
      </c>
      <c r="AE275" s="225" t="s">
        <v>78</v>
      </c>
      <c r="AF275" s="225" t="s">
        <v>78</v>
      </c>
      <c r="AG275" s="225" t="s">
        <v>78</v>
      </c>
      <c r="AH275" s="125">
        <f t="shared" si="211"/>
        <v>320344</v>
      </c>
      <c r="AI275" s="127">
        <f t="shared" si="221"/>
        <v>0.90053327411188921</v>
      </c>
      <c r="AJ275" s="128">
        <f>IFERROR(AVERAGE(AI275:AI277),"N/A")</f>
        <v>1.34316294993715</v>
      </c>
      <c r="AK275" s="223">
        <v>0.9</v>
      </c>
      <c r="AL275" s="131">
        <f t="shared" si="222"/>
        <v>320154.3</v>
      </c>
      <c r="AM275" s="368">
        <f t="shared" si="246"/>
        <v>320344</v>
      </c>
      <c r="AN275" s="375">
        <f t="shared" si="228"/>
        <v>1044962</v>
      </c>
      <c r="AO275" s="376">
        <f t="shared" si="229"/>
        <v>960462.90000000014</v>
      </c>
      <c r="AP275" s="395" t="s">
        <v>489</v>
      </c>
      <c r="AQ275" s="395" t="s">
        <v>489</v>
      </c>
      <c r="AR275" s="396" t="str">
        <f t="shared" si="205"/>
        <v>-</v>
      </c>
      <c r="AS275" s="397" t="str">
        <f>IFERROR(AVERAGE(AR275:AR277),"N/A")</f>
        <v>N/A</v>
      </c>
      <c r="AT275" s="978">
        <f>1010458-987143</f>
        <v>23315</v>
      </c>
      <c r="AU275" s="396">
        <f t="shared" si="206"/>
        <v>23315</v>
      </c>
      <c r="AV275" s="397">
        <f>IFERROR(AVERAGE(AU275:AU277),"N/A")</f>
        <v>17455.666666666668</v>
      </c>
      <c r="AW275" s="388">
        <f t="shared" si="230"/>
        <v>1068277</v>
      </c>
      <c r="AX275" s="389">
        <f t="shared" si="231"/>
        <v>983777.90000000014</v>
      </c>
      <c r="AY275" s="353" t="s">
        <v>653</v>
      </c>
      <c r="AZ275" s="403" t="s">
        <v>548</v>
      </c>
      <c r="BA275" s="404" t="s">
        <v>353</v>
      </c>
    </row>
    <row r="276" spans="1:54" ht="15" customHeight="1">
      <c r="A276" s="1" t="str">
        <f t="shared" si="201"/>
        <v>TSX:EQX_2024_Legal</v>
      </c>
      <c r="B276" s="1" t="str">
        <f t="shared" si="208"/>
        <v>TSX:EQX_2024_NEO3</v>
      </c>
      <c r="C276" s="1" t="str">
        <f t="shared" si="202"/>
        <v>TSX:EQX_2024_</v>
      </c>
      <c r="D276" s="114" t="str">
        <f t="shared" si="243"/>
        <v>TSX:EQX</v>
      </c>
      <c r="E276" s="133" t="str">
        <f>_xll.ciqfunctions.udf.CIQ(D276,"IQ_Company_Name")</f>
        <v>Equinox Gold Corp.</v>
      </c>
      <c r="F276" s="114">
        <f t="shared" si="248"/>
        <v>2024</v>
      </c>
      <c r="G276" s="114" t="str">
        <f t="shared" si="212"/>
        <v>2024-01-01</v>
      </c>
      <c r="H276" s="330" t="str">
        <f t="shared" si="235"/>
        <v>2024-12-31</v>
      </c>
      <c r="I276" s="114">
        <f t="shared" si="223"/>
        <v>12</v>
      </c>
      <c r="J276" s="407" t="s">
        <v>2</v>
      </c>
      <c r="K276" s="439">
        <f t="shared" si="209"/>
        <v>1</v>
      </c>
      <c r="L276" s="445" t="s">
        <v>360</v>
      </c>
      <c r="M276" s="445"/>
      <c r="N276" s="122" t="str">
        <f t="shared" ref="N276:P277" si="254">N275</f>
        <v>NEO3</v>
      </c>
      <c r="O276" s="123" t="str">
        <f t="shared" si="254"/>
        <v>Former General Counsel &amp; Corporate Secretary</v>
      </c>
      <c r="P276" s="132" t="str">
        <f t="shared" si="254"/>
        <v>Susan Toews</v>
      </c>
      <c r="Q276" s="219">
        <v>308623</v>
      </c>
      <c r="R276" s="125">
        <f t="shared" si="252"/>
        <v>308623</v>
      </c>
      <c r="S276" s="311" t="s">
        <v>78</v>
      </c>
      <c r="T276" s="126" t="str">
        <f t="shared" si="253"/>
        <v>-</v>
      </c>
      <c r="U276" s="221">
        <v>237282</v>
      </c>
      <c r="V276" s="125">
        <f t="shared" si="245"/>
        <v>237282</v>
      </c>
      <c r="W276" s="127">
        <f t="shared" si="219"/>
        <v>0.76884094834150407</v>
      </c>
      <c r="X276" s="128"/>
      <c r="Y276" s="223" t="s">
        <v>78</v>
      </c>
      <c r="Z276" s="129">
        <f t="shared" si="220"/>
        <v>0</v>
      </c>
      <c r="AA276" s="124">
        <f t="shared" si="226"/>
        <v>545905</v>
      </c>
      <c r="AB276" s="130">
        <f t="shared" si="227"/>
        <v>308623</v>
      </c>
      <c r="AC276" s="221">
        <f>0.5*259188</f>
        <v>129594</v>
      </c>
      <c r="AD276" s="221">
        <f>0.5*259188</f>
        <v>129594</v>
      </c>
      <c r="AE276" s="225" t="s">
        <v>78</v>
      </c>
      <c r="AF276" s="225" t="s">
        <v>78</v>
      </c>
      <c r="AG276" s="225" t="s">
        <v>78</v>
      </c>
      <c r="AH276" s="125">
        <f t="shared" si="211"/>
        <v>259188</v>
      </c>
      <c r="AI276" s="127">
        <f t="shared" si="221"/>
        <v>0.83982075217984398</v>
      </c>
      <c r="AJ276" s="128"/>
      <c r="AK276" s="223" t="s">
        <v>78</v>
      </c>
      <c r="AL276" s="131">
        <f t="shared" si="222"/>
        <v>0</v>
      </c>
      <c r="AM276" s="368">
        <f t="shared" si="246"/>
        <v>259188</v>
      </c>
      <c r="AN276" s="375">
        <f t="shared" si="228"/>
        <v>805093</v>
      </c>
      <c r="AO276" s="376">
        <f t="shared" si="229"/>
        <v>308623</v>
      </c>
      <c r="AP276" s="395" t="s">
        <v>489</v>
      </c>
      <c r="AQ276" s="395" t="s">
        <v>489</v>
      </c>
      <c r="AR276" s="396" t="str">
        <f t="shared" si="205"/>
        <v>-</v>
      </c>
      <c r="AS276" s="397"/>
      <c r="AT276" s="401">
        <v>13908</v>
      </c>
      <c r="AU276" s="396">
        <f t="shared" si="206"/>
        <v>13908</v>
      </c>
      <c r="AV276" s="397"/>
      <c r="AW276" s="388">
        <f t="shared" si="230"/>
        <v>819001</v>
      </c>
      <c r="AX276" s="389">
        <f t="shared" si="231"/>
        <v>322531</v>
      </c>
      <c r="AY276" s="353" t="s">
        <v>78</v>
      </c>
      <c r="AZ276" s="403" t="s">
        <v>548</v>
      </c>
      <c r="BA276" s="404" t="s">
        <v>353</v>
      </c>
    </row>
    <row r="277" spans="1:54" ht="15" customHeight="1">
      <c r="A277" s="1" t="str">
        <f t="shared" si="201"/>
        <v>TSX:EQX_2023_Legal</v>
      </c>
      <c r="B277" s="1" t="str">
        <f t="shared" si="208"/>
        <v>TSX:EQX_2023_NEO3</v>
      </c>
      <c r="C277" s="1" t="str">
        <f t="shared" si="202"/>
        <v>TSX:EQX_2023_</v>
      </c>
      <c r="D277" s="203" t="str">
        <f t="shared" si="243"/>
        <v>TSX:EQX</v>
      </c>
      <c r="E277" s="205" t="str">
        <f>_xll.ciqfunctions.udf.CIQ(D277,"IQ_Company_Name")</f>
        <v>Equinox Gold Corp.</v>
      </c>
      <c r="F277" s="204">
        <f t="shared" si="248"/>
        <v>2023</v>
      </c>
      <c r="G277" s="204" t="str">
        <f t="shared" si="212"/>
        <v>2023-01-01</v>
      </c>
      <c r="H277" s="331" t="str">
        <f t="shared" si="235"/>
        <v>2023-12-31</v>
      </c>
      <c r="I277" s="204">
        <f t="shared" si="223"/>
        <v>12</v>
      </c>
      <c r="J277" s="408" t="s">
        <v>2</v>
      </c>
      <c r="K277" s="441">
        <f t="shared" si="209"/>
        <v>1</v>
      </c>
      <c r="L277" s="454" t="s">
        <v>360</v>
      </c>
      <c r="M277" s="454"/>
      <c r="N277" s="956" t="str">
        <f t="shared" si="254"/>
        <v>NEO3</v>
      </c>
      <c r="O277" s="206" t="str">
        <f t="shared" si="254"/>
        <v>Former General Counsel &amp; Corporate Secretary</v>
      </c>
      <c r="P277" s="207" t="str">
        <f t="shared" si="254"/>
        <v>Susan Toews</v>
      </c>
      <c r="Q277" s="220">
        <v>315531</v>
      </c>
      <c r="R277" s="209">
        <f t="shared" si="252"/>
        <v>315531</v>
      </c>
      <c r="S277" s="312" t="s">
        <v>78</v>
      </c>
      <c r="T277" s="329" t="str">
        <f t="shared" si="253"/>
        <v>-</v>
      </c>
      <c r="U277" s="222">
        <v>287133</v>
      </c>
      <c r="V277" s="209">
        <f t="shared" si="245"/>
        <v>287133</v>
      </c>
      <c r="W277" s="211">
        <f t="shared" si="219"/>
        <v>0.90999933445525161</v>
      </c>
      <c r="X277" s="212"/>
      <c r="Y277" s="224" t="s">
        <v>78</v>
      </c>
      <c r="Z277" s="213">
        <f t="shared" si="220"/>
        <v>0</v>
      </c>
      <c r="AA277" s="208">
        <f t="shared" si="226"/>
        <v>602664</v>
      </c>
      <c r="AB277" s="214">
        <f t="shared" si="227"/>
        <v>315531</v>
      </c>
      <c r="AC277" s="222">
        <f>0.5*722293</f>
        <v>361146.5</v>
      </c>
      <c r="AD277" s="222">
        <f>0.5*722293</f>
        <v>361146.5</v>
      </c>
      <c r="AE277" s="226" t="s">
        <v>78</v>
      </c>
      <c r="AF277" s="226" t="s">
        <v>78</v>
      </c>
      <c r="AG277" s="226" t="s">
        <v>78</v>
      </c>
      <c r="AH277" s="418">
        <f t="shared" si="211"/>
        <v>722293</v>
      </c>
      <c r="AI277" s="211">
        <f t="shared" si="221"/>
        <v>2.2891348235197175</v>
      </c>
      <c r="AJ277" s="212"/>
      <c r="AK277" s="224" t="s">
        <v>78</v>
      </c>
      <c r="AL277" s="215">
        <f t="shared" si="222"/>
        <v>0</v>
      </c>
      <c r="AM277" s="369">
        <f t="shared" si="246"/>
        <v>722293</v>
      </c>
      <c r="AN277" s="377">
        <f t="shared" si="228"/>
        <v>1324957</v>
      </c>
      <c r="AO277" s="378">
        <f t="shared" si="229"/>
        <v>315531</v>
      </c>
      <c r="AP277" s="399" t="s">
        <v>489</v>
      </c>
      <c r="AQ277" s="399" t="s">
        <v>489</v>
      </c>
      <c r="AR277" s="951" t="str">
        <f t="shared" si="205"/>
        <v>-</v>
      </c>
      <c r="AS277" s="400"/>
      <c r="AT277" s="402">
        <v>15144</v>
      </c>
      <c r="AU277" s="951">
        <f t="shared" si="206"/>
        <v>15144</v>
      </c>
      <c r="AV277" s="400"/>
      <c r="AW277" s="390">
        <f t="shared" si="230"/>
        <v>1340101</v>
      </c>
      <c r="AX277" s="391">
        <f t="shared" si="231"/>
        <v>330675</v>
      </c>
      <c r="AY277" s="354" t="s">
        <v>78</v>
      </c>
      <c r="AZ277" s="405" t="s">
        <v>548</v>
      </c>
      <c r="BA277" s="404" t="s">
        <v>353</v>
      </c>
    </row>
    <row r="278" spans="1:54" ht="15" customHeight="1">
      <c r="A278" s="1" t="str">
        <f t="shared" si="201"/>
        <v>0_2025_</v>
      </c>
      <c r="B278" s="1" t="str">
        <f t="shared" si="208"/>
        <v>0_2025_CEO</v>
      </c>
      <c r="D278" s="216">
        <f>E20</f>
        <v>0</v>
      </c>
      <c r="E278" s="133" t="str">
        <f>_xll.ciqfunctions.udf.CIQ(D278,"IQ_Company_Name")</f>
        <v>(Invalid Identifier)</v>
      </c>
      <c r="F278" s="328">
        <f>$G$9</f>
        <v>2025</v>
      </c>
      <c r="G278" s="330" t="str">
        <f t="shared" ref="G278:G308" si="255">F278&amp;"-01-01"</f>
        <v>2025-01-01</v>
      </c>
      <c r="H278" s="330" t="str">
        <f t="shared" ref="H278:H331" si="256">F278&amp;"-12-31"</f>
        <v>2025-12-31</v>
      </c>
      <c r="I278" s="114">
        <f t="shared" ref="I278:I309" si="257">_xlfn.DAYS(H278,G278)/_xlfn.DAYS(F278&amp;"-12-31",F278&amp;"-01-01")*12</f>
        <v>12</v>
      </c>
      <c r="J278" s="328" t="str">
        <f>$H$5</f>
        <v>CAD</v>
      </c>
      <c r="K278" s="439">
        <f t="shared" si="209"/>
        <v>1</v>
      </c>
      <c r="L278" s="445"/>
      <c r="M278" s="982"/>
      <c r="N278" s="442" t="s">
        <v>79</v>
      </c>
      <c r="O278" s="217" t="s">
        <v>78</v>
      </c>
      <c r="P278" s="218" t="s">
        <v>78</v>
      </c>
      <c r="Q278" s="219" t="s">
        <v>78</v>
      </c>
      <c r="R278" s="125" t="str">
        <f t="shared" si="252"/>
        <v>-</v>
      </c>
      <c r="S278" s="311" t="s">
        <v>78</v>
      </c>
      <c r="T278" s="126" t="str">
        <f t="shared" si="253"/>
        <v>-</v>
      </c>
      <c r="U278" s="221" t="s">
        <v>78</v>
      </c>
      <c r="V278" s="125" t="str">
        <f t="shared" si="245"/>
        <v>-</v>
      </c>
      <c r="W278" s="127" t="str">
        <f t="shared" si="219"/>
        <v>-</v>
      </c>
      <c r="X278" s="128" t="str">
        <f>IFERROR(AVERAGE(W278:W280),"N/A")</f>
        <v>N/A</v>
      </c>
      <c r="Y278" s="223" t="s">
        <v>78</v>
      </c>
      <c r="Z278" s="129" t="str">
        <f t="shared" si="220"/>
        <v>-</v>
      </c>
      <c r="AA278" s="124" t="str">
        <f t="shared" si="226"/>
        <v>-</v>
      </c>
      <c r="AB278" s="130" t="str">
        <f t="shared" si="227"/>
        <v>-</v>
      </c>
      <c r="AC278" s="221" t="s">
        <v>78</v>
      </c>
      <c r="AD278" s="225" t="s">
        <v>78</v>
      </c>
      <c r="AE278" s="225" t="s">
        <v>78</v>
      </c>
      <c r="AF278" s="225" t="s">
        <v>78</v>
      </c>
      <c r="AG278" s="225" t="s">
        <v>78</v>
      </c>
      <c r="AH278" s="125" t="str">
        <f t="shared" si="211"/>
        <v>-</v>
      </c>
      <c r="AI278" s="127" t="str">
        <f t="shared" si="221"/>
        <v>-</v>
      </c>
      <c r="AJ278" s="128" t="str">
        <f>IFERROR(AVERAGE(AI278:AI280),"N/A")</f>
        <v>N/A</v>
      </c>
      <c r="AK278" s="223" t="s">
        <v>78</v>
      </c>
      <c r="AL278" s="131" t="str">
        <f t="shared" si="222"/>
        <v>-</v>
      </c>
      <c r="AM278" s="368" t="str">
        <f t="shared" si="246"/>
        <v>-</v>
      </c>
      <c r="AN278" s="375" t="str">
        <f t="shared" si="228"/>
        <v>-</v>
      </c>
      <c r="AO278" s="376" t="str">
        <f t="shared" si="229"/>
        <v>-</v>
      </c>
      <c r="AP278" s="394" t="s">
        <v>78</v>
      </c>
      <c r="AQ278" s="395" t="s">
        <v>78</v>
      </c>
      <c r="AR278" s="396" t="str">
        <f t="shared" si="205"/>
        <v>-</v>
      </c>
      <c r="AS278" s="409" t="str">
        <f>IFERROR(AVERAGE(AR278:AR280),"N/A")</f>
        <v>N/A</v>
      </c>
      <c r="AT278" s="401" t="s">
        <v>78</v>
      </c>
      <c r="AU278" s="396" t="str">
        <f t="shared" si="206"/>
        <v>-</v>
      </c>
      <c r="AV278" s="409" t="str">
        <f>IFERROR(AVERAGE(AU278:AU280),"N/A")</f>
        <v>N/A</v>
      </c>
      <c r="AW278" s="388" t="str">
        <f t="shared" si="230"/>
        <v>-</v>
      </c>
      <c r="AX278" s="389" t="str">
        <f t="shared" si="231"/>
        <v>-</v>
      </c>
      <c r="AY278" s="353" t="s">
        <v>78</v>
      </c>
      <c r="AZ278" s="403"/>
      <c r="BA278" s="404"/>
    </row>
    <row r="279" spans="1:54" ht="15" customHeight="1">
      <c r="A279" s="1" t="str">
        <f t="shared" si="201"/>
        <v>0_2024_</v>
      </c>
      <c r="B279" s="1" t="str">
        <f t="shared" si="208"/>
        <v>0_2024_CEO</v>
      </c>
      <c r="D279" s="114">
        <f>D278</f>
        <v>0</v>
      </c>
      <c r="E279" s="133" t="str">
        <f>_xll.ciqfunctions.udf.CIQ(D279,"IQ_Company_Name")</f>
        <v>(Invalid Identifier)</v>
      </c>
      <c r="F279" s="328">
        <f>$G$10</f>
        <v>2024</v>
      </c>
      <c r="G279" s="330" t="str">
        <f t="shared" si="255"/>
        <v>2024-01-01</v>
      </c>
      <c r="H279" s="330" t="str">
        <f t="shared" si="256"/>
        <v>2024-12-31</v>
      </c>
      <c r="I279" s="114">
        <f t="shared" si="257"/>
        <v>12</v>
      </c>
      <c r="J279" s="407" t="str">
        <f>J278</f>
        <v>CAD</v>
      </c>
      <c r="K279" s="439">
        <f t="shared" si="209"/>
        <v>1</v>
      </c>
      <c r="L279" s="445"/>
      <c r="M279" s="982"/>
      <c r="N279" s="443" t="str">
        <f t="shared" ref="N279:P280" si="258">N278</f>
        <v>CEO</v>
      </c>
      <c r="O279" s="123" t="str">
        <f t="shared" si="258"/>
        <v>-</v>
      </c>
      <c r="P279" s="132" t="str">
        <f t="shared" si="258"/>
        <v>-</v>
      </c>
      <c r="Q279" s="219" t="s">
        <v>78</v>
      </c>
      <c r="R279" s="125" t="str">
        <f t="shared" si="252"/>
        <v>-</v>
      </c>
      <c r="S279" s="311" t="s">
        <v>78</v>
      </c>
      <c r="T279" s="126" t="str">
        <f t="shared" si="253"/>
        <v>-</v>
      </c>
      <c r="U279" s="221" t="s">
        <v>78</v>
      </c>
      <c r="V279" s="125" t="str">
        <f t="shared" si="245"/>
        <v>-</v>
      </c>
      <c r="W279" s="127" t="str">
        <f t="shared" si="219"/>
        <v>-</v>
      </c>
      <c r="X279" s="128"/>
      <c r="Y279" s="223" t="s">
        <v>78</v>
      </c>
      <c r="Z279" s="129" t="str">
        <f t="shared" si="220"/>
        <v>-</v>
      </c>
      <c r="AA279" s="124" t="str">
        <f t="shared" si="226"/>
        <v>-</v>
      </c>
      <c r="AB279" s="130" t="str">
        <f t="shared" si="227"/>
        <v>-</v>
      </c>
      <c r="AC279" s="221" t="s">
        <v>78</v>
      </c>
      <c r="AD279" s="225" t="s">
        <v>78</v>
      </c>
      <c r="AE279" s="225" t="s">
        <v>78</v>
      </c>
      <c r="AF279" s="225" t="s">
        <v>78</v>
      </c>
      <c r="AG279" s="225" t="s">
        <v>78</v>
      </c>
      <c r="AH279" s="125" t="str">
        <f t="shared" si="211"/>
        <v>-</v>
      </c>
      <c r="AI279" s="127" t="str">
        <f t="shared" si="221"/>
        <v>-</v>
      </c>
      <c r="AJ279" s="128"/>
      <c r="AK279" s="223" t="s">
        <v>78</v>
      </c>
      <c r="AL279" s="131" t="str">
        <f t="shared" si="222"/>
        <v>-</v>
      </c>
      <c r="AM279" s="368" t="str">
        <f t="shared" si="246"/>
        <v>-</v>
      </c>
      <c r="AN279" s="375" t="str">
        <f t="shared" si="228"/>
        <v>-</v>
      </c>
      <c r="AO279" s="376" t="str">
        <f t="shared" si="229"/>
        <v>-</v>
      </c>
      <c r="AP279" s="394" t="s">
        <v>78</v>
      </c>
      <c r="AQ279" s="395" t="s">
        <v>78</v>
      </c>
      <c r="AR279" s="396" t="str">
        <f t="shared" si="205"/>
        <v>-</v>
      </c>
      <c r="AS279" s="397"/>
      <c r="AT279" s="401" t="s">
        <v>78</v>
      </c>
      <c r="AU279" s="396" t="str">
        <f t="shared" si="206"/>
        <v>-</v>
      </c>
      <c r="AV279" s="397"/>
      <c r="AW279" s="388" t="str">
        <f t="shared" si="230"/>
        <v>-</v>
      </c>
      <c r="AX279" s="389" t="str">
        <f t="shared" si="231"/>
        <v>-</v>
      </c>
      <c r="AY279" s="353" t="s">
        <v>78</v>
      </c>
      <c r="AZ279" s="403"/>
      <c r="BA279" s="404"/>
    </row>
    <row r="280" spans="1:54" ht="15" customHeight="1">
      <c r="A280" s="1" t="str">
        <f t="shared" si="201"/>
        <v>0_2023_</v>
      </c>
      <c r="B280" s="1" t="str">
        <f t="shared" si="208"/>
        <v>0_2023_CEO</v>
      </c>
      <c r="D280" s="114">
        <f t="shared" si="243"/>
        <v>0</v>
      </c>
      <c r="E280" s="133" t="str">
        <f>_xll.ciqfunctions.udf.CIQ(D280,"IQ_Company_Name")</f>
        <v>(Invalid Identifier)</v>
      </c>
      <c r="F280" s="328">
        <f>$G$11</f>
        <v>2023</v>
      </c>
      <c r="G280" s="114" t="str">
        <f t="shared" si="255"/>
        <v>2023-01-01</v>
      </c>
      <c r="H280" s="330" t="str">
        <f t="shared" si="256"/>
        <v>2023-12-31</v>
      </c>
      <c r="I280" s="114">
        <f t="shared" si="257"/>
        <v>12</v>
      </c>
      <c r="J280" s="407" t="str">
        <f>J279</f>
        <v>CAD</v>
      </c>
      <c r="K280" s="439">
        <f t="shared" si="209"/>
        <v>1</v>
      </c>
      <c r="L280" s="445"/>
      <c r="M280" s="982"/>
      <c r="N280" s="443" t="str">
        <f t="shared" si="258"/>
        <v>CEO</v>
      </c>
      <c r="O280" s="123" t="str">
        <f t="shared" si="258"/>
        <v>-</v>
      </c>
      <c r="P280" s="132" t="str">
        <f t="shared" si="258"/>
        <v>-</v>
      </c>
      <c r="Q280" s="219" t="s">
        <v>78</v>
      </c>
      <c r="R280" s="125" t="str">
        <f t="shared" si="252"/>
        <v>-</v>
      </c>
      <c r="S280" s="311" t="s">
        <v>78</v>
      </c>
      <c r="T280" s="126" t="str">
        <f t="shared" si="253"/>
        <v>-</v>
      </c>
      <c r="U280" s="221" t="s">
        <v>78</v>
      </c>
      <c r="V280" s="125" t="str">
        <f t="shared" si="245"/>
        <v>-</v>
      </c>
      <c r="W280" s="127" t="str">
        <f t="shared" si="219"/>
        <v>-</v>
      </c>
      <c r="X280" s="128"/>
      <c r="Y280" s="223" t="s">
        <v>78</v>
      </c>
      <c r="Z280" s="129" t="str">
        <f t="shared" si="220"/>
        <v>-</v>
      </c>
      <c r="AA280" s="124" t="str">
        <f t="shared" si="226"/>
        <v>-</v>
      </c>
      <c r="AB280" s="130" t="str">
        <f t="shared" si="227"/>
        <v>-</v>
      </c>
      <c r="AC280" s="221" t="s">
        <v>78</v>
      </c>
      <c r="AD280" s="225" t="s">
        <v>78</v>
      </c>
      <c r="AE280" s="225" t="s">
        <v>78</v>
      </c>
      <c r="AF280" s="225" t="s">
        <v>78</v>
      </c>
      <c r="AG280" s="225" t="s">
        <v>78</v>
      </c>
      <c r="AH280" s="125" t="str">
        <f t="shared" si="211"/>
        <v>-</v>
      </c>
      <c r="AI280" s="127" t="str">
        <f t="shared" si="221"/>
        <v>-</v>
      </c>
      <c r="AJ280" s="128"/>
      <c r="AK280" s="223" t="s">
        <v>78</v>
      </c>
      <c r="AL280" s="131" t="str">
        <f t="shared" si="222"/>
        <v>-</v>
      </c>
      <c r="AM280" s="368" t="str">
        <f t="shared" si="246"/>
        <v>-</v>
      </c>
      <c r="AN280" s="375" t="str">
        <f t="shared" si="228"/>
        <v>-</v>
      </c>
      <c r="AO280" s="376" t="str">
        <f t="shared" si="229"/>
        <v>-</v>
      </c>
      <c r="AP280" s="394" t="s">
        <v>78</v>
      </c>
      <c r="AQ280" s="395" t="s">
        <v>78</v>
      </c>
      <c r="AR280" s="396" t="str">
        <f t="shared" si="205"/>
        <v>-</v>
      </c>
      <c r="AS280" s="397"/>
      <c r="AT280" s="401" t="s">
        <v>78</v>
      </c>
      <c r="AU280" s="396" t="str">
        <f t="shared" si="206"/>
        <v>-</v>
      </c>
      <c r="AV280" s="397"/>
      <c r="AW280" s="388" t="str">
        <f t="shared" si="230"/>
        <v>-</v>
      </c>
      <c r="AX280" s="389" t="str">
        <f t="shared" si="231"/>
        <v>-</v>
      </c>
      <c r="AY280" s="353" t="s">
        <v>78</v>
      </c>
      <c r="AZ280" s="403"/>
      <c r="BA280" s="404"/>
    </row>
    <row r="281" spans="1:54" ht="15" customHeight="1">
      <c r="A281" s="1" t="str">
        <f t="shared" si="201"/>
        <v>0_2025_</v>
      </c>
      <c r="B281" s="1" t="str">
        <f t="shared" si="208"/>
        <v>0_2025_CFO</v>
      </c>
      <c r="D281" s="114">
        <f t="shared" si="243"/>
        <v>0</v>
      </c>
      <c r="E281" s="133" t="str">
        <f>_xll.ciqfunctions.udf.CIQ(D281,"IQ_Company_Name")</f>
        <v>(Invalid Identifier)</v>
      </c>
      <c r="F281" s="114">
        <f t="shared" si="248"/>
        <v>2025</v>
      </c>
      <c r="G281" s="114" t="str">
        <f t="shared" si="255"/>
        <v>2025-01-01</v>
      </c>
      <c r="H281" s="330" t="str">
        <f t="shared" si="256"/>
        <v>2025-12-31</v>
      </c>
      <c r="I281" s="114">
        <f t="shared" si="257"/>
        <v>12</v>
      </c>
      <c r="J281" s="407" t="str">
        <f>J280</f>
        <v>CAD</v>
      </c>
      <c r="K281" s="439">
        <f t="shared" si="209"/>
        <v>1</v>
      </c>
      <c r="L281" s="445"/>
      <c r="M281" s="982"/>
      <c r="N281" s="442" t="s">
        <v>106</v>
      </c>
      <c r="O281" s="217" t="s">
        <v>78</v>
      </c>
      <c r="P281" s="218" t="s">
        <v>78</v>
      </c>
      <c r="Q281" s="219" t="s">
        <v>78</v>
      </c>
      <c r="R281" s="125" t="str">
        <f t="shared" si="252"/>
        <v>-</v>
      </c>
      <c r="S281" s="311" t="s">
        <v>78</v>
      </c>
      <c r="T281" s="126" t="str">
        <f t="shared" si="253"/>
        <v>-</v>
      </c>
      <c r="U281" s="221" t="s">
        <v>78</v>
      </c>
      <c r="V281" s="125" t="str">
        <f t="shared" si="245"/>
        <v>-</v>
      </c>
      <c r="W281" s="127" t="str">
        <f t="shared" si="219"/>
        <v>-</v>
      </c>
      <c r="X281" s="128" t="str">
        <f>IFERROR(AVERAGE(W281:W283),"N/A")</f>
        <v>N/A</v>
      </c>
      <c r="Y281" s="223" t="s">
        <v>78</v>
      </c>
      <c r="Z281" s="129" t="str">
        <f t="shared" si="220"/>
        <v>-</v>
      </c>
      <c r="AA281" s="124" t="str">
        <f t="shared" si="226"/>
        <v>-</v>
      </c>
      <c r="AB281" s="130" t="str">
        <f t="shared" si="227"/>
        <v>-</v>
      </c>
      <c r="AC281" s="221" t="s">
        <v>78</v>
      </c>
      <c r="AD281" s="225" t="s">
        <v>78</v>
      </c>
      <c r="AE281" s="225" t="s">
        <v>78</v>
      </c>
      <c r="AF281" s="225" t="s">
        <v>78</v>
      </c>
      <c r="AG281" s="225" t="s">
        <v>78</v>
      </c>
      <c r="AH281" s="125" t="str">
        <f t="shared" si="211"/>
        <v>-</v>
      </c>
      <c r="AI281" s="127" t="str">
        <f t="shared" si="221"/>
        <v>-</v>
      </c>
      <c r="AJ281" s="128" t="str">
        <f>IFERROR(AVERAGE(AI281:AI283),"N/A")</f>
        <v>N/A</v>
      </c>
      <c r="AK281" s="223" t="s">
        <v>78</v>
      </c>
      <c r="AL281" s="131" t="str">
        <f t="shared" si="222"/>
        <v>-</v>
      </c>
      <c r="AM281" s="368" t="str">
        <f t="shared" si="246"/>
        <v>-</v>
      </c>
      <c r="AN281" s="375" t="str">
        <f t="shared" si="228"/>
        <v>-</v>
      </c>
      <c r="AO281" s="376" t="str">
        <f t="shared" si="229"/>
        <v>-</v>
      </c>
      <c r="AP281" s="394" t="s">
        <v>78</v>
      </c>
      <c r="AQ281" s="395" t="s">
        <v>78</v>
      </c>
      <c r="AR281" s="396" t="str">
        <f t="shared" si="205"/>
        <v>-</v>
      </c>
      <c r="AS281" s="397" t="str">
        <f>IFERROR(AVERAGE(AR281:AR283),"N/A")</f>
        <v>N/A</v>
      </c>
      <c r="AT281" s="401" t="s">
        <v>78</v>
      </c>
      <c r="AU281" s="396" t="str">
        <f t="shared" si="206"/>
        <v>-</v>
      </c>
      <c r="AV281" s="397" t="str">
        <f>IFERROR(AVERAGE(AU281:AU283),"N/A")</f>
        <v>N/A</v>
      </c>
      <c r="AW281" s="388" t="str">
        <f t="shared" si="230"/>
        <v>-</v>
      </c>
      <c r="AX281" s="389" t="str">
        <f t="shared" si="231"/>
        <v>-</v>
      </c>
      <c r="AY281" s="353" t="s">
        <v>78</v>
      </c>
      <c r="AZ281" s="403"/>
      <c r="BA281" s="404"/>
    </row>
    <row r="282" spans="1:54" ht="15" customHeight="1">
      <c r="A282" s="1" t="str">
        <f t="shared" si="201"/>
        <v>0_2024_</v>
      </c>
      <c r="B282" s="1" t="str">
        <f t="shared" si="208"/>
        <v>0_2024_CFO</v>
      </c>
      <c r="D282" s="114">
        <f t="shared" si="243"/>
        <v>0</v>
      </c>
      <c r="E282" s="133" t="str">
        <f>_xll.ciqfunctions.udf.CIQ(D282,"IQ_Company_Name")</f>
        <v>(Invalid Identifier)</v>
      </c>
      <c r="F282" s="114">
        <f t="shared" si="248"/>
        <v>2024</v>
      </c>
      <c r="G282" s="114" t="str">
        <f t="shared" si="255"/>
        <v>2024-01-01</v>
      </c>
      <c r="H282" s="330" t="str">
        <f t="shared" si="256"/>
        <v>2024-12-31</v>
      </c>
      <c r="I282" s="114">
        <f t="shared" si="257"/>
        <v>12</v>
      </c>
      <c r="J282" s="407" t="str">
        <f>J281</f>
        <v>CAD</v>
      </c>
      <c r="K282" s="439">
        <f t="shared" si="209"/>
        <v>1</v>
      </c>
      <c r="L282" s="445"/>
      <c r="M282" s="982"/>
      <c r="N282" s="443" t="str">
        <f t="shared" ref="N282:P283" si="259">N281</f>
        <v>CFO</v>
      </c>
      <c r="O282" s="123" t="str">
        <f t="shared" si="259"/>
        <v>-</v>
      </c>
      <c r="P282" s="132" t="str">
        <f t="shared" si="259"/>
        <v>-</v>
      </c>
      <c r="Q282" s="219" t="s">
        <v>78</v>
      </c>
      <c r="R282" s="125" t="str">
        <f t="shared" si="252"/>
        <v>-</v>
      </c>
      <c r="S282" s="311" t="s">
        <v>78</v>
      </c>
      <c r="T282" s="126" t="str">
        <f t="shared" si="253"/>
        <v>-</v>
      </c>
      <c r="U282" s="221" t="s">
        <v>78</v>
      </c>
      <c r="V282" s="125" t="str">
        <f t="shared" si="245"/>
        <v>-</v>
      </c>
      <c r="W282" s="127" t="str">
        <f t="shared" si="219"/>
        <v>-</v>
      </c>
      <c r="X282" s="128"/>
      <c r="Y282" s="223" t="s">
        <v>78</v>
      </c>
      <c r="Z282" s="129" t="str">
        <f t="shared" si="220"/>
        <v>-</v>
      </c>
      <c r="AA282" s="124" t="str">
        <f t="shared" si="226"/>
        <v>-</v>
      </c>
      <c r="AB282" s="130" t="str">
        <f t="shared" si="227"/>
        <v>-</v>
      </c>
      <c r="AC282" s="221" t="s">
        <v>78</v>
      </c>
      <c r="AD282" s="225" t="s">
        <v>78</v>
      </c>
      <c r="AE282" s="225" t="s">
        <v>78</v>
      </c>
      <c r="AF282" s="225" t="s">
        <v>78</v>
      </c>
      <c r="AG282" s="225" t="s">
        <v>78</v>
      </c>
      <c r="AH282" s="125" t="str">
        <f t="shared" si="211"/>
        <v>-</v>
      </c>
      <c r="AI282" s="127" t="str">
        <f t="shared" si="221"/>
        <v>-</v>
      </c>
      <c r="AJ282" s="128"/>
      <c r="AK282" s="223" t="s">
        <v>78</v>
      </c>
      <c r="AL282" s="131" t="str">
        <f t="shared" si="222"/>
        <v>-</v>
      </c>
      <c r="AM282" s="368" t="str">
        <f t="shared" si="246"/>
        <v>-</v>
      </c>
      <c r="AN282" s="375" t="str">
        <f t="shared" si="228"/>
        <v>-</v>
      </c>
      <c r="AO282" s="376" t="str">
        <f t="shared" si="229"/>
        <v>-</v>
      </c>
      <c r="AP282" s="394" t="s">
        <v>78</v>
      </c>
      <c r="AQ282" s="395" t="s">
        <v>78</v>
      </c>
      <c r="AR282" s="396" t="str">
        <f t="shared" si="205"/>
        <v>-</v>
      </c>
      <c r="AS282" s="397"/>
      <c r="AT282" s="401" t="s">
        <v>78</v>
      </c>
      <c r="AU282" s="396" t="str">
        <f t="shared" si="206"/>
        <v>-</v>
      </c>
      <c r="AV282" s="397"/>
      <c r="AW282" s="388" t="str">
        <f t="shared" si="230"/>
        <v>-</v>
      </c>
      <c r="AX282" s="389" t="str">
        <f t="shared" si="231"/>
        <v>-</v>
      </c>
      <c r="AY282" s="353" t="s">
        <v>78</v>
      </c>
      <c r="AZ282" s="403"/>
      <c r="BA282" s="404"/>
    </row>
    <row r="283" spans="1:54" ht="15" customHeight="1">
      <c r="A283" s="1" t="str">
        <f t="shared" si="201"/>
        <v>0_2023_</v>
      </c>
      <c r="B283" s="1" t="str">
        <f t="shared" si="208"/>
        <v>0_2023_CFO</v>
      </c>
      <c r="D283" s="114">
        <f t="shared" si="243"/>
        <v>0</v>
      </c>
      <c r="E283" s="133" t="str">
        <f>_xll.ciqfunctions.udf.CIQ(D283,"IQ_Company_Name")</f>
        <v>(Invalid Identifier)</v>
      </c>
      <c r="F283" s="114">
        <f t="shared" si="248"/>
        <v>2023</v>
      </c>
      <c r="G283" s="114" t="str">
        <f t="shared" si="255"/>
        <v>2023-01-01</v>
      </c>
      <c r="H283" s="330" t="str">
        <f t="shared" si="256"/>
        <v>2023-12-31</v>
      </c>
      <c r="I283" s="114">
        <f t="shared" si="257"/>
        <v>12</v>
      </c>
      <c r="J283" s="407" t="str">
        <f t="shared" ref="J283:J307" si="260">J282</f>
        <v>CAD</v>
      </c>
      <c r="K283" s="439">
        <f t="shared" si="209"/>
        <v>1</v>
      </c>
      <c r="L283" s="445"/>
      <c r="M283" s="982"/>
      <c r="N283" s="443" t="str">
        <f t="shared" si="259"/>
        <v>CFO</v>
      </c>
      <c r="O283" s="123" t="str">
        <f t="shared" si="259"/>
        <v>-</v>
      </c>
      <c r="P283" s="132" t="str">
        <f t="shared" si="259"/>
        <v>-</v>
      </c>
      <c r="Q283" s="219" t="s">
        <v>78</v>
      </c>
      <c r="R283" s="125" t="str">
        <f t="shared" si="252"/>
        <v>-</v>
      </c>
      <c r="S283" s="311" t="s">
        <v>78</v>
      </c>
      <c r="T283" s="126" t="str">
        <f t="shared" si="253"/>
        <v>-</v>
      </c>
      <c r="U283" s="221" t="s">
        <v>78</v>
      </c>
      <c r="V283" s="125" t="str">
        <f t="shared" si="245"/>
        <v>-</v>
      </c>
      <c r="W283" s="127" t="str">
        <f t="shared" si="219"/>
        <v>-</v>
      </c>
      <c r="X283" s="128"/>
      <c r="Y283" s="223" t="s">
        <v>78</v>
      </c>
      <c r="Z283" s="129" t="str">
        <f t="shared" si="220"/>
        <v>-</v>
      </c>
      <c r="AA283" s="124" t="str">
        <f t="shared" si="226"/>
        <v>-</v>
      </c>
      <c r="AB283" s="130" t="str">
        <f t="shared" si="227"/>
        <v>-</v>
      </c>
      <c r="AC283" s="221" t="s">
        <v>78</v>
      </c>
      <c r="AD283" s="225" t="s">
        <v>78</v>
      </c>
      <c r="AE283" s="225" t="s">
        <v>78</v>
      </c>
      <c r="AF283" s="225" t="s">
        <v>78</v>
      </c>
      <c r="AG283" s="225" t="s">
        <v>78</v>
      </c>
      <c r="AH283" s="125" t="str">
        <f t="shared" si="211"/>
        <v>-</v>
      </c>
      <c r="AI283" s="127" t="str">
        <f t="shared" si="221"/>
        <v>-</v>
      </c>
      <c r="AJ283" s="128"/>
      <c r="AK283" s="223" t="s">
        <v>78</v>
      </c>
      <c r="AL283" s="131" t="str">
        <f t="shared" si="222"/>
        <v>-</v>
      </c>
      <c r="AM283" s="368" t="str">
        <f t="shared" si="246"/>
        <v>-</v>
      </c>
      <c r="AN283" s="375" t="str">
        <f t="shared" si="228"/>
        <v>-</v>
      </c>
      <c r="AO283" s="376" t="str">
        <f t="shared" si="229"/>
        <v>-</v>
      </c>
      <c r="AP283" s="394" t="s">
        <v>78</v>
      </c>
      <c r="AQ283" s="395" t="s">
        <v>78</v>
      </c>
      <c r="AR283" s="396" t="str">
        <f t="shared" si="205"/>
        <v>-</v>
      </c>
      <c r="AS283" s="397"/>
      <c r="AT283" s="401" t="s">
        <v>78</v>
      </c>
      <c r="AU283" s="396" t="str">
        <f t="shared" si="206"/>
        <v>-</v>
      </c>
      <c r="AV283" s="397"/>
      <c r="AW283" s="388" t="str">
        <f t="shared" si="230"/>
        <v>-</v>
      </c>
      <c r="AX283" s="389" t="str">
        <f t="shared" si="231"/>
        <v>-</v>
      </c>
      <c r="AY283" s="353" t="s">
        <v>78</v>
      </c>
      <c r="AZ283" s="403"/>
      <c r="BA283" s="404"/>
    </row>
    <row r="284" spans="1:54" ht="15" customHeight="1">
      <c r="A284" s="1" t="str">
        <f t="shared" si="201"/>
        <v>0_2025_</v>
      </c>
      <c r="B284" s="1" t="str">
        <f t="shared" si="208"/>
        <v>0_2025_NEO1</v>
      </c>
      <c r="D284" s="114">
        <f t="shared" si="243"/>
        <v>0</v>
      </c>
      <c r="E284" s="133" t="str">
        <f>_xll.ciqfunctions.udf.CIQ(D284,"IQ_Company_Name")</f>
        <v>(Invalid Identifier)</v>
      </c>
      <c r="F284" s="114">
        <f t="shared" si="248"/>
        <v>2025</v>
      </c>
      <c r="G284" s="330" t="str">
        <f t="shared" si="255"/>
        <v>2025-01-01</v>
      </c>
      <c r="H284" s="330" t="str">
        <f t="shared" si="256"/>
        <v>2025-12-31</v>
      </c>
      <c r="I284" s="114">
        <f t="shared" si="257"/>
        <v>12</v>
      </c>
      <c r="J284" s="407" t="str">
        <f t="shared" si="260"/>
        <v>CAD</v>
      </c>
      <c r="K284" s="439">
        <f t="shared" si="209"/>
        <v>1</v>
      </c>
      <c r="L284" s="445"/>
      <c r="M284" s="982"/>
      <c r="N284" s="442" t="s">
        <v>107</v>
      </c>
      <c r="O284" s="217" t="s">
        <v>78</v>
      </c>
      <c r="P284" s="218" t="s">
        <v>78</v>
      </c>
      <c r="Q284" s="219" t="s">
        <v>78</v>
      </c>
      <c r="R284" s="125" t="str">
        <f t="shared" si="252"/>
        <v>-</v>
      </c>
      <c r="S284" s="311" t="s">
        <v>78</v>
      </c>
      <c r="T284" s="126" t="str">
        <f t="shared" si="253"/>
        <v>-</v>
      </c>
      <c r="U284" s="221" t="s">
        <v>78</v>
      </c>
      <c r="V284" s="125" t="str">
        <f t="shared" si="245"/>
        <v>-</v>
      </c>
      <c r="W284" s="127" t="str">
        <f t="shared" si="219"/>
        <v>-</v>
      </c>
      <c r="X284" s="128" t="str">
        <f>IFERROR(AVERAGE(W284:W286),"N/A")</f>
        <v>N/A</v>
      </c>
      <c r="Y284" s="223" t="s">
        <v>78</v>
      </c>
      <c r="Z284" s="129" t="str">
        <f t="shared" si="220"/>
        <v>-</v>
      </c>
      <c r="AA284" s="124" t="str">
        <f t="shared" si="226"/>
        <v>-</v>
      </c>
      <c r="AB284" s="130" t="str">
        <f t="shared" si="227"/>
        <v>-</v>
      </c>
      <c r="AC284" s="221" t="s">
        <v>78</v>
      </c>
      <c r="AD284" s="225" t="s">
        <v>78</v>
      </c>
      <c r="AE284" s="225" t="s">
        <v>78</v>
      </c>
      <c r="AF284" s="225" t="s">
        <v>78</v>
      </c>
      <c r="AG284" s="225" t="s">
        <v>78</v>
      </c>
      <c r="AH284" s="125" t="str">
        <f t="shared" si="211"/>
        <v>-</v>
      </c>
      <c r="AI284" s="127" t="str">
        <f t="shared" si="221"/>
        <v>-</v>
      </c>
      <c r="AJ284" s="128" t="str">
        <f>IFERROR(AVERAGE(AI284:AI286),"N/A")</f>
        <v>N/A</v>
      </c>
      <c r="AK284" s="223" t="s">
        <v>78</v>
      </c>
      <c r="AL284" s="131" t="str">
        <f t="shared" si="222"/>
        <v>-</v>
      </c>
      <c r="AM284" s="368" t="str">
        <f t="shared" si="246"/>
        <v>-</v>
      </c>
      <c r="AN284" s="375" t="str">
        <f t="shared" si="228"/>
        <v>-</v>
      </c>
      <c r="AO284" s="376" t="str">
        <f t="shared" si="229"/>
        <v>-</v>
      </c>
      <c r="AP284" s="394" t="s">
        <v>78</v>
      </c>
      <c r="AQ284" s="395" t="s">
        <v>78</v>
      </c>
      <c r="AR284" s="396" t="str">
        <f t="shared" si="205"/>
        <v>-</v>
      </c>
      <c r="AS284" s="397" t="str">
        <f>IFERROR(AVERAGE(AR284:AR286),"N/A")</f>
        <v>N/A</v>
      </c>
      <c r="AT284" s="401" t="s">
        <v>78</v>
      </c>
      <c r="AU284" s="396" t="str">
        <f t="shared" si="206"/>
        <v>-</v>
      </c>
      <c r="AV284" s="397" t="str">
        <f>IFERROR(AVERAGE(AU284:AU286),"N/A")</f>
        <v>N/A</v>
      </c>
      <c r="AW284" s="388" t="str">
        <f t="shared" si="230"/>
        <v>-</v>
      </c>
      <c r="AX284" s="389" t="str">
        <f t="shared" si="231"/>
        <v>-</v>
      </c>
      <c r="AY284" s="353" t="s">
        <v>78</v>
      </c>
      <c r="AZ284" s="403"/>
      <c r="BA284" s="404"/>
    </row>
    <row r="285" spans="1:54" ht="15" customHeight="1">
      <c r="A285" s="1" t="str">
        <f t="shared" si="201"/>
        <v>0_2024_</v>
      </c>
      <c r="B285" s="1" t="str">
        <f t="shared" si="208"/>
        <v>0_2024_NEO1</v>
      </c>
      <c r="D285" s="114">
        <f t="shared" si="243"/>
        <v>0</v>
      </c>
      <c r="E285" s="133" t="str">
        <f>_xll.ciqfunctions.udf.CIQ(D285,"IQ_Company_Name")</f>
        <v>(Invalid Identifier)</v>
      </c>
      <c r="F285" s="114">
        <f t="shared" si="248"/>
        <v>2024</v>
      </c>
      <c r="G285" s="330" t="str">
        <f t="shared" si="255"/>
        <v>2024-01-01</v>
      </c>
      <c r="H285" s="330" t="str">
        <f t="shared" si="256"/>
        <v>2024-12-31</v>
      </c>
      <c r="I285" s="114">
        <f t="shared" si="257"/>
        <v>12</v>
      </c>
      <c r="J285" s="407" t="str">
        <f t="shared" si="260"/>
        <v>CAD</v>
      </c>
      <c r="K285" s="439">
        <f t="shared" si="209"/>
        <v>1</v>
      </c>
      <c r="L285" s="445"/>
      <c r="M285" s="982"/>
      <c r="N285" s="443" t="str">
        <f t="shared" ref="N285:P286" si="261">N284</f>
        <v>NEO1</v>
      </c>
      <c r="O285" s="123" t="str">
        <f t="shared" si="261"/>
        <v>-</v>
      </c>
      <c r="P285" s="132" t="str">
        <f t="shared" si="261"/>
        <v>-</v>
      </c>
      <c r="Q285" s="219" t="s">
        <v>78</v>
      </c>
      <c r="R285" s="125" t="str">
        <f t="shared" si="252"/>
        <v>-</v>
      </c>
      <c r="S285" s="311" t="s">
        <v>78</v>
      </c>
      <c r="T285" s="126" t="str">
        <f t="shared" si="253"/>
        <v>-</v>
      </c>
      <c r="U285" s="221" t="s">
        <v>78</v>
      </c>
      <c r="V285" s="125" t="str">
        <f t="shared" si="245"/>
        <v>-</v>
      </c>
      <c r="W285" s="127" t="str">
        <f t="shared" si="219"/>
        <v>-</v>
      </c>
      <c r="X285" s="128"/>
      <c r="Y285" s="223" t="s">
        <v>78</v>
      </c>
      <c r="Z285" s="129" t="str">
        <f t="shared" si="220"/>
        <v>-</v>
      </c>
      <c r="AA285" s="124" t="str">
        <f t="shared" si="226"/>
        <v>-</v>
      </c>
      <c r="AB285" s="130" t="str">
        <f t="shared" si="227"/>
        <v>-</v>
      </c>
      <c r="AC285" s="221" t="s">
        <v>78</v>
      </c>
      <c r="AD285" s="225" t="s">
        <v>78</v>
      </c>
      <c r="AE285" s="225" t="s">
        <v>78</v>
      </c>
      <c r="AF285" s="225" t="s">
        <v>78</v>
      </c>
      <c r="AG285" s="225" t="s">
        <v>78</v>
      </c>
      <c r="AH285" s="125" t="str">
        <f t="shared" si="211"/>
        <v>-</v>
      </c>
      <c r="AI285" s="127" t="str">
        <f t="shared" si="221"/>
        <v>-</v>
      </c>
      <c r="AJ285" s="128"/>
      <c r="AK285" s="223" t="s">
        <v>78</v>
      </c>
      <c r="AL285" s="131" t="str">
        <f t="shared" si="222"/>
        <v>-</v>
      </c>
      <c r="AM285" s="368" t="str">
        <f t="shared" si="246"/>
        <v>-</v>
      </c>
      <c r="AN285" s="375" t="str">
        <f t="shared" si="228"/>
        <v>-</v>
      </c>
      <c r="AO285" s="376" t="str">
        <f t="shared" si="229"/>
        <v>-</v>
      </c>
      <c r="AP285" s="394" t="s">
        <v>78</v>
      </c>
      <c r="AQ285" s="395" t="s">
        <v>78</v>
      </c>
      <c r="AR285" s="396" t="str">
        <f t="shared" si="205"/>
        <v>-</v>
      </c>
      <c r="AS285" s="397"/>
      <c r="AT285" s="401" t="s">
        <v>78</v>
      </c>
      <c r="AU285" s="396" t="str">
        <f t="shared" si="206"/>
        <v>-</v>
      </c>
      <c r="AV285" s="397"/>
      <c r="AW285" s="388" t="str">
        <f t="shared" si="230"/>
        <v>-</v>
      </c>
      <c r="AX285" s="389" t="str">
        <f t="shared" si="231"/>
        <v>-</v>
      </c>
      <c r="AY285" s="353" t="s">
        <v>78</v>
      </c>
      <c r="AZ285" s="403"/>
      <c r="BA285" s="404"/>
    </row>
    <row r="286" spans="1:54" ht="15" customHeight="1">
      <c r="A286" s="1" t="str">
        <f t="shared" si="201"/>
        <v>0_2023_</v>
      </c>
      <c r="B286" s="1" t="str">
        <f t="shared" si="208"/>
        <v>0_2023_NEO1</v>
      </c>
      <c r="D286" s="114">
        <f t="shared" si="243"/>
        <v>0</v>
      </c>
      <c r="E286" s="133" t="str">
        <f>_xll.ciqfunctions.udf.CIQ(D286,"IQ_Company_Name")</f>
        <v>(Invalid Identifier)</v>
      </c>
      <c r="F286" s="114">
        <f t="shared" si="248"/>
        <v>2023</v>
      </c>
      <c r="G286" s="114" t="str">
        <f t="shared" si="255"/>
        <v>2023-01-01</v>
      </c>
      <c r="H286" s="330" t="str">
        <f t="shared" si="256"/>
        <v>2023-12-31</v>
      </c>
      <c r="I286" s="114">
        <f t="shared" si="257"/>
        <v>12</v>
      </c>
      <c r="J286" s="407" t="str">
        <f t="shared" si="260"/>
        <v>CAD</v>
      </c>
      <c r="K286" s="439">
        <f t="shared" si="209"/>
        <v>1</v>
      </c>
      <c r="L286" s="445"/>
      <c r="M286" s="982"/>
      <c r="N286" s="443" t="str">
        <f t="shared" si="261"/>
        <v>NEO1</v>
      </c>
      <c r="O286" s="123" t="str">
        <f t="shared" si="261"/>
        <v>-</v>
      </c>
      <c r="P286" s="132" t="str">
        <f t="shared" si="261"/>
        <v>-</v>
      </c>
      <c r="Q286" s="219" t="s">
        <v>78</v>
      </c>
      <c r="R286" s="125" t="str">
        <f t="shared" si="252"/>
        <v>-</v>
      </c>
      <c r="S286" s="311" t="s">
        <v>78</v>
      </c>
      <c r="T286" s="126" t="str">
        <f t="shared" si="253"/>
        <v>-</v>
      </c>
      <c r="U286" s="221" t="s">
        <v>78</v>
      </c>
      <c r="V286" s="125" t="str">
        <f t="shared" si="245"/>
        <v>-</v>
      </c>
      <c r="W286" s="127" t="str">
        <f t="shared" si="219"/>
        <v>-</v>
      </c>
      <c r="X286" s="128"/>
      <c r="Y286" s="223" t="s">
        <v>78</v>
      </c>
      <c r="Z286" s="129" t="str">
        <f t="shared" si="220"/>
        <v>-</v>
      </c>
      <c r="AA286" s="124" t="str">
        <f t="shared" si="226"/>
        <v>-</v>
      </c>
      <c r="AB286" s="130" t="str">
        <f t="shared" si="227"/>
        <v>-</v>
      </c>
      <c r="AC286" s="221" t="s">
        <v>78</v>
      </c>
      <c r="AD286" s="225" t="s">
        <v>78</v>
      </c>
      <c r="AE286" s="225" t="s">
        <v>78</v>
      </c>
      <c r="AF286" s="225" t="s">
        <v>78</v>
      </c>
      <c r="AG286" s="225" t="s">
        <v>78</v>
      </c>
      <c r="AH286" s="125" t="str">
        <f t="shared" si="211"/>
        <v>-</v>
      </c>
      <c r="AI286" s="127" t="str">
        <f t="shared" si="221"/>
        <v>-</v>
      </c>
      <c r="AJ286" s="128"/>
      <c r="AK286" s="223" t="s">
        <v>78</v>
      </c>
      <c r="AL286" s="131" t="str">
        <f t="shared" si="222"/>
        <v>-</v>
      </c>
      <c r="AM286" s="368" t="str">
        <f t="shared" si="246"/>
        <v>-</v>
      </c>
      <c r="AN286" s="375" t="str">
        <f t="shared" si="228"/>
        <v>-</v>
      </c>
      <c r="AO286" s="376" t="str">
        <f t="shared" si="229"/>
        <v>-</v>
      </c>
      <c r="AP286" s="394" t="s">
        <v>78</v>
      </c>
      <c r="AQ286" s="395" t="s">
        <v>78</v>
      </c>
      <c r="AR286" s="396" t="str">
        <f t="shared" si="205"/>
        <v>-</v>
      </c>
      <c r="AS286" s="397"/>
      <c r="AT286" s="401" t="s">
        <v>78</v>
      </c>
      <c r="AU286" s="396" t="str">
        <f t="shared" si="206"/>
        <v>-</v>
      </c>
      <c r="AV286" s="397"/>
      <c r="AW286" s="388" t="str">
        <f t="shared" si="230"/>
        <v>-</v>
      </c>
      <c r="AX286" s="389" t="str">
        <f t="shared" si="231"/>
        <v>-</v>
      </c>
      <c r="AY286" s="353" t="s">
        <v>78</v>
      </c>
      <c r="AZ286" s="403"/>
      <c r="BA286" s="404"/>
    </row>
    <row r="287" spans="1:54" ht="15" customHeight="1">
      <c r="A287" s="1" t="str">
        <f t="shared" si="201"/>
        <v>0_2025_</v>
      </c>
      <c r="B287" s="1" t="str">
        <f t="shared" si="208"/>
        <v>0_2025_NEO2</v>
      </c>
      <c r="D287" s="114">
        <f t="shared" si="243"/>
        <v>0</v>
      </c>
      <c r="E287" s="133" t="str">
        <f>_xll.ciqfunctions.udf.CIQ(D287,"IQ_Company_Name")</f>
        <v>(Invalid Identifier)</v>
      </c>
      <c r="F287" s="114">
        <f t="shared" si="248"/>
        <v>2025</v>
      </c>
      <c r="G287" s="114" t="str">
        <f t="shared" si="255"/>
        <v>2025-01-01</v>
      </c>
      <c r="H287" s="330" t="str">
        <f t="shared" si="256"/>
        <v>2025-12-31</v>
      </c>
      <c r="I287" s="114">
        <f t="shared" si="257"/>
        <v>12</v>
      </c>
      <c r="J287" s="407" t="str">
        <f t="shared" si="260"/>
        <v>CAD</v>
      </c>
      <c r="K287" s="439">
        <f t="shared" si="209"/>
        <v>1</v>
      </c>
      <c r="L287" s="445"/>
      <c r="M287" s="982"/>
      <c r="N287" s="442" t="s">
        <v>108</v>
      </c>
      <c r="O287" s="217" t="s">
        <v>78</v>
      </c>
      <c r="P287" s="218" t="s">
        <v>78</v>
      </c>
      <c r="Q287" s="219" t="s">
        <v>78</v>
      </c>
      <c r="R287" s="125" t="str">
        <f t="shared" si="252"/>
        <v>-</v>
      </c>
      <c r="S287" s="311" t="s">
        <v>78</v>
      </c>
      <c r="T287" s="126" t="str">
        <f t="shared" si="253"/>
        <v>-</v>
      </c>
      <c r="U287" s="221" t="s">
        <v>78</v>
      </c>
      <c r="V287" s="125" t="str">
        <f t="shared" si="245"/>
        <v>-</v>
      </c>
      <c r="W287" s="127" t="str">
        <f t="shared" si="219"/>
        <v>-</v>
      </c>
      <c r="X287" s="128" t="str">
        <f>IFERROR(AVERAGE(W287:W289),"N/A")</f>
        <v>N/A</v>
      </c>
      <c r="Y287" s="223" t="s">
        <v>78</v>
      </c>
      <c r="Z287" s="129" t="str">
        <f t="shared" si="220"/>
        <v>-</v>
      </c>
      <c r="AA287" s="124" t="str">
        <f t="shared" si="226"/>
        <v>-</v>
      </c>
      <c r="AB287" s="130" t="str">
        <f t="shared" si="227"/>
        <v>-</v>
      </c>
      <c r="AC287" s="221" t="s">
        <v>78</v>
      </c>
      <c r="AD287" s="225" t="s">
        <v>78</v>
      </c>
      <c r="AE287" s="225" t="s">
        <v>78</v>
      </c>
      <c r="AF287" s="225" t="s">
        <v>78</v>
      </c>
      <c r="AG287" s="225" t="s">
        <v>78</v>
      </c>
      <c r="AH287" s="125" t="str">
        <f t="shared" si="211"/>
        <v>-</v>
      </c>
      <c r="AI287" s="127" t="str">
        <f t="shared" si="221"/>
        <v>-</v>
      </c>
      <c r="AJ287" s="128" t="str">
        <f>IFERROR(AVERAGE(AI287:AI289),"N/A")</f>
        <v>N/A</v>
      </c>
      <c r="AK287" s="223" t="s">
        <v>78</v>
      </c>
      <c r="AL287" s="131" t="str">
        <f t="shared" si="222"/>
        <v>-</v>
      </c>
      <c r="AM287" s="368" t="str">
        <f t="shared" si="246"/>
        <v>-</v>
      </c>
      <c r="AN287" s="375" t="str">
        <f t="shared" si="228"/>
        <v>-</v>
      </c>
      <c r="AO287" s="376" t="str">
        <f t="shared" si="229"/>
        <v>-</v>
      </c>
      <c r="AP287" s="394" t="s">
        <v>78</v>
      </c>
      <c r="AQ287" s="395" t="s">
        <v>78</v>
      </c>
      <c r="AR287" s="396" t="str">
        <f t="shared" si="205"/>
        <v>-</v>
      </c>
      <c r="AS287" s="397" t="str">
        <f>IFERROR(AVERAGE(AR287:AR289),"N/A")</f>
        <v>N/A</v>
      </c>
      <c r="AT287" s="401" t="s">
        <v>78</v>
      </c>
      <c r="AU287" s="396" t="str">
        <f t="shared" si="206"/>
        <v>-</v>
      </c>
      <c r="AV287" s="397" t="str">
        <f>IFERROR(AVERAGE(AU287:AU289),"N/A")</f>
        <v>N/A</v>
      </c>
      <c r="AW287" s="388" t="str">
        <f t="shared" si="230"/>
        <v>-</v>
      </c>
      <c r="AX287" s="389" t="str">
        <f t="shared" si="231"/>
        <v>-</v>
      </c>
      <c r="AY287" s="353" t="s">
        <v>78</v>
      </c>
      <c r="AZ287" s="403"/>
      <c r="BA287" s="404"/>
    </row>
    <row r="288" spans="1:54" ht="15" customHeight="1">
      <c r="A288" s="1" t="str">
        <f t="shared" si="201"/>
        <v>0_2024_</v>
      </c>
      <c r="B288" s="1" t="str">
        <f t="shared" si="208"/>
        <v>0_2024_NEO2</v>
      </c>
      <c r="D288" s="114">
        <f t="shared" si="243"/>
        <v>0</v>
      </c>
      <c r="E288" s="133" t="str">
        <f>_xll.ciqfunctions.udf.CIQ(D288,"IQ_Company_Name")</f>
        <v>(Invalid Identifier)</v>
      </c>
      <c r="F288" s="114">
        <f t="shared" si="248"/>
        <v>2024</v>
      </c>
      <c r="G288" s="114" t="str">
        <f t="shared" si="255"/>
        <v>2024-01-01</v>
      </c>
      <c r="H288" s="330" t="str">
        <f t="shared" si="256"/>
        <v>2024-12-31</v>
      </c>
      <c r="I288" s="114">
        <f t="shared" si="257"/>
        <v>12</v>
      </c>
      <c r="J288" s="407" t="str">
        <f t="shared" si="260"/>
        <v>CAD</v>
      </c>
      <c r="K288" s="439">
        <f t="shared" si="209"/>
        <v>1</v>
      </c>
      <c r="L288" s="445"/>
      <c r="M288" s="982"/>
      <c r="N288" s="443" t="str">
        <f t="shared" ref="N288:P289" si="262">N287</f>
        <v>NEO2</v>
      </c>
      <c r="O288" s="123" t="str">
        <f t="shared" si="262"/>
        <v>-</v>
      </c>
      <c r="P288" s="132" t="str">
        <f t="shared" si="262"/>
        <v>-</v>
      </c>
      <c r="Q288" s="219" t="s">
        <v>78</v>
      </c>
      <c r="R288" s="125" t="str">
        <f t="shared" si="252"/>
        <v>-</v>
      </c>
      <c r="S288" s="311" t="s">
        <v>78</v>
      </c>
      <c r="T288" s="126" t="str">
        <f t="shared" si="253"/>
        <v>-</v>
      </c>
      <c r="U288" s="221" t="s">
        <v>78</v>
      </c>
      <c r="V288" s="125" t="str">
        <f t="shared" si="245"/>
        <v>-</v>
      </c>
      <c r="W288" s="127" t="str">
        <f t="shared" si="219"/>
        <v>-</v>
      </c>
      <c r="X288" s="128"/>
      <c r="Y288" s="223" t="s">
        <v>78</v>
      </c>
      <c r="Z288" s="129" t="str">
        <f t="shared" si="220"/>
        <v>-</v>
      </c>
      <c r="AA288" s="124" t="str">
        <f t="shared" si="226"/>
        <v>-</v>
      </c>
      <c r="AB288" s="130" t="str">
        <f t="shared" si="227"/>
        <v>-</v>
      </c>
      <c r="AC288" s="221" t="s">
        <v>78</v>
      </c>
      <c r="AD288" s="225" t="s">
        <v>78</v>
      </c>
      <c r="AE288" s="225" t="s">
        <v>78</v>
      </c>
      <c r="AF288" s="225" t="s">
        <v>78</v>
      </c>
      <c r="AG288" s="225" t="s">
        <v>78</v>
      </c>
      <c r="AH288" s="125" t="str">
        <f t="shared" si="211"/>
        <v>-</v>
      </c>
      <c r="AI288" s="127" t="str">
        <f t="shared" si="221"/>
        <v>-</v>
      </c>
      <c r="AJ288" s="128"/>
      <c r="AK288" s="223" t="s">
        <v>78</v>
      </c>
      <c r="AL288" s="131" t="str">
        <f t="shared" si="222"/>
        <v>-</v>
      </c>
      <c r="AM288" s="368" t="str">
        <f t="shared" si="246"/>
        <v>-</v>
      </c>
      <c r="AN288" s="375" t="str">
        <f t="shared" si="228"/>
        <v>-</v>
      </c>
      <c r="AO288" s="376" t="str">
        <f t="shared" si="229"/>
        <v>-</v>
      </c>
      <c r="AP288" s="394" t="s">
        <v>78</v>
      </c>
      <c r="AQ288" s="395" t="s">
        <v>78</v>
      </c>
      <c r="AR288" s="396" t="str">
        <f t="shared" si="205"/>
        <v>-</v>
      </c>
      <c r="AS288" s="397"/>
      <c r="AT288" s="401" t="s">
        <v>78</v>
      </c>
      <c r="AU288" s="396" t="str">
        <f t="shared" si="206"/>
        <v>-</v>
      </c>
      <c r="AV288" s="397"/>
      <c r="AW288" s="388" t="str">
        <f t="shared" si="230"/>
        <v>-</v>
      </c>
      <c r="AX288" s="389" t="str">
        <f t="shared" si="231"/>
        <v>-</v>
      </c>
      <c r="AY288" s="353" t="s">
        <v>78</v>
      </c>
      <c r="AZ288" s="403"/>
      <c r="BA288" s="404"/>
    </row>
    <row r="289" spans="1:53" ht="15" customHeight="1">
      <c r="A289" s="1" t="str">
        <f t="shared" ref="A289:A352" si="263">$D289&amp;"_"&amp;$F289&amp;"_"&amp;$L289</f>
        <v>0_2023_</v>
      </c>
      <c r="B289" s="1" t="str">
        <f t="shared" si="208"/>
        <v>0_2023_NEO2</v>
      </c>
      <c r="D289" s="114">
        <f t="shared" si="243"/>
        <v>0</v>
      </c>
      <c r="E289" s="133" t="str">
        <f>_xll.ciqfunctions.udf.CIQ(D289,"IQ_Company_Name")</f>
        <v>(Invalid Identifier)</v>
      </c>
      <c r="F289" s="114">
        <f t="shared" si="248"/>
        <v>2023</v>
      </c>
      <c r="G289" s="114" t="str">
        <f t="shared" si="255"/>
        <v>2023-01-01</v>
      </c>
      <c r="H289" s="330" t="str">
        <f t="shared" si="256"/>
        <v>2023-12-31</v>
      </c>
      <c r="I289" s="114">
        <f t="shared" si="257"/>
        <v>12</v>
      </c>
      <c r="J289" s="407" t="str">
        <f t="shared" si="260"/>
        <v>CAD</v>
      </c>
      <c r="K289" s="439">
        <f t="shared" si="209"/>
        <v>1</v>
      </c>
      <c r="L289" s="445"/>
      <c r="M289" s="982"/>
      <c r="N289" s="443" t="str">
        <f t="shared" si="262"/>
        <v>NEO2</v>
      </c>
      <c r="O289" s="123" t="str">
        <f t="shared" si="262"/>
        <v>-</v>
      </c>
      <c r="P289" s="132" t="str">
        <f t="shared" si="262"/>
        <v>-</v>
      </c>
      <c r="Q289" s="219" t="s">
        <v>78</v>
      </c>
      <c r="R289" s="125" t="str">
        <f t="shared" si="252"/>
        <v>-</v>
      </c>
      <c r="S289" s="311" t="s">
        <v>78</v>
      </c>
      <c r="T289" s="126" t="str">
        <f t="shared" si="253"/>
        <v>-</v>
      </c>
      <c r="U289" s="221" t="s">
        <v>78</v>
      </c>
      <c r="V289" s="125" t="str">
        <f t="shared" si="245"/>
        <v>-</v>
      </c>
      <c r="W289" s="127" t="str">
        <f t="shared" si="219"/>
        <v>-</v>
      </c>
      <c r="X289" s="128"/>
      <c r="Y289" s="223" t="s">
        <v>78</v>
      </c>
      <c r="Z289" s="129" t="str">
        <f t="shared" si="220"/>
        <v>-</v>
      </c>
      <c r="AA289" s="124" t="str">
        <f t="shared" si="226"/>
        <v>-</v>
      </c>
      <c r="AB289" s="130" t="str">
        <f t="shared" si="227"/>
        <v>-</v>
      </c>
      <c r="AC289" s="221" t="s">
        <v>78</v>
      </c>
      <c r="AD289" s="225" t="s">
        <v>78</v>
      </c>
      <c r="AE289" s="225" t="s">
        <v>78</v>
      </c>
      <c r="AF289" s="225" t="s">
        <v>78</v>
      </c>
      <c r="AG289" s="225" t="s">
        <v>78</v>
      </c>
      <c r="AH289" s="125" t="str">
        <f t="shared" si="211"/>
        <v>-</v>
      </c>
      <c r="AI289" s="127" t="str">
        <f t="shared" si="221"/>
        <v>-</v>
      </c>
      <c r="AJ289" s="128"/>
      <c r="AK289" s="223" t="s">
        <v>78</v>
      </c>
      <c r="AL289" s="131" t="str">
        <f t="shared" si="222"/>
        <v>-</v>
      </c>
      <c r="AM289" s="368" t="str">
        <f t="shared" si="246"/>
        <v>-</v>
      </c>
      <c r="AN289" s="375" t="str">
        <f t="shared" si="228"/>
        <v>-</v>
      </c>
      <c r="AO289" s="376" t="str">
        <f t="shared" si="229"/>
        <v>-</v>
      </c>
      <c r="AP289" s="394" t="s">
        <v>78</v>
      </c>
      <c r="AQ289" s="395" t="s">
        <v>78</v>
      </c>
      <c r="AR289" s="396" t="str">
        <f t="shared" ref="AR289:AR352" si="264">IFERROR(AP289*(12/$I289)*$K289,"-")</f>
        <v>-</v>
      </c>
      <c r="AS289" s="397"/>
      <c r="AT289" s="401" t="s">
        <v>78</v>
      </c>
      <c r="AU289" s="396" t="str">
        <f t="shared" ref="AU289:AU352" si="265">IFERROR(AT289*(12/$I289)*$K289,"-")</f>
        <v>-</v>
      </c>
      <c r="AV289" s="397"/>
      <c r="AW289" s="388" t="str">
        <f t="shared" si="230"/>
        <v>-</v>
      </c>
      <c r="AX289" s="389" t="str">
        <f t="shared" si="231"/>
        <v>-</v>
      </c>
      <c r="AY289" s="353" t="s">
        <v>78</v>
      </c>
      <c r="AZ289" s="403"/>
      <c r="BA289" s="404"/>
    </row>
    <row r="290" spans="1:53" ht="15" customHeight="1">
      <c r="A290" s="1" t="str">
        <f t="shared" si="263"/>
        <v>0_2025_</v>
      </c>
      <c r="B290" s="1" t="str">
        <f t="shared" si="208"/>
        <v>0_2025_NEO3</v>
      </c>
      <c r="D290" s="114">
        <f t="shared" si="243"/>
        <v>0</v>
      </c>
      <c r="E290" s="133" t="str">
        <f>_xll.ciqfunctions.udf.CIQ(D290,"IQ_Company_Name")</f>
        <v>(Invalid Identifier)</v>
      </c>
      <c r="F290" s="114">
        <f t="shared" si="248"/>
        <v>2025</v>
      </c>
      <c r="G290" s="114" t="str">
        <f t="shared" si="255"/>
        <v>2025-01-01</v>
      </c>
      <c r="H290" s="330" t="str">
        <f t="shared" si="256"/>
        <v>2025-12-31</v>
      </c>
      <c r="I290" s="114">
        <f t="shared" si="257"/>
        <v>12</v>
      </c>
      <c r="J290" s="407" t="str">
        <f t="shared" si="260"/>
        <v>CAD</v>
      </c>
      <c r="K290" s="439">
        <f t="shared" si="209"/>
        <v>1</v>
      </c>
      <c r="L290" s="445"/>
      <c r="M290" s="982"/>
      <c r="N290" s="442" t="s">
        <v>109</v>
      </c>
      <c r="O290" s="217" t="s">
        <v>78</v>
      </c>
      <c r="P290" s="218" t="s">
        <v>78</v>
      </c>
      <c r="Q290" s="219" t="s">
        <v>78</v>
      </c>
      <c r="R290" s="125" t="str">
        <f t="shared" si="252"/>
        <v>-</v>
      </c>
      <c r="S290" s="311" t="s">
        <v>78</v>
      </c>
      <c r="T290" s="126" t="str">
        <f t="shared" si="253"/>
        <v>-</v>
      </c>
      <c r="U290" s="221" t="s">
        <v>78</v>
      </c>
      <c r="V290" s="125" t="str">
        <f t="shared" si="245"/>
        <v>-</v>
      </c>
      <c r="W290" s="127" t="str">
        <f t="shared" si="219"/>
        <v>-</v>
      </c>
      <c r="X290" s="128" t="str">
        <f>IFERROR(AVERAGE(W290:W292),"N/A")</f>
        <v>N/A</v>
      </c>
      <c r="Y290" s="223" t="s">
        <v>78</v>
      </c>
      <c r="Z290" s="129" t="str">
        <f t="shared" si="220"/>
        <v>-</v>
      </c>
      <c r="AA290" s="124" t="str">
        <f t="shared" si="226"/>
        <v>-</v>
      </c>
      <c r="AB290" s="130" t="str">
        <f t="shared" si="227"/>
        <v>-</v>
      </c>
      <c r="AC290" s="221" t="s">
        <v>78</v>
      </c>
      <c r="AD290" s="225" t="s">
        <v>78</v>
      </c>
      <c r="AE290" s="225" t="s">
        <v>78</v>
      </c>
      <c r="AF290" s="225" t="s">
        <v>78</v>
      </c>
      <c r="AG290" s="225" t="s">
        <v>78</v>
      </c>
      <c r="AH290" s="125" t="str">
        <f t="shared" si="211"/>
        <v>-</v>
      </c>
      <c r="AI290" s="127" t="str">
        <f t="shared" si="221"/>
        <v>-</v>
      </c>
      <c r="AJ290" s="128" t="str">
        <f>IFERROR(AVERAGE(AI290:AI292),"N/A")</f>
        <v>N/A</v>
      </c>
      <c r="AK290" s="223" t="s">
        <v>78</v>
      </c>
      <c r="AL290" s="131" t="str">
        <f t="shared" si="222"/>
        <v>-</v>
      </c>
      <c r="AM290" s="368" t="str">
        <f t="shared" si="246"/>
        <v>-</v>
      </c>
      <c r="AN290" s="375" t="str">
        <f t="shared" si="228"/>
        <v>-</v>
      </c>
      <c r="AO290" s="376" t="str">
        <f t="shared" si="229"/>
        <v>-</v>
      </c>
      <c r="AP290" s="394" t="s">
        <v>78</v>
      </c>
      <c r="AQ290" s="395" t="s">
        <v>78</v>
      </c>
      <c r="AR290" s="396" t="str">
        <f t="shared" si="264"/>
        <v>-</v>
      </c>
      <c r="AS290" s="397" t="str">
        <f>IFERROR(AVERAGE(AR290:AR292),"N/A")</f>
        <v>N/A</v>
      </c>
      <c r="AT290" s="401" t="s">
        <v>78</v>
      </c>
      <c r="AU290" s="396" t="str">
        <f t="shared" si="265"/>
        <v>-</v>
      </c>
      <c r="AV290" s="397" t="str">
        <f>IFERROR(AVERAGE(AU290:AU292),"N/A")</f>
        <v>N/A</v>
      </c>
      <c r="AW290" s="388" t="str">
        <f t="shared" si="230"/>
        <v>-</v>
      </c>
      <c r="AX290" s="389" t="str">
        <f t="shared" si="231"/>
        <v>-</v>
      </c>
      <c r="AY290" s="353" t="s">
        <v>78</v>
      </c>
      <c r="AZ290" s="403"/>
      <c r="BA290" s="404"/>
    </row>
    <row r="291" spans="1:53" ht="15" customHeight="1">
      <c r="A291" s="1" t="str">
        <f t="shared" si="263"/>
        <v>0_2024_</v>
      </c>
      <c r="B291" s="1" t="str">
        <f t="shared" si="208"/>
        <v>0_2024_NEO3</v>
      </c>
      <c r="D291" s="114">
        <f t="shared" si="243"/>
        <v>0</v>
      </c>
      <c r="E291" s="133" t="str">
        <f>_xll.ciqfunctions.udf.CIQ(D291,"IQ_Company_Name")</f>
        <v>(Invalid Identifier)</v>
      </c>
      <c r="F291" s="114">
        <f t="shared" si="248"/>
        <v>2024</v>
      </c>
      <c r="G291" s="114" t="str">
        <f t="shared" si="255"/>
        <v>2024-01-01</v>
      </c>
      <c r="H291" s="330" t="str">
        <f t="shared" si="256"/>
        <v>2024-12-31</v>
      </c>
      <c r="I291" s="114">
        <f t="shared" si="257"/>
        <v>12</v>
      </c>
      <c r="J291" s="407" t="str">
        <f t="shared" si="260"/>
        <v>CAD</v>
      </c>
      <c r="K291" s="439">
        <f t="shared" si="209"/>
        <v>1</v>
      </c>
      <c r="L291" s="445"/>
      <c r="M291" s="982"/>
      <c r="N291" s="443" t="str">
        <f t="shared" ref="N291:P292" si="266">N290</f>
        <v>NEO3</v>
      </c>
      <c r="O291" s="123" t="str">
        <f t="shared" si="266"/>
        <v>-</v>
      </c>
      <c r="P291" s="132" t="str">
        <f t="shared" si="266"/>
        <v>-</v>
      </c>
      <c r="Q291" s="219" t="s">
        <v>78</v>
      </c>
      <c r="R291" s="125" t="str">
        <f t="shared" si="252"/>
        <v>-</v>
      </c>
      <c r="S291" s="311" t="s">
        <v>78</v>
      </c>
      <c r="T291" s="126" t="str">
        <f t="shared" si="253"/>
        <v>-</v>
      </c>
      <c r="U291" s="221" t="s">
        <v>78</v>
      </c>
      <c r="V291" s="125" t="str">
        <f t="shared" si="245"/>
        <v>-</v>
      </c>
      <c r="W291" s="127" t="str">
        <f t="shared" si="219"/>
        <v>-</v>
      </c>
      <c r="X291" s="128"/>
      <c r="Y291" s="223" t="s">
        <v>78</v>
      </c>
      <c r="Z291" s="129" t="str">
        <f t="shared" si="220"/>
        <v>-</v>
      </c>
      <c r="AA291" s="124" t="str">
        <f t="shared" si="226"/>
        <v>-</v>
      </c>
      <c r="AB291" s="130" t="str">
        <f t="shared" si="227"/>
        <v>-</v>
      </c>
      <c r="AC291" s="221" t="s">
        <v>78</v>
      </c>
      <c r="AD291" s="225" t="s">
        <v>78</v>
      </c>
      <c r="AE291" s="225" t="s">
        <v>78</v>
      </c>
      <c r="AF291" s="225" t="s">
        <v>78</v>
      </c>
      <c r="AG291" s="225" t="s">
        <v>78</v>
      </c>
      <c r="AH291" s="125" t="str">
        <f t="shared" si="211"/>
        <v>-</v>
      </c>
      <c r="AI291" s="127" t="str">
        <f t="shared" si="221"/>
        <v>-</v>
      </c>
      <c r="AJ291" s="128"/>
      <c r="AK291" s="223" t="s">
        <v>78</v>
      </c>
      <c r="AL291" s="131" t="str">
        <f t="shared" si="222"/>
        <v>-</v>
      </c>
      <c r="AM291" s="368" t="str">
        <f t="shared" si="246"/>
        <v>-</v>
      </c>
      <c r="AN291" s="375" t="str">
        <f t="shared" si="228"/>
        <v>-</v>
      </c>
      <c r="AO291" s="376" t="str">
        <f t="shared" si="229"/>
        <v>-</v>
      </c>
      <c r="AP291" s="394" t="s">
        <v>78</v>
      </c>
      <c r="AQ291" s="395" t="s">
        <v>78</v>
      </c>
      <c r="AR291" s="396" t="str">
        <f t="shared" si="264"/>
        <v>-</v>
      </c>
      <c r="AS291" s="397"/>
      <c r="AT291" s="401" t="s">
        <v>78</v>
      </c>
      <c r="AU291" s="396" t="str">
        <f t="shared" si="265"/>
        <v>-</v>
      </c>
      <c r="AV291" s="397"/>
      <c r="AW291" s="388" t="str">
        <f t="shared" si="230"/>
        <v>-</v>
      </c>
      <c r="AX291" s="389" t="str">
        <f t="shared" si="231"/>
        <v>-</v>
      </c>
      <c r="AY291" s="353" t="s">
        <v>78</v>
      </c>
      <c r="AZ291" s="403"/>
      <c r="BA291" s="404"/>
    </row>
    <row r="292" spans="1:53" ht="15" customHeight="1">
      <c r="A292" s="1" t="str">
        <f t="shared" si="263"/>
        <v>0_2023_</v>
      </c>
      <c r="B292" s="1" t="str">
        <f t="shared" si="208"/>
        <v>0_2023_NEO3</v>
      </c>
      <c r="D292" s="203">
        <f t="shared" si="243"/>
        <v>0</v>
      </c>
      <c r="E292" s="205" t="str">
        <f>_xll.ciqfunctions.udf.CIQ(D292,"IQ_Company_Name")</f>
        <v>(Invalid Identifier)</v>
      </c>
      <c r="F292" s="204">
        <f t="shared" si="248"/>
        <v>2023</v>
      </c>
      <c r="G292" s="204" t="str">
        <f t="shared" si="255"/>
        <v>2023-01-01</v>
      </c>
      <c r="H292" s="331" t="str">
        <f t="shared" si="256"/>
        <v>2023-12-31</v>
      </c>
      <c r="I292" s="204">
        <f t="shared" si="257"/>
        <v>12</v>
      </c>
      <c r="J292" s="408" t="str">
        <f t="shared" si="260"/>
        <v>CAD</v>
      </c>
      <c r="K292" s="441">
        <f t="shared" si="209"/>
        <v>1</v>
      </c>
      <c r="L292" s="447"/>
      <c r="M292" s="983"/>
      <c r="N292" s="444" t="str">
        <f t="shared" si="266"/>
        <v>NEO3</v>
      </c>
      <c r="O292" s="206" t="str">
        <f t="shared" si="266"/>
        <v>-</v>
      </c>
      <c r="P292" s="207" t="str">
        <f t="shared" si="266"/>
        <v>-</v>
      </c>
      <c r="Q292" s="220" t="s">
        <v>78</v>
      </c>
      <c r="R292" s="209" t="str">
        <f t="shared" si="252"/>
        <v>-</v>
      </c>
      <c r="S292" s="312" t="s">
        <v>78</v>
      </c>
      <c r="T292" s="329" t="str">
        <f t="shared" si="253"/>
        <v>-</v>
      </c>
      <c r="U292" s="222" t="s">
        <v>78</v>
      </c>
      <c r="V292" s="209" t="str">
        <f t="shared" si="245"/>
        <v>-</v>
      </c>
      <c r="W292" s="211" t="str">
        <f t="shared" si="219"/>
        <v>-</v>
      </c>
      <c r="X292" s="212"/>
      <c r="Y292" s="224" t="s">
        <v>78</v>
      </c>
      <c r="Z292" s="213" t="str">
        <f t="shared" si="220"/>
        <v>-</v>
      </c>
      <c r="AA292" s="208" t="str">
        <f t="shared" si="226"/>
        <v>-</v>
      </c>
      <c r="AB292" s="214" t="str">
        <f t="shared" si="227"/>
        <v>-</v>
      </c>
      <c r="AC292" s="222" t="s">
        <v>78</v>
      </c>
      <c r="AD292" s="226" t="s">
        <v>78</v>
      </c>
      <c r="AE292" s="226" t="s">
        <v>78</v>
      </c>
      <c r="AF292" s="226" t="s">
        <v>78</v>
      </c>
      <c r="AG292" s="226" t="s">
        <v>78</v>
      </c>
      <c r="AH292" s="418" t="str">
        <f t="shared" si="211"/>
        <v>-</v>
      </c>
      <c r="AI292" s="211" t="str">
        <f t="shared" si="221"/>
        <v>-</v>
      </c>
      <c r="AJ292" s="212"/>
      <c r="AK292" s="224" t="s">
        <v>78</v>
      </c>
      <c r="AL292" s="215" t="str">
        <f t="shared" si="222"/>
        <v>-</v>
      </c>
      <c r="AM292" s="369" t="str">
        <f t="shared" si="246"/>
        <v>-</v>
      </c>
      <c r="AN292" s="377" t="str">
        <f t="shared" si="228"/>
        <v>-</v>
      </c>
      <c r="AO292" s="378" t="str">
        <f t="shared" si="229"/>
        <v>-</v>
      </c>
      <c r="AP292" s="398" t="s">
        <v>78</v>
      </c>
      <c r="AQ292" s="399" t="s">
        <v>78</v>
      </c>
      <c r="AR292" s="396" t="str">
        <f t="shared" si="264"/>
        <v>-</v>
      </c>
      <c r="AS292" s="400"/>
      <c r="AT292" s="402" t="s">
        <v>78</v>
      </c>
      <c r="AU292" s="396" t="str">
        <f t="shared" si="265"/>
        <v>-</v>
      </c>
      <c r="AV292" s="400"/>
      <c r="AW292" s="390" t="str">
        <f t="shared" si="230"/>
        <v>-</v>
      </c>
      <c r="AX292" s="391" t="str">
        <f t="shared" si="231"/>
        <v>-</v>
      </c>
      <c r="AY292" s="354" t="s">
        <v>78</v>
      </c>
      <c r="AZ292" s="405"/>
      <c r="BA292" s="406"/>
    </row>
    <row r="293" spans="1:53" ht="15" customHeight="1">
      <c r="A293" s="1" t="str">
        <f t="shared" si="263"/>
        <v>0_2025_</v>
      </c>
      <c r="B293" s="1" t="str">
        <f t="shared" si="208"/>
        <v>0_2025_CEO</v>
      </c>
      <c r="D293" s="216">
        <f>E20</f>
        <v>0</v>
      </c>
      <c r="E293" s="133" t="str">
        <f>_xll.ciqfunctions.udf.CIQ(D293,"IQ_Company_Name")</f>
        <v>(Invalid Identifier)</v>
      </c>
      <c r="F293" s="328">
        <f>$G$9</f>
        <v>2025</v>
      </c>
      <c r="G293" s="330" t="str">
        <f t="shared" si="255"/>
        <v>2025-01-01</v>
      </c>
      <c r="H293" s="330" t="str">
        <f t="shared" si="256"/>
        <v>2025-12-31</v>
      </c>
      <c r="I293" s="114">
        <f t="shared" si="257"/>
        <v>12</v>
      </c>
      <c r="J293" s="328" t="str">
        <f>$H$5</f>
        <v>CAD</v>
      </c>
      <c r="K293" s="439">
        <f t="shared" si="209"/>
        <v>1</v>
      </c>
      <c r="L293" s="445"/>
      <c r="M293" s="982"/>
      <c r="N293" s="442" t="s">
        <v>79</v>
      </c>
      <c r="O293" s="217" t="s">
        <v>78</v>
      </c>
      <c r="P293" s="218" t="s">
        <v>78</v>
      </c>
      <c r="Q293" s="219" t="s">
        <v>78</v>
      </c>
      <c r="R293" s="125" t="str">
        <f t="shared" si="252"/>
        <v>-</v>
      </c>
      <c r="S293" s="311" t="s">
        <v>78</v>
      </c>
      <c r="T293" s="126" t="str">
        <f t="shared" si="253"/>
        <v>-</v>
      </c>
      <c r="U293" s="221" t="s">
        <v>78</v>
      </c>
      <c r="V293" s="125" t="str">
        <f t="shared" si="245"/>
        <v>-</v>
      </c>
      <c r="W293" s="127" t="str">
        <f t="shared" si="219"/>
        <v>-</v>
      </c>
      <c r="X293" s="128" t="str">
        <f>IFERROR(AVERAGE(W293:W295),"N/A")</f>
        <v>N/A</v>
      </c>
      <c r="Y293" s="223" t="s">
        <v>78</v>
      </c>
      <c r="Z293" s="129" t="str">
        <f t="shared" si="220"/>
        <v>-</v>
      </c>
      <c r="AA293" s="124" t="str">
        <f t="shared" si="226"/>
        <v>-</v>
      </c>
      <c r="AB293" s="130" t="str">
        <f t="shared" si="227"/>
        <v>-</v>
      </c>
      <c r="AC293" s="221" t="s">
        <v>78</v>
      </c>
      <c r="AD293" s="225" t="s">
        <v>78</v>
      </c>
      <c r="AE293" s="225" t="s">
        <v>78</v>
      </c>
      <c r="AF293" s="225" t="s">
        <v>78</v>
      </c>
      <c r="AG293" s="225" t="s">
        <v>78</v>
      </c>
      <c r="AH293" s="125" t="str">
        <f t="shared" si="211"/>
        <v>-</v>
      </c>
      <c r="AI293" s="127" t="str">
        <f t="shared" si="221"/>
        <v>-</v>
      </c>
      <c r="AJ293" s="128" t="str">
        <f>IFERROR(AVERAGE(AI293:AI295),"N/A")</f>
        <v>N/A</v>
      </c>
      <c r="AK293" s="223" t="s">
        <v>78</v>
      </c>
      <c r="AL293" s="131" t="str">
        <f t="shared" si="222"/>
        <v>-</v>
      </c>
      <c r="AM293" s="368" t="str">
        <f t="shared" si="246"/>
        <v>-</v>
      </c>
      <c r="AN293" s="375" t="str">
        <f t="shared" si="228"/>
        <v>-</v>
      </c>
      <c r="AO293" s="376" t="str">
        <f t="shared" si="229"/>
        <v>-</v>
      </c>
      <c r="AP293" s="394" t="s">
        <v>78</v>
      </c>
      <c r="AQ293" s="395" t="s">
        <v>78</v>
      </c>
      <c r="AR293" s="396" t="str">
        <f t="shared" si="264"/>
        <v>-</v>
      </c>
      <c r="AS293" s="409" t="str">
        <f>IFERROR(AVERAGE(AR293:AR295),"N/A")</f>
        <v>N/A</v>
      </c>
      <c r="AT293" s="401" t="s">
        <v>78</v>
      </c>
      <c r="AU293" s="396" t="str">
        <f t="shared" si="265"/>
        <v>-</v>
      </c>
      <c r="AV293" s="409" t="str">
        <f>IFERROR(AVERAGE(AU293:AU295),"N/A")</f>
        <v>N/A</v>
      </c>
      <c r="AW293" s="388" t="str">
        <f t="shared" si="230"/>
        <v>-</v>
      </c>
      <c r="AX293" s="389" t="str">
        <f t="shared" si="231"/>
        <v>-</v>
      </c>
      <c r="AY293" s="353" t="s">
        <v>78</v>
      </c>
      <c r="AZ293" s="403"/>
      <c r="BA293" s="404"/>
    </row>
    <row r="294" spans="1:53" ht="15" customHeight="1">
      <c r="A294" s="1" t="str">
        <f t="shared" si="263"/>
        <v>0_2024_</v>
      </c>
      <c r="B294" s="1" t="str">
        <f t="shared" ref="B294:B357" si="267">$D294&amp;"_"&amp;$F294&amp;"_"&amp;$N294</f>
        <v>0_2024_CEO</v>
      </c>
      <c r="D294" s="114">
        <f>D293</f>
        <v>0</v>
      </c>
      <c r="E294" s="133" t="str">
        <f>_xll.ciqfunctions.udf.CIQ(D294,"IQ_Company_Name")</f>
        <v>(Invalid Identifier)</v>
      </c>
      <c r="F294" s="328">
        <f>$G$10</f>
        <v>2024</v>
      </c>
      <c r="G294" s="330" t="str">
        <f t="shared" si="255"/>
        <v>2024-01-01</v>
      </c>
      <c r="H294" s="330" t="str">
        <f t="shared" si="256"/>
        <v>2024-12-31</v>
      </c>
      <c r="I294" s="114">
        <f t="shared" si="257"/>
        <v>12</v>
      </c>
      <c r="J294" s="407" t="str">
        <f>J293</f>
        <v>CAD</v>
      </c>
      <c r="K294" s="439">
        <f t="shared" si="209"/>
        <v>1</v>
      </c>
      <c r="L294" s="445"/>
      <c r="M294" s="982"/>
      <c r="N294" s="443" t="str">
        <f t="shared" ref="N294:P295" si="268">N293</f>
        <v>CEO</v>
      </c>
      <c r="O294" s="123" t="str">
        <f t="shared" si="268"/>
        <v>-</v>
      </c>
      <c r="P294" s="132" t="str">
        <f t="shared" si="268"/>
        <v>-</v>
      </c>
      <c r="Q294" s="219" t="s">
        <v>78</v>
      </c>
      <c r="R294" s="125" t="str">
        <f t="shared" si="252"/>
        <v>-</v>
      </c>
      <c r="S294" s="311" t="s">
        <v>78</v>
      </c>
      <c r="T294" s="126" t="str">
        <f t="shared" si="253"/>
        <v>-</v>
      </c>
      <c r="U294" s="221" t="s">
        <v>78</v>
      </c>
      <c r="V294" s="125" t="str">
        <f t="shared" si="245"/>
        <v>-</v>
      </c>
      <c r="W294" s="127" t="str">
        <f t="shared" si="219"/>
        <v>-</v>
      </c>
      <c r="X294" s="128"/>
      <c r="Y294" s="223" t="s">
        <v>78</v>
      </c>
      <c r="Z294" s="129" t="str">
        <f t="shared" si="220"/>
        <v>-</v>
      </c>
      <c r="AA294" s="124" t="str">
        <f t="shared" si="226"/>
        <v>-</v>
      </c>
      <c r="AB294" s="130" t="str">
        <f t="shared" si="227"/>
        <v>-</v>
      </c>
      <c r="AC294" s="221" t="s">
        <v>78</v>
      </c>
      <c r="AD294" s="225" t="s">
        <v>78</v>
      </c>
      <c r="AE294" s="225" t="s">
        <v>78</v>
      </c>
      <c r="AF294" s="225" t="s">
        <v>78</v>
      </c>
      <c r="AG294" s="225" t="s">
        <v>78</v>
      </c>
      <c r="AH294" s="125" t="str">
        <f t="shared" si="211"/>
        <v>-</v>
      </c>
      <c r="AI294" s="127" t="str">
        <f t="shared" si="221"/>
        <v>-</v>
      </c>
      <c r="AJ294" s="128"/>
      <c r="AK294" s="223" t="s">
        <v>78</v>
      </c>
      <c r="AL294" s="131" t="str">
        <f t="shared" si="222"/>
        <v>-</v>
      </c>
      <c r="AM294" s="368" t="str">
        <f t="shared" si="246"/>
        <v>-</v>
      </c>
      <c r="AN294" s="375" t="str">
        <f t="shared" si="228"/>
        <v>-</v>
      </c>
      <c r="AO294" s="376" t="str">
        <f t="shared" si="229"/>
        <v>-</v>
      </c>
      <c r="AP294" s="394" t="s">
        <v>78</v>
      </c>
      <c r="AQ294" s="395" t="s">
        <v>78</v>
      </c>
      <c r="AR294" s="396" t="str">
        <f t="shared" si="264"/>
        <v>-</v>
      </c>
      <c r="AS294" s="397"/>
      <c r="AT294" s="401" t="s">
        <v>78</v>
      </c>
      <c r="AU294" s="396" t="str">
        <f t="shared" si="265"/>
        <v>-</v>
      </c>
      <c r="AV294" s="397"/>
      <c r="AW294" s="388" t="str">
        <f t="shared" si="230"/>
        <v>-</v>
      </c>
      <c r="AX294" s="389" t="str">
        <f t="shared" si="231"/>
        <v>-</v>
      </c>
      <c r="AY294" s="353" t="s">
        <v>78</v>
      </c>
      <c r="AZ294" s="403"/>
      <c r="BA294" s="404"/>
    </row>
    <row r="295" spans="1:53" ht="15" customHeight="1">
      <c r="A295" s="1" t="str">
        <f t="shared" si="263"/>
        <v>0_2023_</v>
      </c>
      <c r="B295" s="1" t="str">
        <f t="shared" si="267"/>
        <v>0_2023_CEO</v>
      </c>
      <c r="D295" s="114">
        <f t="shared" si="243"/>
        <v>0</v>
      </c>
      <c r="E295" s="133" t="str">
        <f>_xll.ciqfunctions.udf.CIQ(D295,"IQ_Company_Name")</f>
        <v>(Invalid Identifier)</v>
      </c>
      <c r="F295" s="328">
        <f>$G$11</f>
        <v>2023</v>
      </c>
      <c r="G295" s="114" t="str">
        <f t="shared" si="255"/>
        <v>2023-01-01</v>
      </c>
      <c r="H295" s="330" t="str">
        <f t="shared" si="256"/>
        <v>2023-12-31</v>
      </c>
      <c r="I295" s="114">
        <f t="shared" si="257"/>
        <v>12</v>
      </c>
      <c r="J295" s="407" t="str">
        <f>J294</f>
        <v>CAD</v>
      </c>
      <c r="K295" s="439">
        <f t="shared" ref="K295:K358" si="269">IF($J295="CAD",1,IF($J295="USD",VLOOKUP($F295,$G$9:$H$11,2,FALSE),"N/A"))</f>
        <v>1</v>
      </c>
      <c r="L295" s="445"/>
      <c r="M295" s="982"/>
      <c r="N295" s="443" t="str">
        <f t="shared" si="268"/>
        <v>CEO</v>
      </c>
      <c r="O295" s="123" t="str">
        <f t="shared" si="268"/>
        <v>-</v>
      </c>
      <c r="P295" s="132" t="str">
        <f t="shared" si="268"/>
        <v>-</v>
      </c>
      <c r="Q295" s="219" t="s">
        <v>78</v>
      </c>
      <c r="R295" s="125" t="str">
        <f t="shared" si="252"/>
        <v>-</v>
      </c>
      <c r="S295" s="311" t="s">
        <v>78</v>
      </c>
      <c r="T295" s="126" t="str">
        <f t="shared" si="253"/>
        <v>-</v>
      </c>
      <c r="U295" s="221" t="s">
        <v>78</v>
      </c>
      <c r="V295" s="125" t="str">
        <f t="shared" si="245"/>
        <v>-</v>
      </c>
      <c r="W295" s="127" t="str">
        <f t="shared" si="219"/>
        <v>-</v>
      </c>
      <c r="X295" s="128"/>
      <c r="Y295" s="223" t="s">
        <v>78</v>
      </c>
      <c r="Z295" s="129" t="str">
        <f t="shared" si="220"/>
        <v>-</v>
      </c>
      <c r="AA295" s="124" t="str">
        <f t="shared" si="226"/>
        <v>-</v>
      </c>
      <c r="AB295" s="130" t="str">
        <f t="shared" si="227"/>
        <v>-</v>
      </c>
      <c r="AC295" s="221" t="s">
        <v>78</v>
      </c>
      <c r="AD295" s="225" t="s">
        <v>78</v>
      </c>
      <c r="AE295" s="225" t="s">
        <v>78</v>
      </c>
      <c r="AF295" s="225" t="s">
        <v>78</v>
      </c>
      <c r="AG295" s="225" t="s">
        <v>78</v>
      </c>
      <c r="AH295" s="125" t="str">
        <f t="shared" ref="AH295:AH358" si="270">IFERROR(IF(SUM(AC295:AG295)=0,IF(COUNTIF($AC295:$AG295,"=0")&gt;0,"$0","-"),SUM(AC295:AG295)),"-")</f>
        <v>-</v>
      </c>
      <c r="AI295" s="127" t="str">
        <f t="shared" si="221"/>
        <v>-</v>
      </c>
      <c r="AJ295" s="128"/>
      <c r="AK295" s="223" t="s">
        <v>78</v>
      </c>
      <c r="AL295" s="131" t="str">
        <f t="shared" si="222"/>
        <v>-</v>
      </c>
      <c r="AM295" s="368" t="str">
        <f t="shared" ref="AM295:AM326" si="271">IFERROR($AH295*$K295,"-")</f>
        <v>-</v>
      </c>
      <c r="AN295" s="375" t="str">
        <f t="shared" si="228"/>
        <v>-</v>
      </c>
      <c r="AO295" s="376" t="str">
        <f t="shared" si="229"/>
        <v>-</v>
      </c>
      <c r="AP295" s="394" t="s">
        <v>78</v>
      </c>
      <c r="AQ295" s="395" t="s">
        <v>78</v>
      </c>
      <c r="AR295" s="396" t="str">
        <f t="shared" si="264"/>
        <v>-</v>
      </c>
      <c r="AS295" s="397"/>
      <c r="AT295" s="401" t="s">
        <v>78</v>
      </c>
      <c r="AU295" s="396" t="str">
        <f t="shared" si="265"/>
        <v>-</v>
      </c>
      <c r="AV295" s="397"/>
      <c r="AW295" s="388" t="str">
        <f t="shared" si="230"/>
        <v>-</v>
      </c>
      <c r="AX295" s="389" t="str">
        <f t="shared" si="231"/>
        <v>-</v>
      </c>
      <c r="AY295" s="353" t="s">
        <v>78</v>
      </c>
      <c r="AZ295" s="403"/>
      <c r="BA295" s="404"/>
    </row>
    <row r="296" spans="1:53" ht="15" customHeight="1">
      <c r="A296" s="1" t="str">
        <f t="shared" si="263"/>
        <v>0_2025_</v>
      </c>
      <c r="B296" s="1" t="str">
        <f t="shared" si="267"/>
        <v>0_2025_CFO</v>
      </c>
      <c r="D296" s="114">
        <f t="shared" si="243"/>
        <v>0</v>
      </c>
      <c r="E296" s="133" t="str">
        <f>_xll.ciqfunctions.udf.CIQ(D296,"IQ_Company_Name")</f>
        <v>(Invalid Identifier)</v>
      </c>
      <c r="F296" s="114">
        <f t="shared" si="248"/>
        <v>2025</v>
      </c>
      <c r="G296" s="114" t="str">
        <f t="shared" si="255"/>
        <v>2025-01-01</v>
      </c>
      <c r="H296" s="330" t="str">
        <f t="shared" si="256"/>
        <v>2025-12-31</v>
      </c>
      <c r="I296" s="114">
        <f t="shared" si="257"/>
        <v>12</v>
      </c>
      <c r="J296" s="407" t="str">
        <f>J295</f>
        <v>CAD</v>
      </c>
      <c r="K296" s="439">
        <f t="shared" si="269"/>
        <v>1</v>
      </c>
      <c r="L296" s="445"/>
      <c r="M296" s="982"/>
      <c r="N296" s="442" t="s">
        <v>106</v>
      </c>
      <c r="O296" s="217" t="s">
        <v>78</v>
      </c>
      <c r="P296" s="218" t="s">
        <v>78</v>
      </c>
      <c r="Q296" s="219" t="s">
        <v>78</v>
      </c>
      <c r="R296" s="125" t="str">
        <f t="shared" si="252"/>
        <v>-</v>
      </c>
      <c r="S296" s="311" t="s">
        <v>78</v>
      </c>
      <c r="T296" s="126" t="str">
        <f t="shared" si="253"/>
        <v>-</v>
      </c>
      <c r="U296" s="221" t="s">
        <v>78</v>
      </c>
      <c r="V296" s="125" t="str">
        <f t="shared" si="245"/>
        <v>-</v>
      </c>
      <c r="W296" s="127" t="str">
        <f t="shared" si="219"/>
        <v>-</v>
      </c>
      <c r="X296" s="128" t="str">
        <f>IFERROR(AVERAGE(W296:W298),"N/A")</f>
        <v>N/A</v>
      </c>
      <c r="Y296" s="223" t="s">
        <v>78</v>
      </c>
      <c r="Z296" s="129" t="str">
        <f t="shared" si="220"/>
        <v>-</v>
      </c>
      <c r="AA296" s="124" t="str">
        <f t="shared" si="226"/>
        <v>-</v>
      </c>
      <c r="AB296" s="130" t="str">
        <f t="shared" si="227"/>
        <v>-</v>
      </c>
      <c r="AC296" s="221" t="s">
        <v>78</v>
      </c>
      <c r="AD296" s="225" t="s">
        <v>78</v>
      </c>
      <c r="AE296" s="225" t="s">
        <v>78</v>
      </c>
      <c r="AF296" s="225" t="s">
        <v>78</v>
      </c>
      <c r="AG296" s="225" t="s">
        <v>78</v>
      </c>
      <c r="AH296" s="125" t="str">
        <f t="shared" si="270"/>
        <v>-</v>
      </c>
      <c r="AI296" s="127" t="str">
        <f t="shared" si="221"/>
        <v>-</v>
      </c>
      <c r="AJ296" s="128" t="str">
        <f>IFERROR(AVERAGE(AI296:AI298),"N/A")</f>
        <v>N/A</v>
      </c>
      <c r="AK296" s="223" t="s">
        <v>78</v>
      </c>
      <c r="AL296" s="131" t="str">
        <f t="shared" si="222"/>
        <v>-</v>
      </c>
      <c r="AM296" s="368" t="str">
        <f t="shared" si="271"/>
        <v>-</v>
      </c>
      <c r="AN296" s="375" t="str">
        <f t="shared" si="228"/>
        <v>-</v>
      </c>
      <c r="AO296" s="376" t="str">
        <f t="shared" si="229"/>
        <v>-</v>
      </c>
      <c r="AP296" s="394" t="s">
        <v>78</v>
      </c>
      <c r="AQ296" s="395" t="s">
        <v>78</v>
      </c>
      <c r="AR296" s="396" t="str">
        <f t="shared" si="264"/>
        <v>-</v>
      </c>
      <c r="AS296" s="397" t="str">
        <f>IFERROR(AVERAGE(AR296:AR298),"N/A")</f>
        <v>N/A</v>
      </c>
      <c r="AT296" s="401" t="s">
        <v>78</v>
      </c>
      <c r="AU296" s="396" t="str">
        <f t="shared" si="265"/>
        <v>-</v>
      </c>
      <c r="AV296" s="397" t="str">
        <f>IFERROR(AVERAGE(AU296:AU298),"N/A")</f>
        <v>N/A</v>
      </c>
      <c r="AW296" s="388" t="str">
        <f t="shared" si="230"/>
        <v>-</v>
      </c>
      <c r="AX296" s="389" t="str">
        <f t="shared" si="231"/>
        <v>-</v>
      </c>
      <c r="AY296" s="353" t="s">
        <v>78</v>
      </c>
      <c r="AZ296" s="403"/>
      <c r="BA296" s="404"/>
    </row>
    <row r="297" spans="1:53" ht="15" customHeight="1">
      <c r="A297" s="1" t="str">
        <f t="shared" si="263"/>
        <v>0_2024_</v>
      </c>
      <c r="B297" s="1" t="str">
        <f t="shared" si="267"/>
        <v>0_2024_CFO</v>
      </c>
      <c r="D297" s="114">
        <f t="shared" si="243"/>
        <v>0</v>
      </c>
      <c r="E297" s="133" t="str">
        <f>_xll.ciqfunctions.udf.CIQ(D297,"IQ_Company_Name")</f>
        <v>(Invalid Identifier)</v>
      </c>
      <c r="F297" s="114">
        <f t="shared" si="248"/>
        <v>2024</v>
      </c>
      <c r="G297" s="114" t="str">
        <f t="shared" si="255"/>
        <v>2024-01-01</v>
      </c>
      <c r="H297" s="330" t="str">
        <f t="shared" si="256"/>
        <v>2024-12-31</v>
      </c>
      <c r="I297" s="114">
        <f t="shared" si="257"/>
        <v>12</v>
      </c>
      <c r="J297" s="407" t="str">
        <f>J296</f>
        <v>CAD</v>
      </c>
      <c r="K297" s="439">
        <f t="shared" si="269"/>
        <v>1</v>
      </c>
      <c r="L297" s="445"/>
      <c r="M297" s="982"/>
      <c r="N297" s="443" t="str">
        <f t="shared" ref="N297:P298" si="272">N296</f>
        <v>CFO</v>
      </c>
      <c r="O297" s="123" t="str">
        <f t="shared" si="272"/>
        <v>-</v>
      </c>
      <c r="P297" s="132" t="str">
        <f t="shared" si="272"/>
        <v>-</v>
      </c>
      <c r="Q297" s="219" t="s">
        <v>78</v>
      </c>
      <c r="R297" s="125" t="str">
        <f t="shared" si="252"/>
        <v>-</v>
      </c>
      <c r="S297" s="311" t="s">
        <v>78</v>
      </c>
      <c r="T297" s="126" t="str">
        <f t="shared" si="253"/>
        <v>-</v>
      </c>
      <c r="U297" s="221" t="s">
        <v>78</v>
      </c>
      <c r="V297" s="125" t="str">
        <f t="shared" si="245"/>
        <v>-</v>
      </c>
      <c r="W297" s="127" t="str">
        <f t="shared" si="219"/>
        <v>-</v>
      </c>
      <c r="X297" s="128"/>
      <c r="Y297" s="223" t="s">
        <v>78</v>
      </c>
      <c r="Z297" s="129" t="str">
        <f t="shared" si="220"/>
        <v>-</v>
      </c>
      <c r="AA297" s="124" t="str">
        <f t="shared" si="226"/>
        <v>-</v>
      </c>
      <c r="AB297" s="130" t="str">
        <f t="shared" si="227"/>
        <v>-</v>
      </c>
      <c r="AC297" s="221" t="s">
        <v>78</v>
      </c>
      <c r="AD297" s="225" t="s">
        <v>78</v>
      </c>
      <c r="AE297" s="225" t="s">
        <v>78</v>
      </c>
      <c r="AF297" s="225" t="s">
        <v>78</v>
      </c>
      <c r="AG297" s="225" t="s">
        <v>78</v>
      </c>
      <c r="AH297" s="125" t="str">
        <f t="shared" si="270"/>
        <v>-</v>
      </c>
      <c r="AI297" s="127" t="str">
        <f t="shared" si="221"/>
        <v>-</v>
      </c>
      <c r="AJ297" s="128"/>
      <c r="AK297" s="223" t="s">
        <v>78</v>
      </c>
      <c r="AL297" s="131" t="str">
        <f t="shared" si="222"/>
        <v>-</v>
      </c>
      <c r="AM297" s="368" t="str">
        <f t="shared" si="271"/>
        <v>-</v>
      </c>
      <c r="AN297" s="375" t="str">
        <f t="shared" si="228"/>
        <v>-</v>
      </c>
      <c r="AO297" s="376" t="str">
        <f t="shared" si="229"/>
        <v>-</v>
      </c>
      <c r="AP297" s="394" t="s">
        <v>78</v>
      </c>
      <c r="AQ297" s="395" t="s">
        <v>78</v>
      </c>
      <c r="AR297" s="396" t="str">
        <f t="shared" si="264"/>
        <v>-</v>
      </c>
      <c r="AS297" s="397"/>
      <c r="AT297" s="401" t="s">
        <v>78</v>
      </c>
      <c r="AU297" s="396" t="str">
        <f t="shared" si="265"/>
        <v>-</v>
      </c>
      <c r="AV297" s="397"/>
      <c r="AW297" s="388" t="str">
        <f t="shared" si="230"/>
        <v>-</v>
      </c>
      <c r="AX297" s="389" t="str">
        <f t="shared" si="231"/>
        <v>-</v>
      </c>
      <c r="AY297" s="353" t="s">
        <v>78</v>
      </c>
      <c r="AZ297" s="403"/>
      <c r="BA297" s="404"/>
    </row>
    <row r="298" spans="1:53" ht="15" customHeight="1">
      <c r="A298" s="1" t="str">
        <f t="shared" si="263"/>
        <v>0_2023_</v>
      </c>
      <c r="B298" s="1" t="str">
        <f t="shared" si="267"/>
        <v>0_2023_CFO</v>
      </c>
      <c r="D298" s="114">
        <f t="shared" si="243"/>
        <v>0</v>
      </c>
      <c r="E298" s="133" t="str">
        <f>_xll.ciqfunctions.udf.CIQ(D298,"IQ_Company_Name")</f>
        <v>(Invalid Identifier)</v>
      </c>
      <c r="F298" s="114">
        <f t="shared" si="248"/>
        <v>2023</v>
      </c>
      <c r="G298" s="114" t="str">
        <f t="shared" si="255"/>
        <v>2023-01-01</v>
      </c>
      <c r="H298" s="330" t="str">
        <f t="shared" si="256"/>
        <v>2023-12-31</v>
      </c>
      <c r="I298" s="114">
        <f t="shared" si="257"/>
        <v>12</v>
      </c>
      <c r="J298" s="407" t="str">
        <f t="shared" si="260"/>
        <v>CAD</v>
      </c>
      <c r="K298" s="439">
        <f t="shared" si="269"/>
        <v>1</v>
      </c>
      <c r="L298" s="445"/>
      <c r="M298" s="982"/>
      <c r="N298" s="443" t="str">
        <f t="shared" si="272"/>
        <v>CFO</v>
      </c>
      <c r="O298" s="123" t="str">
        <f t="shared" si="272"/>
        <v>-</v>
      </c>
      <c r="P298" s="132" t="str">
        <f t="shared" si="272"/>
        <v>-</v>
      </c>
      <c r="Q298" s="219" t="s">
        <v>78</v>
      </c>
      <c r="R298" s="125" t="str">
        <f t="shared" si="252"/>
        <v>-</v>
      </c>
      <c r="S298" s="311" t="s">
        <v>78</v>
      </c>
      <c r="T298" s="126" t="str">
        <f t="shared" si="253"/>
        <v>-</v>
      </c>
      <c r="U298" s="221" t="s">
        <v>78</v>
      </c>
      <c r="V298" s="125" t="str">
        <f t="shared" si="245"/>
        <v>-</v>
      </c>
      <c r="W298" s="127" t="str">
        <f t="shared" si="219"/>
        <v>-</v>
      </c>
      <c r="X298" s="128"/>
      <c r="Y298" s="223" t="s">
        <v>78</v>
      </c>
      <c r="Z298" s="129" t="str">
        <f t="shared" si="220"/>
        <v>-</v>
      </c>
      <c r="AA298" s="124" t="str">
        <f t="shared" si="226"/>
        <v>-</v>
      </c>
      <c r="AB298" s="130" t="str">
        <f t="shared" si="227"/>
        <v>-</v>
      </c>
      <c r="AC298" s="221" t="s">
        <v>78</v>
      </c>
      <c r="AD298" s="225" t="s">
        <v>78</v>
      </c>
      <c r="AE298" s="225" t="s">
        <v>78</v>
      </c>
      <c r="AF298" s="225" t="s">
        <v>78</v>
      </c>
      <c r="AG298" s="225" t="s">
        <v>78</v>
      </c>
      <c r="AH298" s="125" t="str">
        <f t="shared" si="270"/>
        <v>-</v>
      </c>
      <c r="AI298" s="127" t="str">
        <f t="shared" si="221"/>
        <v>-</v>
      </c>
      <c r="AJ298" s="128"/>
      <c r="AK298" s="223" t="s">
        <v>78</v>
      </c>
      <c r="AL298" s="131" t="str">
        <f t="shared" si="222"/>
        <v>-</v>
      </c>
      <c r="AM298" s="368" t="str">
        <f t="shared" si="271"/>
        <v>-</v>
      </c>
      <c r="AN298" s="375" t="str">
        <f t="shared" si="228"/>
        <v>-</v>
      </c>
      <c r="AO298" s="376" t="str">
        <f t="shared" si="229"/>
        <v>-</v>
      </c>
      <c r="AP298" s="394" t="s">
        <v>78</v>
      </c>
      <c r="AQ298" s="395" t="s">
        <v>78</v>
      </c>
      <c r="AR298" s="396" t="str">
        <f t="shared" si="264"/>
        <v>-</v>
      </c>
      <c r="AS298" s="397"/>
      <c r="AT298" s="401" t="s">
        <v>78</v>
      </c>
      <c r="AU298" s="396" t="str">
        <f t="shared" si="265"/>
        <v>-</v>
      </c>
      <c r="AV298" s="397"/>
      <c r="AW298" s="388" t="str">
        <f t="shared" si="230"/>
        <v>-</v>
      </c>
      <c r="AX298" s="389" t="str">
        <f t="shared" si="231"/>
        <v>-</v>
      </c>
      <c r="AY298" s="353" t="s">
        <v>78</v>
      </c>
      <c r="AZ298" s="403"/>
      <c r="BA298" s="404"/>
    </row>
    <row r="299" spans="1:53" ht="15" customHeight="1">
      <c r="A299" s="1" t="str">
        <f t="shared" si="263"/>
        <v>0_2025_</v>
      </c>
      <c r="B299" s="1" t="str">
        <f t="shared" si="267"/>
        <v>0_2025_NEO1</v>
      </c>
      <c r="D299" s="114">
        <f t="shared" si="243"/>
        <v>0</v>
      </c>
      <c r="E299" s="133" t="str">
        <f>_xll.ciqfunctions.udf.CIQ(D299,"IQ_Company_Name")</f>
        <v>(Invalid Identifier)</v>
      </c>
      <c r="F299" s="114">
        <f t="shared" si="248"/>
        <v>2025</v>
      </c>
      <c r="G299" s="330" t="str">
        <f t="shared" si="255"/>
        <v>2025-01-01</v>
      </c>
      <c r="H299" s="330" t="str">
        <f t="shared" si="256"/>
        <v>2025-12-31</v>
      </c>
      <c r="I299" s="114">
        <f t="shared" si="257"/>
        <v>12</v>
      </c>
      <c r="J299" s="407" t="str">
        <f t="shared" si="260"/>
        <v>CAD</v>
      </c>
      <c r="K299" s="439">
        <f t="shared" si="269"/>
        <v>1</v>
      </c>
      <c r="L299" s="445"/>
      <c r="M299" s="982"/>
      <c r="N299" s="442" t="s">
        <v>107</v>
      </c>
      <c r="O299" s="217" t="s">
        <v>78</v>
      </c>
      <c r="P299" s="218" t="s">
        <v>78</v>
      </c>
      <c r="Q299" s="219" t="s">
        <v>78</v>
      </c>
      <c r="R299" s="125" t="str">
        <f t="shared" si="252"/>
        <v>-</v>
      </c>
      <c r="S299" s="311" t="s">
        <v>78</v>
      </c>
      <c r="T299" s="126" t="str">
        <f t="shared" si="253"/>
        <v>-</v>
      </c>
      <c r="U299" s="221" t="s">
        <v>78</v>
      </c>
      <c r="V299" s="125" t="str">
        <f t="shared" si="245"/>
        <v>-</v>
      </c>
      <c r="W299" s="127" t="str">
        <f t="shared" si="219"/>
        <v>-</v>
      </c>
      <c r="X299" s="128" t="str">
        <f>IFERROR(AVERAGE(W299:W301),"N/A")</f>
        <v>N/A</v>
      </c>
      <c r="Y299" s="223" t="s">
        <v>78</v>
      </c>
      <c r="Z299" s="129" t="str">
        <f t="shared" si="220"/>
        <v>-</v>
      </c>
      <c r="AA299" s="124" t="str">
        <f t="shared" si="226"/>
        <v>-</v>
      </c>
      <c r="AB299" s="130" t="str">
        <f t="shared" si="227"/>
        <v>-</v>
      </c>
      <c r="AC299" s="221" t="s">
        <v>78</v>
      </c>
      <c r="AD299" s="225" t="s">
        <v>78</v>
      </c>
      <c r="AE299" s="225" t="s">
        <v>78</v>
      </c>
      <c r="AF299" s="225" t="s">
        <v>78</v>
      </c>
      <c r="AG299" s="225" t="s">
        <v>78</v>
      </c>
      <c r="AH299" s="125" t="str">
        <f t="shared" si="270"/>
        <v>-</v>
      </c>
      <c r="AI299" s="127" t="str">
        <f t="shared" si="221"/>
        <v>-</v>
      </c>
      <c r="AJ299" s="128" t="str">
        <f>IFERROR(AVERAGE(AI299:AI301),"N/A")</f>
        <v>N/A</v>
      </c>
      <c r="AK299" s="223" t="s">
        <v>78</v>
      </c>
      <c r="AL299" s="131" t="str">
        <f t="shared" si="222"/>
        <v>-</v>
      </c>
      <c r="AM299" s="368" t="str">
        <f t="shared" si="271"/>
        <v>-</v>
      </c>
      <c r="AN299" s="375" t="str">
        <f t="shared" si="228"/>
        <v>-</v>
      </c>
      <c r="AO299" s="376" t="str">
        <f t="shared" si="229"/>
        <v>-</v>
      </c>
      <c r="AP299" s="394" t="s">
        <v>78</v>
      </c>
      <c r="AQ299" s="395" t="s">
        <v>78</v>
      </c>
      <c r="AR299" s="396" t="str">
        <f t="shared" si="264"/>
        <v>-</v>
      </c>
      <c r="AS299" s="397" t="str">
        <f>IFERROR(AVERAGE(AR299:AR301),"N/A")</f>
        <v>N/A</v>
      </c>
      <c r="AT299" s="401" t="s">
        <v>78</v>
      </c>
      <c r="AU299" s="396" t="str">
        <f t="shared" si="265"/>
        <v>-</v>
      </c>
      <c r="AV299" s="397" t="str">
        <f>IFERROR(AVERAGE(AU299:AU301),"N/A")</f>
        <v>N/A</v>
      </c>
      <c r="AW299" s="388" t="str">
        <f t="shared" si="230"/>
        <v>-</v>
      </c>
      <c r="AX299" s="389" t="str">
        <f t="shared" si="231"/>
        <v>-</v>
      </c>
      <c r="AY299" s="353" t="s">
        <v>78</v>
      </c>
      <c r="AZ299" s="403"/>
      <c r="BA299" s="404"/>
    </row>
    <row r="300" spans="1:53" ht="15" customHeight="1">
      <c r="A300" s="1" t="str">
        <f t="shared" si="263"/>
        <v>0_2024_</v>
      </c>
      <c r="B300" s="1" t="str">
        <f t="shared" si="267"/>
        <v>0_2024_NEO1</v>
      </c>
      <c r="D300" s="114">
        <f t="shared" si="243"/>
        <v>0</v>
      </c>
      <c r="E300" s="133" t="str">
        <f>_xll.ciqfunctions.udf.CIQ(D300,"IQ_Company_Name")</f>
        <v>(Invalid Identifier)</v>
      </c>
      <c r="F300" s="114">
        <f t="shared" si="248"/>
        <v>2024</v>
      </c>
      <c r="G300" s="330" t="str">
        <f t="shared" si="255"/>
        <v>2024-01-01</v>
      </c>
      <c r="H300" s="330" t="str">
        <f t="shared" si="256"/>
        <v>2024-12-31</v>
      </c>
      <c r="I300" s="114">
        <f t="shared" si="257"/>
        <v>12</v>
      </c>
      <c r="J300" s="407" t="str">
        <f t="shared" si="260"/>
        <v>CAD</v>
      </c>
      <c r="K300" s="439">
        <f t="shared" si="269"/>
        <v>1</v>
      </c>
      <c r="L300" s="445"/>
      <c r="M300" s="982"/>
      <c r="N300" s="443" t="str">
        <f t="shared" ref="N300:P301" si="273">N299</f>
        <v>NEO1</v>
      </c>
      <c r="O300" s="123" t="str">
        <f t="shared" si="273"/>
        <v>-</v>
      </c>
      <c r="P300" s="132" t="str">
        <f t="shared" si="273"/>
        <v>-</v>
      </c>
      <c r="Q300" s="219" t="s">
        <v>78</v>
      </c>
      <c r="R300" s="125" t="str">
        <f t="shared" si="252"/>
        <v>-</v>
      </c>
      <c r="S300" s="311" t="s">
        <v>78</v>
      </c>
      <c r="T300" s="126" t="str">
        <f t="shared" si="253"/>
        <v>-</v>
      </c>
      <c r="U300" s="221" t="s">
        <v>78</v>
      </c>
      <c r="V300" s="125" t="str">
        <f t="shared" si="245"/>
        <v>-</v>
      </c>
      <c r="W300" s="127" t="str">
        <f t="shared" si="219"/>
        <v>-</v>
      </c>
      <c r="X300" s="128"/>
      <c r="Y300" s="223" t="s">
        <v>78</v>
      </c>
      <c r="Z300" s="129" t="str">
        <f t="shared" si="220"/>
        <v>-</v>
      </c>
      <c r="AA300" s="124" t="str">
        <f t="shared" si="226"/>
        <v>-</v>
      </c>
      <c r="AB300" s="130" t="str">
        <f t="shared" si="227"/>
        <v>-</v>
      </c>
      <c r="AC300" s="221" t="s">
        <v>78</v>
      </c>
      <c r="AD300" s="225" t="s">
        <v>78</v>
      </c>
      <c r="AE300" s="225" t="s">
        <v>78</v>
      </c>
      <c r="AF300" s="225" t="s">
        <v>78</v>
      </c>
      <c r="AG300" s="225" t="s">
        <v>78</v>
      </c>
      <c r="AH300" s="125" t="str">
        <f t="shared" si="270"/>
        <v>-</v>
      </c>
      <c r="AI300" s="127" t="str">
        <f t="shared" si="221"/>
        <v>-</v>
      </c>
      <c r="AJ300" s="128"/>
      <c r="AK300" s="223" t="s">
        <v>78</v>
      </c>
      <c r="AL300" s="131" t="str">
        <f t="shared" si="222"/>
        <v>-</v>
      </c>
      <c r="AM300" s="368" t="str">
        <f t="shared" si="271"/>
        <v>-</v>
      </c>
      <c r="AN300" s="375" t="str">
        <f t="shared" si="228"/>
        <v>-</v>
      </c>
      <c r="AO300" s="376" t="str">
        <f t="shared" si="229"/>
        <v>-</v>
      </c>
      <c r="AP300" s="394" t="s">
        <v>78</v>
      </c>
      <c r="AQ300" s="395" t="s">
        <v>78</v>
      </c>
      <c r="AR300" s="396" t="str">
        <f t="shared" si="264"/>
        <v>-</v>
      </c>
      <c r="AS300" s="397"/>
      <c r="AT300" s="401" t="s">
        <v>78</v>
      </c>
      <c r="AU300" s="396" t="str">
        <f t="shared" si="265"/>
        <v>-</v>
      </c>
      <c r="AV300" s="397"/>
      <c r="AW300" s="388" t="str">
        <f t="shared" si="230"/>
        <v>-</v>
      </c>
      <c r="AX300" s="389" t="str">
        <f t="shared" si="231"/>
        <v>-</v>
      </c>
      <c r="AY300" s="353" t="s">
        <v>78</v>
      </c>
      <c r="AZ300" s="403"/>
      <c r="BA300" s="404"/>
    </row>
    <row r="301" spans="1:53" ht="15" customHeight="1">
      <c r="A301" s="1" t="str">
        <f t="shared" si="263"/>
        <v>0_2023_</v>
      </c>
      <c r="B301" s="1" t="str">
        <f t="shared" si="267"/>
        <v>0_2023_NEO1</v>
      </c>
      <c r="D301" s="114">
        <f t="shared" si="243"/>
        <v>0</v>
      </c>
      <c r="E301" s="133" t="str">
        <f>_xll.ciqfunctions.udf.CIQ(D301,"IQ_Company_Name")</f>
        <v>(Invalid Identifier)</v>
      </c>
      <c r="F301" s="114">
        <f t="shared" si="248"/>
        <v>2023</v>
      </c>
      <c r="G301" s="114" t="str">
        <f t="shared" si="255"/>
        <v>2023-01-01</v>
      </c>
      <c r="H301" s="330" t="str">
        <f t="shared" si="256"/>
        <v>2023-12-31</v>
      </c>
      <c r="I301" s="114">
        <f t="shared" si="257"/>
        <v>12</v>
      </c>
      <c r="J301" s="407" t="str">
        <f t="shared" si="260"/>
        <v>CAD</v>
      </c>
      <c r="K301" s="439">
        <f t="shared" si="269"/>
        <v>1</v>
      </c>
      <c r="L301" s="445"/>
      <c r="M301" s="982"/>
      <c r="N301" s="443" t="str">
        <f t="shared" si="273"/>
        <v>NEO1</v>
      </c>
      <c r="O301" s="123" t="str">
        <f t="shared" si="273"/>
        <v>-</v>
      </c>
      <c r="P301" s="132" t="str">
        <f t="shared" si="273"/>
        <v>-</v>
      </c>
      <c r="Q301" s="219" t="s">
        <v>78</v>
      </c>
      <c r="R301" s="125" t="str">
        <f t="shared" si="252"/>
        <v>-</v>
      </c>
      <c r="S301" s="311" t="s">
        <v>78</v>
      </c>
      <c r="T301" s="126" t="str">
        <f t="shared" si="253"/>
        <v>-</v>
      </c>
      <c r="U301" s="221" t="s">
        <v>78</v>
      </c>
      <c r="V301" s="125" t="str">
        <f t="shared" si="245"/>
        <v>-</v>
      </c>
      <c r="W301" s="127" t="str">
        <f t="shared" si="219"/>
        <v>-</v>
      </c>
      <c r="X301" s="128"/>
      <c r="Y301" s="223" t="s">
        <v>78</v>
      </c>
      <c r="Z301" s="129" t="str">
        <f t="shared" si="220"/>
        <v>-</v>
      </c>
      <c r="AA301" s="124" t="str">
        <f t="shared" si="226"/>
        <v>-</v>
      </c>
      <c r="AB301" s="130" t="str">
        <f t="shared" si="227"/>
        <v>-</v>
      </c>
      <c r="AC301" s="221" t="s">
        <v>78</v>
      </c>
      <c r="AD301" s="225" t="s">
        <v>78</v>
      </c>
      <c r="AE301" s="225" t="s">
        <v>78</v>
      </c>
      <c r="AF301" s="225" t="s">
        <v>78</v>
      </c>
      <c r="AG301" s="225" t="s">
        <v>78</v>
      </c>
      <c r="AH301" s="125" t="str">
        <f t="shared" si="270"/>
        <v>-</v>
      </c>
      <c r="AI301" s="127" t="str">
        <f t="shared" si="221"/>
        <v>-</v>
      </c>
      <c r="AJ301" s="128"/>
      <c r="AK301" s="223" t="s">
        <v>78</v>
      </c>
      <c r="AL301" s="131" t="str">
        <f t="shared" si="222"/>
        <v>-</v>
      </c>
      <c r="AM301" s="368" t="str">
        <f t="shared" si="271"/>
        <v>-</v>
      </c>
      <c r="AN301" s="375" t="str">
        <f t="shared" si="228"/>
        <v>-</v>
      </c>
      <c r="AO301" s="376" t="str">
        <f t="shared" si="229"/>
        <v>-</v>
      </c>
      <c r="AP301" s="394" t="s">
        <v>78</v>
      </c>
      <c r="AQ301" s="395" t="s">
        <v>78</v>
      </c>
      <c r="AR301" s="396" t="str">
        <f t="shared" si="264"/>
        <v>-</v>
      </c>
      <c r="AS301" s="397"/>
      <c r="AT301" s="401" t="s">
        <v>78</v>
      </c>
      <c r="AU301" s="396" t="str">
        <f t="shared" si="265"/>
        <v>-</v>
      </c>
      <c r="AV301" s="397"/>
      <c r="AW301" s="388" t="str">
        <f t="shared" si="230"/>
        <v>-</v>
      </c>
      <c r="AX301" s="389" t="str">
        <f t="shared" si="231"/>
        <v>-</v>
      </c>
      <c r="AY301" s="353" t="s">
        <v>78</v>
      </c>
      <c r="AZ301" s="403"/>
      <c r="BA301" s="404"/>
    </row>
    <row r="302" spans="1:53" ht="15" customHeight="1">
      <c r="A302" s="1" t="str">
        <f t="shared" si="263"/>
        <v>0_2025_</v>
      </c>
      <c r="B302" s="1" t="str">
        <f t="shared" si="267"/>
        <v>0_2025_NEO2</v>
      </c>
      <c r="D302" s="114">
        <f t="shared" si="243"/>
        <v>0</v>
      </c>
      <c r="E302" s="133" t="str">
        <f>_xll.ciqfunctions.udf.CIQ(D302,"IQ_Company_Name")</f>
        <v>(Invalid Identifier)</v>
      </c>
      <c r="F302" s="114">
        <f t="shared" si="248"/>
        <v>2025</v>
      </c>
      <c r="G302" s="114" t="str">
        <f t="shared" si="255"/>
        <v>2025-01-01</v>
      </c>
      <c r="H302" s="330" t="str">
        <f t="shared" si="256"/>
        <v>2025-12-31</v>
      </c>
      <c r="I302" s="114">
        <f t="shared" si="257"/>
        <v>12</v>
      </c>
      <c r="J302" s="407" t="str">
        <f t="shared" si="260"/>
        <v>CAD</v>
      </c>
      <c r="K302" s="439">
        <f t="shared" si="269"/>
        <v>1</v>
      </c>
      <c r="L302" s="445"/>
      <c r="M302" s="982"/>
      <c r="N302" s="442" t="s">
        <v>108</v>
      </c>
      <c r="O302" s="217" t="s">
        <v>78</v>
      </c>
      <c r="P302" s="218" t="s">
        <v>78</v>
      </c>
      <c r="Q302" s="219" t="s">
        <v>78</v>
      </c>
      <c r="R302" s="125" t="str">
        <f t="shared" si="252"/>
        <v>-</v>
      </c>
      <c r="S302" s="311" t="s">
        <v>78</v>
      </c>
      <c r="T302" s="126" t="str">
        <f t="shared" si="253"/>
        <v>-</v>
      </c>
      <c r="U302" s="221" t="s">
        <v>78</v>
      </c>
      <c r="V302" s="125" t="str">
        <f t="shared" si="245"/>
        <v>-</v>
      </c>
      <c r="W302" s="127" t="str">
        <f t="shared" si="219"/>
        <v>-</v>
      </c>
      <c r="X302" s="128" t="str">
        <f>IFERROR(AVERAGE(W302:W304),"N/A")</f>
        <v>N/A</v>
      </c>
      <c r="Y302" s="223" t="s">
        <v>78</v>
      </c>
      <c r="Z302" s="129" t="str">
        <f t="shared" si="220"/>
        <v>-</v>
      </c>
      <c r="AA302" s="124" t="str">
        <f t="shared" si="226"/>
        <v>-</v>
      </c>
      <c r="AB302" s="130" t="str">
        <f t="shared" si="227"/>
        <v>-</v>
      </c>
      <c r="AC302" s="221" t="s">
        <v>78</v>
      </c>
      <c r="AD302" s="225" t="s">
        <v>78</v>
      </c>
      <c r="AE302" s="225" t="s">
        <v>78</v>
      </c>
      <c r="AF302" s="225" t="s">
        <v>78</v>
      </c>
      <c r="AG302" s="225" t="s">
        <v>78</v>
      </c>
      <c r="AH302" s="125" t="str">
        <f t="shared" si="270"/>
        <v>-</v>
      </c>
      <c r="AI302" s="127" t="str">
        <f t="shared" si="221"/>
        <v>-</v>
      </c>
      <c r="AJ302" s="128" t="str">
        <f>IFERROR(AVERAGE(AI302:AI304),"N/A")</f>
        <v>N/A</v>
      </c>
      <c r="AK302" s="223" t="s">
        <v>78</v>
      </c>
      <c r="AL302" s="131" t="str">
        <f t="shared" si="222"/>
        <v>-</v>
      </c>
      <c r="AM302" s="368" t="str">
        <f t="shared" si="271"/>
        <v>-</v>
      </c>
      <c r="AN302" s="375" t="str">
        <f t="shared" si="228"/>
        <v>-</v>
      </c>
      <c r="AO302" s="376" t="str">
        <f t="shared" si="229"/>
        <v>-</v>
      </c>
      <c r="AP302" s="394" t="s">
        <v>78</v>
      </c>
      <c r="AQ302" s="395" t="s">
        <v>78</v>
      </c>
      <c r="AR302" s="396" t="str">
        <f t="shared" si="264"/>
        <v>-</v>
      </c>
      <c r="AS302" s="397" t="str">
        <f>IFERROR(AVERAGE(AR302:AR304),"N/A")</f>
        <v>N/A</v>
      </c>
      <c r="AT302" s="401" t="s">
        <v>78</v>
      </c>
      <c r="AU302" s="396" t="str">
        <f t="shared" si="265"/>
        <v>-</v>
      </c>
      <c r="AV302" s="397" t="str">
        <f>IFERROR(AVERAGE(AU302:AU304),"N/A")</f>
        <v>N/A</v>
      </c>
      <c r="AW302" s="388" t="str">
        <f t="shared" si="230"/>
        <v>-</v>
      </c>
      <c r="AX302" s="389" t="str">
        <f t="shared" si="231"/>
        <v>-</v>
      </c>
      <c r="AY302" s="353" t="s">
        <v>78</v>
      </c>
      <c r="AZ302" s="403"/>
      <c r="BA302" s="404"/>
    </row>
    <row r="303" spans="1:53" ht="15" customHeight="1">
      <c r="A303" s="1" t="str">
        <f t="shared" si="263"/>
        <v>0_2024_</v>
      </c>
      <c r="B303" s="1" t="str">
        <f t="shared" si="267"/>
        <v>0_2024_NEO2</v>
      </c>
      <c r="D303" s="114">
        <f t="shared" si="243"/>
        <v>0</v>
      </c>
      <c r="E303" s="133" t="str">
        <f>_xll.ciqfunctions.udf.CIQ(D303,"IQ_Company_Name")</f>
        <v>(Invalid Identifier)</v>
      </c>
      <c r="F303" s="114">
        <f t="shared" si="248"/>
        <v>2024</v>
      </c>
      <c r="G303" s="114" t="str">
        <f t="shared" si="255"/>
        <v>2024-01-01</v>
      </c>
      <c r="H303" s="330" t="str">
        <f t="shared" si="256"/>
        <v>2024-12-31</v>
      </c>
      <c r="I303" s="114">
        <f t="shared" si="257"/>
        <v>12</v>
      </c>
      <c r="J303" s="407" t="str">
        <f t="shared" si="260"/>
        <v>CAD</v>
      </c>
      <c r="K303" s="439">
        <f t="shared" si="269"/>
        <v>1</v>
      </c>
      <c r="L303" s="445"/>
      <c r="M303" s="982"/>
      <c r="N303" s="443" t="str">
        <f t="shared" ref="N303:P304" si="274">N302</f>
        <v>NEO2</v>
      </c>
      <c r="O303" s="123" t="str">
        <f t="shared" si="274"/>
        <v>-</v>
      </c>
      <c r="P303" s="132" t="str">
        <f t="shared" si="274"/>
        <v>-</v>
      </c>
      <c r="Q303" s="219" t="s">
        <v>78</v>
      </c>
      <c r="R303" s="125" t="str">
        <f t="shared" si="252"/>
        <v>-</v>
      </c>
      <c r="S303" s="311" t="s">
        <v>78</v>
      </c>
      <c r="T303" s="126" t="str">
        <f t="shared" si="253"/>
        <v>-</v>
      </c>
      <c r="U303" s="221" t="s">
        <v>78</v>
      </c>
      <c r="V303" s="125" t="str">
        <f t="shared" si="245"/>
        <v>-</v>
      </c>
      <c r="W303" s="127" t="str">
        <f t="shared" si="219"/>
        <v>-</v>
      </c>
      <c r="X303" s="128"/>
      <c r="Y303" s="223" t="s">
        <v>78</v>
      </c>
      <c r="Z303" s="129" t="str">
        <f t="shared" si="220"/>
        <v>-</v>
      </c>
      <c r="AA303" s="124" t="str">
        <f t="shared" si="226"/>
        <v>-</v>
      </c>
      <c r="AB303" s="130" t="str">
        <f t="shared" si="227"/>
        <v>-</v>
      </c>
      <c r="AC303" s="221" t="s">
        <v>78</v>
      </c>
      <c r="AD303" s="225" t="s">
        <v>78</v>
      </c>
      <c r="AE303" s="225" t="s">
        <v>78</v>
      </c>
      <c r="AF303" s="225" t="s">
        <v>78</v>
      </c>
      <c r="AG303" s="225" t="s">
        <v>78</v>
      </c>
      <c r="AH303" s="125" t="str">
        <f t="shared" si="270"/>
        <v>-</v>
      </c>
      <c r="AI303" s="127" t="str">
        <f t="shared" si="221"/>
        <v>-</v>
      </c>
      <c r="AJ303" s="128"/>
      <c r="AK303" s="223" t="s">
        <v>78</v>
      </c>
      <c r="AL303" s="131" t="str">
        <f t="shared" si="222"/>
        <v>-</v>
      </c>
      <c r="AM303" s="368" t="str">
        <f t="shared" si="271"/>
        <v>-</v>
      </c>
      <c r="AN303" s="375" t="str">
        <f t="shared" si="228"/>
        <v>-</v>
      </c>
      <c r="AO303" s="376" t="str">
        <f t="shared" si="229"/>
        <v>-</v>
      </c>
      <c r="AP303" s="394" t="s">
        <v>78</v>
      </c>
      <c r="AQ303" s="395" t="s">
        <v>78</v>
      </c>
      <c r="AR303" s="396" t="str">
        <f t="shared" si="264"/>
        <v>-</v>
      </c>
      <c r="AS303" s="397"/>
      <c r="AT303" s="401" t="s">
        <v>78</v>
      </c>
      <c r="AU303" s="396" t="str">
        <f t="shared" si="265"/>
        <v>-</v>
      </c>
      <c r="AV303" s="397"/>
      <c r="AW303" s="388" t="str">
        <f t="shared" si="230"/>
        <v>-</v>
      </c>
      <c r="AX303" s="389" t="str">
        <f t="shared" si="231"/>
        <v>-</v>
      </c>
      <c r="AY303" s="353" t="s">
        <v>78</v>
      </c>
      <c r="AZ303" s="403"/>
      <c r="BA303" s="404"/>
    </row>
    <row r="304" spans="1:53" ht="15" customHeight="1">
      <c r="A304" s="1" t="str">
        <f t="shared" si="263"/>
        <v>0_2023_</v>
      </c>
      <c r="B304" s="1" t="str">
        <f t="shared" si="267"/>
        <v>0_2023_NEO2</v>
      </c>
      <c r="D304" s="114">
        <f t="shared" si="243"/>
        <v>0</v>
      </c>
      <c r="E304" s="133" t="str">
        <f>_xll.ciqfunctions.udf.CIQ(D304,"IQ_Company_Name")</f>
        <v>(Invalid Identifier)</v>
      </c>
      <c r="F304" s="114">
        <f t="shared" si="248"/>
        <v>2023</v>
      </c>
      <c r="G304" s="114" t="str">
        <f t="shared" si="255"/>
        <v>2023-01-01</v>
      </c>
      <c r="H304" s="330" t="str">
        <f t="shared" si="256"/>
        <v>2023-12-31</v>
      </c>
      <c r="I304" s="114">
        <f t="shared" si="257"/>
        <v>12</v>
      </c>
      <c r="J304" s="407" t="str">
        <f t="shared" si="260"/>
        <v>CAD</v>
      </c>
      <c r="K304" s="439">
        <f t="shared" si="269"/>
        <v>1</v>
      </c>
      <c r="L304" s="445"/>
      <c r="M304" s="982"/>
      <c r="N304" s="443" t="str">
        <f t="shared" si="274"/>
        <v>NEO2</v>
      </c>
      <c r="O304" s="123" t="str">
        <f t="shared" si="274"/>
        <v>-</v>
      </c>
      <c r="P304" s="132" t="str">
        <f t="shared" si="274"/>
        <v>-</v>
      </c>
      <c r="Q304" s="219" t="s">
        <v>78</v>
      </c>
      <c r="R304" s="125" t="str">
        <f t="shared" si="252"/>
        <v>-</v>
      </c>
      <c r="S304" s="311" t="s">
        <v>78</v>
      </c>
      <c r="T304" s="126" t="str">
        <f t="shared" si="253"/>
        <v>-</v>
      </c>
      <c r="U304" s="221" t="s">
        <v>78</v>
      </c>
      <c r="V304" s="125" t="str">
        <f t="shared" si="245"/>
        <v>-</v>
      </c>
      <c r="W304" s="127" t="str">
        <f t="shared" si="219"/>
        <v>-</v>
      </c>
      <c r="X304" s="128"/>
      <c r="Y304" s="223" t="s">
        <v>78</v>
      </c>
      <c r="Z304" s="129" t="str">
        <f t="shared" si="220"/>
        <v>-</v>
      </c>
      <c r="AA304" s="124" t="str">
        <f t="shared" si="226"/>
        <v>-</v>
      </c>
      <c r="AB304" s="130" t="str">
        <f t="shared" si="227"/>
        <v>-</v>
      </c>
      <c r="AC304" s="221" t="s">
        <v>78</v>
      </c>
      <c r="AD304" s="225" t="s">
        <v>78</v>
      </c>
      <c r="AE304" s="225" t="s">
        <v>78</v>
      </c>
      <c r="AF304" s="225" t="s">
        <v>78</v>
      </c>
      <c r="AG304" s="225" t="s">
        <v>78</v>
      </c>
      <c r="AH304" s="125" t="str">
        <f t="shared" si="270"/>
        <v>-</v>
      </c>
      <c r="AI304" s="127" t="str">
        <f t="shared" si="221"/>
        <v>-</v>
      </c>
      <c r="AJ304" s="128"/>
      <c r="AK304" s="223" t="s">
        <v>78</v>
      </c>
      <c r="AL304" s="131" t="str">
        <f t="shared" si="222"/>
        <v>-</v>
      </c>
      <c r="AM304" s="368" t="str">
        <f t="shared" si="271"/>
        <v>-</v>
      </c>
      <c r="AN304" s="375" t="str">
        <f t="shared" si="228"/>
        <v>-</v>
      </c>
      <c r="AO304" s="376" t="str">
        <f t="shared" si="229"/>
        <v>-</v>
      </c>
      <c r="AP304" s="394" t="s">
        <v>78</v>
      </c>
      <c r="AQ304" s="395" t="s">
        <v>78</v>
      </c>
      <c r="AR304" s="396" t="str">
        <f t="shared" si="264"/>
        <v>-</v>
      </c>
      <c r="AS304" s="397"/>
      <c r="AT304" s="401" t="s">
        <v>78</v>
      </c>
      <c r="AU304" s="396" t="str">
        <f t="shared" si="265"/>
        <v>-</v>
      </c>
      <c r="AV304" s="397"/>
      <c r="AW304" s="388" t="str">
        <f t="shared" si="230"/>
        <v>-</v>
      </c>
      <c r="AX304" s="389" t="str">
        <f t="shared" si="231"/>
        <v>-</v>
      </c>
      <c r="AY304" s="353" t="s">
        <v>78</v>
      </c>
      <c r="AZ304" s="403"/>
      <c r="BA304" s="404"/>
    </row>
    <row r="305" spans="1:53" ht="15" customHeight="1">
      <c r="A305" s="1" t="str">
        <f t="shared" si="263"/>
        <v>0_2025_</v>
      </c>
      <c r="B305" s="1" t="str">
        <f t="shared" si="267"/>
        <v>0_2025_NEO3</v>
      </c>
      <c r="D305" s="114">
        <f t="shared" si="243"/>
        <v>0</v>
      </c>
      <c r="E305" s="133" t="str">
        <f>_xll.ciqfunctions.udf.CIQ(D305,"IQ_Company_Name")</f>
        <v>(Invalid Identifier)</v>
      </c>
      <c r="F305" s="114">
        <f t="shared" si="248"/>
        <v>2025</v>
      </c>
      <c r="G305" s="114" t="str">
        <f t="shared" si="255"/>
        <v>2025-01-01</v>
      </c>
      <c r="H305" s="330" t="str">
        <f t="shared" si="256"/>
        <v>2025-12-31</v>
      </c>
      <c r="I305" s="114">
        <f t="shared" si="257"/>
        <v>12</v>
      </c>
      <c r="J305" s="407" t="str">
        <f t="shared" si="260"/>
        <v>CAD</v>
      </c>
      <c r="K305" s="439">
        <f t="shared" si="269"/>
        <v>1</v>
      </c>
      <c r="L305" s="445"/>
      <c r="M305" s="982"/>
      <c r="N305" s="442" t="s">
        <v>109</v>
      </c>
      <c r="O305" s="217" t="s">
        <v>78</v>
      </c>
      <c r="P305" s="218" t="s">
        <v>78</v>
      </c>
      <c r="Q305" s="219" t="s">
        <v>78</v>
      </c>
      <c r="R305" s="125" t="str">
        <f t="shared" ref="R305:R336" si="275">IFERROR(Q305*(12/$I305)*$K305,"-")</f>
        <v>-</v>
      </c>
      <c r="S305" s="311" t="s">
        <v>78</v>
      </c>
      <c r="T305" s="126" t="str">
        <f t="shared" si="253"/>
        <v>-</v>
      </c>
      <c r="U305" s="221" t="s">
        <v>78</v>
      </c>
      <c r="V305" s="125" t="str">
        <f t="shared" si="245"/>
        <v>-</v>
      </c>
      <c r="W305" s="127" t="str">
        <f t="shared" si="219"/>
        <v>-</v>
      </c>
      <c r="X305" s="128" t="str">
        <f>IFERROR(AVERAGE(W305:W307),"N/A")</f>
        <v>N/A</v>
      </c>
      <c r="Y305" s="223" t="s">
        <v>78</v>
      </c>
      <c r="Z305" s="129" t="str">
        <f t="shared" si="220"/>
        <v>-</v>
      </c>
      <c r="AA305" s="124" t="str">
        <f t="shared" si="226"/>
        <v>-</v>
      </c>
      <c r="AB305" s="130" t="str">
        <f t="shared" si="227"/>
        <v>-</v>
      </c>
      <c r="AC305" s="221" t="s">
        <v>78</v>
      </c>
      <c r="AD305" s="225" t="s">
        <v>78</v>
      </c>
      <c r="AE305" s="225" t="s">
        <v>78</v>
      </c>
      <c r="AF305" s="225" t="s">
        <v>78</v>
      </c>
      <c r="AG305" s="225" t="s">
        <v>78</v>
      </c>
      <c r="AH305" s="125" t="str">
        <f t="shared" si="270"/>
        <v>-</v>
      </c>
      <c r="AI305" s="127" t="str">
        <f t="shared" si="221"/>
        <v>-</v>
      </c>
      <c r="AJ305" s="128" t="str">
        <f>IFERROR(AVERAGE(AI305:AI307),"N/A")</f>
        <v>N/A</v>
      </c>
      <c r="AK305" s="223" t="s">
        <v>78</v>
      </c>
      <c r="AL305" s="131" t="str">
        <f t="shared" si="222"/>
        <v>-</v>
      </c>
      <c r="AM305" s="368" t="str">
        <f t="shared" si="271"/>
        <v>-</v>
      </c>
      <c r="AN305" s="375" t="str">
        <f t="shared" si="228"/>
        <v>-</v>
      </c>
      <c r="AO305" s="376" t="str">
        <f t="shared" si="229"/>
        <v>-</v>
      </c>
      <c r="AP305" s="394" t="s">
        <v>78</v>
      </c>
      <c r="AQ305" s="395" t="s">
        <v>78</v>
      </c>
      <c r="AR305" s="396" t="str">
        <f t="shared" si="264"/>
        <v>-</v>
      </c>
      <c r="AS305" s="397" t="str">
        <f>IFERROR(AVERAGE(AR305:AR307),"N/A")</f>
        <v>N/A</v>
      </c>
      <c r="AT305" s="401" t="s">
        <v>78</v>
      </c>
      <c r="AU305" s="396" t="str">
        <f t="shared" si="265"/>
        <v>-</v>
      </c>
      <c r="AV305" s="397" t="str">
        <f>IFERROR(AVERAGE(AU305:AU307),"N/A")</f>
        <v>N/A</v>
      </c>
      <c r="AW305" s="388" t="str">
        <f t="shared" si="230"/>
        <v>-</v>
      </c>
      <c r="AX305" s="389" t="str">
        <f t="shared" si="231"/>
        <v>-</v>
      </c>
      <c r="AY305" s="353" t="s">
        <v>78</v>
      </c>
      <c r="AZ305" s="403"/>
      <c r="BA305" s="404"/>
    </row>
    <row r="306" spans="1:53" ht="15" customHeight="1">
      <c r="A306" s="1" t="str">
        <f t="shared" si="263"/>
        <v>0_2024_</v>
      </c>
      <c r="B306" s="1" t="str">
        <f t="shared" si="267"/>
        <v>0_2024_NEO3</v>
      </c>
      <c r="D306" s="114">
        <f t="shared" si="243"/>
        <v>0</v>
      </c>
      <c r="E306" s="133" t="str">
        <f>_xll.ciqfunctions.udf.CIQ(D306,"IQ_Company_Name")</f>
        <v>(Invalid Identifier)</v>
      </c>
      <c r="F306" s="114">
        <f t="shared" si="248"/>
        <v>2024</v>
      </c>
      <c r="G306" s="114" t="str">
        <f t="shared" si="255"/>
        <v>2024-01-01</v>
      </c>
      <c r="H306" s="330" t="str">
        <f t="shared" si="256"/>
        <v>2024-12-31</v>
      </c>
      <c r="I306" s="114">
        <f t="shared" si="257"/>
        <v>12</v>
      </c>
      <c r="J306" s="407" t="str">
        <f t="shared" si="260"/>
        <v>CAD</v>
      </c>
      <c r="K306" s="439">
        <f t="shared" si="269"/>
        <v>1</v>
      </c>
      <c r="L306" s="445"/>
      <c r="M306" s="982"/>
      <c r="N306" s="443" t="str">
        <f t="shared" ref="N306:P307" si="276">N305</f>
        <v>NEO3</v>
      </c>
      <c r="O306" s="123" t="str">
        <f t="shared" si="276"/>
        <v>-</v>
      </c>
      <c r="P306" s="132" t="str">
        <f t="shared" si="276"/>
        <v>-</v>
      </c>
      <c r="Q306" s="219" t="s">
        <v>78</v>
      </c>
      <c r="R306" s="125" t="str">
        <f t="shared" si="275"/>
        <v>-</v>
      </c>
      <c r="S306" s="311" t="s">
        <v>78</v>
      </c>
      <c r="T306" s="126" t="str">
        <f t="shared" si="253"/>
        <v>-</v>
      </c>
      <c r="U306" s="221" t="s">
        <v>78</v>
      </c>
      <c r="V306" s="125" t="str">
        <f t="shared" si="245"/>
        <v>-</v>
      </c>
      <c r="W306" s="127" t="str">
        <f t="shared" si="219"/>
        <v>-</v>
      </c>
      <c r="X306" s="128"/>
      <c r="Y306" s="223" t="s">
        <v>78</v>
      </c>
      <c r="Z306" s="129" t="str">
        <f t="shared" si="220"/>
        <v>-</v>
      </c>
      <c r="AA306" s="124" t="str">
        <f t="shared" si="226"/>
        <v>-</v>
      </c>
      <c r="AB306" s="130" t="str">
        <f t="shared" si="227"/>
        <v>-</v>
      </c>
      <c r="AC306" s="221" t="s">
        <v>78</v>
      </c>
      <c r="AD306" s="225" t="s">
        <v>78</v>
      </c>
      <c r="AE306" s="225" t="s">
        <v>78</v>
      </c>
      <c r="AF306" s="225" t="s">
        <v>78</v>
      </c>
      <c r="AG306" s="225" t="s">
        <v>78</v>
      </c>
      <c r="AH306" s="125" t="str">
        <f t="shared" si="270"/>
        <v>-</v>
      </c>
      <c r="AI306" s="127" t="str">
        <f t="shared" si="221"/>
        <v>-</v>
      </c>
      <c r="AJ306" s="128"/>
      <c r="AK306" s="223" t="s">
        <v>78</v>
      </c>
      <c r="AL306" s="131" t="str">
        <f t="shared" si="222"/>
        <v>-</v>
      </c>
      <c r="AM306" s="368" t="str">
        <f t="shared" si="271"/>
        <v>-</v>
      </c>
      <c r="AN306" s="375" t="str">
        <f t="shared" si="228"/>
        <v>-</v>
      </c>
      <c r="AO306" s="376" t="str">
        <f t="shared" si="229"/>
        <v>-</v>
      </c>
      <c r="AP306" s="394" t="s">
        <v>78</v>
      </c>
      <c r="AQ306" s="395" t="s">
        <v>78</v>
      </c>
      <c r="AR306" s="396" t="str">
        <f t="shared" si="264"/>
        <v>-</v>
      </c>
      <c r="AS306" s="397"/>
      <c r="AT306" s="401" t="s">
        <v>78</v>
      </c>
      <c r="AU306" s="396" t="str">
        <f t="shared" si="265"/>
        <v>-</v>
      </c>
      <c r="AV306" s="397"/>
      <c r="AW306" s="388" t="str">
        <f t="shared" si="230"/>
        <v>-</v>
      </c>
      <c r="AX306" s="389" t="str">
        <f t="shared" si="231"/>
        <v>-</v>
      </c>
      <c r="AY306" s="353" t="s">
        <v>78</v>
      </c>
      <c r="AZ306" s="403"/>
      <c r="BA306" s="404"/>
    </row>
    <row r="307" spans="1:53" ht="15" customHeight="1">
      <c r="A307" s="1" t="str">
        <f t="shared" si="263"/>
        <v>0_2023_</v>
      </c>
      <c r="B307" s="1" t="str">
        <f t="shared" si="267"/>
        <v>0_2023_NEO3</v>
      </c>
      <c r="D307" s="203">
        <f t="shared" si="243"/>
        <v>0</v>
      </c>
      <c r="E307" s="205" t="str">
        <f>_xll.ciqfunctions.udf.CIQ(D307,"IQ_Company_Name")</f>
        <v>(Invalid Identifier)</v>
      </c>
      <c r="F307" s="204">
        <f t="shared" si="248"/>
        <v>2023</v>
      </c>
      <c r="G307" s="204" t="str">
        <f t="shared" si="255"/>
        <v>2023-01-01</v>
      </c>
      <c r="H307" s="331" t="str">
        <f t="shared" si="256"/>
        <v>2023-12-31</v>
      </c>
      <c r="I307" s="204">
        <f t="shared" si="257"/>
        <v>12</v>
      </c>
      <c r="J307" s="408" t="str">
        <f t="shared" si="260"/>
        <v>CAD</v>
      </c>
      <c r="K307" s="441">
        <f t="shared" si="269"/>
        <v>1</v>
      </c>
      <c r="L307" s="447"/>
      <c r="M307" s="983"/>
      <c r="N307" s="444" t="str">
        <f t="shared" si="276"/>
        <v>NEO3</v>
      </c>
      <c r="O307" s="206" t="str">
        <f t="shared" si="276"/>
        <v>-</v>
      </c>
      <c r="P307" s="207" t="str">
        <f t="shared" si="276"/>
        <v>-</v>
      </c>
      <c r="Q307" s="220" t="s">
        <v>78</v>
      </c>
      <c r="R307" s="209" t="str">
        <f t="shared" si="275"/>
        <v>-</v>
      </c>
      <c r="S307" s="312" t="s">
        <v>78</v>
      </c>
      <c r="T307" s="329" t="str">
        <f t="shared" si="253"/>
        <v>-</v>
      </c>
      <c r="U307" s="222" t="s">
        <v>78</v>
      </c>
      <c r="V307" s="209" t="str">
        <f t="shared" si="245"/>
        <v>-</v>
      </c>
      <c r="W307" s="211" t="str">
        <f t="shared" si="219"/>
        <v>-</v>
      </c>
      <c r="X307" s="212"/>
      <c r="Y307" s="224" t="s">
        <v>78</v>
      </c>
      <c r="Z307" s="213" t="str">
        <f t="shared" si="220"/>
        <v>-</v>
      </c>
      <c r="AA307" s="208" t="str">
        <f t="shared" si="226"/>
        <v>-</v>
      </c>
      <c r="AB307" s="214" t="str">
        <f t="shared" si="227"/>
        <v>-</v>
      </c>
      <c r="AC307" s="222" t="s">
        <v>78</v>
      </c>
      <c r="AD307" s="226" t="s">
        <v>78</v>
      </c>
      <c r="AE307" s="226" t="s">
        <v>78</v>
      </c>
      <c r="AF307" s="226" t="s">
        <v>78</v>
      </c>
      <c r="AG307" s="226" t="s">
        <v>78</v>
      </c>
      <c r="AH307" s="418" t="str">
        <f t="shared" si="270"/>
        <v>-</v>
      </c>
      <c r="AI307" s="211" t="str">
        <f t="shared" si="221"/>
        <v>-</v>
      </c>
      <c r="AJ307" s="212"/>
      <c r="AK307" s="224" t="s">
        <v>78</v>
      </c>
      <c r="AL307" s="215" t="str">
        <f t="shared" si="222"/>
        <v>-</v>
      </c>
      <c r="AM307" s="369" t="str">
        <f t="shared" si="271"/>
        <v>-</v>
      </c>
      <c r="AN307" s="377" t="str">
        <f t="shared" si="228"/>
        <v>-</v>
      </c>
      <c r="AO307" s="378" t="str">
        <f t="shared" si="229"/>
        <v>-</v>
      </c>
      <c r="AP307" s="398" t="s">
        <v>78</v>
      </c>
      <c r="AQ307" s="399" t="s">
        <v>78</v>
      </c>
      <c r="AR307" s="396" t="str">
        <f t="shared" si="264"/>
        <v>-</v>
      </c>
      <c r="AS307" s="400"/>
      <c r="AT307" s="402" t="s">
        <v>78</v>
      </c>
      <c r="AU307" s="396" t="str">
        <f t="shared" si="265"/>
        <v>-</v>
      </c>
      <c r="AV307" s="400"/>
      <c r="AW307" s="390" t="str">
        <f t="shared" si="230"/>
        <v>-</v>
      </c>
      <c r="AX307" s="391" t="str">
        <f t="shared" si="231"/>
        <v>-</v>
      </c>
      <c r="AY307" s="354" t="s">
        <v>78</v>
      </c>
      <c r="AZ307" s="405"/>
      <c r="BA307" s="406"/>
    </row>
    <row r="308" spans="1:53" ht="15" customHeight="1">
      <c r="A308" s="1" t="str">
        <f t="shared" si="263"/>
        <v>0_2025_</v>
      </c>
      <c r="B308" s="1" t="str">
        <f t="shared" si="267"/>
        <v>0_2025_CEO</v>
      </c>
      <c r="D308" s="216">
        <f>E21</f>
        <v>0</v>
      </c>
      <c r="E308" s="133" t="str">
        <f>_xll.ciqfunctions.udf.CIQ(D308,"IQ_Company_Name")</f>
        <v>(Invalid Identifier)</v>
      </c>
      <c r="F308" s="328">
        <f>$G$9</f>
        <v>2025</v>
      </c>
      <c r="G308" s="330" t="str">
        <f t="shared" si="255"/>
        <v>2025-01-01</v>
      </c>
      <c r="H308" s="330" t="str">
        <f t="shared" si="256"/>
        <v>2025-12-31</v>
      </c>
      <c r="I308" s="114">
        <f t="shared" si="257"/>
        <v>12</v>
      </c>
      <c r="J308" s="328" t="str">
        <f>$H$5</f>
        <v>CAD</v>
      </c>
      <c r="K308" s="439">
        <f t="shared" si="269"/>
        <v>1</v>
      </c>
      <c r="L308" s="445"/>
      <c r="M308" s="982"/>
      <c r="N308" s="442" t="s">
        <v>79</v>
      </c>
      <c r="O308" s="217" t="s">
        <v>78</v>
      </c>
      <c r="P308" s="218" t="s">
        <v>78</v>
      </c>
      <c r="Q308" s="219" t="s">
        <v>78</v>
      </c>
      <c r="R308" s="125" t="str">
        <f t="shared" si="275"/>
        <v>-</v>
      </c>
      <c r="S308" s="311" t="s">
        <v>78</v>
      </c>
      <c r="T308" s="126" t="str">
        <f t="shared" si="253"/>
        <v>-</v>
      </c>
      <c r="U308" s="221" t="s">
        <v>78</v>
      </c>
      <c r="V308" s="125" t="str">
        <f t="shared" si="245"/>
        <v>-</v>
      </c>
      <c r="W308" s="127" t="str">
        <f t="shared" si="219"/>
        <v>-</v>
      </c>
      <c r="X308" s="128" t="str">
        <f>IFERROR(AVERAGE(W308:W310),"N/A")</f>
        <v>N/A</v>
      </c>
      <c r="Y308" s="223" t="s">
        <v>78</v>
      </c>
      <c r="Z308" s="129" t="str">
        <f t="shared" si="220"/>
        <v>-</v>
      </c>
      <c r="AA308" s="124" t="str">
        <f t="shared" si="226"/>
        <v>-</v>
      </c>
      <c r="AB308" s="130" t="str">
        <f t="shared" si="227"/>
        <v>-</v>
      </c>
      <c r="AC308" s="221" t="s">
        <v>78</v>
      </c>
      <c r="AD308" s="225" t="s">
        <v>78</v>
      </c>
      <c r="AE308" s="225" t="s">
        <v>78</v>
      </c>
      <c r="AF308" s="225" t="s">
        <v>78</v>
      </c>
      <c r="AG308" s="225" t="s">
        <v>78</v>
      </c>
      <c r="AH308" s="125" t="str">
        <f t="shared" si="270"/>
        <v>-</v>
      </c>
      <c r="AI308" s="127" t="str">
        <f t="shared" si="221"/>
        <v>-</v>
      </c>
      <c r="AJ308" s="128" t="str">
        <f>IFERROR(AVERAGE(AI308:AI310),"N/A")</f>
        <v>N/A</v>
      </c>
      <c r="AK308" s="223" t="s">
        <v>78</v>
      </c>
      <c r="AL308" s="131" t="str">
        <f t="shared" si="222"/>
        <v>-</v>
      </c>
      <c r="AM308" s="368" t="str">
        <f t="shared" si="271"/>
        <v>-</v>
      </c>
      <c r="AN308" s="375" t="str">
        <f t="shared" si="228"/>
        <v>-</v>
      </c>
      <c r="AO308" s="376" t="str">
        <f t="shared" si="229"/>
        <v>-</v>
      </c>
      <c r="AP308" s="394" t="s">
        <v>78</v>
      </c>
      <c r="AQ308" s="395" t="s">
        <v>78</v>
      </c>
      <c r="AR308" s="396" t="str">
        <f t="shared" si="264"/>
        <v>-</v>
      </c>
      <c r="AS308" s="409" t="str">
        <f>IFERROR(AVERAGE(AR308:AR310),"N/A")</f>
        <v>N/A</v>
      </c>
      <c r="AT308" s="401" t="s">
        <v>78</v>
      </c>
      <c r="AU308" s="396" t="str">
        <f t="shared" si="265"/>
        <v>-</v>
      </c>
      <c r="AV308" s="409" t="str">
        <f>IFERROR(AVERAGE(AU308:AU310),"N/A")</f>
        <v>N/A</v>
      </c>
      <c r="AW308" s="388" t="str">
        <f t="shared" si="230"/>
        <v>-</v>
      </c>
      <c r="AX308" s="389" t="str">
        <f t="shared" si="231"/>
        <v>-</v>
      </c>
      <c r="AY308" s="353" t="s">
        <v>78</v>
      </c>
      <c r="AZ308" s="403"/>
      <c r="BA308" s="404"/>
    </row>
    <row r="309" spans="1:53" ht="15" customHeight="1">
      <c r="A309" s="1" t="str">
        <f t="shared" si="263"/>
        <v>0_2024_</v>
      </c>
      <c r="B309" s="1" t="str">
        <f t="shared" si="267"/>
        <v>0_2024_CEO</v>
      </c>
      <c r="D309" s="114">
        <f>D308</f>
        <v>0</v>
      </c>
      <c r="E309" s="133" t="str">
        <f>_xll.ciqfunctions.udf.CIQ(D309,"IQ_Company_Name")</f>
        <v>(Invalid Identifier)</v>
      </c>
      <c r="F309" s="328">
        <f>$G$10</f>
        <v>2024</v>
      </c>
      <c r="G309" s="330" t="str">
        <f t="shared" ref="G309:G367" si="277">F309&amp;"-01-01"</f>
        <v>2024-01-01</v>
      </c>
      <c r="H309" s="330" t="str">
        <f t="shared" si="256"/>
        <v>2024-12-31</v>
      </c>
      <c r="I309" s="114">
        <f t="shared" si="257"/>
        <v>12</v>
      </c>
      <c r="J309" s="407" t="str">
        <f t="shared" ref="J309:J367" si="278">J308</f>
        <v>CAD</v>
      </c>
      <c r="K309" s="439">
        <f t="shared" si="269"/>
        <v>1</v>
      </c>
      <c r="L309" s="445"/>
      <c r="M309" s="982"/>
      <c r="N309" s="443" t="str">
        <f t="shared" ref="N309:P310" si="279">N308</f>
        <v>CEO</v>
      </c>
      <c r="O309" s="123" t="str">
        <f t="shared" si="279"/>
        <v>-</v>
      </c>
      <c r="P309" s="132" t="str">
        <f t="shared" si="279"/>
        <v>-</v>
      </c>
      <c r="Q309" s="219" t="s">
        <v>78</v>
      </c>
      <c r="R309" s="125" t="str">
        <f t="shared" si="275"/>
        <v>-</v>
      </c>
      <c r="S309" s="311" t="s">
        <v>78</v>
      </c>
      <c r="T309" s="126" t="str">
        <f t="shared" si="253"/>
        <v>-</v>
      </c>
      <c r="U309" s="221" t="s">
        <v>78</v>
      </c>
      <c r="V309" s="125" t="str">
        <f t="shared" si="245"/>
        <v>-</v>
      </c>
      <c r="W309" s="127" t="str">
        <f t="shared" ref="W309:W372" si="280">IFERROR($V309/$R309,"-")</f>
        <v>-</v>
      </c>
      <c r="X309" s="128"/>
      <c r="Y309" s="223" t="s">
        <v>78</v>
      </c>
      <c r="Z309" s="129" t="str">
        <f t="shared" ref="Z309:Z372" si="281">IFERROR(IF(ISNUMBER($Y309)=TRUE, $Y309*$R309,$X309*$R309),"-")</f>
        <v>-</v>
      </c>
      <c r="AA309" s="124" t="str">
        <f t="shared" si="226"/>
        <v>-</v>
      </c>
      <c r="AB309" s="130" t="str">
        <f t="shared" si="227"/>
        <v>-</v>
      </c>
      <c r="AC309" s="221" t="s">
        <v>78</v>
      </c>
      <c r="AD309" s="225" t="s">
        <v>78</v>
      </c>
      <c r="AE309" s="225" t="s">
        <v>78</v>
      </c>
      <c r="AF309" s="225" t="s">
        <v>78</v>
      </c>
      <c r="AG309" s="225" t="s">
        <v>78</v>
      </c>
      <c r="AH309" s="125" t="str">
        <f t="shared" si="270"/>
        <v>-</v>
      </c>
      <c r="AI309" s="127" t="str">
        <f t="shared" ref="AI309:AI372" si="282">IFERROR($AM309/$R309,"-")</f>
        <v>-</v>
      </c>
      <c r="AJ309" s="128"/>
      <c r="AK309" s="223" t="s">
        <v>78</v>
      </c>
      <c r="AL309" s="131" t="str">
        <f t="shared" ref="AL309:AL372" si="283">IFERROR(IF(ISNUMBER($AK309)=TRUE, $AK309*$R309, $AJ309*$R309), "-")</f>
        <v>-</v>
      </c>
      <c r="AM309" s="368" t="str">
        <f t="shared" si="271"/>
        <v>-</v>
      </c>
      <c r="AN309" s="375" t="str">
        <f t="shared" si="228"/>
        <v>-</v>
      </c>
      <c r="AO309" s="376" t="str">
        <f t="shared" si="229"/>
        <v>-</v>
      </c>
      <c r="AP309" s="394" t="s">
        <v>78</v>
      </c>
      <c r="AQ309" s="395" t="s">
        <v>78</v>
      </c>
      <c r="AR309" s="396" t="str">
        <f t="shared" si="264"/>
        <v>-</v>
      </c>
      <c r="AS309" s="397"/>
      <c r="AT309" s="401" t="s">
        <v>78</v>
      </c>
      <c r="AU309" s="396" t="str">
        <f t="shared" si="265"/>
        <v>-</v>
      </c>
      <c r="AV309" s="397"/>
      <c r="AW309" s="388" t="str">
        <f t="shared" si="230"/>
        <v>-</v>
      </c>
      <c r="AX309" s="389" t="str">
        <f t="shared" si="231"/>
        <v>-</v>
      </c>
      <c r="AY309" s="353" t="s">
        <v>78</v>
      </c>
      <c r="AZ309" s="403"/>
      <c r="BA309" s="404"/>
    </row>
    <row r="310" spans="1:53" ht="15" customHeight="1">
      <c r="A310" s="1" t="str">
        <f t="shared" si="263"/>
        <v>0_2023_</v>
      </c>
      <c r="B310" s="1" t="str">
        <f t="shared" si="267"/>
        <v>0_2023_CEO</v>
      </c>
      <c r="D310" s="114">
        <f t="shared" si="243"/>
        <v>0</v>
      </c>
      <c r="E310" s="133" t="str">
        <f>_xll.ciqfunctions.udf.CIQ(D310,"IQ_Company_Name")</f>
        <v>(Invalid Identifier)</v>
      </c>
      <c r="F310" s="328">
        <f>$G$11</f>
        <v>2023</v>
      </c>
      <c r="G310" s="114" t="str">
        <f t="shared" si="277"/>
        <v>2023-01-01</v>
      </c>
      <c r="H310" s="330" t="str">
        <f t="shared" si="256"/>
        <v>2023-12-31</v>
      </c>
      <c r="I310" s="114">
        <f t="shared" ref="I310:I367" si="284">_xlfn.DAYS(H310,G310)/_xlfn.DAYS(F310&amp;"-12-31",F310&amp;"-01-01")*12</f>
        <v>12</v>
      </c>
      <c r="J310" s="407" t="str">
        <f t="shared" si="278"/>
        <v>CAD</v>
      </c>
      <c r="K310" s="439">
        <f t="shared" si="269"/>
        <v>1</v>
      </c>
      <c r="L310" s="445"/>
      <c r="M310" s="982"/>
      <c r="N310" s="443" t="str">
        <f t="shared" si="279"/>
        <v>CEO</v>
      </c>
      <c r="O310" s="123" t="str">
        <f t="shared" si="279"/>
        <v>-</v>
      </c>
      <c r="P310" s="132" t="str">
        <f t="shared" si="279"/>
        <v>-</v>
      </c>
      <c r="Q310" s="219" t="s">
        <v>78</v>
      </c>
      <c r="R310" s="125" t="str">
        <f t="shared" si="275"/>
        <v>-</v>
      </c>
      <c r="S310" s="311" t="s">
        <v>78</v>
      </c>
      <c r="T310" s="126" t="str">
        <f t="shared" si="253"/>
        <v>-</v>
      </c>
      <c r="U310" s="221" t="s">
        <v>78</v>
      </c>
      <c r="V310" s="125" t="str">
        <f t="shared" si="245"/>
        <v>-</v>
      </c>
      <c r="W310" s="127" t="str">
        <f t="shared" si="280"/>
        <v>-</v>
      </c>
      <c r="X310" s="128"/>
      <c r="Y310" s="223" t="s">
        <v>78</v>
      </c>
      <c r="Z310" s="129" t="str">
        <f t="shared" si="281"/>
        <v>-</v>
      </c>
      <c r="AA310" s="124" t="str">
        <f t="shared" ref="AA310:AA373" si="285">IFERROR(IF(SUM(R310,V310)=0,"-",SUM(R310,V310)),"-")</f>
        <v>-</v>
      </c>
      <c r="AB310" s="130" t="str">
        <f t="shared" ref="AB310:AB373" si="286">IFERROR(IF(SUM(R310,Z310)=0,"-",SUM(R310,Z310)),"-")</f>
        <v>-</v>
      </c>
      <c r="AC310" s="221" t="s">
        <v>78</v>
      </c>
      <c r="AD310" s="225" t="s">
        <v>78</v>
      </c>
      <c r="AE310" s="225" t="s">
        <v>78</v>
      </c>
      <c r="AF310" s="225" t="s">
        <v>78</v>
      </c>
      <c r="AG310" s="225" t="s">
        <v>78</v>
      </c>
      <c r="AH310" s="125" t="str">
        <f t="shared" si="270"/>
        <v>-</v>
      </c>
      <c r="AI310" s="127" t="str">
        <f t="shared" si="282"/>
        <v>-</v>
      </c>
      <c r="AJ310" s="128"/>
      <c r="AK310" s="223" t="s">
        <v>78</v>
      </c>
      <c r="AL310" s="131" t="str">
        <f t="shared" si="283"/>
        <v>-</v>
      </c>
      <c r="AM310" s="368" t="str">
        <f t="shared" si="271"/>
        <v>-</v>
      </c>
      <c r="AN310" s="375" t="str">
        <f t="shared" ref="AN310:AN373" si="287">IFERROR(IF(SUM(AA310,AM310)=0,"-",SUM(AA310,AM310)),"-")</f>
        <v>-</v>
      </c>
      <c r="AO310" s="376" t="str">
        <f t="shared" ref="AO310:AO373" si="288">IFERROR(IF(SUM($AB310,$AL310)=0,"-",SUM($AB310,$AL310)),"-")</f>
        <v>-</v>
      </c>
      <c r="AP310" s="394" t="s">
        <v>78</v>
      </c>
      <c r="AQ310" s="395" t="s">
        <v>78</v>
      </c>
      <c r="AR310" s="396" t="str">
        <f t="shared" si="264"/>
        <v>-</v>
      </c>
      <c r="AS310" s="397"/>
      <c r="AT310" s="401" t="s">
        <v>78</v>
      </c>
      <c r="AU310" s="396" t="str">
        <f t="shared" si="265"/>
        <v>-</v>
      </c>
      <c r="AV310" s="397"/>
      <c r="AW310" s="388" t="str">
        <f t="shared" ref="AW310:AW373" si="289">IFERROR(IF(SUM(AN310,AR310,AU310)=0,"-",SUM(AN310,AR310,AU310)),"-")</f>
        <v>-</v>
      </c>
      <c r="AX310" s="389" t="str">
        <f t="shared" ref="AX310:AX373" si="290">IFERROR(IF(SUM(AO310,AR310,AU310)=0,"-",SUM(AO310,AR310,AU310)),"-")</f>
        <v>-</v>
      </c>
      <c r="AY310" s="353" t="s">
        <v>78</v>
      </c>
      <c r="AZ310" s="403"/>
      <c r="BA310" s="404"/>
    </row>
    <row r="311" spans="1:53" ht="15" customHeight="1">
      <c r="A311" s="1" t="str">
        <f t="shared" si="263"/>
        <v>0_2025_</v>
      </c>
      <c r="B311" s="1" t="str">
        <f t="shared" si="267"/>
        <v>0_2025_CFO</v>
      </c>
      <c r="D311" s="114">
        <f t="shared" si="243"/>
        <v>0</v>
      </c>
      <c r="E311" s="133" t="str">
        <f>_xll.ciqfunctions.udf.CIQ(D311,"IQ_Company_Name")</f>
        <v>(Invalid Identifier)</v>
      </c>
      <c r="F311" s="114">
        <f t="shared" si="248"/>
        <v>2025</v>
      </c>
      <c r="G311" s="114" t="str">
        <f t="shared" si="277"/>
        <v>2025-01-01</v>
      </c>
      <c r="H311" s="330" t="str">
        <f t="shared" si="256"/>
        <v>2025-12-31</v>
      </c>
      <c r="I311" s="114">
        <f t="shared" si="284"/>
        <v>12</v>
      </c>
      <c r="J311" s="407" t="str">
        <f t="shared" si="278"/>
        <v>CAD</v>
      </c>
      <c r="K311" s="439">
        <f t="shared" si="269"/>
        <v>1</v>
      </c>
      <c r="L311" s="445"/>
      <c r="M311" s="982"/>
      <c r="N311" s="442" t="s">
        <v>106</v>
      </c>
      <c r="O311" s="217" t="s">
        <v>78</v>
      </c>
      <c r="P311" s="218" t="s">
        <v>78</v>
      </c>
      <c r="Q311" s="219" t="s">
        <v>78</v>
      </c>
      <c r="R311" s="125" t="str">
        <f t="shared" si="275"/>
        <v>-</v>
      </c>
      <c r="S311" s="311" t="s">
        <v>78</v>
      </c>
      <c r="T311" s="126" t="str">
        <f t="shared" si="253"/>
        <v>-</v>
      </c>
      <c r="U311" s="221" t="s">
        <v>78</v>
      </c>
      <c r="V311" s="125" t="str">
        <f t="shared" si="245"/>
        <v>-</v>
      </c>
      <c r="W311" s="127" t="str">
        <f t="shared" si="280"/>
        <v>-</v>
      </c>
      <c r="X311" s="128" t="str">
        <f>IFERROR(AVERAGE(W311:W313),"N/A")</f>
        <v>N/A</v>
      </c>
      <c r="Y311" s="223" t="s">
        <v>78</v>
      </c>
      <c r="Z311" s="129" t="str">
        <f t="shared" si="281"/>
        <v>-</v>
      </c>
      <c r="AA311" s="124" t="str">
        <f t="shared" si="285"/>
        <v>-</v>
      </c>
      <c r="AB311" s="130" t="str">
        <f t="shared" si="286"/>
        <v>-</v>
      </c>
      <c r="AC311" s="221" t="s">
        <v>78</v>
      </c>
      <c r="AD311" s="225" t="s">
        <v>78</v>
      </c>
      <c r="AE311" s="225" t="s">
        <v>78</v>
      </c>
      <c r="AF311" s="225" t="s">
        <v>78</v>
      </c>
      <c r="AG311" s="225" t="s">
        <v>78</v>
      </c>
      <c r="AH311" s="125" t="str">
        <f t="shared" si="270"/>
        <v>-</v>
      </c>
      <c r="AI311" s="127" t="str">
        <f t="shared" si="282"/>
        <v>-</v>
      </c>
      <c r="AJ311" s="128" t="str">
        <f>IFERROR(AVERAGE(AI311:AI313),"N/A")</f>
        <v>N/A</v>
      </c>
      <c r="AK311" s="223" t="s">
        <v>78</v>
      </c>
      <c r="AL311" s="131" t="str">
        <f t="shared" si="283"/>
        <v>-</v>
      </c>
      <c r="AM311" s="368" t="str">
        <f t="shared" si="271"/>
        <v>-</v>
      </c>
      <c r="AN311" s="375" t="str">
        <f t="shared" si="287"/>
        <v>-</v>
      </c>
      <c r="AO311" s="376" t="str">
        <f t="shared" si="288"/>
        <v>-</v>
      </c>
      <c r="AP311" s="394" t="s">
        <v>78</v>
      </c>
      <c r="AQ311" s="395" t="s">
        <v>78</v>
      </c>
      <c r="AR311" s="396" t="str">
        <f t="shared" si="264"/>
        <v>-</v>
      </c>
      <c r="AS311" s="397" t="str">
        <f>IFERROR(AVERAGE(AR311:AR313),"N/A")</f>
        <v>N/A</v>
      </c>
      <c r="AT311" s="401" t="s">
        <v>78</v>
      </c>
      <c r="AU311" s="396" t="str">
        <f t="shared" si="265"/>
        <v>-</v>
      </c>
      <c r="AV311" s="397" t="str">
        <f>IFERROR(AVERAGE(AU311:AU313),"N/A")</f>
        <v>N/A</v>
      </c>
      <c r="AW311" s="388" t="str">
        <f t="shared" si="289"/>
        <v>-</v>
      </c>
      <c r="AX311" s="389" t="str">
        <f t="shared" si="290"/>
        <v>-</v>
      </c>
      <c r="AY311" s="353" t="s">
        <v>78</v>
      </c>
      <c r="AZ311" s="403"/>
      <c r="BA311" s="404"/>
    </row>
    <row r="312" spans="1:53" ht="15" customHeight="1">
      <c r="A312" s="1" t="str">
        <f t="shared" si="263"/>
        <v>0_2024_</v>
      </c>
      <c r="B312" s="1" t="str">
        <f t="shared" si="267"/>
        <v>0_2024_CFO</v>
      </c>
      <c r="D312" s="114">
        <f t="shared" si="243"/>
        <v>0</v>
      </c>
      <c r="E312" s="133" t="str">
        <f>_xll.ciqfunctions.udf.CIQ(D312,"IQ_Company_Name")</f>
        <v>(Invalid Identifier)</v>
      </c>
      <c r="F312" s="114">
        <f t="shared" si="248"/>
        <v>2024</v>
      </c>
      <c r="G312" s="114" t="str">
        <f t="shared" si="277"/>
        <v>2024-01-01</v>
      </c>
      <c r="H312" s="330" t="str">
        <f t="shared" si="256"/>
        <v>2024-12-31</v>
      </c>
      <c r="I312" s="114">
        <f t="shared" si="284"/>
        <v>12</v>
      </c>
      <c r="J312" s="407" t="str">
        <f t="shared" si="278"/>
        <v>CAD</v>
      </c>
      <c r="K312" s="439">
        <f t="shared" si="269"/>
        <v>1</v>
      </c>
      <c r="L312" s="445"/>
      <c r="M312" s="982"/>
      <c r="N312" s="443" t="str">
        <f t="shared" ref="N312:P313" si="291">N311</f>
        <v>CFO</v>
      </c>
      <c r="O312" s="123" t="str">
        <f t="shared" si="291"/>
        <v>-</v>
      </c>
      <c r="P312" s="132" t="str">
        <f t="shared" si="291"/>
        <v>-</v>
      </c>
      <c r="Q312" s="219" t="s">
        <v>78</v>
      </c>
      <c r="R312" s="125" t="str">
        <f t="shared" si="275"/>
        <v>-</v>
      </c>
      <c r="S312" s="311" t="s">
        <v>78</v>
      </c>
      <c r="T312" s="126" t="str">
        <f t="shared" si="253"/>
        <v>-</v>
      </c>
      <c r="U312" s="221" t="s">
        <v>78</v>
      </c>
      <c r="V312" s="125" t="str">
        <f t="shared" si="245"/>
        <v>-</v>
      </c>
      <c r="W312" s="127" t="str">
        <f t="shared" si="280"/>
        <v>-</v>
      </c>
      <c r="X312" s="128"/>
      <c r="Y312" s="223" t="s">
        <v>78</v>
      </c>
      <c r="Z312" s="129" t="str">
        <f t="shared" si="281"/>
        <v>-</v>
      </c>
      <c r="AA312" s="124" t="str">
        <f t="shared" si="285"/>
        <v>-</v>
      </c>
      <c r="AB312" s="130" t="str">
        <f t="shared" si="286"/>
        <v>-</v>
      </c>
      <c r="AC312" s="221" t="s">
        <v>78</v>
      </c>
      <c r="AD312" s="225" t="s">
        <v>78</v>
      </c>
      <c r="AE312" s="225" t="s">
        <v>78</v>
      </c>
      <c r="AF312" s="225" t="s">
        <v>78</v>
      </c>
      <c r="AG312" s="225" t="s">
        <v>78</v>
      </c>
      <c r="AH312" s="125" t="str">
        <f t="shared" si="270"/>
        <v>-</v>
      </c>
      <c r="AI312" s="127" t="str">
        <f t="shared" si="282"/>
        <v>-</v>
      </c>
      <c r="AJ312" s="128"/>
      <c r="AK312" s="223" t="s">
        <v>78</v>
      </c>
      <c r="AL312" s="131" t="str">
        <f t="shared" si="283"/>
        <v>-</v>
      </c>
      <c r="AM312" s="368" t="str">
        <f t="shared" si="271"/>
        <v>-</v>
      </c>
      <c r="AN312" s="375" t="str">
        <f t="shared" si="287"/>
        <v>-</v>
      </c>
      <c r="AO312" s="376" t="str">
        <f t="shared" si="288"/>
        <v>-</v>
      </c>
      <c r="AP312" s="394" t="s">
        <v>78</v>
      </c>
      <c r="AQ312" s="395" t="s">
        <v>78</v>
      </c>
      <c r="AR312" s="396" t="str">
        <f t="shared" si="264"/>
        <v>-</v>
      </c>
      <c r="AS312" s="397"/>
      <c r="AT312" s="401" t="s">
        <v>78</v>
      </c>
      <c r="AU312" s="396" t="str">
        <f t="shared" si="265"/>
        <v>-</v>
      </c>
      <c r="AV312" s="397"/>
      <c r="AW312" s="388" t="str">
        <f t="shared" si="289"/>
        <v>-</v>
      </c>
      <c r="AX312" s="389" t="str">
        <f t="shared" si="290"/>
        <v>-</v>
      </c>
      <c r="AY312" s="353" t="s">
        <v>78</v>
      </c>
      <c r="AZ312" s="403"/>
      <c r="BA312" s="404"/>
    </row>
    <row r="313" spans="1:53" ht="15" customHeight="1">
      <c r="A313" s="1" t="str">
        <f t="shared" si="263"/>
        <v>0_2023_</v>
      </c>
      <c r="B313" s="1" t="str">
        <f t="shared" si="267"/>
        <v>0_2023_CFO</v>
      </c>
      <c r="D313" s="114">
        <f t="shared" si="243"/>
        <v>0</v>
      </c>
      <c r="E313" s="133" t="str">
        <f>_xll.ciqfunctions.udf.CIQ(D313,"IQ_Company_Name")</f>
        <v>(Invalid Identifier)</v>
      </c>
      <c r="F313" s="114">
        <f t="shared" si="248"/>
        <v>2023</v>
      </c>
      <c r="G313" s="114" t="str">
        <f t="shared" si="277"/>
        <v>2023-01-01</v>
      </c>
      <c r="H313" s="330" t="str">
        <f t="shared" si="256"/>
        <v>2023-12-31</v>
      </c>
      <c r="I313" s="114">
        <f t="shared" si="284"/>
        <v>12</v>
      </c>
      <c r="J313" s="407" t="str">
        <f t="shared" si="278"/>
        <v>CAD</v>
      </c>
      <c r="K313" s="439">
        <f t="shared" si="269"/>
        <v>1</v>
      </c>
      <c r="L313" s="445"/>
      <c r="M313" s="982"/>
      <c r="N313" s="443" t="str">
        <f t="shared" si="291"/>
        <v>CFO</v>
      </c>
      <c r="O313" s="123" t="str">
        <f t="shared" si="291"/>
        <v>-</v>
      </c>
      <c r="P313" s="132" t="str">
        <f t="shared" si="291"/>
        <v>-</v>
      </c>
      <c r="Q313" s="219" t="s">
        <v>78</v>
      </c>
      <c r="R313" s="125" t="str">
        <f t="shared" si="275"/>
        <v>-</v>
      </c>
      <c r="S313" s="311" t="s">
        <v>78</v>
      </c>
      <c r="T313" s="126" t="str">
        <f t="shared" si="253"/>
        <v>-</v>
      </c>
      <c r="U313" s="221" t="s">
        <v>78</v>
      </c>
      <c r="V313" s="125" t="str">
        <f t="shared" si="245"/>
        <v>-</v>
      </c>
      <c r="W313" s="127" t="str">
        <f t="shared" si="280"/>
        <v>-</v>
      </c>
      <c r="X313" s="128"/>
      <c r="Y313" s="223" t="s">
        <v>78</v>
      </c>
      <c r="Z313" s="129" t="str">
        <f t="shared" si="281"/>
        <v>-</v>
      </c>
      <c r="AA313" s="124" t="str">
        <f t="shared" si="285"/>
        <v>-</v>
      </c>
      <c r="AB313" s="130" t="str">
        <f t="shared" si="286"/>
        <v>-</v>
      </c>
      <c r="AC313" s="221" t="s">
        <v>78</v>
      </c>
      <c r="AD313" s="225" t="s">
        <v>78</v>
      </c>
      <c r="AE313" s="225" t="s">
        <v>78</v>
      </c>
      <c r="AF313" s="225" t="s">
        <v>78</v>
      </c>
      <c r="AG313" s="225" t="s">
        <v>78</v>
      </c>
      <c r="AH313" s="125" t="str">
        <f t="shared" si="270"/>
        <v>-</v>
      </c>
      <c r="AI313" s="127" t="str">
        <f t="shared" si="282"/>
        <v>-</v>
      </c>
      <c r="AJ313" s="128"/>
      <c r="AK313" s="223" t="s">
        <v>78</v>
      </c>
      <c r="AL313" s="131" t="str">
        <f t="shared" si="283"/>
        <v>-</v>
      </c>
      <c r="AM313" s="368" t="str">
        <f t="shared" si="271"/>
        <v>-</v>
      </c>
      <c r="AN313" s="375" t="str">
        <f t="shared" si="287"/>
        <v>-</v>
      </c>
      <c r="AO313" s="376" t="str">
        <f t="shared" si="288"/>
        <v>-</v>
      </c>
      <c r="AP313" s="394" t="s">
        <v>78</v>
      </c>
      <c r="AQ313" s="395" t="s">
        <v>78</v>
      </c>
      <c r="AR313" s="396" t="str">
        <f t="shared" si="264"/>
        <v>-</v>
      </c>
      <c r="AS313" s="397"/>
      <c r="AT313" s="401" t="s">
        <v>78</v>
      </c>
      <c r="AU313" s="396" t="str">
        <f t="shared" si="265"/>
        <v>-</v>
      </c>
      <c r="AV313" s="397"/>
      <c r="AW313" s="388" t="str">
        <f t="shared" si="289"/>
        <v>-</v>
      </c>
      <c r="AX313" s="389" t="str">
        <f t="shared" si="290"/>
        <v>-</v>
      </c>
      <c r="AY313" s="353" t="s">
        <v>78</v>
      </c>
      <c r="AZ313" s="403"/>
      <c r="BA313" s="404"/>
    </row>
    <row r="314" spans="1:53" ht="15" customHeight="1">
      <c r="A314" s="1" t="str">
        <f t="shared" si="263"/>
        <v>0_2025_</v>
      </c>
      <c r="B314" s="1" t="str">
        <f t="shared" si="267"/>
        <v>0_2025_NEO1</v>
      </c>
      <c r="D314" s="114">
        <f t="shared" si="243"/>
        <v>0</v>
      </c>
      <c r="E314" s="133" t="str">
        <f>_xll.ciqfunctions.udf.CIQ(D314,"IQ_Company_Name")</f>
        <v>(Invalid Identifier)</v>
      </c>
      <c r="F314" s="114">
        <f t="shared" si="248"/>
        <v>2025</v>
      </c>
      <c r="G314" s="330" t="str">
        <f t="shared" si="277"/>
        <v>2025-01-01</v>
      </c>
      <c r="H314" s="330" t="str">
        <f t="shared" si="256"/>
        <v>2025-12-31</v>
      </c>
      <c r="I314" s="114">
        <f t="shared" si="284"/>
        <v>12</v>
      </c>
      <c r="J314" s="407" t="str">
        <f t="shared" si="278"/>
        <v>CAD</v>
      </c>
      <c r="K314" s="439">
        <f t="shared" si="269"/>
        <v>1</v>
      </c>
      <c r="L314" s="445"/>
      <c r="M314" s="982"/>
      <c r="N314" s="442" t="s">
        <v>107</v>
      </c>
      <c r="O314" s="217" t="s">
        <v>78</v>
      </c>
      <c r="P314" s="218" t="s">
        <v>78</v>
      </c>
      <c r="Q314" s="219" t="s">
        <v>78</v>
      </c>
      <c r="R314" s="125" t="str">
        <f t="shared" si="275"/>
        <v>-</v>
      </c>
      <c r="S314" s="311" t="s">
        <v>78</v>
      </c>
      <c r="T314" s="126" t="str">
        <f t="shared" si="253"/>
        <v>-</v>
      </c>
      <c r="U314" s="221" t="s">
        <v>78</v>
      </c>
      <c r="V314" s="125" t="str">
        <f t="shared" si="245"/>
        <v>-</v>
      </c>
      <c r="W314" s="127" t="str">
        <f t="shared" si="280"/>
        <v>-</v>
      </c>
      <c r="X314" s="128" t="str">
        <f>IFERROR(AVERAGE(W314:W316),"N/A")</f>
        <v>N/A</v>
      </c>
      <c r="Y314" s="223" t="s">
        <v>78</v>
      </c>
      <c r="Z314" s="129" t="str">
        <f t="shared" si="281"/>
        <v>-</v>
      </c>
      <c r="AA314" s="124" t="str">
        <f t="shared" si="285"/>
        <v>-</v>
      </c>
      <c r="AB314" s="130" t="str">
        <f t="shared" si="286"/>
        <v>-</v>
      </c>
      <c r="AC314" s="221" t="s">
        <v>78</v>
      </c>
      <c r="AD314" s="225" t="s">
        <v>78</v>
      </c>
      <c r="AE314" s="225" t="s">
        <v>78</v>
      </c>
      <c r="AF314" s="225" t="s">
        <v>78</v>
      </c>
      <c r="AG314" s="225" t="s">
        <v>78</v>
      </c>
      <c r="AH314" s="125" t="str">
        <f t="shared" si="270"/>
        <v>-</v>
      </c>
      <c r="AI314" s="127" t="str">
        <f t="shared" si="282"/>
        <v>-</v>
      </c>
      <c r="AJ314" s="128" t="str">
        <f>IFERROR(AVERAGE(AI314:AI316),"N/A")</f>
        <v>N/A</v>
      </c>
      <c r="AK314" s="223" t="s">
        <v>78</v>
      </c>
      <c r="AL314" s="131" t="str">
        <f t="shared" si="283"/>
        <v>-</v>
      </c>
      <c r="AM314" s="368" t="str">
        <f t="shared" si="271"/>
        <v>-</v>
      </c>
      <c r="AN314" s="375" t="str">
        <f t="shared" si="287"/>
        <v>-</v>
      </c>
      <c r="AO314" s="376" t="str">
        <f t="shared" si="288"/>
        <v>-</v>
      </c>
      <c r="AP314" s="394" t="s">
        <v>78</v>
      </c>
      <c r="AQ314" s="395" t="s">
        <v>78</v>
      </c>
      <c r="AR314" s="396" t="str">
        <f t="shared" si="264"/>
        <v>-</v>
      </c>
      <c r="AS314" s="397" t="str">
        <f>IFERROR(AVERAGE(AR314:AR316),"N/A")</f>
        <v>N/A</v>
      </c>
      <c r="AT314" s="401" t="s">
        <v>78</v>
      </c>
      <c r="AU314" s="396" t="str">
        <f t="shared" si="265"/>
        <v>-</v>
      </c>
      <c r="AV314" s="397" t="str">
        <f>IFERROR(AVERAGE(AU314:AU316),"N/A")</f>
        <v>N/A</v>
      </c>
      <c r="AW314" s="388" t="str">
        <f t="shared" si="289"/>
        <v>-</v>
      </c>
      <c r="AX314" s="389" t="str">
        <f t="shared" si="290"/>
        <v>-</v>
      </c>
      <c r="AY314" s="353" t="s">
        <v>78</v>
      </c>
      <c r="AZ314" s="403"/>
      <c r="BA314" s="404"/>
    </row>
    <row r="315" spans="1:53" ht="15" customHeight="1">
      <c r="A315" s="1" t="str">
        <f t="shared" si="263"/>
        <v>0_2024_</v>
      </c>
      <c r="B315" s="1" t="str">
        <f t="shared" si="267"/>
        <v>0_2024_NEO1</v>
      </c>
      <c r="D315" s="114">
        <f t="shared" si="243"/>
        <v>0</v>
      </c>
      <c r="E315" s="133" t="str">
        <f>_xll.ciqfunctions.udf.CIQ(D315,"IQ_Company_Name")</f>
        <v>(Invalid Identifier)</v>
      </c>
      <c r="F315" s="114">
        <f t="shared" ref="F315:F378" si="292">F312</f>
        <v>2024</v>
      </c>
      <c r="G315" s="330" t="str">
        <f t="shared" si="277"/>
        <v>2024-01-01</v>
      </c>
      <c r="H315" s="330" t="str">
        <f t="shared" si="256"/>
        <v>2024-12-31</v>
      </c>
      <c r="I315" s="114">
        <f t="shared" si="284"/>
        <v>12</v>
      </c>
      <c r="J315" s="407" t="str">
        <f t="shared" si="278"/>
        <v>CAD</v>
      </c>
      <c r="K315" s="439">
        <f t="shared" si="269"/>
        <v>1</v>
      </c>
      <c r="L315" s="445"/>
      <c r="M315" s="982"/>
      <c r="N315" s="443" t="str">
        <f t="shared" ref="N315:P316" si="293">N314</f>
        <v>NEO1</v>
      </c>
      <c r="O315" s="123" t="str">
        <f t="shared" si="293"/>
        <v>-</v>
      </c>
      <c r="P315" s="132" t="str">
        <f t="shared" si="293"/>
        <v>-</v>
      </c>
      <c r="Q315" s="219" t="s">
        <v>78</v>
      </c>
      <c r="R315" s="125" t="str">
        <f t="shared" si="275"/>
        <v>-</v>
      </c>
      <c r="S315" s="311" t="s">
        <v>78</v>
      </c>
      <c r="T315" s="126" t="str">
        <f t="shared" si="253"/>
        <v>-</v>
      </c>
      <c r="U315" s="221" t="s">
        <v>78</v>
      </c>
      <c r="V315" s="125" t="str">
        <f t="shared" si="245"/>
        <v>-</v>
      </c>
      <c r="W315" s="127" t="str">
        <f t="shared" si="280"/>
        <v>-</v>
      </c>
      <c r="X315" s="128"/>
      <c r="Y315" s="223" t="s">
        <v>78</v>
      </c>
      <c r="Z315" s="129" t="str">
        <f t="shared" si="281"/>
        <v>-</v>
      </c>
      <c r="AA315" s="124" t="str">
        <f t="shared" si="285"/>
        <v>-</v>
      </c>
      <c r="AB315" s="130" t="str">
        <f t="shared" si="286"/>
        <v>-</v>
      </c>
      <c r="AC315" s="221" t="s">
        <v>78</v>
      </c>
      <c r="AD315" s="225" t="s">
        <v>78</v>
      </c>
      <c r="AE315" s="225" t="s">
        <v>78</v>
      </c>
      <c r="AF315" s="225" t="s">
        <v>78</v>
      </c>
      <c r="AG315" s="225" t="s">
        <v>78</v>
      </c>
      <c r="AH315" s="125" t="str">
        <f t="shared" si="270"/>
        <v>-</v>
      </c>
      <c r="AI315" s="127" t="str">
        <f t="shared" si="282"/>
        <v>-</v>
      </c>
      <c r="AJ315" s="128"/>
      <c r="AK315" s="223" t="s">
        <v>78</v>
      </c>
      <c r="AL315" s="131" t="str">
        <f t="shared" si="283"/>
        <v>-</v>
      </c>
      <c r="AM315" s="368" t="str">
        <f t="shared" si="271"/>
        <v>-</v>
      </c>
      <c r="AN315" s="375" t="str">
        <f t="shared" si="287"/>
        <v>-</v>
      </c>
      <c r="AO315" s="376" t="str">
        <f t="shared" si="288"/>
        <v>-</v>
      </c>
      <c r="AP315" s="394" t="s">
        <v>78</v>
      </c>
      <c r="AQ315" s="395" t="s">
        <v>78</v>
      </c>
      <c r="AR315" s="396" t="str">
        <f t="shared" si="264"/>
        <v>-</v>
      </c>
      <c r="AS315" s="397"/>
      <c r="AT315" s="401" t="s">
        <v>78</v>
      </c>
      <c r="AU315" s="396" t="str">
        <f t="shared" si="265"/>
        <v>-</v>
      </c>
      <c r="AV315" s="397"/>
      <c r="AW315" s="388" t="str">
        <f t="shared" si="289"/>
        <v>-</v>
      </c>
      <c r="AX315" s="389" t="str">
        <f t="shared" si="290"/>
        <v>-</v>
      </c>
      <c r="AY315" s="353" t="s">
        <v>78</v>
      </c>
      <c r="AZ315" s="403"/>
      <c r="BA315" s="404"/>
    </row>
    <row r="316" spans="1:53" ht="15" customHeight="1">
      <c r="A316" s="1" t="str">
        <f t="shared" si="263"/>
        <v>0_2023_</v>
      </c>
      <c r="B316" s="1" t="str">
        <f t="shared" si="267"/>
        <v>0_2023_NEO1</v>
      </c>
      <c r="D316" s="114">
        <f t="shared" si="243"/>
        <v>0</v>
      </c>
      <c r="E316" s="133" t="str">
        <f>_xll.ciqfunctions.udf.CIQ(D316,"IQ_Company_Name")</f>
        <v>(Invalid Identifier)</v>
      </c>
      <c r="F316" s="114">
        <f t="shared" si="292"/>
        <v>2023</v>
      </c>
      <c r="G316" s="114" t="str">
        <f t="shared" si="277"/>
        <v>2023-01-01</v>
      </c>
      <c r="H316" s="330" t="str">
        <f t="shared" si="256"/>
        <v>2023-12-31</v>
      </c>
      <c r="I316" s="114">
        <f t="shared" si="284"/>
        <v>12</v>
      </c>
      <c r="J316" s="407" t="str">
        <f t="shared" si="278"/>
        <v>CAD</v>
      </c>
      <c r="K316" s="439">
        <f t="shared" si="269"/>
        <v>1</v>
      </c>
      <c r="L316" s="445"/>
      <c r="M316" s="982"/>
      <c r="N316" s="443" t="str">
        <f t="shared" si="293"/>
        <v>NEO1</v>
      </c>
      <c r="O316" s="123" t="str">
        <f t="shared" si="293"/>
        <v>-</v>
      </c>
      <c r="P316" s="132" t="str">
        <f t="shared" si="293"/>
        <v>-</v>
      </c>
      <c r="Q316" s="219" t="s">
        <v>78</v>
      </c>
      <c r="R316" s="125" t="str">
        <f t="shared" si="275"/>
        <v>-</v>
      </c>
      <c r="S316" s="311" t="s">
        <v>78</v>
      </c>
      <c r="T316" s="126" t="str">
        <f t="shared" si="253"/>
        <v>-</v>
      </c>
      <c r="U316" s="221" t="s">
        <v>78</v>
      </c>
      <c r="V316" s="125" t="str">
        <f t="shared" si="245"/>
        <v>-</v>
      </c>
      <c r="W316" s="127" t="str">
        <f t="shared" si="280"/>
        <v>-</v>
      </c>
      <c r="X316" s="128"/>
      <c r="Y316" s="223" t="s">
        <v>78</v>
      </c>
      <c r="Z316" s="129" t="str">
        <f t="shared" si="281"/>
        <v>-</v>
      </c>
      <c r="AA316" s="124" t="str">
        <f t="shared" si="285"/>
        <v>-</v>
      </c>
      <c r="AB316" s="130" t="str">
        <f t="shared" si="286"/>
        <v>-</v>
      </c>
      <c r="AC316" s="221" t="s">
        <v>78</v>
      </c>
      <c r="AD316" s="225" t="s">
        <v>78</v>
      </c>
      <c r="AE316" s="225" t="s">
        <v>78</v>
      </c>
      <c r="AF316" s="225" t="s">
        <v>78</v>
      </c>
      <c r="AG316" s="225" t="s">
        <v>78</v>
      </c>
      <c r="AH316" s="125" t="str">
        <f t="shared" si="270"/>
        <v>-</v>
      </c>
      <c r="AI316" s="127" t="str">
        <f t="shared" si="282"/>
        <v>-</v>
      </c>
      <c r="AJ316" s="128"/>
      <c r="AK316" s="223" t="s">
        <v>78</v>
      </c>
      <c r="AL316" s="131" t="str">
        <f t="shared" si="283"/>
        <v>-</v>
      </c>
      <c r="AM316" s="368" t="str">
        <f t="shared" si="271"/>
        <v>-</v>
      </c>
      <c r="AN316" s="375" t="str">
        <f t="shared" si="287"/>
        <v>-</v>
      </c>
      <c r="AO316" s="376" t="str">
        <f t="shared" si="288"/>
        <v>-</v>
      </c>
      <c r="AP316" s="394" t="s">
        <v>78</v>
      </c>
      <c r="AQ316" s="395" t="s">
        <v>78</v>
      </c>
      <c r="AR316" s="396" t="str">
        <f t="shared" si="264"/>
        <v>-</v>
      </c>
      <c r="AS316" s="397"/>
      <c r="AT316" s="401" t="s">
        <v>78</v>
      </c>
      <c r="AU316" s="396" t="str">
        <f t="shared" si="265"/>
        <v>-</v>
      </c>
      <c r="AV316" s="397"/>
      <c r="AW316" s="388" t="str">
        <f t="shared" si="289"/>
        <v>-</v>
      </c>
      <c r="AX316" s="389" t="str">
        <f t="shared" si="290"/>
        <v>-</v>
      </c>
      <c r="AY316" s="353" t="s">
        <v>78</v>
      </c>
      <c r="AZ316" s="403"/>
      <c r="BA316" s="404"/>
    </row>
    <row r="317" spans="1:53" ht="15" customHeight="1">
      <c r="A317" s="1" t="str">
        <f t="shared" si="263"/>
        <v>0_2025_</v>
      </c>
      <c r="B317" s="1" t="str">
        <f t="shared" si="267"/>
        <v>0_2025_NEO2</v>
      </c>
      <c r="D317" s="114">
        <f t="shared" si="243"/>
        <v>0</v>
      </c>
      <c r="E317" s="133" t="str">
        <f>_xll.ciqfunctions.udf.CIQ(D317,"IQ_Company_Name")</f>
        <v>(Invalid Identifier)</v>
      </c>
      <c r="F317" s="114">
        <f t="shared" si="292"/>
        <v>2025</v>
      </c>
      <c r="G317" s="114" t="str">
        <f t="shared" si="277"/>
        <v>2025-01-01</v>
      </c>
      <c r="H317" s="330" t="str">
        <f t="shared" si="256"/>
        <v>2025-12-31</v>
      </c>
      <c r="I317" s="114">
        <f t="shared" si="284"/>
        <v>12</v>
      </c>
      <c r="J317" s="407" t="str">
        <f t="shared" si="278"/>
        <v>CAD</v>
      </c>
      <c r="K317" s="439">
        <f t="shared" si="269"/>
        <v>1</v>
      </c>
      <c r="L317" s="445"/>
      <c r="M317" s="982"/>
      <c r="N317" s="442" t="s">
        <v>108</v>
      </c>
      <c r="O317" s="217" t="s">
        <v>78</v>
      </c>
      <c r="P317" s="218" t="s">
        <v>78</v>
      </c>
      <c r="Q317" s="219" t="s">
        <v>78</v>
      </c>
      <c r="R317" s="125" t="str">
        <f t="shared" si="275"/>
        <v>-</v>
      </c>
      <c r="S317" s="311" t="s">
        <v>78</v>
      </c>
      <c r="T317" s="126" t="str">
        <f t="shared" si="253"/>
        <v>-</v>
      </c>
      <c r="U317" s="221" t="s">
        <v>78</v>
      </c>
      <c r="V317" s="125" t="str">
        <f t="shared" si="245"/>
        <v>-</v>
      </c>
      <c r="W317" s="127" t="str">
        <f t="shared" si="280"/>
        <v>-</v>
      </c>
      <c r="X317" s="128" t="str">
        <f>IFERROR(AVERAGE(W317:W319),"N/A")</f>
        <v>N/A</v>
      </c>
      <c r="Y317" s="223" t="s">
        <v>78</v>
      </c>
      <c r="Z317" s="129" t="str">
        <f t="shared" si="281"/>
        <v>-</v>
      </c>
      <c r="AA317" s="124" t="str">
        <f t="shared" si="285"/>
        <v>-</v>
      </c>
      <c r="AB317" s="130" t="str">
        <f t="shared" si="286"/>
        <v>-</v>
      </c>
      <c r="AC317" s="221" t="s">
        <v>78</v>
      </c>
      <c r="AD317" s="225" t="s">
        <v>78</v>
      </c>
      <c r="AE317" s="225" t="s">
        <v>78</v>
      </c>
      <c r="AF317" s="225" t="s">
        <v>78</v>
      </c>
      <c r="AG317" s="225" t="s">
        <v>78</v>
      </c>
      <c r="AH317" s="125" t="str">
        <f t="shared" si="270"/>
        <v>-</v>
      </c>
      <c r="AI317" s="127" t="str">
        <f t="shared" si="282"/>
        <v>-</v>
      </c>
      <c r="AJ317" s="128" t="str">
        <f>IFERROR(AVERAGE(AI317:AI319),"N/A")</f>
        <v>N/A</v>
      </c>
      <c r="AK317" s="223" t="s">
        <v>78</v>
      </c>
      <c r="AL317" s="131" t="str">
        <f t="shared" si="283"/>
        <v>-</v>
      </c>
      <c r="AM317" s="368" t="str">
        <f t="shared" si="271"/>
        <v>-</v>
      </c>
      <c r="AN317" s="375" t="str">
        <f t="shared" si="287"/>
        <v>-</v>
      </c>
      <c r="AO317" s="376" t="str">
        <f t="shared" si="288"/>
        <v>-</v>
      </c>
      <c r="AP317" s="394" t="s">
        <v>78</v>
      </c>
      <c r="AQ317" s="395" t="s">
        <v>78</v>
      </c>
      <c r="AR317" s="396" t="str">
        <f t="shared" si="264"/>
        <v>-</v>
      </c>
      <c r="AS317" s="397" t="str">
        <f>IFERROR(AVERAGE(AR317:AR319),"N/A")</f>
        <v>N/A</v>
      </c>
      <c r="AT317" s="401" t="s">
        <v>78</v>
      </c>
      <c r="AU317" s="396" t="str">
        <f t="shared" si="265"/>
        <v>-</v>
      </c>
      <c r="AV317" s="397" t="str">
        <f>IFERROR(AVERAGE(AU317:AU319),"N/A")</f>
        <v>N/A</v>
      </c>
      <c r="AW317" s="388" t="str">
        <f t="shared" si="289"/>
        <v>-</v>
      </c>
      <c r="AX317" s="389" t="str">
        <f t="shared" si="290"/>
        <v>-</v>
      </c>
      <c r="AY317" s="353" t="s">
        <v>78</v>
      </c>
      <c r="AZ317" s="403"/>
      <c r="BA317" s="404"/>
    </row>
    <row r="318" spans="1:53" ht="15" customHeight="1">
      <c r="A318" s="1" t="str">
        <f t="shared" si="263"/>
        <v>0_2024_</v>
      </c>
      <c r="B318" s="1" t="str">
        <f t="shared" si="267"/>
        <v>0_2024_NEO2</v>
      </c>
      <c r="D318" s="114">
        <f t="shared" si="243"/>
        <v>0</v>
      </c>
      <c r="E318" s="133" t="str">
        <f>_xll.ciqfunctions.udf.CIQ(D318,"IQ_Company_Name")</f>
        <v>(Invalid Identifier)</v>
      </c>
      <c r="F318" s="114">
        <f t="shared" si="292"/>
        <v>2024</v>
      </c>
      <c r="G318" s="114" t="str">
        <f t="shared" si="277"/>
        <v>2024-01-01</v>
      </c>
      <c r="H318" s="330" t="str">
        <f t="shared" si="256"/>
        <v>2024-12-31</v>
      </c>
      <c r="I318" s="114">
        <f t="shared" si="284"/>
        <v>12</v>
      </c>
      <c r="J318" s="407" t="str">
        <f t="shared" si="278"/>
        <v>CAD</v>
      </c>
      <c r="K318" s="439">
        <f t="shared" si="269"/>
        <v>1</v>
      </c>
      <c r="L318" s="445"/>
      <c r="M318" s="982"/>
      <c r="N318" s="443" t="str">
        <f t="shared" ref="N318:P319" si="294">N317</f>
        <v>NEO2</v>
      </c>
      <c r="O318" s="123" t="str">
        <f t="shared" si="294"/>
        <v>-</v>
      </c>
      <c r="P318" s="132" t="str">
        <f t="shared" si="294"/>
        <v>-</v>
      </c>
      <c r="Q318" s="219" t="s">
        <v>78</v>
      </c>
      <c r="R318" s="125" t="str">
        <f t="shared" si="275"/>
        <v>-</v>
      </c>
      <c r="S318" s="311" t="s">
        <v>78</v>
      </c>
      <c r="T318" s="126" t="str">
        <f t="shared" si="253"/>
        <v>-</v>
      </c>
      <c r="U318" s="221" t="s">
        <v>78</v>
      </c>
      <c r="V318" s="125" t="str">
        <f t="shared" si="245"/>
        <v>-</v>
      </c>
      <c r="W318" s="127" t="str">
        <f t="shared" si="280"/>
        <v>-</v>
      </c>
      <c r="X318" s="128"/>
      <c r="Y318" s="223" t="s">
        <v>78</v>
      </c>
      <c r="Z318" s="129" t="str">
        <f t="shared" si="281"/>
        <v>-</v>
      </c>
      <c r="AA318" s="124" t="str">
        <f t="shared" si="285"/>
        <v>-</v>
      </c>
      <c r="AB318" s="130" t="str">
        <f t="shared" si="286"/>
        <v>-</v>
      </c>
      <c r="AC318" s="221" t="s">
        <v>78</v>
      </c>
      <c r="AD318" s="225" t="s">
        <v>78</v>
      </c>
      <c r="AE318" s="225" t="s">
        <v>78</v>
      </c>
      <c r="AF318" s="225" t="s">
        <v>78</v>
      </c>
      <c r="AG318" s="225" t="s">
        <v>78</v>
      </c>
      <c r="AH318" s="125" t="str">
        <f t="shared" si="270"/>
        <v>-</v>
      </c>
      <c r="AI318" s="127" t="str">
        <f t="shared" si="282"/>
        <v>-</v>
      </c>
      <c r="AJ318" s="128"/>
      <c r="AK318" s="223" t="s">
        <v>78</v>
      </c>
      <c r="AL318" s="131" t="str">
        <f t="shared" si="283"/>
        <v>-</v>
      </c>
      <c r="AM318" s="368" t="str">
        <f t="shared" si="271"/>
        <v>-</v>
      </c>
      <c r="AN318" s="375" t="str">
        <f t="shared" si="287"/>
        <v>-</v>
      </c>
      <c r="AO318" s="376" t="str">
        <f t="shared" si="288"/>
        <v>-</v>
      </c>
      <c r="AP318" s="394" t="s">
        <v>78</v>
      </c>
      <c r="AQ318" s="395" t="s">
        <v>78</v>
      </c>
      <c r="AR318" s="396" t="str">
        <f t="shared" si="264"/>
        <v>-</v>
      </c>
      <c r="AS318" s="397"/>
      <c r="AT318" s="401" t="s">
        <v>78</v>
      </c>
      <c r="AU318" s="396" t="str">
        <f t="shared" si="265"/>
        <v>-</v>
      </c>
      <c r="AV318" s="397"/>
      <c r="AW318" s="388" t="str">
        <f t="shared" si="289"/>
        <v>-</v>
      </c>
      <c r="AX318" s="389" t="str">
        <f t="shared" si="290"/>
        <v>-</v>
      </c>
      <c r="AY318" s="353" t="s">
        <v>78</v>
      </c>
      <c r="AZ318" s="403"/>
      <c r="BA318" s="404"/>
    </row>
    <row r="319" spans="1:53" ht="15" customHeight="1">
      <c r="A319" s="1" t="str">
        <f t="shared" si="263"/>
        <v>0_2023_</v>
      </c>
      <c r="B319" s="1" t="str">
        <f t="shared" si="267"/>
        <v>0_2023_NEO2</v>
      </c>
      <c r="D319" s="114">
        <f t="shared" si="243"/>
        <v>0</v>
      </c>
      <c r="E319" s="133" t="str">
        <f>_xll.ciqfunctions.udf.CIQ(D319,"IQ_Company_Name")</f>
        <v>(Invalid Identifier)</v>
      </c>
      <c r="F319" s="114">
        <f t="shared" si="292"/>
        <v>2023</v>
      </c>
      <c r="G319" s="114" t="str">
        <f t="shared" si="277"/>
        <v>2023-01-01</v>
      </c>
      <c r="H319" s="330" t="str">
        <f t="shared" si="256"/>
        <v>2023-12-31</v>
      </c>
      <c r="I319" s="114">
        <f t="shared" si="284"/>
        <v>12</v>
      </c>
      <c r="J319" s="407" t="str">
        <f t="shared" si="278"/>
        <v>CAD</v>
      </c>
      <c r="K319" s="439">
        <f t="shared" si="269"/>
        <v>1</v>
      </c>
      <c r="L319" s="445"/>
      <c r="M319" s="982"/>
      <c r="N319" s="443" t="str">
        <f t="shared" si="294"/>
        <v>NEO2</v>
      </c>
      <c r="O319" s="123" t="str">
        <f t="shared" si="294"/>
        <v>-</v>
      </c>
      <c r="P319" s="132" t="str">
        <f t="shared" si="294"/>
        <v>-</v>
      </c>
      <c r="Q319" s="219" t="s">
        <v>78</v>
      </c>
      <c r="R319" s="125" t="str">
        <f t="shared" si="275"/>
        <v>-</v>
      </c>
      <c r="S319" s="311" t="s">
        <v>78</v>
      </c>
      <c r="T319" s="126" t="str">
        <f t="shared" si="253"/>
        <v>-</v>
      </c>
      <c r="U319" s="221" t="s">
        <v>78</v>
      </c>
      <c r="V319" s="125" t="str">
        <f t="shared" si="245"/>
        <v>-</v>
      </c>
      <c r="W319" s="127" t="str">
        <f t="shared" si="280"/>
        <v>-</v>
      </c>
      <c r="X319" s="128"/>
      <c r="Y319" s="223" t="s">
        <v>78</v>
      </c>
      <c r="Z319" s="129" t="str">
        <f t="shared" si="281"/>
        <v>-</v>
      </c>
      <c r="AA319" s="124" t="str">
        <f t="shared" si="285"/>
        <v>-</v>
      </c>
      <c r="AB319" s="130" t="str">
        <f t="shared" si="286"/>
        <v>-</v>
      </c>
      <c r="AC319" s="221" t="s">
        <v>78</v>
      </c>
      <c r="AD319" s="225" t="s">
        <v>78</v>
      </c>
      <c r="AE319" s="225" t="s">
        <v>78</v>
      </c>
      <c r="AF319" s="225" t="s">
        <v>78</v>
      </c>
      <c r="AG319" s="225" t="s">
        <v>78</v>
      </c>
      <c r="AH319" s="125" t="str">
        <f t="shared" si="270"/>
        <v>-</v>
      </c>
      <c r="AI319" s="127" t="str">
        <f t="shared" si="282"/>
        <v>-</v>
      </c>
      <c r="AJ319" s="128"/>
      <c r="AK319" s="223" t="s">
        <v>78</v>
      </c>
      <c r="AL319" s="131" t="str">
        <f t="shared" si="283"/>
        <v>-</v>
      </c>
      <c r="AM319" s="368" t="str">
        <f t="shared" si="271"/>
        <v>-</v>
      </c>
      <c r="AN319" s="375" t="str">
        <f t="shared" si="287"/>
        <v>-</v>
      </c>
      <c r="AO319" s="376" t="str">
        <f t="shared" si="288"/>
        <v>-</v>
      </c>
      <c r="AP319" s="394" t="s">
        <v>78</v>
      </c>
      <c r="AQ319" s="395" t="s">
        <v>78</v>
      </c>
      <c r="AR319" s="396" t="str">
        <f t="shared" si="264"/>
        <v>-</v>
      </c>
      <c r="AS319" s="397"/>
      <c r="AT319" s="401" t="s">
        <v>78</v>
      </c>
      <c r="AU319" s="396" t="str">
        <f t="shared" si="265"/>
        <v>-</v>
      </c>
      <c r="AV319" s="397"/>
      <c r="AW319" s="388" t="str">
        <f t="shared" si="289"/>
        <v>-</v>
      </c>
      <c r="AX319" s="389" t="str">
        <f t="shared" si="290"/>
        <v>-</v>
      </c>
      <c r="AY319" s="353" t="s">
        <v>78</v>
      </c>
      <c r="AZ319" s="403"/>
      <c r="BA319" s="404"/>
    </row>
    <row r="320" spans="1:53" ht="15" customHeight="1">
      <c r="A320" s="1" t="str">
        <f t="shared" si="263"/>
        <v>0_2025_</v>
      </c>
      <c r="B320" s="1" t="str">
        <f t="shared" si="267"/>
        <v>0_2025_NEO3</v>
      </c>
      <c r="D320" s="114">
        <f t="shared" si="243"/>
        <v>0</v>
      </c>
      <c r="E320" s="133" t="str">
        <f>_xll.ciqfunctions.udf.CIQ(D320,"IQ_Company_Name")</f>
        <v>(Invalid Identifier)</v>
      </c>
      <c r="F320" s="114">
        <f t="shared" si="292"/>
        <v>2025</v>
      </c>
      <c r="G320" s="114" t="str">
        <f t="shared" si="277"/>
        <v>2025-01-01</v>
      </c>
      <c r="H320" s="330" t="str">
        <f t="shared" si="256"/>
        <v>2025-12-31</v>
      </c>
      <c r="I320" s="114">
        <f t="shared" si="284"/>
        <v>12</v>
      </c>
      <c r="J320" s="407" t="str">
        <f t="shared" si="278"/>
        <v>CAD</v>
      </c>
      <c r="K320" s="439">
        <f t="shared" si="269"/>
        <v>1</v>
      </c>
      <c r="L320" s="445"/>
      <c r="M320" s="982"/>
      <c r="N320" s="442" t="s">
        <v>109</v>
      </c>
      <c r="O320" s="217" t="s">
        <v>78</v>
      </c>
      <c r="P320" s="218" t="s">
        <v>78</v>
      </c>
      <c r="Q320" s="219" t="s">
        <v>78</v>
      </c>
      <c r="R320" s="125" t="str">
        <f t="shared" si="275"/>
        <v>-</v>
      </c>
      <c r="S320" s="311" t="s">
        <v>78</v>
      </c>
      <c r="T320" s="126" t="str">
        <f t="shared" si="253"/>
        <v>-</v>
      </c>
      <c r="U320" s="221" t="s">
        <v>78</v>
      </c>
      <c r="V320" s="125" t="str">
        <f t="shared" si="245"/>
        <v>-</v>
      </c>
      <c r="W320" s="127" t="str">
        <f t="shared" si="280"/>
        <v>-</v>
      </c>
      <c r="X320" s="128" t="str">
        <f>IFERROR(AVERAGE(W320:W322),"N/A")</f>
        <v>N/A</v>
      </c>
      <c r="Y320" s="223" t="s">
        <v>78</v>
      </c>
      <c r="Z320" s="129" t="str">
        <f t="shared" si="281"/>
        <v>-</v>
      </c>
      <c r="AA320" s="124" t="str">
        <f t="shared" si="285"/>
        <v>-</v>
      </c>
      <c r="AB320" s="130" t="str">
        <f t="shared" si="286"/>
        <v>-</v>
      </c>
      <c r="AC320" s="221" t="s">
        <v>78</v>
      </c>
      <c r="AD320" s="225" t="s">
        <v>78</v>
      </c>
      <c r="AE320" s="225" t="s">
        <v>78</v>
      </c>
      <c r="AF320" s="225" t="s">
        <v>78</v>
      </c>
      <c r="AG320" s="225" t="s">
        <v>78</v>
      </c>
      <c r="AH320" s="125" t="str">
        <f t="shared" si="270"/>
        <v>-</v>
      </c>
      <c r="AI320" s="127" t="str">
        <f t="shared" si="282"/>
        <v>-</v>
      </c>
      <c r="AJ320" s="128" t="str">
        <f>IFERROR(AVERAGE(AI320:AI322),"N/A")</f>
        <v>N/A</v>
      </c>
      <c r="AK320" s="223" t="s">
        <v>78</v>
      </c>
      <c r="AL320" s="131" t="str">
        <f t="shared" si="283"/>
        <v>-</v>
      </c>
      <c r="AM320" s="368" t="str">
        <f t="shared" si="271"/>
        <v>-</v>
      </c>
      <c r="AN320" s="375" t="str">
        <f t="shared" si="287"/>
        <v>-</v>
      </c>
      <c r="AO320" s="376" t="str">
        <f t="shared" si="288"/>
        <v>-</v>
      </c>
      <c r="AP320" s="394" t="s">
        <v>78</v>
      </c>
      <c r="AQ320" s="395" t="s">
        <v>78</v>
      </c>
      <c r="AR320" s="396" t="str">
        <f t="shared" si="264"/>
        <v>-</v>
      </c>
      <c r="AS320" s="397" t="str">
        <f>IFERROR(AVERAGE(AR320:AR322),"N/A")</f>
        <v>N/A</v>
      </c>
      <c r="AT320" s="401" t="s">
        <v>78</v>
      </c>
      <c r="AU320" s="396" t="str">
        <f t="shared" si="265"/>
        <v>-</v>
      </c>
      <c r="AV320" s="397" t="str">
        <f>IFERROR(AVERAGE(AU320:AU322),"N/A")</f>
        <v>N/A</v>
      </c>
      <c r="AW320" s="388" t="str">
        <f t="shared" si="289"/>
        <v>-</v>
      </c>
      <c r="AX320" s="389" t="str">
        <f t="shared" si="290"/>
        <v>-</v>
      </c>
      <c r="AY320" s="353" t="s">
        <v>78</v>
      </c>
      <c r="AZ320" s="403"/>
      <c r="BA320" s="404"/>
    </row>
    <row r="321" spans="1:53" ht="15" customHeight="1">
      <c r="A321" s="1" t="str">
        <f t="shared" si="263"/>
        <v>0_2024_</v>
      </c>
      <c r="B321" s="1" t="str">
        <f t="shared" si="267"/>
        <v>0_2024_NEO3</v>
      </c>
      <c r="D321" s="114">
        <f t="shared" si="243"/>
        <v>0</v>
      </c>
      <c r="E321" s="133" t="str">
        <f>_xll.ciqfunctions.udf.CIQ(D321,"IQ_Company_Name")</f>
        <v>(Invalid Identifier)</v>
      </c>
      <c r="F321" s="114">
        <f t="shared" si="292"/>
        <v>2024</v>
      </c>
      <c r="G321" s="114" t="str">
        <f t="shared" si="277"/>
        <v>2024-01-01</v>
      </c>
      <c r="H321" s="330" t="str">
        <f t="shared" si="256"/>
        <v>2024-12-31</v>
      </c>
      <c r="I321" s="114">
        <f t="shared" si="284"/>
        <v>12</v>
      </c>
      <c r="J321" s="407" t="str">
        <f t="shared" si="278"/>
        <v>CAD</v>
      </c>
      <c r="K321" s="439">
        <f t="shared" si="269"/>
        <v>1</v>
      </c>
      <c r="L321" s="445"/>
      <c r="M321" s="982"/>
      <c r="N321" s="443" t="str">
        <f t="shared" ref="N321:P322" si="295">N320</f>
        <v>NEO3</v>
      </c>
      <c r="O321" s="123" t="str">
        <f t="shared" si="295"/>
        <v>-</v>
      </c>
      <c r="P321" s="132" t="str">
        <f t="shared" si="295"/>
        <v>-</v>
      </c>
      <c r="Q321" s="219" t="s">
        <v>78</v>
      </c>
      <c r="R321" s="125" t="str">
        <f t="shared" si="275"/>
        <v>-</v>
      </c>
      <c r="S321" s="311" t="s">
        <v>78</v>
      </c>
      <c r="T321" s="126" t="str">
        <f t="shared" si="253"/>
        <v>-</v>
      </c>
      <c r="U321" s="221" t="s">
        <v>78</v>
      </c>
      <c r="V321" s="125" t="str">
        <f t="shared" si="245"/>
        <v>-</v>
      </c>
      <c r="W321" s="127" t="str">
        <f t="shared" si="280"/>
        <v>-</v>
      </c>
      <c r="X321" s="128"/>
      <c r="Y321" s="223" t="s">
        <v>78</v>
      </c>
      <c r="Z321" s="129" t="str">
        <f t="shared" si="281"/>
        <v>-</v>
      </c>
      <c r="AA321" s="124" t="str">
        <f t="shared" si="285"/>
        <v>-</v>
      </c>
      <c r="AB321" s="130" t="str">
        <f t="shared" si="286"/>
        <v>-</v>
      </c>
      <c r="AC321" s="221" t="s">
        <v>78</v>
      </c>
      <c r="AD321" s="225" t="s">
        <v>78</v>
      </c>
      <c r="AE321" s="225" t="s">
        <v>78</v>
      </c>
      <c r="AF321" s="225" t="s">
        <v>78</v>
      </c>
      <c r="AG321" s="225" t="s">
        <v>78</v>
      </c>
      <c r="AH321" s="125" t="str">
        <f t="shared" si="270"/>
        <v>-</v>
      </c>
      <c r="AI321" s="127" t="str">
        <f t="shared" si="282"/>
        <v>-</v>
      </c>
      <c r="AJ321" s="128"/>
      <c r="AK321" s="223" t="s">
        <v>78</v>
      </c>
      <c r="AL321" s="131" t="str">
        <f t="shared" si="283"/>
        <v>-</v>
      </c>
      <c r="AM321" s="368" t="str">
        <f t="shared" si="271"/>
        <v>-</v>
      </c>
      <c r="AN321" s="375" t="str">
        <f t="shared" si="287"/>
        <v>-</v>
      </c>
      <c r="AO321" s="376" t="str">
        <f t="shared" si="288"/>
        <v>-</v>
      </c>
      <c r="AP321" s="394" t="s">
        <v>78</v>
      </c>
      <c r="AQ321" s="395" t="s">
        <v>78</v>
      </c>
      <c r="AR321" s="396" t="str">
        <f t="shared" si="264"/>
        <v>-</v>
      </c>
      <c r="AS321" s="397"/>
      <c r="AT321" s="401" t="s">
        <v>78</v>
      </c>
      <c r="AU321" s="396" t="str">
        <f t="shared" si="265"/>
        <v>-</v>
      </c>
      <c r="AV321" s="397"/>
      <c r="AW321" s="388" t="str">
        <f t="shared" si="289"/>
        <v>-</v>
      </c>
      <c r="AX321" s="389" t="str">
        <f t="shared" si="290"/>
        <v>-</v>
      </c>
      <c r="AY321" s="353" t="s">
        <v>78</v>
      </c>
      <c r="AZ321" s="403"/>
      <c r="BA321" s="404"/>
    </row>
    <row r="322" spans="1:53" ht="15" customHeight="1">
      <c r="A322" s="1" t="str">
        <f t="shared" si="263"/>
        <v>0_2023_</v>
      </c>
      <c r="B322" s="1" t="str">
        <f t="shared" si="267"/>
        <v>0_2023_NEO3</v>
      </c>
      <c r="D322" s="203">
        <f t="shared" si="243"/>
        <v>0</v>
      </c>
      <c r="E322" s="205" t="str">
        <f>_xll.ciqfunctions.udf.CIQ(D322,"IQ_Company_Name")</f>
        <v>(Invalid Identifier)</v>
      </c>
      <c r="F322" s="204">
        <f t="shared" si="292"/>
        <v>2023</v>
      </c>
      <c r="G322" s="204" t="str">
        <f t="shared" si="277"/>
        <v>2023-01-01</v>
      </c>
      <c r="H322" s="331" t="str">
        <f t="shared" si="256"/>
        <v>2023-12-31</v>
      </c>
      <c r="I322" s="204">
        <f t="shared" si="284"/>
        <v>12</v>
      </c>
      <c r="J322" s="408" t="str">
        <f t="shared" si="278"/>
        <v>CAD</v>
      </c>
      <c r="K322" s="441">
        <f t="shared" si="269"/>
        <v>1</v>
      </c>
      <c r="L322" s="447"/>
      <c r="M322" s="983"/>
      <c r="N322" s="444" t="str">
        <f t="shared" si="295"/>
        <v>NEO3</v>
      </c>
      <c r="O322" s="206" t="str">
        <f t="shared" si="295"/>
        <v>-</v>
      </c>
      <c r="P322" s="207" t="str">
        <f t="shared" si="295"/>
        <v>-</v>
      </c>
      <c r="Q322" s="220" t="s">
        <v>78</v>
      </c>
      <c r="R322" s="209" t="str">
        <f t="shared" si="275"/>
        <v>-</v>
      </c>
      <c r="S322" s="312" t="s">
        <v>78</v>
      </c>
      <c r="T322" s="329" t="str">
        <f t="shared" si="253"/>
        <v>-</v>
      </c>
      <c r="U322" s="222" t="s">
        <v>78</v>
      </c>
      <c r="V322" s="209" t="str">
        <f t="shared" si="245"/>
        <v>-</v>
      </c>
      <c r="W322" s="211" t="str">
        <f t="shared" si="280"/>
        <v>-</v>
      </c>
      <c r="X322" s="212"/>
      <c r="Y322" s="224" t="s">
        <v>78</v>
      </c>
      <c r="Z322" s="213" t="str">
        <f t="shared" si="281"/>
        <v>-</v>
      </c>
      <c r="AA322" s="208" t="str">
        <f t="shared" si="285"/>
        <v>-</v>
      </c>
      <c r="AB322" s="214" t="str">
        <f t="shared" si="286"/>
        <v>-</v>
      </c>
      <c r="AC322" s="222" t="s">
        <v>78</v>
      </c>
      <c r="AD322" s="226" t="s">
        <v>78</v>
      </c>
      <c r="AE322" s="226" t="s">
        <v>78</v>
      </c>
      <c r="AF322" s="226" t="s">
        <v>78</v>
      </c>
      <c r="AG322" s="226" t="s">
        <v>78</v>
      </c>
      <c r="AH322" s="418" t="str">
        <f t="shared" si="270"/>
        <v>-</v>
      </c>
      <c r="AI322" s="211" t="str">
        <f t="shared" si="282"/>
        <v>-</v>
      </c>
      <c r="AJ322" s="212"/>
      <c r="AK322" s="224" t="s">
        <v>78</v>
      </c>
      <c r="AL322" s="215" t="str">
        <f t="shared" si="283"/>
        <v>-</v>
      </c>
      <c r="AM322" s="369" t="str">
        <f t="shared" si="271"/>
        <v>-</v>
      </c>
      <c r="AN322" s="377" t="str">
        <f t="shared" si="287"/>
        <v>-</v>
      </c>
      <c r="AO322" s="378" t="str">
        <f t="shared" si="288"/>
        <v>-</v>
      </c>
      <c r="AP322" s="398" t="s">
        <v>78</v>
      </c>
      <c r="AQ322" s="399" t="s">
        <v>78</v>
      </c>
      <c r="AR322" s="396" t="str">
        <f t="shared" si="264"/>
        <v>-</v>
      </c>
      <c r="AS322" s="400"/>
      <c r="AT322" s="402" t="s">
        <v>78</v>
      </c>
      <c r="AU322" s="396" t="str">
        <f t="shared" si="265"/>
        <v>-</v>
      </c>
      <c r="AV322" s="400"/>
      <c r="AW322" s="390" t="str">
        <f t="shared" si="289"/>
        <v>-</v>
      </c>
      <c r="AX322" s="391" t="str">
        <f t="shared" si="290"/>
        <v>-</v>
      </c>
      <c r="AY322" s="354" t="s">
        <v>78</v>
      </c>
      <c r="AZ322" s="405"/>
      <c r="BA322" s="406"/>
    </row>
    <row r="323" spans="1:53" ht="15" customHeight="1">
      <c r="A323" s="1" t="str">
        <f t="shared" si="263"/>
        <v>0_2025_</v>
      </c>
      <c r="B323" s="1" t="str">
        <f t="shared" si="267"/>
        <v>0_2025_CEO</v>
      </c>
      <c r="D323" s="216">
        <f>E22</f>
        <v>0</v>
      </c>
      <c r="E323" s="133" t="str">
        <f>_xll.ciqfunctions.udf.CIQ(D323,"IQ_Company_Name")</f>
        <v>(Invalid Identifier)</v>
      </c>
      <c r="F323" s="328">
        <f>$G$9</f>
        <v>2025</v>
      </c>
      <c r="G323" s="330" t="str">
        <f t="shared" si="277"/>
        <v>2025-01-01</v>
      </c>
      <c r="H323" s="330" t="str">
        <f t="shared" si="256"/>
        <v>2025-12-31</v>
      </c>
      <c r="I323" s="114">
        <f t="shared" si="284"/>
        <v>12</v>
      </c>
      <c r="J323" s="328" t="str">
        <f>$H$5</f>
        <v>CAD</v>
      </c>
      <c r="K323" s="439">
        <f t="shared" si="269"/>
        <v>1</v>
      </c>
      <c r="L323" s="445"/>
      <c r="M323" s="982"/>
      <c r="N323" s="442" t="s">
        <v>79</v>
      </c>
      <c r="O323" s="217" t="s">
        <v>78</v>
      </c>
      <c r="P323" s="218" t="s">
        <v>78</v>
      </c>
      <c r="Q323" s="219" t="s">
        <v>78</v>
      </c>
      <c r="R323" s="125" t="str">
        <f t="shared" si="275"/>
        <v>-</v>
      </c>
      <c r="S323" s="311" t="s">
        <v>78</v>
      </c>
      <c r="T323" s="126" t="str">
        <f t="shared" si="253"/>
        <v>-</v>
      </c>
      <c r="U323" s="221" t="s">
        <v>78</v>
      </c>
      <c r="V323" s="125" t="str">
        <f t="shared" si="245"/>
        <v>-</v>
      </c>
      <c r="W323" s="127" t="str">
        <f t="shared" si="280"/>
        <v>-</v>
      </c>
      <c r="X323" s="128" t="str">
        <f>IFERROR(AVERAGE(W323:W325),"N/A")</f>
        <v>N/A</v>
      </c>
      <c r="Y323" s="223" t="s">
        <v>78</v>
      </c>
      <c r="Z323" s="129" t="str">
        <f t="shared" si="281"/>
        <v>-</v>
      </c>
      <c r="AA323" s="124" t="str">
        <f t="shared" si="285"/>
        <v>-</v>
      </c>
      <c r="AB323" s="130" t="str">
        <f t="shared" si="286"/>
        <v>-</v>
      </c>
      <c r="AC323" s="221" t="s">
        <v>78</v>
      </c>
      <c r="AD323" s="225" t="s">
        <v>78</v>
      </c>
      <c r="AE323" s="225" t="s">
        <v>78</v>
      </c>
      <c r="AF323" s="225" t="s">
        <v>78</v>
      </c>
      <c r="AG323" s="225" t="s">
        <v>78</v>
      </c>
      <c r="AH323" s="125" t="str">
        <f t="shared" si="270"/>
        <v>-</v>
      </c>
      <c r="AI323" s="127" t="str">
        <f t="shared" si="282"/>
        <v>-</v>
      </c>
      <c r="AJ323" s="128" t="str">
        <f>IFERROR(AVERAGE(AI323:AI325),"N/A")</f>
        <v>N/A</v>
      </c>
      <c r="AK323" s="223" t="s">
        <v>78</v>
      </c>
      <c r="AL323" s="131" t="str">
        <f t="shared" si="283"/>
        <v>-</v>
      </c>
      <c r="AM323" s="368" t="str">
        <f t="shared" si="271"/>
        <v>-</v>
      </c>
      <c r="AN323" s="375" t="str">
        <f t="shared" si="287"/>
        <v>-</v>
      </c>
      <c r="AO323" s="376" t="str">
        <f t="shared" si="288"/>
        <v>-</v>
      </c>
      <c r="AP323" s="394" t="s">
        <v>78</v>
      </c>
      <c r="AQ323" s="395" t="s">
        <v>78</v>
      </c>
      <c r="AR323" s="396" t="str">
        <f t="shared" si="264"/>
        <v>-</v>
      </c>
      <c r="AS323" s="409" t="str">
        <f>IFERROR(AVERAGE(AR323:AR325),"N/A")</f>
        <v>N/A</v>
      </c>
      <c r="AT323" s="401" t="s">
        <v>78</v>
      </c>
      <c r="AU323" s="396" t="str">
        <f t="shared" si="265"/>
        <v>-</v>
      </c>
      <c r="AV323" s="409" t="str">
        <f>IFERROR(AVERAGE(AU323:AU325),"N/A")</f>
        <v>N/A</v>
      </c>
      <c r="AW323" s="388" t="str">
        <f t="shared" si="289"/>
        <v>-</v>
      </c>
      <c r="AX323" s="389" t="str">
        <f t="shared" si="290"/>
        <v>-</v>
      </c>
      <c r="AY323" s="353" t="s">
        <v>78</v>
      </c>
      <c r="AZ323" s="403"/>
      <c r="BA323" s="404"/>
    </row>
    <row r="324" spans="1:53" ht="15" customHeight="1">
      <c r="A324" s="1" t="str">
        <f t="shared" si="263"/>
        <v>0_2024_</v>
      </c>
      <c r="B324" s="1" t="str">
        <f t="shared" si="267"/>
        <v>0_2024_CEO</v>
      </c>
      <c r="D324" s="114">
        <f t="shared" ref="D324:D387" si="296">D323</f>
        <v>0</v>
      </c>
      <c r="E324" s="133" t="str">
        <f>_xll.ciqfunctions.udf.CIQ(D324,"IQ_Company_Name")</f>
        <v>(Invalid Identifier)</v>
      </c>
      <c r="F324" s="328">
        <f>$G$10</f>
        <v>2024</v>
      </c>
      <c r="G324" s="330" t="str">
        <f t="shared" si="277"/>
        <v>2024-01-01</v>
      </c>
      <c r="H324" s="330" t="str">
        <f t="shared" si="256"/>
        <v>2024-12-31</v>
      </c>
      <c r="I324" s="114">
        <f t="shared" si="284"/>
        <v>12</v>
      </c>
      <c r="J324" s="407" t="str">
        <f>J323</f>
        <v>CAD</v>
      </c>
      <c r="K324" s="439">
        <f t="shared" si="269"/>
        <v>1</v>
      </c>
      <c r="L324" s="445"/>
      <c r="M324" s="982"/>
      <c r="N324" s="443" t="str">
        <f t="shared" ref="N324:P325" si="297">N323</f>
        <v>CEO</v>
      </c>
      <c r="O324" s="123" t="str">
        <f t="shared" si="297"/>
        <v>-</v>
      </c>
      <c r="P324" s="132" t="str">
        <f t="shared" si="297"/>
        <v>-</v>
      </c>
      <c r="Q324" s="219" t="s">
        <v>78</v>
      </c>
      <c r="R324" s="125" t="str">
        <f t="shared" si="275"/>
        <v>-</v>
      </c>
      <c r="S324" s="311" t="s">
        <v>78</v>
      </c>
      <c r="T324" s="126" t="str">
        <f t="shared" si="253"/>
        <v>-</v>
      </c>
      <c r="U324" s="221" t="s">
        <v>78</v>
      </c>
      <c r="V324" s="125" t="str">
        <f t="shared" si="245"/>
        <v>-</v>
      </c>
      <c r="W324" s="127" t="str">
        <f t="shared" si="280"/>
        <v>-</v>
      </c>
      <c r="X324" s="128"/>
      <c r="Y324" s="223" t="s">
        <v>78</v>
      </c>
      <c r="Z324" s="129" t="str">
        <f t="shared" si="281"/>
        <v>-</v>
      </c>
      <c r="AA324" s="124" t="str">
        <f t="shared" si="285"/>
        <v>-</v>
      </c>
      <c r="AB324" s="130" t="str">
        <f t="shared" si="286"/>
        <v>-</v>
      </c>
      <c r="AC324" s="221" t="s">
        <v>78</v>
      </c>
      <c r="AD324" s="225" t="s">
        <v>78</v>
      </c>
      <c r="AE324" s="225" t="s">
        <v>78</v>
      </c>
      <c r="AF324" s="225" t="s">
        <v>78</v>
      </c>
      <c r="AG324" s="225" t="s">
        <v>78</v>
      </c>
      <c r="AH324" s="125" t="str">
        <f t="shared" si="270"/>
        <v>-</v>
      </c>
      <c r="AI324" s="127" t="str">
        <f t="shared" si="282"/>
        <v>-</v>
      </c>
      <c r="AJ324" s="128"/>
      <c r="AK324" s="223" t="s">
        <v>78</v>
      </c>
      <c r="AL324" s="131" t="str">
        <f t="shared" si="283"/>
        <v>-</v>
      </c>
      <c r="AM324" s="368" t="str">
        <f t="shared" si="271"/>
        <v>-</v>
      </c>
      <c r="AN324" s="375" t="str">
        <f t="shared" si="287"/>
        <v>-</v>
      </c>
      <c r="AO324" s="376" t="str">
        <f t="shared" si="288"/>
        <v>-</v>
      </c>
      <c r="AP324" s="394" t="s">
        <v>78</v>
      </c>
      <c r="AQ324" s="395" t="s">
        <v>78</v>
      </c>
      <c r="AR324" s="396" t="str">
        <f t="shared" si="264"/>
        <v>-</v>
      </c>
      <c r="AS324" s="397"/>
      <c r="AT324" s="401" t="s">
        <v>78</v>
      </c>
      <c r="AU324" s="396" t="str">
        <f t="shared" si="265"/>
        <v>-</v>
      </c>
      <c r="AV324" s="397"/>
      <c r="AW324" s="388" t="str">
        <f t="shared" si="289"/>
        <v>-</v>
      </c>
      <c r="AX324" s="389" t="str">
        <f t="shared" si="290"/>
        <v>-</v>
      </c>
      <c r="AY324" s="353" t="s">
        <v>78</v>
      </c>
      <c r="AZ324" s="403"/>
      <c r="BA324" s="404"/>
    </row>
    <row r="325" spans="1:53" ht="15" customHeight="1">
      <c r="A325" s="1" t="str">
        <f t="shared" si="263"/>
        <v>0_2023_</v>
      </c>
      <c r="B325" s="1" t="str">
        <f t="shared" si="267"/>
        <v>0_2023_CEO</v>
      </c>
      <c r="D325" s="114">
        <f t="shared" si="296"/>
        <v>0</v>
      </c>
      <c r="E325" s="133" t="str">
        <f>_xll.ciqfunctions.udf.CIQ(D325,"IQ_Company_Name")</f>
        <v>(Invalid Identifier)</v>
      </c>
      <c r="F325" s="328">
        <f>$G$11</f>
        <v>2023</v>
      </c>
      <c r="G325" s="114" t="str">
        <f t="shared" si="277"/>
        <v>2023-01-01</v>
      </c>
      <c r="H325" s="330" t="str">
        <f t="shared" si="256"/>
        <v>2023-12-31</v>
      </c>
      <c r="I325" s="114">
        <f t="shared" si="284"/>
        <v>12</v>
      </c>
      <c r="J325" s="407" t="str">
        <f>J324</f>
        <v>CAD</v>
      </c>
      <c r="K325" s="439">
        <f t="shared" si="269"/>
        <v>1</v>
      </c>
      <c r="L325" s="445"/>
      <c r="M325" s="982"/>
      <c r="N325" s="443" t="str">
        <f t="shared" si="297"/>
        <v>CEO</v>
      </c>
      <c r="O325" s="123" t="str">
        <f t="shared" si="297"/>
        <v>-</v>
      </c>
      <c r="P325" s="132" t="str">
        <f t="shared" si="297"/>
        <v>-</v>
      </c>
      <c r="Q325" s="219" t="s">
        <v>78</v>
      </c>
      <c r="R325" s="125" t="str">
        <f t="shared" si="275"/>
        <v>-</v>
      </c>
      <c r="S325" s="311" t="s">
        <v>78</v>
      </c>
      <c r="T325" s="126" t="str">
        <f t="shared" si="253"/>
        <v>-</v>
      </c>
      <c r="U325" s="221" t="s">
        <v>78</v>
      </c>
      <c r="V325" s="125" t="str">
        <f t="shared" ref="V325:V367" si="298">IFERROR(U325*(12/$I325)*$K325,"-")</f>
        <v>-</v>
      </c>
      <c r="W325" s="127" t="str">
        <f t="shared" si="280"/>
        <v>-</v>
      </c>
      <c r="X325" s="128"/>
      <c r="Y325" s="223" t="s">
        <v>78</v>
      </c>
      <c r="Z325" s="129" t="str">
        <f t="shared" si="281"/>
        <v>-</v>
      </c>
      <c r="AA325" s="124" t="str">
        <f t="shared" si="285"/>
        <v>-</v>
      </c>
      <c r="AB325" s="130" t="str">
        <f t="shared" si="286"/>
        <v>-</v>
      </c>
      <c r="AC325" s="221" t="s">
        <v>78</v>
      </c>
      <c r="AD325" s="225" t="s">
        <v>78</v>
      </c>
      <c r="AE325" s="225" t="s">
        <v>78</v>
      </c>
      <c r="AF325" s="225" t="s">
        <v>78</v>
      </c>
      <c r="AG325" s="225" t="s">
        <v>78</v>
      </c>
      <c r="AH325" s="125" t="str">
        <f t="shared" si="270"/>
        <v>-</v>
      </c>
      <c r="AI325" s="127" t="str">
        <f t="shared" si="282"/>
        <v>-</v>
      </c>
      <c r="AJ325" s="128"/>
      <c r="AK325" s="223" t="s">
        <v>78</v>
      </c>
      <c r="AL325" s="131" t="str">
        <f t="shared" si="283"/>
        <v>-</v>
      </c>
      <c r="AM325" s="368" t="str">
        <f t="shared" si="271"/>
        <v>-</v>
      </c>
      <c r="AN325" s="375" t="str">
        <f t="shared" si="287"/>
        <v>-</v>
      </c>
      <c r="AO325" s="376" t="str">
        <f t="shared" si="288"/>
        <v>-</v>
      </c>
      <c r="AP325" s="394" t="s">
        <v>78</v>
      </c>
      <c r="AQ325" s="395" t="s">
        <v>78</v>
      </c>
      <c r="AR325" s="396" t="str">
        <f t="shared" si="264"/>
        <v>-</v>
      </c>
      <c r="AS325" s="397"/>
      <c r="AT325" s="401" t="s">
        <v>78</v>
      </c>
      <c r="AU325" s="396" t="str">
        <f t="shared" si="265"/>
        <v>-</v>
      </c>
      <c r="AV325" s="397"/>
      <c r="AW325" s="388" t="str">
        <f t="shared" si="289"/>
        <v>-</v>
      </c>
      <c r="AX325" s="389" t="str">
        <f t="shared" si="290"/>
        <v>-</v>
      </c>
      <c r="AY325" s="353" t="s">
        <v>78</v>
      </c>
      <c r="AZ325" s="403"/>
      <c r="BA325" s="404"/>
    </row>
    <row r="326" spans="1:53" ht="15" customHeight="1">
      <c r="A326" s="1" t="str">
        <f t="shared" si="263"/>
        <v>0_2025_</v>
      </c>
      <c r="B326" s="1" t="str">
        <f t="shared" si="267"/>
        <v>0_2025_CFO</v>
      </c>
      <c r="D326" s="114">
        <f t="shared" si="296"/>
        <v>0</v>
      </c>
      <c r="E326" s="133" t="str">
        <f>_xll.ciqfunctions.udf.CIQ(D326,"IQ_Company_Name")</f>
        <v>(Invalid Identifier)</v>
      </c>
      <c r="F326" s="114">
        <f t="shared" si="292"/>
        <v>2025</v>
      </c>
      <c r="G326" s="114" t="str">
        <f t="shared" si="277"/>
        <v>2025-01-01</v>
      </c>
      <c r="H326" s="330" t="str">
        <f t="shared" si="256"/>
        <v>2025-12-31</v>
      </c>
      <c r="I326" s="114">
        <f t="shared" si="284"/>
        <v>12</v>
      </c>
      <c r="J326" s="407" t="str">
        <f>J325</f>
        <v>CAD</v>
      </c>
      <c r="K326" s="439">
        <f t="shared" si="269"/>
        <v>1</v>
      </c>
      <c r="L326" s="445"/>
      <c r="M326" s="982"/>
      <c r="N326" s="442" t="s">
        <v>106</v>
      </c>
      <c r="O326" s="217" t="s">
        <v>78</v>
      </c>
      <c r="P326" s="218" t="s">
        <v>78</v>
      </c>
      <c r="Q326" s="219" t="s">
        <v>78</v>
      </c>
      <c r="R326" s="125" t="str">
        <f t="shared" si="275"/>
        <v>-</v>
      </c>
      <c r="S326" s="311" t="s">
        <v>78</v>
      </c>
      <c r="T326" s="126" t="str">
        <f t="shared" si="253"/>
        <v>-</v>
      </c>
      <c r="U326" s="221" t="s">
        <v>78</v>
      </c>
      <c r="V326" s="125" t="str">
        <f t="shared" si="298"/>
        <v>-</v>
      </c>
      <c r="W326" s="127" t="str">
        <f t="shared" si="280"/>
        <v>-</v>
      </c>
      <c r="X326" s="128" t="str">
        <f>IFERROR(AVERAGE(W326:W328),"N/A")</f>
        <v>N/A</v>
      </c>
      <c r="Y326" s="223" t="s">
        <v>78</v>
      </c>
      <c r="Z326" s="129" t="str">
        <f t="shared" si="281"/>
        <v>-</v>
      </c>
      <c r="AA326" s="124" t="str">
        <f t="shared" si="285"/>
        <v>-</v>
      </c>
      <c r="AB326" s="130" t="str">
        <f t="shared" si="286"/>
        <v>-</v>
      </c>
      <c r="AC326" s="221" t="s">
        <v>78</v>
      </c>
      <c r="AD326" s="225" t="s">
        <v>78</v>
      </c>
      <c r="AE326" s="225" t="s">
        <v>78</v>
      </c>
      <c r="AF326" s="225" t="s">
        <v>78</v>
      </c>
      <c r="AG326" s="225" t="s">
        <v>78</v>
      </c>
      <c r="AH326" s="125" t="str">
        <f t="shared" si="270"/>
        <v>-</v>
      </c>
      <c r="AI326" s="127" t="str">
        <f t="shared" si="282"/>
        <v>-</v>
      </c>
      <c r="AJ326" s="128" t="str">
        <f>IFERROR(AVERAGE(AI326:AI328),"N/A")</f>
        <v>N/A</v>
      </c>
      <c r="AK326" s="223" t="s">
        <v>78</v>
      </c>
      <c r="AL326" s="131" t="str">
        <f t="shared" si="283"/>
        <v>-</v>
      </c>
      <c r="AM326" s="368" t="str">
        <f t="shared" si="271"/>
        <v>-</v>
      </c>
      <c r="AN326" s="375" t="str">
        <f t="shared" si="287"/>
        <v>-</v>
      </c>
      <c r="AO326" s="376" t="str">
        <f t="shared" si="288"/>
        <v>-</v>
      </c>
      <c r="AP326" s="394" t="s">
        <v>78</v>
      </c>
      <c r="AQ326" s="395" t="s">
        <v>78</v>
      </c>
      <c r="AR326" s="396" t="str">
        <f t="shared" si="264"/>
        <v>-</v>
      </c>
      <c r="AS326" s="397" t="str">
        <f>IFERROR(AVERAGE(AR326:AR328),"N/A")</f>
        <v>N/A</v>
      </c>
      <c r="AT326" s="401" t="s">
        <v>78</v>
      </c>
      <c r="AU326" s="396" t="str">
        <f t="shared" si="265"/>
        <v>-</v>
      </c>
      <c r="AV326" s="397" t="str">
        <f>IFERROR(AVERAGE(AU326:AU328),"N/A")</f>
        <v>N/A</v>
      </c>
      <c r="AW326" s="388" t="str">
        <f t="shared" si="289"/>
        <v>-</v>
      </c>
      <c r="AX326" s="389" t="str">
        <f t="shared" si="290"/>
        <v>-</v>
      </c>
      <c r="AY326" s="353" t="s">
        <v>78</v>
      </c>
      <c r="AZ326" s="403"/>
      <c r="BA326" s="404"/>
    </row>
    <row r="327" spans="1:53" ht="15" customHeight="1">
      <c r="A327" s="1" t="str">
        <f t="shared" si="263"/>
        <v>0_2024_</v>
      </c>
      <c r="B327" s="1" t="str">
        <f t="shared" si="267"/>
        <v>0_2024_CFO</v>
      </c>
      <c r="D327" s="114">
        <f t="shared" si="296"/>
        <v>0</v>
      </c>
      <c r="E327" s="133" t="str">
        <f>_xll.ciqfunctions.udf.CIQ(D327,"IQ_Company_Name")</f>
        <v>(Invalid Identifier)</v>
      </c>
      <c r="F327" s="114">
        <f t="shared" si="292"/>
        <v>2024</v>
      </c>
      <c r="G327" s="114" t="str">
        <f t="shared" si="277"/>
        <v>2024-01-01</v>
      </c>
      <c r="H327" s="330" t="str">
        <f t="shared" si="256"/>
        <v>2024-12-31</v>
      </c>
      <c r="I327" s="114">
        <f t="shared" si="284"/>
        <v>12</v>
      </c>
      <c r="J327" s="407" t="str">
        <f>J326</f>
        <v>CAD</v>
      </c>
      <c r="K327" s="439">
        <f t="shared" si="269"/>
        <v>1</v>
      </c>
      <c r="L327" s="445"/>
      <c r="M327" s="982"/>
      <c r="N327" s="443" t="str">
        <f t="shared" ref="N327:P328" si="299">N326</f>
        <v>CFO</v>
      </c>
      <c r="O327" s="123" t="str">
        <f t="shared" si="299"/>
        <v>-</v>
      </c>
      <c r="P327" s="132" t="str">
        <f t="shared" si="299"/>
        <v>-</v>
      </c>
      <c r="Q327" s="219" t="s">
        <v>78</v>
      </c>
      <c r="R327" s="125" t="str">
        <f t="shared" si="275"/>
        <v>-</v>
      </c>
      <c r="S327" s="311" t="s">
        <v>78</v>
      </c>
      <c r="T327" s="126" t="str">
        <f t="shared" si="253"/>
        <v>-</v>
      </c>
      <c r="U327" s="221" t="s">
        <v>78</v>
      </c>
      <c r="V327" s="125" t="str">
        <f t="shared" si="298"/>
        <v>-</v>
      </c>
      <c r="W327" s="127" t="str">
        <f t="shared" si="280"/>
        <v>-</v>
      </c>
      <c r="X327" s="128"/>
      <c r="Y327" s="223" t="s">
        <v>78</v>
      </c>
      <c r="Z327" s="129" t="str">
        <f t="shared" si="281"/>
        <v>-</v>
      </c>
      <c r="AA327" s="124" t="str">
        <f t="shared" si="285"/>
        <v>-</v>
      </c>
      <c r="AB327" s="130" t="str">
        <f t="shared" si="286"/>
        <v>-</v>
      </c>
      <c r="AC327" s="221" t="s">
        <v>78</v>
      </c>
      <c r="AD327" s="225" t="s">
        <v>78</v>
      </c>
      <c r="AE327" s="225" t="s">
        <v>78</v>
      </c>
      <c r="AF327" s="225" t="s">
        <v>78</v>
      </c>
      <c r="AG327" s="225" t="s">
        <v>78</v>
      </c>
      <c r="AH327" s="125" t="str">
        <f t="shared" si="270"/>
        <v>-</v>
      </c>
      <c r="AI327" s="127" t="str">
        <f t="shared" si="282"/>
        <v>-</v>
      </c>
      <c r="AJ327" s="128"/>
      <c r="AK327" s="223" t="s">
        <v>78</v>
      </c>
      <c r="AL327" s="131" t="str">
        <f t="shared" si="283"/>
        <v>-</v>
      </c>
      <c r="AM327" s="368" t="str">
        <f t="shared" ref="AM327:AM358" si="300">IFERROR($AH327*$K327,"-")</f>
        <v>-</v>
      </c>
      <c r="AN327" s="375" t="str">
        <f t="shared" si="287"/>
        <v>-</v>
      </c>
      <c r="AO327" s="376" t="str">
        <f t="shared" si="288"/>
        <v>-</v>
      </c>
      <c r="AP327" s="394" t="s">
        <v>78</v>
      </c>
      <c r="AQ327" s="395" t="s">
        <v>78</v>
      </c>
      <c r="AR327" s="396" t="str">
        <f t="shared" si="264"/>
        <v>-</v>
      </c>
      <c r="AS327" s="397"/>
      <c r="AT327" s="401" t="s">
        <v>78</v>
      </c>
      <c r="AU327" s="396" t="str">
        <f t="shared" si="265"/>
        <v>-</v>
      </c>
      <c r="AV327" s="397"/>
      <c r="AW327" s="388" t="str">
        <f t="shared" si="289"/>
        <v>-</v>
      </c>
      <c r="AX327" s="389" t="str">
        <f t="shared" si="290"/>
        <v>-</v>
      </c>
      <c r="AY327" s="353" t="s">
        <v>78</v>
      </c>
      <c r="AZ327" s="403"/>
      <c r="BA327" s="404"/>
    </row>
    <row r="328" spans="1:53" ht="15" customHeight="1">
      <c r="A328" s="1" t="str">
        <f t="shared" si="263"/>
        <v>0_2023_</v>
      </c>
      <c r="B328" s="1" t="str">
        <f t="shared" si="267"/>
        <v>0_2023_CFO</v>
      </c>
      <c r="D328" s="114">
        <f t="shared" si="296"/>
        <v>0</v>
      </c>
      <c r="E328" s="133" t="str">
        <f>_xll.ciqfunctions.udf.CIQ(D328,"IQ_Company_Name")</f>
        <v>(Invalid Identifier)</v>
      </c>
      <c r="F328" s="114">
        <f t="shared" si="292"/>
        <v>2023</v>
      </c>
      <c r="G328" s="114" t="str">
        <f t="shared" si="277"/>
        <v>2023-01-01</v>
      </c>
      <c r="H328" s="330" t="str">
        <f t="shared" si="256"/>
        <v>2023-12-31</v>
      </c>
      <c r="I328" s="114">
        <f t="shared" si="284"/>
        <v>12</v>
      </c>
      <c r="J328" s="407" t="str">
        <f t="shared" si="278"/>
        <v>CAD</v>
      </c>
      <c r="K328" s="439">
        <f t="shared" si="269"/>
        <v>1</v>
      </c>
      <c r="L328" s="445"/>
      <c r="M328" s="982"/>
      <c r="N328" s="443" t="str">
        <f t="shared" si="299"/>
        <v>CFO</v>
      </c>
      <c r="O328" s="123" t="str">
        <f t="shared" si="299"/>
        <v>-</v>
      </c>
      <c r="P328" s="132" t="str">
        <f t="shared" si="299"/>
        <v>-</v>
      </c>
      <c r="Q328" s="219" t="s">
        <v>78</v>
      </c>
      <c r="R328" s="125" t="str">
        <f t="shared" si="275"/>
        <v>-</v>
      </c>
      <c r="S328" s="311" t="s">
        <v>78</v>
      </c>
      <c r="T328" s="126" t="str">
        <f t="shared" si="253"/>
        <v>-</v>
      </c>
      <c r="U328" s="221" t="s">
        <v>78</v>
      </c>
      <c r="V328" s="125" t="str">
        <f t="shared" si="298"/>
        <v>-</v>
      </c>
      <c r="W328" s="127" t="str">
        <f t="shared" si="280"/>
        <v>-</v>
      </c>
      <c r="X328" s="128"/>
      <c r="Y328" s="223" t="s">
        <v>78</v>
      </c>
      <c r="Z328" s="129" t="str">
        <f t="shared" si="281"/>
        <v>-</v>
      </c>
      <c r="AA328" s="124" t="str">
        <f t="shared" si="285"/>
        <v>-</v>
      </c>
      <c r="AB328" s="130" t="str">
        <f t="shared" si="286"/>
        <v>-</v>
      </c>
      <c r="AC328" s="221" t="s">
        <v>78</v>
      </c>
      <c r="AD328" s="225" t="s">
        <v>78</v>
      </c>
      <c r="AE328" s="225" t="s">
        <v>78</v>
      </c>
      <c r="AF328" s="225" t="s">
        <v>78</v>
      </c>
      <c r="AG328" s="225" t="s">
        <v>78</v>
      </c>
      <c r="AH328" s="125" t="str">
        <f t="shared" si="270"/>
        <v>-</v>
      </c>
      <c r="AI328" s="127" t="str">
        <f t="shared" si="282"/>
        <v>-</v>
      </c>
      <c r="AJ328" s="128"/>
      <c r="AK328" s="223" t="s">
        <v>78</v>
      </c>
      <c r="AL328" s="131" t="str">
        <f t="shared" si="283"/>
        <v>-</v>
      </c>
      <c r="AM328" s="368" t="str">
        <f t="shared" si="300"/>
        <v>-</v>
      </c>
      <c r="AN328" s="375" t="str">
        <f t="shared" si="287"/>
        <v>-</v>
      </c>
      <c r="AO328" s="376" t="str">
        <f t="shared" si="288"/>
        <v>-</v>
      </c>
      <c r="AP328" s="394" t="s">
        <v>78</v>
      </c>
      <c r="AQ328" s="395" t="s">
        <v>78</v>
      </c>
      <c r="AR328" s="396" t="str">
        <f t="shared" si="264"/>
        <v>-</v>
      </c>
      <c r="AS328" s="397"/>
      <c r="AT328" s="401" t="s">
        <v>78</v>
      </c>
      <c r="AU328" s="396" t="str">
        <f t="shared" si="265"/>
        <v>-</v>
      </c>
      <c r="AV328" s="397"/>
      <c r="AW328" s="388" t="str">
        <f t="shared" si="289"/>
        <v>-</v>
      </c>
      <c r="AX328" s="389" t="str">
        <f t="shared" si="290"/>
        <v>-</v>
      </c>
      <c r="AY328" s="353" t="s">
        <v>78</v>
      </c>
      <c r="AZ328" s="403"/>
      <c r="BA328" s="404"/>
    </row>
    <row r="329" spans="1:53" ht="15" customHeight="1">
      <c r="A329" s="1" t="str">
        <f t="shared" si="263"/>
        <v>0_2025_</v>
      </c>
      <c r="B329" s="1" t="str">
        <f t="shared" si="267"/>
        <v>0_2025_NEO1</v>
      </c>
      <c r="D329" s="114">
        <f t="shared" si="296"/>
        <v>0</v>
      </c>
      <c r="E329" s="133" t="str">
        <f>_xll.ciqfunctions.udf.CIQ(D329,"IQ_Company_Name")</f>
        <v>(Invalid Identifier)</v>
      </c>
      <c r="F329" s="114">
        <f t="shared" si="292"/>
        <v>2025</v>
      </c>
      <c r="G329" s="330" t="str">
        <f t="shared" si="277"/>
        <v>2025-01-01</v>
      </c>
      <c r="H329" s="330" t="str">
        <f t="shared" si="256"/>
        <v>2025-12-31</v>
      </c>
      <c r="I329" s="114">
        <f t="shared" si="284"/>
        <v>12</v>
      </c>
      <c r="J329" s="407" t="str">
        <f t="shared" si="278"/>
        <v>CAD</v>
      </c>
      <c r="K329" s="439">
        <f t="shared" si="269"/>
        <v>1</v>
      </c>
      <c r="L329" s="445"/>
      <c r="M329" s="982"/>
      <c r="N329" s="442" t="s">
        <v>107</v>
      </c>
      <c r="O329" s="217" t="s">
        <v>78</v>
      </c>
      <c r="P329" s="218" t="s">
        <v>78</v>
      </c>
      <c r="Q329" s="219" t="s">
        <v>78</v>
      </c>
      <c r="R329" s="125" t="str">
        <f t="shared" si="275"/>
        <v>-</v>
      </c>
      <c r="S329" s="311" t="s">
        <v>78</v>
      </c>
      <c r="T329" s="126" t="str">
        <f t="shared" si="253"/>
        <v>-</v>
      </c>
      <c r="U329" s="221" t="s">
        <v>78</v>
      </c>
      <c r="V329" s="125" t="str">
        <f t="shared" si="298"/>
        <v>-</v>
      </c>
      <c r="W329" s="127" t="str">
        <f t="shared" si="280"/>
        <v>-</v>
      </c>
      <c r="X329" s="128" t="str">
        <f>IFERROR(AVERAGE(W329:W331),"N/A")</f>
        <v>N/A</v>
      </c>
      <c r="Y329" s="223" t="s">
        <v>78</v>
      </c>
      <c r="Z329" s="129" t="str">
        <f t="shared" si="281"/>
        <v>-</v>
      </c>
      <c r="AA329" s="124" t="str">
        <f t="shared" si="285"/>
        <v>-</v>
      </c>
      <c r="AB329" s="130" t="str">
        <f t="shared" si="286"/>
        <v>-</v>
      </c>
      <c r="AC329" s="221" t="s">
        <v>78</v>
      </c>
      <c r="AD329" s="225" t="s">
        <v>78</v>
      </c>
      <c r="AE329" s="225" t="s">
        <v>78</v>
      </c>
      <c r="AF329" s="225" t="s">
        <v>78</v>
      </c>
      <c r="AG329" s="225" t="s">
        <v>78</v>
      </c>
      <c r="AH329" s="125" t="str">
        <f t="shared" si="270"/>
        <v>-</v>
      </c>
      <c r="AI329" s="127" t="str">
        <f t="shared" si="282"/>
        <v>-</v>
      </c>
      <c r="AJ329" s="128" t="str">
        <f>IFERROR(AVERAGE(AI329:AI331),"N/A")</f>
        <v>N/A</v>
      </c>
      <c r="AK329" s="223" t="s">
        <v>78</v>
      </c>
      <c r="AL329" s="131" t="str">
        <f t="shared" si="283"/>
        <v>-</v>
      </c>
      <c r="AM329" s="368" t="str">
        <f t="shared" si="300"/>
        <v>-</v>
      </c>
      <c r="AN329" s="375" t="str">
        <f t="shared" si="287"/>
        <v>-</v>
      </c>
      <c r="AO329" s="376" t="str">
        <f t="shared" si="288"/>
        <v>-</v>
      </c>
      <c r="AP329" s="394" t="s">
        <v>78</v>
      </c>
      <c r="AQ329" s="395" t="s">
        <v>78</v>
      </c>
      <c r="AR329" s="396" t="str">
        <f t="shared" si="264"/>
        <v>-</v>
      </c>
      <c r="AS329" s="397" t="str">
        <f>IFERROR(AVERAGE(AR329:AR331),"N/A")</f>
        <v>N/A</v>
      </c>
      <c r="AT329" s="401" t="s">
        <v>78</v>
      </c>
      <c r="AU329" s="396" t="str">
        <f t="shared" si="265"/>
        <v>-</v>
      </c>
      <c r="AV329" s="397" t="str">
        <f>IFERROR(AVERAGE(AU329:AU331),"N/A")</f>
        <v>N/A</v>
      </c>
      <c r="AW329" s="388" t="str">
        <f t="shared" si="289"/>
        <v>-</v>
      </c>
      <c r="AX329" s="389" t="str">
        <f t="shared" si="290"/>
        <v>-</v>
      </c>
      <c r="AY329" s="353" t="s">
        <v>78</v>
      </c>
      <c r="AZ329" s="403"/>
      <c r="BA329" s="404"/>
    </row>
    <row r="330" spans="1:53" ht="15" customHeight="1">
      <c r="A330" s="1" t="str">
        <f t="shared" si="263"/>
        <v>0_2024_</v>
      </c>
      <c r="B330" s="1" t="str">
        <f t="shared" si="267"/>
        <v>0_2024_NEO1</v>
      </c>
      <c r="D330" s="114">
        <f t="shared" si="296"/>
        <v>0</v>
      </c>
      <c r="E330" s="133" t="str">
        <f>_xll.ciqfunctions.udf.CIQ(D330,"IQ_Company_Name")</f>
        <v>(Invalid Identifier)</v>
      </c>
      <c r="F330" s="114">
        <f t="shared" si="292"/>
        <v>2024</v>
      </c>
      <c r="G330" s="330" t="str">
        <f t="shared" si="277"/>
        <v>2024-01-01</v>
      </c>
      <c r="H330" s="330" t="str">
        <f t="shared" si="256"/>
        <v>2024-12-31</v>
      </c>
      <c r="I330" s="114">
        <f t="shared" si="284"/>
        <v>12</v>
      </c>
      <c r="J330" s="407" t="str">
        <f t="shared" si="278"/>
        <v>CAD</v>
      </c>
      <c r="K330" s="439">
        <f t="shared" si="269"/>
        <v>1</v>
      </c>
      <c r="L330" s="445"/>
      <c r="M330" s="982"/>
      <c r="N330" s="443" t="str">
        <f t="shared" ref="N330:P331" si="301">N329</f>
        <v>NEO1</v>
      </c>
      <c r="O330" s="123" t="str">
        <f t="shared" si="301"/>
        <v>-</v>
      </c>
      <c r="P330" s="132" t="str">
        <f t="shared" si="301"/>
        <v>-</v>
      </c>
      <c r="Q330" s="219" t="s">
        <v>78</v>
      </c>
      <c r="R330" s="125" t="str">
        <f t="shared" si="275"/>
        <v>-</v>
      </c>
      <c r="S330" s="311" t="s">
        <v>78</v>
      </c>
      <c r="T330" s="126" t="str">
        <f t="shared" si="253"/>
        <v>-</v>
      </c>
      <c r="U330" s="221" t="s">
        <v>78</v>
      </c>
      <c r="V330" s="125" t="str">
        <f t="shared" si="298"/>
        <v>-</v>
      </c>
      <c r="W330" s="127" t="str">
        <f t="shared" si="280"/>
        <v>-</v>
      </c>
      <c r="X330" s="128"/>
      <c r="Y330" s="223" t="s">
        <v>78</v>
      </c>
      <c r="Z330" s="129" t="str">
        <f t="shared" si="281"/>
        <v>-</v>
      </c>
      <c r="AA330" s="124" t="str">
        <f t="shared" si="285"/>
        <v>-</v>
      </c>
      <c r="AB330" s="130" t="str">
        <f t="shared" si="286"/>
        <v>-</v>
      </c>
      <c r="AC330" s="221" t="s">
        <v>78</v>
      </c>
      <c r="AD330" s="225" t="s">
        <v>78</v>
      </c>
      <c r="AE330" s="225" t="s">
        <v>78</v>
      </c>
      <c r="AF330" s="225" t="s">
        <v>78</v>
      </c>
      <c r="AG330" s="225" t="s">
        <v>78</v>
      </c>
      <c r="AH330" s="125" t="str">
        <f t="shared" si="270"/>
        <v>-</v>
      </c>
      <c r="AI330" s="127" t="str">
        <f t="shared" si="282"/>
        <v>-</v>
      </c>
      <c r="AJ330" s="128"/>
      <c r="AK330" s="223" t="s">
        <v>78</v>
      </c>
      <c r="AL330" s="131" t="str">
        <f t="shared" si="283"/>
        <v>-</v>
      </c>
      <c r="AM330" s="368" t="str">
        <f t="shared" si="300"/>
        <v>-</v>
      </c>
      <c r="AN330" s="375" t="str">
        <f t="shared" si="287"/>
        <v>-</v>
      </c>
      <c r="AO330" s="376" t="str">
        <f t="shared" si="288"/>
        <v>-</v>
      </c>
      <c r="AP330" s="394" t="s">
        <v>78</v>
      </c>
      <c r="AQ330" s="395" t="s">
        <v>78</v>
      </c>
      <c r="AR330" s="396" t="str">
        <f t="shared" si="264"/>
        <v>-</v>
      </c>
      <c r="AS330" s="397"/>
      <c r="AT330" s="401" t="s">
        <v>78</v>
      </c>
      <c r="AU330" s="396" t="str">
        <f t="shared" si="265"/>
        <v>-</v>
      </c>
      <c r="AV330" s="397"/>
      <c r="AW330" s="388" t="str">
        <f t="shared" si="289"/>
        <v>-</v>
      </c>
      <c r="AX330" s="389" t="str">
        <f t="shared" si="290"/>
        <v>-</v>
      </c>
      <c r="AY330" s="353" t="s">
        <v>78</v>
      </c>
      <c r="AZ330" s="403"/>
      <c r="BA330" s="404"/>
    </row>
    <row r="331" spans="1:53" ht="15" customHeight="1">
      <c r="A331" s="1" t="str">
        <f t="shared" si="263"/>
        <v>0_2023_</v>
      </c>
      <c r="B331" s="1" t="str">
        <f t="shared" si="267"/>
        <v>0_2023_NEO1</v>
      </c>
      <c r="D331" s="114">
        <f t="shared" si="296"/>
        <v>0</v>
      </c>
      <c r="E331" s="133" t="str">
        <f>_xll.ciqfunctions.udf.CIQ(D331,"IQ_Company_Name")</f>
        <v>(Invalid Identifier)</v>
      </c>
      <c r="F331" s="114">
        <f t="shared" si="292"/>
        <v>2023</v>
      </c>
      <c r="G331" s="114" t="str">
        <f t="shared" si="277"/>
        <v>2023-01-01</v>
      </c>
      <c r="H331" s="330" t="str">
        <f t="shared" si="256"/>
        <v>2023-12-31</v>
      </c>
      <c r="I331" s="114">
        <f t="shared" si="284"/>
        <v>12</v>
      </c>
      <c r="J331" s="407" t="str">
        <f t="shared" si="278"/>
        <v>CAD</v>
      </c>
      <c r="K331" s="439">
        <f t="shared" si="269"/>
        <v>1</v>
      </c>
      <c r="L331" s="445"/>
      <c r="M331" s="982"/>
      <c r="N331" s="443" t="str">
        <f t="shared" si="301"/>
        <v>NEO1</v>
      </c>
      <c r="O331" s="123" t="str">
        <f t="shared" si="301"/>
        <v>-</v>
      </c>
      <c r="P331" s="132" t="str">
        <f t="shared" si="301"/>
        <v>-</v>
      </c>
      <c r="Q331" s="219" t="s">
        <v>78</v>
      </c>
      <c r="R331" s="125" t="str">
        <f t="shared" si="275"/>
        <v>-</v>
      </c>
      <c r="S331" s="311" t="s">
        <v>78</v>
      </c>
      <c r="T331" s="126" t="str">
        <f t="shared" si="253"/>
        <v>-</v>
      </c>
      <c r="U331" s="221" t="s">
        <v>78</v>
      </c>
      <c r="V331" s="125" t="str">
        <f t="shared" si="298"/>
        <v>-</v>
      </c>
      <c r="W331" s="127" t="str">
        <f t="shared" si="280"/>
        <v>-</v>
      </c>
      <c r="X331" s="128"/>
      <c r="Y331" s="223" t="s">
        <v>78</v>
      </c>
      <c r="Z331" s="129" t="str">
        <f t="shared" si="281"/>
        <v>-</v>
      </c>
      <c r="AA331" s="124" t="str">
        <f t="shared" si="285"/>
        <v>-</v>
      </c>
      <c r="AB331" s="130" t="str">
        <f t="shared" si="286"/>
        <v>-</v>
      </c>
      <c r="AC331" s="221" t="s">
        <v>78</v>
      </c>
      <c r="AD331" s="225" t="s">
        <v>78</v>
      </c>
      <c r="AE331" s="225" t="s">
        <v>78</v>
      </c>
      <c r="AF331" s="225" t="s">
        <v>78</v>
      </c>
      <c r="AG331" s="225" t="s">
        <v>78</v>
      </c>
      <c r="AH331" s="125" t="str">
        <f t="shared" si="270"/>
        <v>-</v>
      </c>
      <c r="AI331" s="127" t="str">
        <f t="shared" si="282"/>
        <v>-</v>
      </c>
      <c r="AJ331" s="128"/>
      <c r="AK331" s="223" t="s">
        <v>78</v>
      </c>
      <c r="AL331" s="131" t="str">
        <f t="shared" si="283"/>
        <v>-</v>
      </c>
      <c r="AM331" s="368" t="str">
        <f t="shared" si="300"/>
        <v>-</v>
      </c>
      <c r="AN331" s="375" t="str">
        <f t="shared" si="287"/>
        <v>-</v>
      </c>
      <c r="AO331" s="376" t="str">
        <f t="shared" si="288"/>
        <v>-</v>
      </c>
      <c r="AP331" s="394" t="s">
        <v>78</v>
      </c>
      <c r="AQ331" s="395" t="s">
        <v>78</v>
      </c>
      <c r="AR331" s="396" t="str">
        <f t="shared" si="264"/>
        <v>-</v>
      </c>
      <c r="AS331" s="397"/>
      <c r="AT331" s="401" t="s">
        <v>78</v>
      </c>
      <c r="AU331" s="396" t="str">
        <f t="shared" si="265"/>
        <v>-</v>
      </c>
      <c r="AV331" s="397"/>
      <c r="AW331" s="388" t="str">
        <f t="shared" si="289"/>
        <v>-</v>
      </c>
      <c r="AX331" s="389" t="str">
        <f t="shared" si="290"/>
        <v>-</v>
      </c>
      <c r="AY331" s="353" t="s">
        <v>78</v>
      </c>
      <c r="AZ331" s="403"/>
      <c r="BA331" s="404"/>
    </row>
    <row r="332" spans="1:53" ht="15" customHeight="1">
      <c r="A332" s="1" t="str">
        <f t="shared" si="263"/>
        <v>0_2025_</v>
      </c>
      <c r="B332" s="1" t="str">
        <f t="shared" si="267"/>
        <v>0_2025_NEO2</v>
      </c>
      <c r="D332" s="114">
        <f t="shared" si="296"/>
        <v>0</v>
      </c>
      <c r="E332" s="133" t="str">
        <f>_xll.ciqfunctions.udf.CIQ(D332,"IQ_Company_Name")</f>
        <v>(Invalid Identifier)</v>
      </c>
      <c r="F332" s="114">
        <f t="shared" si="292"/>
        <v>2025</v>
      </c>
      <c r="G332" s="114" t="str">
        <f t="shared" si="277"/>
        <v>2025-01-01</v>
      </c>
      <c r="H332" s="330" t="str">
        <f t="shared" ref="H332:H367" si="302">F332&amp;"-12-31"</f>
        <v>2025-12-31</v>
      </c>
      <c r="I332" s="114">
        <f t="shared" si="284"/>
        <v>12</v>
      </c>
      <c r="J332" s="407" t="str">
        <f t="shared" si="278"/>
        <v>CAD</v>
      </c>
      <c r="K332" s="439">
        <f t="shared" si="269"/>
        <v>1</v>
      </c>
      <c r="L332" s="445"/>
      <c r="M332" s="982"/>
      <c r="N332" s="442" t="s">
        <v>108</v>
      </c>
      <c r="O332" s="217" t="s">
        <v>78</v>
      </c>
      <c r="P332" s="218" t="s">
        <v>78</v>
      </c>
      <c r="Q332" s="219" t="s">
        <v>78</v>
      </c>
      <c r="R332" s="125" t="str">
        <f t="shared" si="275"/>
        <v>-</v>
      </c>
      <c r="S332" s="311" t="s">
        <v>78</v>
      </c>
      <c r="T332" s="126" t="str">
        <f t="shared" si="253"/>
        <v>-</v>
      </c>
      <c r="U332" s="221" t="s">
        <v>78</v>
      </c>
      <c r="V332" s="125" t="str">
        <f t="shared" si="298"/>
        <v>-</v>
      </c>
      <c r="W332" s="127" t="str">
        <f t="shared" si="280"/>
        <v>-</v>
      </c>
      <c r="X332" s="128" t="str">
        <f>IFERROR(AVERAGE(W332:W334),"N/A")</f>
        <v>N/A</v>
      </c>
      <c r="Y332" s="223" t="s">
        <v>78</v>
      </c>
      <c r="Z332" s="129" t="str">
        <f t="shared" si="281"/>
        <v>-</v>
      </c>
      <c r="AA332" s="124" t="str">
        <f t="shared" si="285"/>
        <v>-</v>
      </c>
      <c r="AB332" s="130" t="str">
        <f t="shared" si="286"/>
        <v>-</v>
      </c>
      <c r="AC332" s="221" t="s">
        <v>78</v>
      </c>
      <c r="AD332" s="225" t="s">
        <v>78</v>
      </c>
      <c r="AE332" s="225" t="s">
        <v>78</v>
      </c>
      <c r="AF332" s="225" t="s">
        <v>78</v>
      </c>
      <c r="AG332" s="225" t="s">
        <v>78</v>
      </c>
      <c r="AH332" s="125" t="str">
        <f t="shared" si="270"/>
        <v>-</v>
      </c>
      <c r="AI332" s="127" t="str">
        <f t="shared" si="282"/>
        <v>-</v>
      </c>
      <c r="AJ332" s="128" t="str">
        <f>IFERROR(AVERAGE(AI332:AI334),"N/A")</f>
        <v>N/A</v>
      </c>
      <c r="AK332" s="223" t="s">
        <v>78</v>
      </c>
      <c r="AL332" s="131" t="str">
        <f t="shared" si="283"/>
        <v>-</v>
      </c>
      <c r="AM332" s="368" t="str">
        <f t="shared" si="300"/>
        <v>-</v>
      </c>
      <c r="AN332" s="375" t="str">
        <f t="shared" si="287"/>
        <v>-</v>
      </c>
      <c r="AO332" s="376" t="str">
        <f t="shared" si="288"/>
        <v>-</v>
      </c>
      <c r="AP332" s="394" t="s">
        <v>78</v>
      </c>
      <c r="AQ332" s="395" t="s">
        <v>78</v>
      </c>
      <c r="AR332" s="396" t="str">
        <f t="shared" si="264"/>
        <v>-</v>
      </c>
      <c r="AS332" s="397" t="str">
        <f>IFERROR(AVERAGE(AR332:AR334),"N/A")</f>
        <v>N/A</v>
      </c>
      <c r="AT332" s="401" t="s">
        <v>78</v>
      </c>
      <c r="AU332" s="396" t="str">
        <f t="shared" si="265"/>
        <v>-</v>
      </c>
      <c r="AV332" s="397" t="str">
        <f>IFERROR(AVERAGE(AU332:AU334),"N/A")</f>
        <v>N/A</v>
      </c>
      <c r="AW332" s="388" t="str">
        <f t="shared" si="289"/>
        <v>-</v>
      </c>
      <c r="AX332" s="389" t="str">
        <f t="shared" si="290"/>
        <v>-</v>
      </c>
      <c r="AY332" s="353" t="s">
        <v>78</v>
      </c>
      <c r="AZ332" s="403"/>
      <c r="BA332" s="404"/>
    </row>
    <row r="333" spans="1:53" ht="15" customHeight="1">
      <c r="A333" s="1" t="str">
        <f t="shared" si="263"/>
        <v>0_2024_</v>
      </c>
      <c r="B333" s="1" t="str">
        <f t="shared" si="267"/>
        <v>0_2024_NEO2</v>
      </c>
      <c r="D333" s="114">
        <f t="shared" si="296"/>
        <v>0</v>
      </c>
      <c r="E333" s="133" t="str">
        <f>_xll.ciqfunctions.udf.CIQ(D333,"IQ_Company_Name")</f>
        <v>(Invalid Identifier)</v>
      </c>
      <c r="F333" s="114">
        <f t="shared" si="292"/>
        <v>2024</v>
      </c>
      <c r="G333" s="114" t="str">
        <f t="shared" si="277"/>
        <v>2024-01-01</v>
      </c>
      <c r="H333" s="330" t="str">
        <f t="shared" si="302"/>
        <v>2024-12-31</v>
      </c>
      <c r="I333" s="114">
        <f t="shared" si="284"/>
        <v>12</v>
      </c>
      <c r="J333" s="407" t="str">
        <f t="shared" si="278"/>
        <v>CAD</v>
      </c>
      <c r="K333" s="439">
        <f t="shared" si="269"/>
        <v>1</v>
      </c>
      <c r="L333" s="445"/>
      <c r="M333" s="982"/>
      <c r="N333" s="443" t="str">
        <f t="shared" ref="N333:P334" si="303">N332</f>
        <v>NEO2</v>
      </c>
      <c r="O333" s="123" t="str">
        <f t="shared" si="303"/>
        <v>-</v>
      </c>
      <c r="P333" s="132" t="str">
        <f t="shared" si="303"/>
        <v>-</v>
      </c>
      <c r="Q333" s="219" t="s">
        <v>78</v>
      </c>
      <c r="R333" s="125" t="str">
        <f t="shared" si="275"/>
        <v>-</v>
      </c>
      <c r="S333" s="311" t="s">
        <v>78</v>
      </c>
      <c r="T333" s="126" t="str">
        <f t="shared" si="253"/>
        <v>-</v>
      </c>
      <c r="U333" s="221" t="s">
        <v>78</v>
      </c>
      <c r="V333" s="125" t="str">
        <f t="shared" si="298"/>
        <v>-</v>
      </c>
      <c r="W333" s="127" t="str">
        <f t="shared" si="280"/>
        <v>-</v>
      </c>
      <c r="X333" s="128"/>
      <c r="Y333" s="223" t="s">
        <v>78</v>
      </c>
      <c r="Z333" s="129" t="str">
        <f t="shared" si="281"/>
        <v>-</v>
      </c>
      <c r="AA333" s="124" t="str">
        <f t="shared" si="285"/>
        <v>-</v>
      </c>
      <c r="AB333" s="130" t="str">
        <f t="shared" si="286"/>
        <v>-</v>
      </c>
      <c r="AC333" s="221" t="s">
        <v>78</v>
      </c>
      <c r="AD333" s="225" t="s">
        <v>78</v>
      </c>
      <c r="AE333" s="225" t="s">
        <v>78</v>
      </c>
      <c r="AF333" s="225" t="s">
        <v>78</v>
      </c>
      <c r="AG333" s="225" t="s">
        <v>78</v>
      </c>
      <c r="AH333" s="125" t="str">
        <f t="shared" si="270"/>
        <v>-</v>
      </c>
      <c r="AI333" s="127" t="str">
        <f t="shared" si="282"/>
        <v>-</v>
      </c>
      <c r="AJ333" s="128"/>
      <c r="AK333" s="223" t="s">
        <v>78</v>
      </c>
      <c r="AL333" s="131" t="str">
        <f t="shared" si="283"/>
        <v>-</v>
      </c>
      <c r="AM333" s="368" t="str">
        <f t="shared" si="300"/>
        <v>-</v>
      </c>
      <c r="AN333" s="375" t="str">
        <f t="shared" si="287"/>
        <v>-</v>
      </c>
      <c r="AO333" s="376" t="str">
        <f t="shared" si="288"/>
        <v>-</v>
      </c>
      <c r="AP333" s="394" t="s">
        <v>78</v>
      </c>
      <c r="AQ333" s="395" t="s">
        <v>78</v>
      </c>
      <c r="AR333" s="396" t="str">
        <f t="shared" si="264"/>
        <v>-</v>
      </c>
      <c r="AS333" s="397"/>
      <c r="AT333" s="401" t="s">
        <v>78</v>
      </c>
      <c r="AU333" s="396" t="str">
        <f t="shared" si="265"/>
        <v>-</v>
      </c>
      <c r="AV333" s="397"/>
      <c r="AW333" s="388" t="str">
        <f t="shared" si="289"/>
        <v>-</v>
      </c>
      <c r="AX333" s="389" t="str">
        <f t="shared" si="290"/>
        <v>-</v>
      </c>
      <c r="AY333" s="353" t="s">
        <v>78</v>
      </c>
      <c r="AZ333" s="403"/>
      <c r="BA333" s="404"/>
    </row>
    <row r="334" spans="1:53" ht="15" customHeight="1">
      <c r="A334" s="1" t="str">
        <f t="shared" si="263"/>
        <v>0_2023_</v>
      </c>
      <c r="B334" s="1" t="str">
        <f t="shared" si="267"/>
        <v>0_2023_NEO2</v>
      </c>
      <c r="D334" s="114">
        <f t="shared" si="296"/>
        <v>0</v>
      </c>
      <c r="E334" s="133" t="str">
        <f>_xll.ciqfunctions.udf.CIQ(D334,"IQ_Company_Name")</f>
        <v>(Invalid Identifier)</v>
      </c>
      <c r="F334" s="114">
        <f t="shared" si="292"/>
        <v>2023</v>
      </c>
      <c r="G334" s="114" t="str">
        <f t="shared" si="277"/>
        <v>2023-01-01</v>
      </c>
      <c r="H334" s="330" t="str">
        <f t="shared" si="302"/>
        <v>2023-12-31</v>
      </c>
      <c r="I334" s="114">
        <f t="shared" si="284"/>
        <v>12</v>
      </c>
      <c r="J334" s="407" t="str">
        <f t="shared" si="278"/>
        <v>CAD</v>
      </c>
      <c r="K334" s="439">
        <f t="shared" si="269"/>
        <v>1</v>
      </c>
      <c r="L334" s="445"/>
      <c r="M334" s="982"/>
      <c r="N334" s="443" t="str">
        <f t="shared" si="303"/>
        <v>NEO2</v>
      </c>
      <c r="O334" s="123" t="str">
        <f t="shared" si="303"/>
        <v>-</v>
      </c>
      <c r="P334" s="132" t="str">
        <f t="shared" si="303"/>
        <v>-</v>
      </c>
      <c r="Q334" s="219" t="s">
        <v>78</v>
      </c>
      <c r="R334" s="125" t="str">
        <f t="shared" si="275"/>
        <v>-</v>
      </c>
      <c r="S334" s="311" t="s">
        <v>78</v>
      </c>
      <c r="T334" s="126" t="str">
        <f t="shared" si="253"/>
        <v>-</v>
      </c>
      <c r="U334" s="221" t="s">
        <v>78</v>
      </c>
      <c r="V334" s="125" t="str">
        <f t="shared" si="298"/>
        <v>-</v>
      </c>
      <c r="W334" s="127" t="str">
        <f t="shared" si="280"/>
        <v>-</v>
      </c>
      <c r="X334" s="128"/>
      <c r="Y334" s="223" t="s">
        <v>78</v>
      </c>
      <c r="Z334" s="129" t="str">
        <f t="shared" si="281"/>
        <v>-</v>
      </c>
      <c r="AA334" s="124" t="str">
        <f t="shared" si="285"/>
        <v>-</v>
      </c>
      <c r="AB334" s="130" t="str">
        <f t="shared" si="286"/>
        <v>-</v>
      </c>
      <c r="AC334" s="221" t="s">
        <v>78</v>
      </c>
      <c r="AD334" s="225" t="s">
        <v>78</v>
      </c>
      <c r="AE334" s="225" t="s">
        <v>78</v>
      </c>
      <c r="AF334" s="225" t="s">
        <v>78</v>
      </c>
      <c r="AG334" s="225" t="s">
        <v>78</v>
      </c>
      <c r="AH334" s="125" t="str">
        <f t="shared" si="270"/>
        <v>-</v>
      </c>
      <c r="AI334" s="127" t="str">
        <f t="shared" si="282"/>
        <v>-</v>
      </c>
      <c r="AJ334" s="128"/>
      <c r="AK334" s="223" t="s">
        <v>78</v>
      </c>
      <c r="AL334" s="131" t="str">
        <f t="shared" si="283"/>
        <v>-</v>
      </c>
      <c r="AM334" s="368" t="str">
        <f t="shared" si="300"/>
        <v>-</v>
      </c>
      <c r="AN334" s="375" t="str">
        <f t="shared" si="287"/>
        <v>-</v>
      </c>
      <c r="AO334" s="376" t="str">
        <f t="shared" si="288"/>
        <v>-</v>
      </c>
      <c r="AP334" s="394" t="s">
        <v>78</v>
      </c>
      <c r="AQ334" s="395" t="s">
        <v>78</v>
      </c>
      <c r="AR334" s="396" t="str">
        <f t="shared" si="264"/>
        <v>-</v>
      </c>
      <c r="AS334" s="397"/>
      <c r="AT334" s="401" t="s">
        <v>78</v>
      </c>
      <c r="AU334" s="396" t="str">
        <f t="shared" si="265"/>
        <v>-</v>
      </c>
      <c r="AV334" s="397"/>
      <c r="AW334" s="388" t="str">
        <f t="shared" si="289"/>
        <v>-</v>
      </c>
      <c r="AX334" s="389" t="str">
        <f t="shared" si="290"/>
        <v>-</v>
      </c>
      <c r="AY334" s="353" t="s">
        <v>78</v>
      </c>
      <c r="AZ334" s="403"/>
      <c r="BA334" s="404"/>
    </row>
    <row r="335" spans="1:53" ht="15" customHeight="1">
      <c r="A335" s="1" t="str">
        <f t="shared" si="263"/>
        <v>0_2025_</v>
      </c>
      <c r="B335" s="1" t="str">
        <f t="shared" si="267"/>
        <v>0_2025_NEO3</v>
      </c>
      <c r="D335" s="114">
        <f t="shared" si="296"/>
        <v>0</v>
      </c>
      <c r="E335" s="133" t="str">
        <f>_xll.ciqfunctions.udf.CIQ(D335,"IQ_Company_Name")</f>
        <v>(Invalid Identifier)</v>
      </c>
      <c r="F335" s="114">
        <f t="shared" si="292"/>
        <v>2025</v>
      </c>
      <c r="G335" s="114" t="str">
        <f t="shared" si="277"/>
        <v>2025-01-01</v>
      </c>
      <c r="H335" s="330" t="str">
        <f t="shared" si="302"/>
        <v>2025-12-31</v>
      </c>
      <c r="I335" s="114">
        <f t="shared" si="284"/>
        <v>12</v>
      </c>
      <c r="J335" s="407" t="str">
        <f t="shared" si="278"/>
        <v>CAD</v>
      </c>
      <c r="K335" s="439">
        <f t="shared" si="269"/>
        <v>1</v>
      </c>
      <c r="L335" s="445"/>
      <c r="M335" s="982"/>
      <c r="N335" s="442" t="s">
        <v>109</v>
      </c>
      <c r="O335" s="217" t="s">
        <v>78</v>
      </c>
      <c r="P335" s="218" t="s">
        <v>78</v>
      </c>
      <c r="Q335" s="219" t="s">
        <v>78</v>
      </c>
      <c r="R335" s="125" t="str">
        <f t="shared" si="275"/>
        <v>-</v>
      </c>
      <c r="S335" s="311" t="s">
        <v>78</v>
      </c>
      <c r="T335" s="126" t="str">
        <f t="shared" si="253"/>
        <v>-</v>
      </c>
      <c r="U335" s="221" t="s">
        <v>78</v>
      </c>
      <c r="V335" s="125" t="str">
        <f t="shared" si="298"/>
        <v>-</v>
      </c>
      <c r="W335" s="127" t="str">
        <f t="shared" si="280"/>
        <v>-</v>
      </c>
      <c r="X335" s="128" t="str">
        <f>IFERROR(AVERAGE(W335:W337),"N/A")</f>
        <v>N/A</v>
      </c>
      <c r="Y335" s="223" t="s">
        <v>78</v>
      </c>
      <c r="Z335" s="129" t="str">
        <f t="shared" si="281"/>
        <v>-</v>
      </c>
      <c r="AA335" s="124" t="str">
        <f t="shared" si="285"/>
        <v>-</v>
      </c>
      <c r="AB335" s="130" t="str">
        <f t="shared" si="286"/>
        <v>-</v>
      </c>
      <c r="AC335" s="221" t="s">
        <v>78</v>
      </c>
      <c r="AD335" s="225" t="s">
        <v>78</v>
      </c>
      <c r="AE335" s="225" t="s">
        <v>78</v>
      </c>
      <c r="AF335" s="225" t="s">
        <v>78</v>
      </c>
      <c r="AG335" s="225" t="s">
        <v>78</v>
      </c>
      <c r="AH335" s="125" t="str">
        <f t="shared" si="270"/>
        <v>-</v>
      </c>
      <c r="AI335" s="127" t="str">
        <f t="shared" si="282"/>
        <v>-</v>
      </c>
      <c r="AJ335" s="128" t="str">
        <f>IFERROR(AVERAGE(AI335:AI337),"N/A")</f>
        <v>N/A</v>
      </c>
      <c r="AK335" s="223" t="s">
        <v>78</v>
      </c>
      <c r="AL335" s="131" t="str">
        <f t="shared" si="283"/>
        <v>-</v>
      </c>
      <c r="AM335" s="368" t="str">
        <f t="shared" si="300"/>
        <v>-</v>
      </c>
      <c r="AN335" s="375" t="str">
        <f t="shared" si="287"/>
        <v>-</v>
      </c>
      <c r="AO335" s="376" t="str">
        <f t="shared" si="288"/>
        <v>-</v>
      </c>
      <c r="AP335" s="394" t="s">
        <v>78</v>
      </c>
      <c r="AQ335" s="395" t="s">
        <v>78</v>
      </c>
      <c r="AR335" s="396" t="str">
        <f t="shared" si="264"/>
        <v>-</v>
      </c>
      <c r="AS335" s="397" t="str">
        <f>IFERROR(AVERAGE(AR335:AR337),"N/A")</f>
        <v>N/A</v>
      </c>
      <c r="AT335" s="401" t="s">
        <v>78</v>
      </c>
      <c r="AU335" s="396" t="str">
        <f t="shared" si="265"/>
        <v>-</v>
      </c>
      <c r="AV335" s="397" t="str">
        <f>IFERROR(AVERAGE(AU335:AU337),"N/A")</f>
        <v>N/A</v>
      </c>
      <c r="AW335" s="388" t="str">
        <f t="shared" si="289"/>
        <v>-</v>
      </c>
      <c r="AX335" s="389" t="str">
        <f t="shared" si="290"/>
        <v>-</v>
      </c>
      <c r="AY335" s="353" t="s">
        <v>78</v>
      </c>
      <c r="AZ335" s="403"/>
      <c r="BA335" s="404"/>
    </row>
    <row r="336" spans="1:53" ht="15" customHeight="1">
      <c r="A336" s="1" t="str">
        <f t="shared" si="263"/>
        <v>0_2024_</v>
      </c>
      <c r="B336" s="1" t="str">
        <f t="shared" si="267"/>
        <v>0_2024_NEO3</v>
      </c>
      <c r="D336" s="114">
        <f t="shared" si="296"/>
        <v>0</v>
      </c>
      <c r="E336" s="133" t="str">
        <f>_xll.ciqfunctions.udf.CIQ(D336,"IQ_Company_Name")</f>
        <v>(Invalid Identifier)</v>
      </c>
      <c r="F336" s="114">
        <f t="shared" si="292"/>
        <v>2024</v>
      </c>
      <c r="G336" s="114" t="str">
        <f t="shared" si="277"/>
        <v>2024-01-01</v>
      </c>
      <c r="H336" s="330" t="str">
        <f t="shared" si="302"/>
        <v>2024-12-31</v>
      </c>
      <c r="I336" s="114">
        <f t="shared" si="284"/>
        <v>12</v>
      </c>
      <c r="J336" s="407" t="str">
        <f t="shared" si="278"/>
        <v>CAD</v>
      </c>
      <c r="K336" s="439">
        <f t="shared" si="269"/>
        <v>1</v>
      </c>
      <c r="L336" s="445"/>
      <c r="M336" s="982"/>
      <c r="N336" s="443" t="str">
        <f t="shared" ref="N336:P337" si="304">N335</f>
        <v>NEO3</v>
      </c>
      <c r="O336" s="123" t="str">
        <f t="shared" si="304"/>
        <v>-</v>
      </c>
      <c r="P336" s="132" t="str">
        <f t="shared" si="304"/>
        <v>-</v>
      </c>
      <c r="Q336" s="219" t="s">
        <v>78</v>
      </c>
      <c r="R336" s="125" t="str">
        <f t="shared" si="275"/>
        <v>-</v>
      </c>
      <c r="S336" s="311" t="s">
        <v>78</v>
      </c>
      <c r="T336" s="126" t="str">
        <f t="shared" si="253"/>
        <v>-</v>
      </c>
      <c r="U336" s="221" t="s">
        <v>78</v>
      </c>
      <c r="V336" s="125" t="str">
        <f t="shared" si="298"/>
        <v>-</v>
      </c>
      <c r="W336" s="127" t="str">
        <f t="shared" si="280"/>
        <v>-</v>
      </c>
      <c r="X336" s="128"/>
      <c r="Y336" s="223" t="s">
        <v>78</v>
      </c>
      <c r="Z336" s="129" t="str">
        <f t="shared" si="281"/>
        <v>-</v>
      </c>
      <c r="AA336" s="124" t="str">
        <f t="shared" si="285"/>
        <v>-</v>
      </c>
      <c r="AB336" s="130" t="str">
        <f t="shared" si="286"/>
        <v>-</v>
      </c>
      <c r="AC336" s="221" t="s">
        <v>78</v>
      </c>
      <c r="AD336" s="225" t="s">
        <v>78</v>
      </c>
      <c r="AE336" s="225" t="s">
        <v>78</v>
      </c>
      <c r="AF336" s="225" t="s">
        <v>78</v>
      </c>
      <c r="AG336" s="225" t="s">
        <v>78</v>
      </c>
      <c r="AH336" s="125" t="str">
        <f t="shared" si="270"/>
        <v>-</v>
      </c>
      <c r="AI336" s="127" t="str">
        <f t="shared" si="282"/>
        <v>-</v>
      </c>
      <c r="AJ336" s="128"/>
      <c r="AK336" s="223" t="s">
        <v>78</v>
      </c>
      <c r="AL336" s="131" t="str">
        <f t="shared" si="283"/>
        <v>-</v>
      </c>
      <c r="AM336" s="368" t="str">
        <f t="shared" si="300"/>
        <v>-</v>
      </c>
      <c r="AN336" s="375" t="str">
        <f t="shared" si="287"/>
        <v>-</v>
      </c>
      <c r="AO336" s="376" t="str">
        <f t="shared" si="288"/>
        <v>-</v>
      </c>
      <c r="AP336" s="394" t="s">
        <v>78</v>
      </c>
      <c r="AQ336" s="395" t="s">
        <v>78</v>
      </c>
      <c r="AR336" s="396" t="str">
        <f t="shared" si="264"/>
        <v>-</v>
      </c>
      <c r="AS336" s="397"/>
      <c r="AT336" s="401" t="s">
        <v>78</v>
      </c>
      <c r="AU336" s="396" t="str">
        <f t="shared" si="265"/>
        <v>-</v>
      </c>
      <c r="AV336" s="397"/>
      <c r="AW336" s="388" t="str">
        <f t="shared" si="289"/>
        <v>-</v>
      </c>
      <c r="AX336" s="389" t="str">
        <f t="shared" si="290"/>
        <v>-</v>
      </c>
      <c r="AY336" s="353" t="s">
        <v>78</v>
      </c>
      <c r="AZ336" s="403"/>
      <c r="BA336" s="404"/>
    </row>
    <row r="337" spans="1:53" ht="15" customHeight="1">
      <c r="A337" s="1" t="str">
        <f t="shared" si="263"/>
        <v>0_2023_</v>
      </c>
      <c r="B337" s="1" t="str">
        <f t="shared" si="267"/>
        <v>0_2023_NEO3</v>
      </c>
      <c r="D337" s="203">
        <f t="shared" si="296"/>
        <v>0</v>
      </c>
      <c r="E337" s="205" t="str">
        <f>_xll.ciqfunctions.udf.CIQ(D337,"IQ_Company_Name")</f>
        <v>(Invalid Identifier)</v>
      </c>
      <c r="F337" s="204">
        <f t="shared" si="292"/>
        <v>2023</v>
      </c>
      <c r="G337" s="204" t="str">
        <f t="shared" si="277"/>
        <v>2023-01-01</v>
      </c>
      <c r="H337" s="331" t="str">
        <f t="shared" si="302"/>
        <v>2023-12-31</v>
      </c>
      <c r="I337" s="204">
        <f t="shared" si="284"/>
        <v>12</v>
      </c>
      <c r="J337" s="408" t="str">
        <f t="shared" si="278"/>
        <v>CAD</v>
      </c>
      <c r="K337" s="441">
        <f t="shared" si="269"/>
        <v>1</v>
      </c>
      <c r="L337" s="447"/>
      <c r="M337" s="983"/>
      <c r="N337" s="444" t="str">
        <f t="shared" si="304"/>
        <v>NEO3</v>
      </c>
      <c r="O337" s="206" t="str">
        <f t="shared" si="304"/>
        <v>-</v>
      </c>
      <c r="P337" s="207" t="str">
        <f t="shared" si="304"/>
        <v>-</v>
      </c>
      <c r="Q337" s="220" t="s">
        <v>78</v>
      </c>
      <c r="R337" s="209" t="str">
        <f t="shared" ref="R337:R368" si="305">IFERROR(Q337*(12/$I337)*$K337,"-")</f>
        <v>-</v>
      </c>
      <c r="S337" s="312" t="s">
        <v>78</v>
      </c>
      <c r="T337" s="329" t="str">
        <f t="shared" ref="T337:T400" si="306">IFERROR(IF((S337*$K337)=0,"-",(S337*$K337)),"-")</f>
        <v>-</v>
      </c>
      <c r="U337" s="222" t="s">
        <v>78</v>
      </c>
      <c r="V337" s="209" t="str">
        <f t="shared" si="298"/>
        <v>-</v>
      </c>
      <c r="W337" s="211" t="str">
        <f t="shared" si="280"/>
        <v>-</v>
      </c>
      <c r="X337" s="212"/>
      <c r="Y337" s="224" t="s">
        <v>78</v>
      </c>
      <c r="Z337" s="213" t="str">
        <f t="shared" si="281"/>
        <v>-</v>
      </c>
      <c r="AA337" s="208" t="str">
        <f t="shared" si="285"/>
        <v>-</v>
      </c>
      <c r="AB337" s="214" t="str">
        <f t="shared" si="286"/>
        <v>-</v>
      </c>
      <c r="AC337" s="222" t="s">
        <v>78</v>
      </c>
      <c r="AD337" s="226" t="s">
        <v>78</v>
      </c>
      <c r="AE337" s="226" t="s">
        <v>78</v>
      </c>
      <c r="AF337" s="226" t="s">
        <v>78</v>
      </c>
      <c r="AG337" s="226" t="s">
        <v>78</v>
      </c>
      <c r="AH337" s="418" t="str">
        <f t="shared" si="270"/>
        <v>-</v>
      </c>
      <c r="AI337" s="211" t="str">
        <f t="shared" si="282"/>
        <v>-</v>
      </c>
      <c r="AJ337" s="212"/>
      <c r="AK337" s="224" t="s">
        <v>78</v>
      </c>
      <c r="AL337" s="215" t="str">
        <f t="shared" si="283"/>
        <v>-</v>
      </c>
      <c r="AM337" s="369" t="str">
        <f t="shared" si="300"/>
        <v>-</v>
      </c>
      <c r="AN337" s="377" t="str">
        <f t="shared" si="287"/>
        <v>-</v>
      </c>
      <c r="AO337" s="378" t="str">
        <f t="shared" si="288"/>
        <v>-</v>
      </c>
      <c r="AP337" s="398" t="s">
        <v>78</v>
      </c>
      <c r="AQ337" s="399" t="s">
        <v>78</v>
      </c>
      <c r="AR337" s="396" t="str">
        <f t="shared" si="264"/>
        <v>-</v>
      </c>
      <c r="AS337" s="400"/>
      <c r="AT337" s="402" t="s">
        <v>78</v>
      </c>
      <c r="AU337" s="396" t="str">
        <f t="shared" si="265"/>
        <v>-</v>
      </c>
      <c r="AV337" s="400"/>
      <c r="AW337" s="390" t="str">
        <f t="shared" si="289"/>
        <v>-</v>
      </c>
      <c r="AX337" s="391" t="str">
        <f t="shared" si="290"/>
        <v>-</v>
      </c>
      <c r="AY337" s="354" t="s">
        <v>78</v>
      </c>
      <c r="AZ337" s="405"/>
      <c r="BA337" s="406"/>
    </row>
    <row r="338" spans="1:53" ht="15" customHeight="1">
      <c r="A338" s="1" t="str">
        <f t="shared" si="263"/>
        <v>0_2025_</v>
      </c>
      <c r="B338" s="1" t="str">
        <f t="shared" si="267"/>
        <v>0_2025_CEO</v>
      </c>
      <c r="D338" s="216">
        <f>E23</f>
        <v>0</v>
      </c>
      <c r="E338" s="133" t="str">
        <f>_xll.ciqfunctions.udf.CIQ(D338,"IQ_Company_Name")</f>
        <v>(Invalid Identifier)</v>
      </c>
      <c r="F338" s="328">
        <f>$G$9</f>
        <v>2025</v>
      </c>
      <c r="G338" s="330" t="str">
        <f t="shared" si="277"/>
        <v>2025-01-01</v>
      </c>
      <c r="H338" s="330" t="str">
        <f t="shared" si="302"/>
        <v>2025-12-31</v>
      </c>
      <c r="I338" s="114">
        <f t="shared" si="284"/>
        <v>12</v>
      </c>
      <c r="J338" s="328" t="str">
        <f>$H$5</f>
        <v>CAD</v>
      </c>
      <c r="K338" s="439">
        <f t="shared" si="269"/>
        <v>1</v>
      </c>
      <c r="L338" s="445"/>
      <c r="M338" s="982"/>
      <c r="N338" s="442" t="s">
        <v>79</v>
      </c>
      <c r="O338" s="217" t="s">
        <v>78</v>
      </c>
      <c r="P338" s="218" t="s">
        <v>78</v>
      </c>
      <c r="Q338" s="219" t="s">
        <v>78</v>
      </c>
      <c r="R338" s="125" t="str">
        <f t="shared" si="305"/>
        <v>-</v>
      </c>
      <c r="S338" s="311" t="s">
        <v>78</v>
      </c>
      <c r="T338" s="126" t="str">
        <f t="shared" si="306"/>
        <v>-</v>
      </c>
      <c r="U338" s="221" t="s">
        <v>78</v>
      </c>
      <c r="V338" s="125" t="str">
        <f t="shared" si="298"/>
        <v>-</v>
      </c>
      <c r="W338" s="127" t="str">
        <f t="shared" si="280"/>
        <v>-</v>
      </c>
      <c r="X338" s="128" t="str">
        <f>IFERROR(AVERAGE(W338:W340),"N/A")</f>
        <v>N/A</v>
      </c>
      <c r="Y338" s="223" t="s">
        <v>78</v>
      </c>
      <c r="Z338" s="129" t="str">
        <f t="shared" si="281"/>
        <v>-</v>
      </c>
      <c r="AA338" s="124" t="str">
        <f t="shared" si="285"/>
        <v>-</v>
      </c>
      <c r="AB338" s="130" t="str">
        <f t="shared" si="286"/>
        <v>-</v>
      </c>
      <c r="AC338" s="221" t="s">
        <v>78</v>
      </c>
      <c r="AD338" s="225" t="s">
        <v>78</v>
      </c>
      <c r="AE338" s="225" t="s">
        <v>78</v>
      </c>
      <c r="AF338" s="225" t="s">
        <v>78</v>
      </c>
      <c r="AG338" s="225" t="s">
        <v>78</v>
      </c>
      <c r="AH338" s="125" t="str">
        <f t="shared" si="270"/>
        <v>-</v>
      </c>
      <c r="AI338" s="127" t="str">
        <f t="shared" si="282"/>
        <v>-</v>
      </c>
      <c r="AJ338" s="128" t="str">
        <f>IFERROR(AVERAGE(AI338:AI340),"N/A")</f>
        <v>N/A</v>
      </c>
      <c r="AK338" s="223" t="s">
        <v>78</v>
      </c>
      <c r="AL338" s="131" t="str">
        <f t="shared" si="283"/>
        <v>-</v>
      </c>
      <c r="AM338" s="368" t="str">
        <f t="shared" si="300"/>
        <v>-</v>
      </c>
      <c r="AN338" s="375" t="str">
        <f t="shared" si="287"/>
        <v>-</v>
      </c>
      <c r="AO338" s="376" t="str">
        <f t="shared" si="288"/>
        <v>-</v>
      </c>
      <c r="AP338" s="394" t="s">
        <v>78</v>
      </c>
      <c r="AQ338" s="395" t="s">
        <v>78</v>
      </c>
      <c r="AR338" s="396" t="str">
        <f t="shared" si="264"/>
        <v>-</v>
      </c>
      <c r="AS338" s="409" t="str">
        <f>IFERROR(AVERAGE(AR338:AR340),"N/A")</f>
        <v>N/A</v>
      </c>
      <c r="AT338" s="401" t="s">
        <v>78</v>
      </c>
      <c r="AU338" s="396" t="str">
        <f t="shared" si="265"/>
        <v>-</v>
      </c>
      <c r="AV338" s="409" t="str">
        <f>IFERROR(AVERAGE(AU338:AU340),"N/A")</f>
        <v>N/A</v>
      </c>
      <c r="AW338" s="388" t="str">
        <f t="shared" si="289"/>
        <v>-</v>
      </c>
      <c r="AX338" s="389" t="str">
        <f t="shared" si="290"/>
        <v>-</v>
      </c>
      <c r="AY338" s="353" t="s">
        <v>78</v>
      </c>
      <c r="AZ338" s="403"/>
      <c r="BA338" s="404"/>
    </row>
    <row r="339" spans="1:53" ht="15" customHeight="1">
      <c r="A339" s="1" t="str">
        <f t="shared" si="263"/>
        <v>0_2024_</v>
      </c>
      <c r="B339" s="1" t="str">
        <f t="shared" si="267"/>
        <v>0_2024_CEO</v>
      </c>
      <c r="D339" s="114">
        <f>D338</f>
        <v>0</v>
      </c>
      <c r="E339" s="133" t="str">
        <f>_xll.ciqfunctions.udf.CIQ(D339,"IQ_Company_Name")</f>
        <v>(Invalid Identifier)</v>
      </c>
      <c r="F339" s="328">
        <f>$G$10</f>
        <v>2024</v>
      </c>
      <c r="G339" s="330" t="str">
        <f t="shared" si="277"/>
        <v>2024-01-01</v>
      </c>
      <c r="H339" s="330" t="str">
        <f t="shared" si="302"/>
        <v>2024-12-31</v>
      </c>
      <c r="I339" s="114">
        <f t="shared" si="284"/>
        <v>12</v>
      </c>
      <c r="J339" s="407" t="str">
        <f>J338</f>
        <v>CAD</v>
      </c>
      <c r="K339" s="439">
        <f t="shared" si="269"/>
        <v>1</v>
      </c>
      <c r="L339" s="445"/>
      <c r="M339" s="982"/>
      <c r="N339" s="443" t="str">
        <f t="shared" ref="N339:P340" si="307">N338</f>
        <v>CEO</v>
      </c>
      <c r="O339" s="123" t="str">
        <f t="shared" si="307"/>
        <v>-</v>
      </c>
      <c r="P339" s="132" t="str">
        <f t="shared" si="307"/>
        <v>-</v>
      </c>
      <c r="Q339" s="219" t="s">
        <v>78</v>
      </c>
      <c r="R339" s="125" t="str">
        <f t="shared" si="305"/>
        <v>-</v>
      </c>
      <c r="S339" s="311" t="s">
        <v>78</v>
      </c>
      <c r="T339" s="126" t="str">
        <f t="shared" si="306"/>
        <v>-</v>
      </c>
      <c r="U339" s="221" t="s">
        <v>78</v>
      </c>
      <c r="V339" s="125" t="str">
        <f t="shared" si="298"/>
        <v>-</v>
      </c>
      <c r="W339" s="127" t="str">
        <f t="shared" si="280"/>
        <v>-</v>
      </c>
      <c r="X339" s="128"/>
      <c r="Y339" s="223" t="s">
        <v>78</v>
      </c>
      <c r="Z339" s="129" t="str">
        <f t="shared" si="281"/>
        <v>-</v>
      </c>
      <c r="AA339" s="124" t="str">
        <f t="shared" si="285"/>
        <v>-</v>
      </c>
      <c r="AB339" s="130" t="str">
        <f t="shared" si="286"/>
        <v>-</v>
      </c>
      <c r="AC339" s="221" t="s">
        <v>78</v>
      </c>
      <c r="AD339" s="225" t="s">
        <v>78</v>
      </c>
      <c r="AE339" s="225" t="s">
        <v>78</v>
      </c>
      <c r="AF339" s="225" t="s">
        <v>78</v>
      </c>
      <c r="AG339" s="225" t="s">
        <v>78</v>
      </c>
      <c r="AH339" s="125" t="str">
        <f t="shared" si="270"/>
        <v>-</v>
      </c>
      <c r="AI339" s="127" t="str">
        <f t="shared" si="282"/>
        <v>-</v>
      </c>
      <c r="AJ339" s="128"/>
      <c r="AK339" s="223" t="s">
        <v>78</v>
      </c>
      <c r="AL339" s="131" t="str">
        <f t="shared" si="283"/>
        <v>-</v>
      </c>
      <c r="AM339" s="368" t="str">
        <f t="shared" si="300"/>
        <v>-</v>
      </c>
      <c r="AN339" s="375" t="str">
        <f t="shared" si="287"/>
        <v>-</v>
      </c>
      <c r="AO339" s="376" t="str">
        <f t="shared" si="288"/>
        <v>-</v>
      </c>
      <c r="AP339" s="394" t="s">
        <v>78</v>
      </c>
      <c r="AQ339" s="395" t="s">
        <v>78</v>
      </c>
      <c r="AR339" s="396" t="str">
        <f t="shared" si="264"/>
        <v>-</v>
      </c>
      <c r="AS339" s="397"/>
      <c r="AT339" s="401" t="s">
        <v>78</v>
      </c>
      <c r="AU339" s="396" t="str">
        <f t="shared" si="265"/>
        <v>-</v>
      </c>
      <c r="AV339" s="397"/>
      <c r="AW339" s="388" t="str">
        <f t="shared" si="289"/>
        <v>-</v>
      </c>
      <c r="AX339" s="389" t="str">
        <f t="shared" si="290"/>
        <v>-</v>
      </c>
      <c r="AY339" s="353" t="s">
        <v>78</v>
      </c>
      <c r="AZ339" s="403"/>
      <c r="BA339" s="404"/>
    </row>
    <row r="340" spans="1:53" ht="15" customHeight="1">
      <c r="A340" s="1" t="str">
        <f t="shared" si="263"/>
        <v>0_2023_</v>
      </c>
      <c r="B340" s="1" t="str">
        <f t="shared" si="267"/>
        <v>0_2023_CEO</v>
      </c>
      <c r="D340" s="114">
        <f t="shared" si="296"/>
        <v>0</v>
      </c>
      <c r="E340" s="133" t="str">
        <f>_xll.ciqfunctions.udf.CIQ(D340,"IQ_Company_Name")</f>
        <v>(Invalid Identifier)</v>
      </c>
      <c r="F340" s="328">
        <f>$G$11</f>
        <v>2023</v>
      </c>
      <c r="G340" s="114" t="str">
        <f t="shared" si="277"/>
        <v>2023-01-01</v>
      </c>
      <c r="H340" s="330" t="str">
        <f t="shared" si="302"/>
        <v>2023-12-31</v>
      </c>
      <c r="I340" s="114">
        <f t="shared" si="284"/>
        <v>12</v>
      </c>
      <c r="J340" s="407" t="str">
        <f>J339</f>
        <v>CAD</v>
      </c>
      <c r="K340" s="439">
        <f t="shared" si="269"/>
        <v>1</v>
      </c>
      <c r="L340" s="445"/>
      <c r="M340" s="982"/>
      <c r="N340" s="443" t="str">
        <f t="shared" si="307"/>
        <v>CEO</v>
      </c>
      <c r="O340" s="123" t="str">
        <f t="shared" si="307"/>
        <v>-</v>
      </c>
      <c r="P340" s="132" t="str">
        <f t="shared" si="307"/>
        <v>-</v>
      </c>
      <c r="Q340" s="219" t="s">
        <v>78</v>
      </c>
      <c r="R340" s="125" t="str">
        <f t="shared" si="305"/>
        <v>-</v>
      </c>
      <c r="S340" s="311" t="s">
        <v>78</v>
      </c>
      <c r="T340" s="126" t="str">
        <f t="shared" si="306"/>
        <v>-</v>
      </c>
      <c r="U340" s="221" t="s">
        <v>78</v>
      </c>
      <c r="V340" s="125" t="str">
        <f t="shared" si="298"/>
        <v>-</v>
      </c>
      <c r="W340" s="127" t="str">
        <f t="shared" si="280"/>
        <v>-</v>
      </c>
      <c r="X340" s="128"/>
      <c r="Y340" s="223" t="s">
        <v>78</v>
      </c>
      <c r="Z340" s="129" t="str">
        <f t="shared" si="281"/>
        <v>-</v>
      </c>
      <c r="AA340" s="124" t="str">
        <f t="shared" si="285"/>
        <v>-</v>
      </c>
      <c r="AB340" s="130" t="str">
        <f t="shared" si="286"/>
        <v>-</v>
      </c>
      <c r="AC340" s="221" t="s">
        <v>78</v>
      </c>
      <c r="AD340" s="225" t="s">
        <v>78</v>
      </c>
      <c r="AE340" s="225" t="s">
        <v>78</v>
      </c>
      <c r="AF340" s="225" t="s">
        <v>78</v>
      </c>
      <c r="AG340" s="225" t="s">
        <v>78</v>
      </c>
      <c r="AH340" s="125" t="str">
        <f t="shared" si="270"/>
        <v>-</v>
      </c>
      <c r="AI340" s="127" t="str">
        <f t="shared" si="282"/>
        <v>-</v>
      </c>
      <c r="AJ340" s="128"/>
      <c r="AK340" s="223" t="s">
        <v>78</v>
      </c>
      <c r="AL340" s="131" t="str">
        <f t="shared" si="283"/>
        <v>-</v>
      </c>
      <c r="AM340" s="368" t="str">
        <f t="shared" si="300"/>
        <v>-</v>
      </c>
      <c r="AN340" s="375" t="str">
        <f t="shared" si="287"/>
        <v>-</v>
      </c>
      <c r="AO340" s="376" t="str">
        <f t="shared" si="288"/>
        <v>-</v>
      </c>
      <c r="AP340" s="394" t="s">
        <v>78</v>
      </c>
      <c r="AQ340" s="395" t="s">
        <v>78</v>
      </c>
      <c r="AR340" s="396" t="str">
        <f t="shared" si="264"/>
        <v>-</v>
      </c>
      <c r="AS340" s="397"/>
      <c r="AT340" s="401" t="s">
        <v>78</v>
      </c>
      <c r="AU340" s="396" t="str">
        <f t="shared" si="265"/>
        <v>-</v>
      </c>
      <c r="AV340" s="397"/>
      <c r="AW340" s="388" t="str">
        <f t="shared" si="289"/>
        <v>-</v>
      </c>
      <c r="AX340" s="389" t="str">
        <f t="shared" si="290"/>
        <v>-</v>
      </c>
      <c r="AY340" s="353" t="s">
        <v>78</v>
      </c>
      <c r="AZ340" s="403"/>
      <c r="BA340" s="404"/>
    </row>
    <row r="341" spans="1:53" ht="15" customHeight="1">
      <c r="A341" s="1" t="str">
        <f t="shared" si="263"/>
        <v>0_2025_</v>
      </c>
      <c r="B341" s="1" t="str">
        <f t="shared" si="267"/>
        <v>0_2025_CFO</v>
      </c>
      <c r="D341" s="114">
        <f t="shared" si="296"/>
        <v>0</v>
      </c>
      <c r="E341" s="133" t="str">
        <f>_xll.ciqfunctions.udf.CIQ(D341,"IQ_Company_Name")</f>
        <v>(Invalid Identifier)</v>
      </c>
      <c r="F341" s="114">
        <f t="shared" si="292"/>
        <v>2025</v>
      </c>
      <c r="G341" s="114" t="str">
        <f t="shared" si="277"/>
        <v>2025-01-01</v>
      </c>
      <c r="H341" s="330" t="str">
        <f t="shared" si="302"/>
        <v>2025-12-31</v>
      </c>
      <c r="I341" s="114">
        <f t="shared" si="284"/>
        <v>12</v>
      </c>
      <c r="J341" s="407" t="str">
        <f>J340</f>
        <v>CAD</v>
      </c>
      <c r="K341" s="439">
        <f t="shared" si="269"/>
        <v>1</v>
      </c>
      <c r="L341" s="445"/>
      <c r="M341" s="982"/>
      <c r="N341" s="442" t="s">
        <v>106</v>
      </c>
      <c r="O341" s="217" t="s">
        <v>78</v>
      </c>
      <c r="P341" s="218" t="s">
        <v>78</v>
      </c>
      <c r="Q341" s="219" t="s">
        <v>78</v>
      </c>
      <c r="R341" s="125" t="str">
        <f t="shared" si="305"/>
        <v>-</v>
      </c>
      <c r="S341" s="311" t="s">
        <v>78</v>
      </c>
      <c r="T341" s="126" t="str">
        <f t="shared" si="306"/>
        <v>-</v>
      </c>
      <c r="U341" s="221" t="s">
        <v>78</v>
      </c>
      <c r="V341" s="125" t="str">
        <f t="shared" si="298"/>
        <v>-</v>
      </c>
      <c r="W341" s="127" t="str">
        <f t="shared" si="280"/>
        <v>-</v>
      </c>
      <c r="X341" s="128" t="str">
        <f>IFERROR(AVERAGE(W341:W343),"N/A")</f>
        <v>N/A</v>
      </c>
      <c r="Y341" s="223" t="s">
        <v>78</v>
      </c>
      <c r="Z341" s="129" t="str">
        <f t="shared" si="281"/>
        <v>-</v>
      </c>
      <c r="AA341" s="124" t="str">
        <f t="shared" si="285"/>
        <v>-</v>
      </c>
      <c r="AB341" s="130" t="str">
        <f t="shared" si="286"/>
        <v>-</v>
      </c>
      <c r="AC341" s="221" t="s">
        <v>78</v>
      </c>
      <c r="AD341" s="225" t="s">
        <v>78</v>
      </c>
      <c r="AE341" s="225" t="s">
        <v>78</v>
      </c>
      <c r="AF341" s="225" t="s">
        <v>78</v>
      </c>
      <c r="AG341" s="225" t="s">
        <v>78</v>
      </c>
      <c r="AH341" s="125" t="str">
        <f t="shared" si="270"/>
        <v>-</v>
      </c>
      <c r="AI341" s="127" t="str">
        <f t="shared" si="282"/>
        <v>-</v>
      </c>
      <c r="AJ341" s="128" t="str">
        <f>IFERROR(AVERAGE(AI341:AI343),"N/A")</f>
        <v>N/A</v>
      </c>
      <c r="AK341" s="223" t="s">
        <v>78</v>
      </c>
      <c r="AL341" s="131" t="str">
        <f t="shared" si="283"/>
        <v>-</v>
      </c>
      <c r="AM341" s="368" t="str">
        <f t="shared" si="300"/>
        <v>-</v>
      </c>
      <c r="AN341" s="375" t="str">
        <f t="shared" si="287"/>
        <v>-</v>
      </c>
      <c r="AO341" s="376" t="str">
        <f t="shared" si="288"/>
        <v>-</v>
      </c>
      <c r="AP341" s="394" t="s">
        <v>78</v>
      </c>
      <c r="AQ341" s="395" t="s">
        <v>78</v>
      </c>
      <c r="AR341" s="396" t="str">
        <f t="shared" si="264"/>
        <v>-</v>
      </c>
      <c r="AS341" s="397" t="str">
        <f>IFERROR(AVERAGE(AR341:AR343),"N/A")</f>
        <v>N/A</v>
      </c>
      <c r="AT341" s="401" t="s">
        <v>78</v>
      </c>
      <c r="AU341" s="396" t="str">
        <f t="shared" si="265"/>
        <v>-</v>
      </c>
      <c r="AV341" s="397" t="str">
        <f>IFERROR(AVERAGE(AU341:AU343),"N/A")</f>
        <v>N/A</v>
      </c>
      <c r="AW341" s="388" t="str">
        <f t="shared" si="289"/>
        <v>-</v>
      </c>
      <c r="AX341" s="389" t="str">
        <f t="shared" si="290"/>
        <v>-</v>
      </c>
      <c r="AY341" s="353" t="s">
        <v>78</v>
      </c>
      <c r="AZ341" s="403"/>
      <c r="BA341" s="404"/>
    </row>
    <row r="342" spans="1:53" ht="15" customHeight="1">
      <c r="A342" s="1" t="str">
        <f t="shared" si="263"/>
        <v>0_2024_</v>
      </c>
      <c r="B342" s="1" t="str">
        <f t="shared" si="267"/>
        <v>0_2024_CFO</v>
      </c>
      <c r="D342" s="114">
        <f t="shared" si="296"/>
        <v>0</v>
      </c>
      <c r="E342" s="133" t="str">
        <f>_xll.ciqfunctions.udf.CIQ(D342,"IQ_Company_Name")</f>
        <v>(Invalid Identifier)</v>
      </c>
      <c r="F342" s="114">
        <f t="shared" si="292"/>
        <v>2024</v>
      </c>
      <c r="G342" s="114" t="str">
        <f t="shared" si="277"/>
        <v>2024-01-01</v>
      </c>
      <c r="H342" s="330" t="str">
        <f t="shared" si="302"/>
        <v>2024-12-31</v>
      </c>
      <c r="I342" s="114">
        <f t="shared" si="284"/>
        <v>12</v>
      </c>
      <c r="J342" s="407" t="str">
        <f>J341</f>
        <v>CAD</v>
      </c>
      <c r="K342" s="439">
        <f t="shared" si="269"/>
        <v>1</v>
      </c>
      <c r="L342" s="445"/>
      <c r="M342" s="982"/>
      <c r="N342" s="443" t="str">
        <f t="shared" ref="N342:P343" si="308">N341</f>
        <v>CFO</v>
      </c>
      <c r="O342" s="123" t="str">
        <f t="shared" si="308"/>
        <v>-</v>
      </c>
      <c r="P342" s="132" t="str">
        <f t="shared" si="308"/>
        <v>-</v>
      </c>
      <c r="Q342" s="219" t="s">
        <v>78</v>
      </c>
      <c r="R342" s="125" t="str">
        <f t="shared" si="305"/>
        <v>-</v>
      </c>
      <c r="S342" s="311" t="s">
        <v>78</v>
      </c>
      <c r="T342" s="126" t="str">
        <f t="shared" si="306"/>
        <v>-</v>
      </c>
      <c r="U342" s="221" t="s">
        <v>78</v>
      </c>
      <c r="V342" s="125" t="str">
        <f t="shared" si="298"/>
        <v>-</v>
      </c>
      <c r="W342" s="127" t="str">
        <f t="shared" si="280"/>
        <v>-</v>
      </c>
      <c r="X342" s="128"/>
      <c r="Y342" s="223" t="s">
        <v>78</v>
      </c>
      <c r="Z342" s="129" t="str">
        <f t="shared" si="281"/>
        <v>-</v>
      </c>
      <c r="AA342" s="124" t="str">
        <f t="shared" si="285"/>
        <v>-</v>
      </c>
      <c r="AB342" s="130" t="str">
        <f t="shared" si="286"/>
        <v>-</v>
      </c>
      <c r="AC342" s="221" t="s">
        <v>78</v>
      </c>
      <c r="AD342" s="225" t="s">
        <v>78</v>
      </c>
      <c r="AE342" s="225" t="s">
        <v>78</v>
      </c>
      <c r="AF342" s="225" t="s">
        <v>78</v>
      </c>
      <c r="AG342" s="225" t="s">
        <v>78</v>
      </c>
      <c r="AH342" s="125" t="str">
        <f t="shared" si="270"/>
        <v>-</v>
      </c>
      <c r="AI342" s="127" t="str">
        <f t="shared" si="282"/>
        <v>-</v>
      </c>
      <c r="AJ342" s="128"/>
      <c r="AK342" s="223" t="s">
        <v>78</v>
      </c>
      <c r="AL342" s="131" t="str">
        <f t="shared" si="283"/>
        <v>-</v>
      </c>
      <c r="AM342" s="368" t="str">
        <f t="shared" si="300"/>
        <v>-</v>
      </c>
      <c r="AN342" s="375" t="str">
        <f t="shared" si="287"/>
        <v>-</v>
      </c>
      <c r="AO342" s="376" t="str">
        <f t="shared" si="288"/>
        <v>-</v>
      </c>
      <c r="AP342" s="394" t="s">
        <v>78</v>
      </c>
      <c r="AQ342" s="395" t="s">
        <v>78</v>
      </c>
      <c r="AR342" s="396" t="str">
        <f t="shared" si="264"/>
        <v>-</v>
      </c>
      <c r="AS342" s="397"/>
      <c r="AT342" s="401" t="s">
        <v>78</v>
      </c>
      <c r="AU342" s="396" t="str">
        <f t="shared" si="265"/>
        <v>-</v>
      </c>
      <c r="AV342" s="397"/>
      <c r="AW342" s="388" t="str">
        <f t="shared" si="289"/>
        <v>-</v>
      </c>
      <c r="AX342" s="389" t="str">
        <f t="shared" si="290"/>
        <v>-</v>
      </c>
      <c r="AY342" s="353" t="s">
        <v>78</v>
      </c>
      <c r="AZ342" s="403"/>
      <c r="BA342" s="404"/>
    </row>
    <row r="343" spans="1:53" ht="15" customHeight="1">
      <c r="A343" s="1" t="str">
        <f t="shared" si="263"/>
        <v>0_2023_</v>
      </c>
      <c r="B343" s="1" t="str">
        <f t="shared" si="267"/>
        <v>0_2023_CFO</v>
      </c>
      <c r="D343" s="114">
        <f t="shared" si="296"/>
        <v>0</v>
      </c>
      <c r="E343" s="133" t="str">
        <f>_xll.ciqfunctions.udf.CIQ(D343,"IQ_Company_Name")</f>
        <v>(Invalid Identifier)</v>
      </c>
      <c r="F343" s="114">
        <f t="shared" si="292"/>
        <v>2023</v>
      </c>
      <c r="G343" s="114" t="str">
        <f t="shared" si="277"/>
        <v>2023-01-01</v>
      </c>
      <c r="H343" s="330" t="str">
        <f t="shared" si="302"/>
        <v>2023-12-31</v>
      </c>
      <c r="I343" s="114">
        <f t="shared" si="284"/>
        <v>12</v>
      </c>
      <c r="J343" s="407" t="str">
        <f t="shared" si="278"/>
        <v>CAD</v>
      </c>
      <c r="K343" s="439">
        <f t="shared" si="269"/>
        <v>1</v>
      </c>
      <c r="L343" s="445"/>
      <c r="M343" s="982"/>
      <c r="N343" s="443" t="str">
        <f t="shared" si="308"/>
        <v>CFO</v>
      </c>
      <c r="O343" s="123" t="str">
        <f t="shared" si="308"/>
        <v>-</v>
      </c>
      <c r="P343" s="132" t="str">
        <f t="shared" si="308"/>
        <v>-</v>
      </c>
      <c r="Q343" s="219" t="s">
        <v>78</v>
      </c>
      <c r="R343" s="125" t="str">
        <f t="shared" si="305"/>
        <v>-</v>
      </c>
      <c r="S343" s="311" t="s">
        <v>78</v>
      </c>
      <c r="T343" s="126" t="str">
        <f t="shared" si="306"/>
        <v>-</v>
      </c>
      <c r="U343" s="221" t="s">
        <v>78</v>
      </c>
      <c r="V343" s="125" t="str">
        <f t="shared" si="298"/>
        <v>-</v>
      </c>
      <c r="W343" s="127" t="str">
        <f t="shared" si="280"/>
        <v>-</v>
      </c>
      <c r="X343" s="128"/>
      <c r="Y343" s="223" t="s">
        <v>78</v>
      </c>
      <c r="Z343" s="129" t="str">
        <f t="shared" si="281"/>
        <v>-</v>
      </c>
      <c r="AA343" s="124" t="str">
        <f t="shared" si="285"/>
        <v>-</v>
      </c>
      <c r="AB343" s="130" t="str">
        <f t="shared" si="286"/>
        <v>-</v>
      </c>
      <c r="AC343" s="221" t="s">
        <v>78</v>
      </c>
      <c r="AD343" s="225" t="s">
        <v>78</v>
      </c>
      <c r="AE343" s="225" t="s">
        <v>78</v>
      </c>
      <c r="AF343" s="225" t="s">
        <v>78</v>
      </c>
      <c r="AG343" s="225" t="s">
        <v>78</v>
      </c>
      <c r="AH343" s="125" t="str">
        <f t="shared" si="270"/>
        <v>-</v>
      </c>
      <c r="AI343" s="127" t="str">
        <f t="shared" si="282"/>
        <v>-</v>
      </c>
      <c r="AJ343" s="128"/>
      <c r="AK343" s="223" t="s">
        <v>78</v>
      </c>
      <c r="AL343" s="131" t="str">
        <f t="shared" si="283"/>
        <v>-</v>
      </c>
      <c r="AM343" s="368" t="str">
        <f t="shared" si="300"/>
        <v>-</v>
      </c>
      <c r="AN343" s="375" t="str">
        <f t="shared" si="287"/>
        <v>-</v>
      </c>
      <c r="AO343" s="376" t="str">
        <f t="shared" si="288"/>
        <v>-</v>
      </c>
      <c r="AP343" s="394" t="s">
        <v>78</v>
      </c>
      <c r="AQ343" s="395" t="s">
        <v>78</v>
      </c>
      <c r="AR343" s="396" t="str">
        <f t="shared" si="264"/>
        <v>-</v>
      </c>
      <c r="AS343" s="397"/>
      <c r="AT343" s="401" t="s">
        <v>78</v>
      </c>
      <c r="AU343" s="396" t="str">
        <f t="shared" si="265"/>
        <v>-</v>
      </c>
      <c r="AV343" s="397"/>
      <c r="AW343" s="388" t="str">
        <f t="shared" si="289"/>
        <v>-</v>
      </c>
      <c r="AX343" s="389" t="str">
        <f t="shared" si="290"/>
        <v>-</v>
      </c>
      <c r="AY343" s="353" t="s">
        <v>78</v>
      </c>
      <c r="AZ343" s="403"/>
      <c r="BA343" s="404"/>
    </row>
    <row r="344" spans="1:53" ht="15" customHeight="1">
      <c r="A344" s="1" t="str">
        <f t="shared" si="263"/>
        <v>0_2025_</v>
      </c>
      <c r="B344" s="1" t="str">
        <f t="shared" si="267"/>
        <v>0_2025_NEO1</v>
      </c>
      <c r="D344" s="114">
        <f t="shared" si="296"/>
        <v>0</v>
      </c>
      <c r="E344" s="133" t="str">
        <f>_xll.ciqfunctions.udf.CIQ(D344,"IQ_Company_Name")</f>
        <v>(Invalid Identifier)</v>
      </c>
      <c r="F344" s="114">
        <f t="shared" si="292"/>
        <v>2025</v>
      </c>
      <c r="G344" s="330" t="str">
        <f t="shared" si="277"/>
        <v>2025-01-01</v>
      </c>
      <c r="H344" s="330" t="str">
        <f t="shared" si="302"/>
        <v>2025-12-31</v>
      </c>
      <c r="I344" s="114">
        <f t="shared" si="284"/>
        <v>12</v>
      </c>
      <c r="J344" s="407" t="str">
        <f t="shared" si="278"/>
        <v>CAD</v>
      </c>
      <c r="K344" s="439">
        <f t="shared" si="269"/>
        <v>1</v>
      </c>
      <c r="L344" s="445"/>
      <c r="M344" s="982"/>
      <c r="N344" s="442" t="s">
        <v>107</v>
      </c>
      <c r="O344" s="217" t="s">
        <v>78</v>
      </c>
      <c r="P344" s="218" t="s">
        <v>78</v>
      </c>
      <c r="Q344" s="219" t="s">
        <v>78</v>
      </c>
      <c r="R344" s="125" t="str">
        <f t="shared" si="305"/>
        <v>-</v>
      </c>
      <c r="S344" s="311" t="s">
        <v>78</v>
      </c>
      <c r="T344" s="126" t="str">
        <f t="shared" si="306"/>
        <v>-</v>
      </c>
      <c r="U344" s="221" t="s">
        <v>78</v>
      </c>
      <c r="V344" s="125" t="str">
        <f t="shared" si="298"/>
        <v>-</v>
      </c>
      <c r="W344" s="127" t="str">
        <f t="shared" si="280"/>
        <v>-</v>
      </c>
      <c r="X344" s="128" t="str">
        <f>IFERROR(AVERAGE(W344:W346),"N/A")</f>
        <v>N/A</v>
      </c>
      <c r="Y344" s="223" t="s">
        <v>78</v>
      </c>
      <c r="Z344" s="129" t="str">
        <f t="shared" si="281"/>
        <v>-</v>
      </c>
      <c r="AA344" s="124" t="str">
        <f t="shared" si="285"/>
        <v>-</v>
      </c>
      <c r="AB344" s="130" t="str">
        <f t="shared" si="286"/>
        <v>-</v>
      </c>
      <c r="AC344" s="221" t="s">
        <v>78</v>
      </c>
      <c r="AD344" s="225" t="s">
        <v>78</v>
      </c>
      <c r="AE344" s="225" t="s">
        <v>78</v>
      </c>
      <c r="AF344" s="225" t="s">
        <v>78</v>
      </c>
      <c r="AG344" s="225" t="s">
        <v>78</v>
      </c>
      <c r="AH344" s="125" t="str">
        <f t="shared" si="270"/>
        <v>-</v>
      </c>
      <c r="AI344" s="127" t="str">
        <f t="shared" si="282"/>
        <v>-</v>
      </c>
      <c r="AJ344" s="128" t="str">
        <f>IFERROR(AVERAGE(AI344:AI346),"N/A")</f>
        <v>N/A</v>
      </c>
      <c r="AK344" s="223" t="s">
        <v>78</v>
      </c>
      <c r="AL344" s="131" t="str">
        <f t="shared" si="283"/>
        <v>-</v>
      </c>
      <c r="AM344" s="368" t="str">
        <f t="shared" si="300"/>
        <v>-</v>
      </c>
      <c r="AN344" s="375" t="str">
        <f t="shared" si="287"/>
        <v>-</v>
      </c>
      <c r="AO344" s="376" t="str">
        <f t="shared" si="288"/>
        <v>-</v>
      </c>
      <c r="AP344" s="394" t="s">
        <v>78</v>
      </c>
      <c r="AQ344" s="395" t="s">
        <v>78</v>
      </c>
      <c r="AR344" s="396" t="str">
        <f t="shared" si="264"/>
        <v>-</v>
      </c>
      <c r="AS344" s="397" t="str">
        <f>IFERROR(AVERAGE(AR344:AR346),"N/A")</f>
        <v>N/A</v>
      </c>
      <c r="AT344" s="401" t="s">
        <v>78</v>
      </c>
      <c r="AU344" s="396" t="str">
        <f t="shared" si="265"/>
        <v>-</v>
      </c>
      <c r="AV344" s="397" t="str">
        <f>IFERROR(AVERAGE(AU344:AU346),"N/A")</f>
        <v>N/A</v>
      </c>
      <c r="AW344" s="388" t="str">
        <f t="shared" si="289"/>
        <v>-</v>
      </c>
      <c r="AX344" s="389" t="str">
        <f t="shared" si="290"/>
        <v>-</v>
      </c>
      <c r="AY344" s="353" t="s">
        <v>78</v>
      </c>
      <c r="AZ344" s="403"/>
      <c r="BA344" s="404"/>
    </row>
    <row r="345" spans="1:53" ht="15" customHeight="1">
      <c r="A345" s="1" t="str">
        <f t="shared" si="263"/>
        <v>0_2024_</v>
      </c>
      <c r="B345" s="1" t="str">
        <f t="shared" si="267"/>
        <v>0_2024_NEO1</v>
      </c>
      <c r="D345" s="114">
        <f t="shared" si="296"/>
        <v>0</v>
      </c>
      <c r="E345" s="133" t="str">
        <f>_xll.ciqfunctions.udf.CIQ(D345,"IQ_Company_Name")</f>
        <v>(Invalid Identifier)</v>
      </c>
      <c r="F345" s="114">
        <f t="shared" si="292"/>
        <v>2024</v>
      </c>
      <c r="G345" s="330" t="str">
        <f t="shared" si="277"/>
        <v>2024-01-01</v>
      </c>
      <c r="H345" s="330" t="str">
        <f t="shared" si="302"/>
        <v>2024-12-31</v>
      </c>
      <c r="I345" s="114">
        <f t="shared" si="284"/>
        <v>12</v>
      </c>
      <c r="J345" s="407" t="str">
        <f t="shared" si="278"/>
        <v>CAD</v>
      </c>
      <c r="K345" s="439">
        <f t="shared" si="269"/>
        <v>1</v>
      </c>
      <c r="L345" s="445"/>
      <c r="M345" s="982"/>
      <c r="N345" s="443" t="str">
        <f t="shared" ref="N345:P346" si="309">N344</f>
        <v>NEO1</v>
      </c>
      <c r="O345" s="123" t="str">
        <f t="shared" si="309"/>
        <v>-</v>
      </c>
      <c r="P345" s="132" t="str">
        <f t="shared" si="309"/>
        <v>-</v>
      </c>
      <c r="Q345" s="219" t="s">
        <v>78</v>
      </c>
      <c r="R345" s="125" t="str">
        <f t="shared" si="305"/>
        <v>-</v>
      </c>
      <c r="S345" s="311" t="s">
        <v>78</v>
      </c>
      <c r="T345" s="126" t="str">
        <f t="shared" si="306"/>
        <v>-</v>
      </c>
      <c r="U345" s="221" t="s">
        <v>78</v>
      </c>
      <c r="V345" s="125" t="str">
        <f t="shared" si="298"/>
        <v>-</v>
      </c>
      <c r="W345" s="127" t="str">
        <f t="shared" si="280"/>
        <v>-</v>
      </c>
      <c r="X345" s="128"/>
      <c r="Y345" s="223" t="s">
        <v>78</v>
      </c>
      <c r="Z345" s="129" t="str">
        <f t="shared" si="281"/>
        <v>-</v>
      </c>
      <c r="AA345" s="124" t="str">
        <f t="shared" si="285"/>
        <v>-</v>
      </c>
      <c r="AB345" s="130" t="str">
        <f t="shared" si="286"/>
        <v>-</v>
      </c>
      <c r="AC345" s="221" t="s">
        <v>78</v>
      </c>
      <c r="AD345" s="225" t="s">
        <v>78</v>
      </c>
      <c r="AE345" s="225" t="s">
        <v>78</v>
      </c>
      <c r="AF345" s="225" t="s">
        <v>78</v>
      </c>
      <c r="AG345" s="225" t="s">
        <v>78</v>
      </c>
      <c r="AH345" s="125" t="str">
        <f t="shared" si="270"/>
        <v>-</v>
      </c>
      <c r="AI345" s="127" t="str">
        <f t="shared" si="282"/>
        <v>-</v>
      </c>
      <c r="AJ345" s="128"/>
      <c r="AK345" s="223" t="s">
        <v>78</v>
      </c>
      <c r="AL345" s="131" t="str">
        <f t="shared" si="283"/>
        <v>-</v>
      </c>
      <c r="AM345" s="368" t="str">
        <f t="shared" si="300"/>
        <v>-</v>
      </c>
      <c r="AN345" s="375" t="str">
        <f t="shared" si="287"/>
        <v>-</v>
      </c>
      <c r="AO345" s="376" t="str">
        <f t="shared" si="288"/>
        <v>-</v>
      </c>
      <c r="AP345" s="394" t="s">
        <v>78</v>
      </c>
      <c r="AQ345" s="395" t="s">
        <v>78</v>
      </c>
      <c r="AR345" s="396" t="str">
        <f t="shared" si="264"/>
        <v>-</v>
      </c>
      <c r="AS345" s="397"/>
      <c r="AT345" s="401" t="s">
        <v>78</v>
      </c>
      <c r="AU345" s="396" t="str">
        <f t="shared" si="265"/>
        <v>-</v>
      </c>
      <c r="AV345" s="397"/>
      <c r="AW345" s="388" t="str">
        <f t="shared" si="289"/>
        <v>-</v>
      </c>
      <c r="AX345" s="389" t="str">
        <f t="shared" si="290"/>
        <v>-</v>
      </c>
      <c r="AY345" s="353" t="s">
        <v>78</v>
      </c>
      <c r="AZ345" s="403"/>
      <c r="BA345" s="404"/>
    </row>
    <row r="346" spans="1:53" ht="15" customHeight="1">
      <c r="A346" s="1" t="str">
        <f t="shared" si="263"/>
        <v>0_2023_</v>
      </c>
      <c r="B346" s="1" t="str">
        <f t="shared" si="267"/>
        <v>0_2023_NEO1</v>
      </c>
      <c r="D346" s="114">
        <f t="shared" si="296"/>
        <v>0</v>
      </c>
      <c r="E346" s="133" t="str">
        <f>_xll.ciqfunctions.udf.CIQ(D346,"IQ_Company_Name")</f>
        <v>(Invalid Identifier)</v>
      </c>
      <c r="F346" s="114">
        <f t="shared" si="292"/>
        <v>2023</v>
      </c>
      <c r="G346" s="114" t="str">
        <f t="shared" si="277"/>
        <v>2023-01-01</v>
      </c>
      <c r="H346" s="330" t="str">
        <f t="shared" si="302"/>
        <v>2023-12-31</v>
      </c>
      <c r="I346" s="114">
        <f t="shared" si="284"/>
        <v>12</v>
      </c>
      <c r="J346" s="407" t="str">
        <f t="shared" si="278"/>
        <v>CAD</v>
      </c>
      <c r="K346" s="439">
        <f t="shared" si="269"/>
        <v>1</v>
      </c>
      <c r="L346" s="445"/>
      <c r="M346" s="982"/>
      <c r="N346" s="443" t="str">
        <f t="shared" si="309"/>
        <v>NEO1</v>
      </c>
      <c r="O346" s="123" t="str">
        <f t="shared" si="309"/>
        <v>-</v>
      </c>
      <c r="P346" s="132" t="str">
        <f t="shared" si="309"/>
        <v>-</v>
      </c>
      <c r="Q346" s="219" t="s">
        <v>78</v>
      </c>
      <c r="R346" s="125" t="str">
        <f t="shared" si="305"/>
        <v>-</v>
      </c>
      <c r="S346" s="311" t="s">
        <v>78</v>
      </c>
      <c r="T346" s="126" t="str">
        <f t="shared" si="306"/>
        <v>-</v>
      </c>
      <c r="U346" s="221" t="s">
        <v>78</v>
      </c>
      <c r="V346" s="125" t="str">
        <f t="shared" si="298"/>
        <v>-</v>
      </c>
      <c r="W346" s="127" t="str">
        <f t="shared" si="280"/>
        <v>-</v>
      </c>
      <c r="X346" s="128"/>
      <c r="Y346" s="223" t="s">
        <v>78</v>
      </c>
      <c r="Z346" s="129" t="str">
        <f t="shared" si="281"/>
        <v>-</v>
      </c>
      <c r="AA346" s="124" t="str">
        <f t="shared" si="285"/>
        <v>-</v>
      </c>
      <c r="AB346" s="130" t="str">
        <f t="shared" si="286"/>
        <v>-</v>
      </c>
      <c r="AC346" s="221" t="s">
        <v>78</v>
      </c>
      <c r="AD346" s="225" t="s">
        <v>78</v>
      </c>
      <c r="AE346" s="225" t="s">
        <v>78</v>
      </c>
      <c r="AF346" s="225" t="s">
        <v>78</v>
      </c>
      <c r="AG346" s="225" t="s">
        <v>78</v>
      </c>
      <c r="AH346" s="125" t="str">
        <f t="shared" si="270"/>
        <v>-</v>
      </c>
      <c r="AI346" s="127" t="str">
        <f t="shared" si="282"/>
        <v>-</v>
      </c>
      <c r="AJ346" s="128"/>
      <c r="AK346" s="223" t="s">
        <v>78</v>
      </c>
      <c r="AL346" s="131" t="str">
        <f t="shared" si="283"/>
        <v>-</v>
      </c>
      <c r="AM346" s="368" t="str">
        <f t="shared" si="300"/>
        <v>-</v>
      </c>
      <c r="AN346" s="375" t="str">
        <f t="shared" si="287"/>
        <v>-</v>
      </c>
      <c r="AO346" s="376" t="str">
        <f t="shared" si="288"/>
        <v>-</v>
      </c>
      <c r="AP346" s="394" t="s">
        <v>78</v>
      </c>
      <c r="AQ346" s="395" t="s">
        <v>78</v>
      </c>
      <c r="AR346" s="396" t="str">
        <f t="shared" si="264"/>
        <v>-</v>
      </c>
      <c r="AS346" s="397"/>
      <c r="AT346" s="401" t="s">
        <v>78</v>
      </c>
      <c r="AU346" s="396" t="str">
        <f t="shared" si="265"/>
        <v>-</v>
      </c>
      <c r="AV346" s="397"/>
      <c r="AW346" s="388" t="str">
        <f t="shared" si="289"/>
        <v>-</v>
      </c>
      <c r="AX346" s="389" t="str">
        <f t="shared" si="290"/>
        <v>-</v>
      </c>
      <c r="AY346" s="353" t="s">
        <v>78</v>
      </c>
      <c r="AZ346" s="403"/>
      <c r="BA346" s="404"/>
    </row>
    <row r="347" spans="1:53" ht="15" customHeight="1">
      <c r="A347" s="1" t="str">
        <f t="shared" si="263"/>
        <v>0_2025_</v>
      </c>
      <c r="B347" s="1" t="str">
        <f t="shared" si="267"/>
        <v>0_2025_NEO2</v>
      </c>
      <c r="D347" s="114">
        <f t="shared" si="296"/>
        <v>0</v>
      </c>
      <c r="E347" s="133" t="str">
        <f>_xll.ciqfunctions.udf.CIQ(D347,"IQ_Company_Name")</f>
        <v>(Invalid Identifier)</v>
      </c>
      <c r="F347" s="114">
        <f t="shared" si="292"/>
        <v>2025</v>
      </c>
      <c r="G347" s="114" t="str">
        <f t="shared" si="277"/>
        <v>2025-01-01</v>
      </c>
      <c r="H347" s="330" t="str">
        <f t="shared" si="302"/>
        <v>2025-12-31</v>
      </c>
      <c r="I347" s="114">
        <f t="shared" si="284"/>
        <v>12</v>
      </c>
      <c r="J347" s="407" t="str">
        <f t="shared" si="278"/>
        <v>CAD</v>
      </c>
      <c r="K347" s="439">
        <f t="shared" si="269"/>
        <v>1</v>
      </c>
      <c r="L347" s="445"/>
      <c r="M347" s="982"/>
      <c r="N347" s="442" t="s">
        <v>108</v>
      </c>
      <c r="O347" s="217" t="s">
        <v>78</v>
      </c>
      <c r="P347" s="218" t="s">
        <v>78</v>
      </c>
      <c r="Q347" s="219" t="s">
        <v>78</v>
      </c>
      <c r="R347" s="125" t="str">
        <f t="shared" si="305"/>
        <v>-</v>
      </c>
      <c r="S347" s="311" t="s">
        <v>78</v>
      </c>
      <c r="T347" s="126" t="str">
        <f t="shared" si="306"/>
        <v>-</v>
      </c>
      <c r="U347" s="221" t="s">
        <v>78</v>
      </c>
      <c r="V347" s="125" t="str">
        <f t="shared" si="298"/>
        <v>-</v>
      </c>
      <c r="W347" s="127" t="str">
        <f t="shared" si="280"/>
        <v>-</v>
      </c>
      <c r="X347" s="128" t="str">
        <f>IFERROR(AVERAGE(W347:W349),"N/A")</f>
        <v>N/A</v>
      </c>
      <c r="Y347" s="223" t="s">
        <v>78</v>
      </c>
      <c r="Z347" s="129" t="str">
        <f t="shared" si="281"/>
        <v>-</v>
      </c>
      <c r="AA347" s="124" t="str">
        <f t="shared" si="285"/>
        <v>-</v>
      </c>
      <c r="AB347" s="130" t="str">
        <f t="shared" si="286"/>
        <v>-</v>
      </c>
      <c r="AC347" s="221" t="s">
        <v>78</v>
      </c>
      <c r="AD347" s="225" t="s">
        <v>78</v>
      </c>
      <c r="AE347" s="225" t="s">
        <v>78</v>
      </c>
      <c r="AF347" s="225" t="s">
        <v>78</v>
      </c>
      <c r="AG347" s="225" t="s">
        <v>78</v>
      </c>
      <c r="AH347" s="125" t="str">
        <f t="shared" si="270"/>
        <v>-</v>
      </c>
      <c r="AI347" s="127" t="str">
        <f t="shared" si="282"/>
        <v>-</v>
      </c>
      <c r="AJ347" s="128" t="str">
        <f>IFERROR(AVERAGE(AI347:AI349),"N/A")</f>
        <v>N/A</v>
      </c>
      <c r="AK347" s="223" t="s">
        <v>78</v>
      </c>
      <c r="AL347" s="131" t="str">
        <f t="shared" si="283"/>
        <v>-</v>
      </c>
      <c r="AM347" s="368" t="str">
        <f t="shared" si="300"/>
        <v>-</v>
      </c>
      <c r="AN347" s="375" t="str">
        <f t="shared" si="287"/>
        <v>-</v>
      </c>
      <c r="AO347" s="376" t="str">
        <f t="shared" si="288"/>
        <v>-</v>
      </c>
      <c r="AP347" s="394" t="s">
        <v>78</v>
      </c>
      <c r="AQ347" s="395" t="s">
        <v>78</v>
      </c>
      <c r="AR347" s="396" t="str">
        <f t="shared" si="264"/>
        <v>-</v>
      </c>
      <c r="AS347" s="397" t="str">
        <f>IFERROR(AVERAGE(AR347:AR349),"N/A")</f>
        <v>N/A</v>
      </c>
      <c r="AT347" s="401" t="s">
        <v>78</v>
      </c>
      <c r="AU347" s="396" t="str">
        <f t="shared" si="265"/>
        <v>-</v>
      </c>
      <c r="AV347" s="397" t="str">
        <f>IFERROR(AVERAGE(AU347:AU349),"N/A")</f>
        <v>N/A</v>
      </c>
      <c r="AW347" s="388" t="str">
        <f t="shared" si="289"/>
        <v>-</v>
      </c>
      <c r="AX347" s="389" t="str">
        <f t="shared" si="290"/>
        <v>-</v>
      </c>
      <c r="AY347" s="353" t="s">
        <v>78</v>
      </c>
      <c r="AZ347" s="403"/>
      <c r="BA347" s="404"/>
    </row>
    <row r="348" spans="1:53" ht="15" customHeight="1">
      <c r="A348" s="1" t="str">
        <f t="shared" si="263"/>
        <v>0_2024_</v>
      </c>
      <c r="B348" s="1" t="str">
        <f t="shared" si="267"/>
        <v>0_2024_NEO2</v>
      </c>
      <c r="D348" s="114">
        <f t="shared" si="296"/>
        <v>0</v>
      </c>
      <c r="E348" s="133" t="str">
        <f>_xll.ciqfunctions.udf.CIQ(D348,"IQ_Company_Name")</f>
        <v>(Invalid Identifier)</v>
      </c>
      <c r="F348" s="114">
        <f t="shared" si="292"/>
        <v>2024</v>
      </c>
      <c r="G348" s="114" t="str">
        <f t="shared" si="277"/>
        <v>2024-01-01</v>
      </c>
      <c r="H348" s="330" t="str">
        <f t="shared" si="302"/>
        <v>2024-12-31</v>
      </c>
      <c r="I348" s="114">
        <f t="shared" si="284"/>
        <v>12</v>
      </c>
      <c r="J348" s="407" t="str">
        <f t="shared" si="278"/>
        <v>CAD</v>
      </c>
      <c r="K348" s="439">
        <f t="shared" si="269"/>
        <v>1</v>
      </c>
      <c r="L348" s="445"/>
      <c r="M348" s="982"/>
      <c r="N348" s="443" t="str">
        <f t="shared" ref="N348:P349" si="310">N347</f>
        <v>NEO2</v>
      </c>
      <c r="O348" s="123" t="str">
        <f t="shared" si="310"/>
        <v>-</v>
      </c>
      <c r="P348" s="132" t="str">
        <f t="shared" si="310"/>
        <v>-</v>
      </c>
      <c r="Q348" s="219" t="s">
        <v>78</v>
      </c>
      <c r="R348" s="125" t="str">
        <f t="shared" si="305"/>
        <v>-</v>
      </c>
      <c r="S348" s="311" t="s">
        <v>78</v>
      </c>
      <c r="T348" s="126" t="str">
        <f t="shared" si="306"/>
        <v>-</v>
      </c>
      <c r="U348" s="221" t="s">
        <v>78</v>
      </c>
      <c r="V348" s="125" t="str">
        <f t="shared" si="298"/>
        <v>-</v>
      </c>
      <c r="W348" s="127" t="str">
        <f t="shared" si="280"/>
        <v>-</v>
      </c>
      <c r="X348" s="128"/>
      <c r="Y348" s="223" t="s">
        <v>78</v>
      </c>
      <c r="Z348" s="129" t="str">
        <f t="shared" si="281"/>
        <v>-</v>
      </c>
      <c r="AA348" s="124" t="str">
        <f t="shared" si="285"/>
        <v>-</v>
      </c>
      <c r="AB348" s="130" t="str">
        <f t="shared" si="286"/>
        <v>-</v>
      </c>
      <c r="AC348" s="221" t="s">
        <v>78</v>
      </c>
      <c r="AD348" s="225" t="s">
        <v>78</v>
      </c>
      <c r="AE348" s="225" t="s">
        <v>78</v>
      </c>
      <c r="AF348" s="225" t="s">
        <v>78</v>
      </c>
      <c r="AG348" s="225" t="s">
        <v>78</v>
      </c>
      <c r="AH348" s="125" t="str">
        <f t="shared" si="270"/>
        <v>-</v>
      </c>
      <c r="AI348" s="127" t="str">
        <f t="shared" si="282"/>
        <v>-</v>
      </c>
      <c r="AJ348" s="128"/>
      <c r="AK348" s="223" t="s">
        <v>78</v>
      </c>
      <c r="AL348" s="131" t="str">
        <f t="shared" si="283"/>
        <v>-</v>
      </c>
      <c r="AM348" s="368" t="str">
        <f t="shared" si="300"/>
        <v>-</v>
      </c>
      <c r="AN348" s="375" t="str">
        <f t="shared" si="287"/>
        <v>-</v>
      </c>
      <c r="AO348" s="376" t="str">
        <f t="shared" si="288"/>
        <v>-</v>
      </c>
      <c r="AP348" s="394" t="s">
        <v>78</v>
      </c>
      <c r="AQ348" s="395" t="s">
        <v>78</v>
      </c>
      <c r="AR348" s="396" t="str">
        <f t="shared" si="264"/>
        <v>-</v>
      </c>
      <c r="AS348" s="397"/>
      <c r="AT348" s="401" t="s">
        <v>78</v>
      </c>
      <c r="AU348" s="396" t="str">
        <f t="shared" si="265"/>
        <v>-</v>
      </c>
      <c r="AV348" s="397"/>
      <c r="AW348" s="388" t="str">
        <f t="shared" si="289"/>
        <v>-</v>
      </c>
      <c r="AX348" s="389" t="str">
        <f t="shared" si="290"/>
        <v>-</v>
      </c>
      <c r="AY348" s="353" t="s">
        <v>78</v>
      </c>
      <c r="AZ348" s="403"/>
      <c r="BA348" s="404"/>
    </row>
    <row r="349" spans="1:53" ht="15" customHeight="1">
      <c r="A349" s="1" t="str">
        <f t="shared" si="263"/>
        <v>0_2023_</v>
      </c>
      <c r="B349" s="1" t="str">
        <f t="shared" si="267"/>
        <v>0_2023_NEO2</v>
      </c>
      <c r="D349" s="114">
        <f t="shared" si="296"/>
        <v>0</v>
      </c>
      <c r="E349" s="133" t="str">
        <f>_xll.ciqfunctions.udf.CIQ(D349,"IQ_Company_Name")</f>
        <v>(Invalid Identifier)</v>
      </c>
      <c r="F349" s="114">
        <f t="shared" si="292"/>
        <v>2023</v>
      </c>
      <c r="G349" s="114" t="str">
        <f t="shared" si="277"/>
        <v>2023-01-01</v>
      </c>
      <c r="H349" s="330" t="str">
        <f t="shared" si="302"/>
        <v>2023-12-31</v>
      </c>
      <c r="I349" s="114">
        <f t="shared" si="284"/>
        <v>12</v>
      </c>
      <c r="J349" s="407" t="str">
        <f t="shared" si="278"/>
        <v>CAD</v>
      </c>
      <c r="K349" s="439">
        <f t="shared" si="269"/>
        <v>1</v>
      </c>
      <c r="L349" s="445"/>
      <c r="M349" s="982"/>
      <c r="N349" s="443" t="str">
        <f t="shared" si="310"/>
        <v>NEO2</v>
      </c>
      <c r="O349" s="123" t="str">
        <f t="shared" si="310"/>
        <v>-</v>
      </c>
      <c r="P349" s="132" t="str">
        <f t="shared" si="310"/>
        <v>-</v>
      </c>
      <c r="Q349" s="219" t="s">
        <v>78</v>
      </c>
      <c r="R349" s="125" t="str">
        <f t="shared" si="305"/>
        <v>-</v>
      </c>
      <c r="S349" s="311" t="s">
        <v>78</v>
      </c>
      <c r="T349" s="126" t="str">
        <f t="shared" si="306"/>
        <v>-</v>
      </c>
      <c r="U349" s="221" t="s">
        <v>78</v>
      </c>
      <c r="V349" s="125" t="str">
        <f t="shared" si="298"/>
        <v>-</v>
      </c>
      <c r="W349" s="127" t="str">
        <f t="shared" si="280"/>
        <v>-</v>
      </c>
      <c r="X349" s="128"/>
      <c r="Y349" s="223" t="s">
        <v>78</v>
      </c>
      <c r="Z349" s="129" t="str">
        <f t="shared" si="281"/>
        <v>-</v>
      </c>
      <c r="AA349" s="124" t="str">
        <f t="shared" si="285"/>
        <v>-</v>
      </c>
      <c r="AB349" s="130" t="str">
        <f t="shared" si="286"/>
        <v>-</v>
      </c>
      <c r="AC349" s="221" t="s">
        <v>78</v>
      </c>
      <c r="AD349" s="225" t="s">
        <v>78</v>
      </c>
      <c r="AE349" s="225" t="s">
        <v>78</v>
      </c>
      <c r="AF349" s="225" t="s">
        <v>78</v>
      </c>
      <c r="AG349" s="225" t="s">
        <v>78</v>
      </c>
      <c r="AH349" s="125" t="str">
        <f t="shared" si="270"/>
        <v>-</v>
      </c>
      <c r="AI349" s="127" t="str">
        <f t="shared" si="282"/>
        <v>-</v>
      </c>
      <c r="AJ349" s="128"/>
      <c r="AK349" s="223" t="s">
        <v>78</v>
      </c>
      <c r="AL349" s="131" t="str">
        <f t="shared" si="283"/>
        <v>-</v>
      </c>
      <c r="AM349" s="368" t="str">
        <f t="shared" si="300"/>
        <v>-</v>
      </c>
      <c r="AN349" s="375" t="str">
        <f t="shared" si="287"/>
        <v>-</v>
      </c>
      <c r="AO349" s="376" t="str">
        <f t="shared" si="288"/>
        <v>-</v>
      </c>
      <c r="AP349" s="394" t="s">
        <v>78</v>
      </c>
      <c r="AQ349" s="395" t="s">
        <v>78</v>
      </c>
      <c r="AR349" s="396" t="str">
        <f t="shared" si="264"/>
        <v>-</v>
      </c>
      <c r="AS349" s="397"/>
      <c r="AT349" s="401" t="s">
        <v>78</v>
      </c>
      <c r="AU349" s="396" t="str">
        <f t="shared" si="265"/>
        <v>-</v>
      </c>
      <c r="AV349" s="397"/>
      <c r="AW349" s="388" t="str">
        <f t="shared" si="289"/>
        <v>-</v>
      </c>
      <c r="AX349" s="389" t="str">
        <f t="shared" si="290"/>
        <v>-</v>
      </c>
      <c r="AY349" s="353" t="s">
        <v>78</v>
      </c>
      <c r="AZ349" s="403"/>
      <c r="BA349" s="404"/>
    </row>
    <row r="350" spans="1:53" ht="15" customHeight="1">
      <c r="A350" s="1" t="str">
        <f t="shared" si="263"/>
        <v>0_2025_</v>
      </c>
      <c r="B350" s="1" t="str">
        <f t="shared" si="267"/>
        <v>0_2025_NEO3</v>
      </c>
      <c r="D350" s="114">
        <f t="shared" si="296"/>
        <v>0</v>
      </c>
      <c r="E350" s="133" t="str">
        <f>_xll.ciqfunctions.udf.CIQ(D350,"IQ_Company_Name")</f>
        <v>(Invalid Identifier)</v>
      </c>
      <c r="F350" s="114">
        <f t="shared" si="292"/>
        <v>2025</v>
      </c>
      <c r="G350" s="114" t="str">
        <f t="shared" si="277"/>
        <v>2025-01-01</v>
      </c>
      <c r="H350" s="330" t="str">
        <f t="shared" si="302"/>
        <v>2025-12-31</v>
      </c>
      <c r="I350" s="114">
        <f t="shared" si="284"/>
        <v>12</v>
      </c>
      <c r="J350" s="407" t="str">
        <f t="shared" si="278"/>
        <v>CAD</v>
      </c>
      <c r="K350" s="439">
        <f t="shared" si="269"/>
        <v>1</v>
      </c>
      <c r="L350" s="445"/>
      <c r="M350" s="982"/>
      <c r="N350" s="442" t="s">
        <v>109</v>
      </c>
      <c r="O350" s="217" t="s">
        <v>78</v>
      </c>
      <c r="P350" s="218" t="s">
        <v>78</v>
      </c>
      <c r="Q350" s="219" t="s">
        <v>78</v>
      </c>
      <c r="R350" s="125" t="str">
        <f t="shared" si="305"/>
        <v>-</v>
      </c>
      <c r="S350" s="311" t="s">
        <v>78</v>
      </c>
      <c r="T350" s="126" t="str">
        <f t="shared" si="306"/>
        <v>-</v>
      </c>
      <c r="U350" s="221" t="s">
        <v>78</v>
      </c>
      <c r="V350" s="125" t="str">
        <f t="shared" si="298"/>
        <v>-</v>
      </c>
      <c r="W350" s="127" t="str">
        <f t="shared" si="280"/>
        <v>-</v>
      </c>
      <c r="X350" s="128" t="str">
        <f>IFERROR(AVERAGE(W350:W352),"N/A")</f>
        <v>N/A</v>
      </c>
      <c r="Y350" s="223" t="s">
        <v>78</v>
      </c>
      <c r="Z350" s="129" t="str">
        <f t="shared" si="281"/>
        <v>-</v>
      </c>
      <c r="AA350" s="124" t="str">
        <f t="shared" si="285"/>
        <v>-</v>
      </c>
      <c r="AB350" s="130" t="str">
        <f t="shared" si="286"/>
        <v>-</v>
      </c>
      <c r="AC350" s="221" t="s">
        <v>78</v>
      </c>
      <c r="AD350" s="225" t="s">
        <v>78</v>
      </c>
      <c r="AE350" s="225" t="s">
        <v>78</v>
      </c>
      <c r="AF350" s="225" t="s">
        <v>78</v>
      </c>
      <c r="AG350" s="225" t="s">
        <v>78</v>
      </c>
      <c r="AH350" s="125" t="str">
        <f t="shared" si="270"/>
        <v>-</v>
      </c>
      <c r="AI350" s="127" t="str">
        <f t="shared" si="282"/>
        <v>-</v>
      </c>
      <c r="AJ350" s="128" t="str">
        <f>IFERROR(AVERAGE(AI350:AI352),"N/A")</f>
        <v>N/A</v>
      </c>
      <c r="AK350" s="223" t="s">
        <v>78</v>
      </c>
      <c r="AL350" s="131" t="str">
        <f t="shared" si="283"/>
        <v>-</v>
      </c>
      <c r="AM350" s="368" t="str">
        <f t="shared" si="300"/>
        <v>-</v>
      </c>
      <c r="AN350" s="375" t="str">
        <f t="shared" si="287"/>
        <v>-</v>
      </c>
      <c r="AO350" s="376" t="str">
        <f t="shared" si="288"/>
        <v>-</v>
      </c>
      <c r="AP350" s="394" t="s">
        <v>78</v>
      </c>
      <c r="AQ350" s="395" t="s">
        <v>78</v>
      </c>
      <c r="AR350" s="396" t="str">
        <f t="shared" si="264"/>
        <v>-</v>
      </c>
      <c r="AS350" s="397" t="str">
        <f>IFERROR(AVERAGE(AR350:AR352),"N/A")</f>
        <v>N/A</v>
      </c>
      <c r="AT350" s="401" t="s">
        <v>78</v>
      </c>
      <c r="AU350" s="396" t="str">
        <f t="shared" si="265"/>
        <v>-</v>
      </c>
      <c r="AV350" s="397" t="str">
        <f>IFERROR(AVERAGE(AU350:AU352),"N/A")</f>
        <v>N/A</v>
      </c>
      <c r="AW350" s="388" t="str">
        <f t="shared" si="289"/>
        <v>-</v>
      </c>
      <c r="AX350" s="389" t="str">
        <f t="shared" si="290"/>
        <v>-</v>
      </c>
      <c r="AY350" s="353" t="s">
        <v>78</v>
      </c>
      <c r="AZ350" s="403"/>
      <c r="BA350" s="404"/>
    </row>
    <row r="351" spans="1:53" ht="15" customHeight="1">
      <c r="A351" s="1" t="str">
        <f t="shared" si="263"/>
        <v>0_2024_</v>
      </c>
      <c r="B351" s="1" t="str">
        <f t="shared" si="267"/>
        <v>0_2024_NEO3</v>
      </c>
      <c r="D351" s="114">
        <f t="shared" si="296"/>
        <v>0</v>
      </c>
      <c r="E351" s="133" t="str">
        <f>_xll.ciqfunctions.udf.CIQ(D351,"IQ_Company_Name")</f>
        <v>(Invalid Identifier)</v>
      </c>
      <c r="F351" s="114">
        <f t="shared" si="292"/>
        <v>2024</v>
      </c>
      <c r="G351" s="114" t="str">
        <f t="shared" si="277"/>
        <v>2024-01-01</v>
      </c>
      <c r="H351" s="330" t="str">
        <f t="shared" si="302"/>
        <v>2024-12-31</v>
      </c>
      <c r="I351" s="114">
        <f t="shared" si="284"/>
        <v>12</v>
      </c>
      <c r="J351" s="407" t="str">
        <f t="shared" si="278"/>
        <v>CAD</v>
      </c>
      <c r="K351" s="439">
        <f t="shared" si="269"/>
        <v>1</v>
      </c>
      <c r="L351" s="445"/>
      <c r="M351" s="982"/>
      <c r="N351" s="443" t="str">
        <f t="shared" ref="N351:P352" si="311">N350</f>
        <v>NEO3</v>
      </c>
      <c r="O351" s="123" t="str">
        <f t="shared" si="311"/>
        <v>-</v>
      </c>
      <c r="P351" s="132" t="str">
        <f t="shared" si="311"/>
        <v>-</v>
      </c>
      <c r="Q351" s="219" t="s">
        <v>78</v>
      </c>
      <c r="R351" s="125" t="str">
        <f t="shared" si="305"/>
        <v>-</v>
      </c>
      <c r="S351" s="311" t="s">
        <v>78</v>
      </c>
      <c r="T351" s="126" t="str">
        <f t="shared" si="306"/>
        <v>-</v>
      </c>
      <c r="U351" s="221" t="s">
        <v>78</v>
      </c>
      <c r="V351" s="125" t="str">
        <f t="shared" si="298"/>
        <v>-</v>
      </c>
      <c r="W351" s="127" t="str">
        <f t="shared" si="280"/>
        <v>-</v>
      </c>
      <c r="X351" s="128"/>
      <c r="Y351" s="223" t="s">
        <v>78</v>
      </c>
      <c r="Z351" s="129" t="str">
        <f t="shared" si="281"/>
        <v>-</v>
      </c>
      <c r="AA351" s="124" t="str">
        <f t="shared" si="285"/>
        <v>-</v>
      </c>
      <c r="AB351" s="130" t="str">
        <f t="shared" si="286"/>
        <v>-</v>
      </c>
      <c r="AC351" s="221" t="s">
        <v>78</v>
      </c>
      <c r="AD351" s="225" t="s">
        <v>78</v>
      </c>
      <c r="AE351" s="225" t="s">
        <v>78</v>
      </c>
      <c r="AF351" s="225" t="s">
        <v>78</v>
      </c>
      <c r="AG351" s="225" t="s">
        <v>78</v>
      </c>
      <c r="AH351" s="125" t="str">
        <f t="shared" si="270"/>
        <v>-</v>
      </c>
      <c r="AI351" s="127" t="str">
        <f t="shared" si="282"/>
        <v>-</v>
      </c>
      <c r="AJ351" s="128"/>
      <c r="AK351" s="223" t="s">
        <v>78</v>
      </c>
      <c r="AL351" s="131" t="str">
        <f t="shared" si="283"/>
        <v>-</v>
      </c>
      <c r="AM351" s="368" t="str">
        <f t="shared" si="300"/>
        <v>-</v>
      </c>
      <c r="AN351" s="375" t="str">
        <f t="shared" si="287"/>
        <v>-</v>
      </c>
      <c r="AO351" s="376" t="str">
        <f t="shared" si="288"/>
        <v>-</v>
      </c>
      <c r="AP351" s="394" t="s">
        <v>78</v>
      </c>
      <c r="AQ351" s="395" t="s">
        <v>78</v>
      </c>
      <c r="AR351" s="396" t="str">
        <f t="shared" si="264"/>
        <v>-</v>
      </c>
      <c r="AS351" s="397"/>
      <c r="AT351" s="401" t="s">
        <v>78</v>
      </c>
      <c r="AU351" s="396" t="str">
        <f t="shared" si="265"/>
        <v>-</v>
      </c>
      <c r="AV351" s="397"/>
      <c r="AW351" s="388" t="str">
        <f t="shared" si="289"/>
        <v>-</v>
      </c>
      <c r="AX351" s="389" t="str">
        <f t="shared" si="290"/>
        <v>-</v>
      </c>
      <c r="AY351" s="353" t="s">
        <v>78</v>
      </c>
      <c r="AZ351" s="403"/>
      <c r="BA351" s="404"/>
    </row>
    <row r="352" spans="1:53" ht="15" customHeight="1">
      <c r="A352" s="1" t="str">
        <f t="shared" si="263"/>
        <v>0_2023_</v>
      </c>
      <c r="B352" s="1" t="str">
        <f t="shared" si="267"/>
        <v>0_2023_NEO3</v>
      </c>
      <c r="D352" s="203">
        <f t="shared" si="296"/>
        <v>0</v>
      </c>
      <c r="E352" s="205" t="str">
        <f>_xll.ciqfunctions.udf.CIQ(D352,"IQ_Company_Name")</f>
        <v>(Invalid Identifier)</v>
      </c>
      <c r="F352" s="204">
        <f t="shared" si="292"/>
        <v>2023</v>
      </c>
      <c r="G352" s="204" t="str">
        <f t="shared" si="277"/>
        <v>2023-01-01</v>
      </c>
      <c r="H352" s="331" t="str">
        <f t="shared" si="302"/>
        <v>2023-12-31</v>
      </c>
      <c r="I352" s="204">
        <f t="shared" si="284"/>
        <v>12</v>
      </c>
      <c r="J352" s="408" t="str">
        <f t="shared" si="278"/>
        <v>CAD</v>
      </c>
      <c r="K352" s="441">
        <f t="shared" si="269"/>
        <v>1</v>
      </c>
      <c r="L352" s="447"/>
      <c r="M352" s="983"/>
      <c r="N352" s="444" t="str">
        <f t="shared" si="311"/>
        <v>NEO3</v>
      </c>
      <c r="O352" s="206" t="str">
        <f t="shared" si="311"/>
        <v>-</v>
      </c>
      <c r="P352" s="207" t="str">
        <f t="shared" si="311"/>
        <v>-</v>
      </c>
      <c r="Q352" s="220" t="s">
        <v>78</v>
      </c>
      <c r="R352" s="209" t="str">
        <f t="shared" si="305"/>
        <v>-</v>
      </c>
      <c r="S352" s="312" t="s">
        <v>78</v>
      </c>
      <c r="T352" s="329" t="str">
        <f t="shared" si="306"/>
        <v>-</v>
      </c>
      <c r="U352" s="222" t="s">
        <v>78</v>
      </c>
      <c r="V352" s="209" t="str">
        <f t="shared" si="298"/>
        <v>-</v>
      </c>
      <c r="W352" s="211" t="str">
        <f t="shared" si="280"/>
        <v>-</v>
      </c>
      <c r="X352" s="212"/>
      <c r="Y352" s="224" t="s">
        <v>78</v>
      </c>
      <c r="Z352" s="213" t="str">
        <f t="shared" si="281"/>
        <v>-</v>
      </c>
      <c r="AA352" s="208" t="str">
        <f t="shared" si="285"/>
        <v>-</v>
      </c>
      <c r="AB352" s="214" t="str">
        <f t="shared" si="286"/>
        <v>-</v>
      </c>
      <c r="AC352" s="222" t="s">
        <v>78</v>
      </c>
      <c r="AD352" s="226" t="s">
        <v>78</v>
      </c>
      <c r="AE352" s="226" t="s">
        <v>78</v>
      </c>
      <c r="AF352" s="226" t="s">
        <v>78</v>
      </c>
      <c r="AG352" s="226" t="s">
        <v>78</v>
      </c>
      <c r="AH352" s="418" t="str">
        <f t="shared" si="270"/>
        <v>-</v>
      </c>
      <c r="AI352" s="211" t="str">
        <f t="shared" si="282"/>
        <v>-</v>
      </c>
      <c r="AJ352" s="212"/>
      <c r="AK352" s="224" t="s">
        <v>78</v>
      </c>
      <c r="AL352" s="215" t="str">
        <f t="shared" si="283"/>
        <v>-</v>
      </c>
      <c r="AM352" s="369" t="str">
        <f t="shared" si="300"/>
        <v>-</v>
      </c>
      <c r="AN352" s="377" t="str">
        <f t="shared" si="287"/>
        <v>-</v>
      </c>
      <c r="AO352" s="378" t="str">
        <f t="shared" si="288"/>
        <v>-</v>
      </c>
      <c r="AP352" s="398" t="s">
        <v>78</v>
      </c>
      <c r="AQ352" s="399" t="s">
        <v>78</v>
      </c>
      <c r="AR352" s="396" t="str">
        <f t="shared" si="264"/>
        <v>-</v>
      </c>
      <c r="AS352" s="400"/>
      <c r="AT352" s="402" t="s">
        <v>78</v>
      </c>
      <c r="AU352" s="396" t="str">
        <f t="shared" si="265"/>
        <v>-</v>
      </c>
      <c r="AV352" s="400"/>
      <c r="AW352" s="390" t="str">
        <f t="shared" si="289"/>
        <v>-</v>
      </c>
      <c r="AX352" s="391" t="str">
        <f t="shared" si="290"/>
        <v>-</v>
      </c>
      <c r="AY352" s="354" t="s">
        <v>78</v>
      </c>
      <c r="AZ352" s="405"/>
      <c r="BA352" s="406"/>
    </row>
    <row r="353" spans="1:53" ht="15" customHeight="1">
      <c r="A353" s="1" t="str">
        <f t="shared" ref="A353:A412" si="312">$D353&amp;"_"&amp;$F353&amp;"_"&amp;$L353</f>
        <v>0_2025_</v>
      </c>
      <c r="B353" s="1" t="str">
        <f t="shared" si="267"/>
        <v>0_2025_CEO</v>
      </c>
      <c r="D353" s="216">
        <f>E24</f>
        <v>0</v>
      </c>
      <c r="E353" s="133" t="str">
        <f>_xll.ciqfunctions.udf.CIQ(D353,"IQ_Company_Name")</f>
        <v>(Invalid Identifier)</v>
      </c>
      <c r="F353" s="328">
        <f>$G$9</f>
        <v>2025</v>
      </c>
      <c r="G353" s="330" t="str">
        <f t="shared" si="277"/>
        <v>2025-01-01</v>
      </c>
      <c r="H353" s="330" t="str">
        <f t="shared" si="302"/>
        <v>2025-12-31</v>
      </c>
      <c r="I353" s="114">
        <f t="shared" si="284"/>
        <v>12</v>
      </c>
      <c r="J353" s="328" t="str">
        <f>$H$5</f>
        <v>CAD</v>
      </c>
      <c r="K353" s="439">
        <f t="shared" si="269"/>
        <v>1</v>
      </c>
      <c r="L353" s="445"/>
      <c r="M353" s="982"/>
      <c r="N353" s="442" t="s">
        <v>79</v>
      </c>
      <c r="O353" s="217" t="s">
        <v>78</v>
      </c>
      <c r="P353" s="218" t="s">
        <v>78</v>
      </c>
      <c r="Q353" s="219" t="s">
        <v>78</v>
      </c>
      <c r="R353" s="125" t="str">
        <f t="shared" si="305"/>
        <v>-</v>
      </c>
      <c r="S353" s="311" t="s">
        <v>78</v>
      </c>
      <c r="T353" s="126" t="str">
        <f t="shared" si="306"/>
        <v>-</v>
      </c>
      <c r="U353" s="221" t="s">
        <v>78</v>
      </c>
      <c r="V353" s="125" t="str">
        <f t="shared" si="298"/>
        <v>-</v>
      </c>
      <c r="W353" s="127" t="str">
        <f t="shared" si="280"/>
        <v>-</v>
      </c>
      <c r="X353" s="128" t="str">
        <f>IFERROR(AVERAGE(W353:W355),"N/A")</f>
        <v>N/A</v>
      </c>
      <c r="Y353" s="223" t="s">
        <v>78</v>
      </c>
      <c r="Z353" s="129" t="str">
        <f t="shared" si="281"/>
        <v>-</v>
      </c>
      <c r="AA353" s="124" t="str">
        <f t="shared" si="285"/>
        <v>-</v>
      </c>
      <c r="AB353" s="130" t="str">
        <f t="shared" si="286"/>
        <v>-</v>
      </c>
      <c r="AC353" s="221" t="s">
        <v>78</v>
      </c>
      <c r="AD353" s="225" t="s">
        <v>78</v>
      </c>
      <c r="AE353" s="225" t="s">
        <v>78</v>
      </c>
      <c r="AF353" s="225" t="s">
        <v>78</v>
      </c>
      <c r="AG353" s="225" t="s">
        <v>78</v>
      </c>
      <c r="AH353" s="125" t="str">
        <f t="shared" si="270"/>
        <v>-</v>
      </c>
      <c r="AI353" s="127" t="str">
        <f t="shared" si="282"/>
        <v>-</v>
      </c>
      <c r="AJ353" s="128" t="str">
        <f>IFERROR(AVERAGE(AI353:AI355),"N/A")</f>
        <v>N/A</v>
      </c>
      <c r="AK353" s="223" t="s">
        <v>78</v>
      </c>
      <c r="AL353" s="131" t="str">
        <f t="shared" si="283"/>
        <v>-</v>
      </c>
      <c r="AM353" s="368" t="str">
        <f t="shared" si="300"/>
        <v>-</v>
      </c>
      <c r="AN353" s="375" t="str">
        <f t="shared" si="287"/>
        <v>-</v>
      </c>
      <c r="AO353" s="376" t="str">
        <f t="shared" si="288"/>
        <v>-</v>
      </c>
      <c r="AP353" s="394" t="s">
        <v>78</v>
      </c>
      <c r="AQ353" s="395" t="s">
        <v>78</v>
      </c>
      <c r="AR353" s="396" t="str">
        <f t="shared" ref="AR353:AR412" si="313">IFERROR(AP353*(12/$I353)*$K353,"-")</f>
        <v>-</v>
      </c>
      <c r="AS353" s="409" t="str">
        <f>IFERROR(AVERAGE(AR353:AR355),"N/A")</f>
        <v>N/A</v>
      </c>
      <c r="AT353" s="401" t="s">
        <v>78</v>
      </c>
      <c r="AU353" s="396" t="str">
        <f t="shared" ref="AU353:AU412" si="314">IFERROR(AT353*(12/$I353)*$K353,"-")</f>
        <v>-</v>
      </c>
      <c r="AV353" s="409" t="str">
        <f>IFERROR(AVERAGE(AU353:AU355),"N/A")</f>
        <v>N/A</v>
      </c>
      <c r="AW353" s="388" t="str">
        <f t="shared" si="289"/>
        <v>-</v>
      </c>
      <c r="AX353" s="389" t="str">
        <f t="shared" si="290"/>
        <v>-</v>
      </c>
      <c r="AY353" s="353" t="s">
        <v>78</v>
      </c>
      <c r="AZ353" s="403"/>
      <c r="BA353" s="404"/>
    </row>
    <row r="354" spans="1:53" ht="15" customHeight="1">
      <c r="A354" s="1" t="str">
        <f t="shared" si="312"/>
        <v>0_2024_</v>
      </c>
      <c r="B354" s="1" t="str">
        <f t="shared" si="267"/>
        <v>0_2024_CEO</v>
      </c>
      <c r="D354" s="114">
        <f>D353</f>
        <v>0</v>
      </c>
      <c r="E354" s="133" t="str">
        <f>_xll.ciqfunctions.udf.CIQ(D354,"IQ_Company_Name")</f>
        <v>(Invalid Identifier)</v>
      </c>
      <c r="F354" s="328">
        <f>$G$10</f>
        <v>2024</v>
      </c>
      <c r="G354" s="330" t="str">
        <f t="shared" si="277"/>
        <v>2024-01-01</v>
      </c>
      <c r="H354" s="330" t="str">
        <f t="shared" si="302"/>
        <v>2024-12-31</v>
      </c>
      <c r="I354" s="114">
        <f t="shared" si="284"/>
        <v>12</v>
      </c>
      <c r="J354" s="407" t="str">
        <f>J353</f>
        <v>CAD</v>
      </c>
      <c r="K354" s="439">
        <f t="shared" si="269"/>
        <v>1</v>
      </c>
      <c r="L354" s="445"/>
      <c r="M354" s="982"/>
      <c r="N354" s="443" t="str">
        <f t="shared" ref="N354:P355" si="315">N353</f>
        <v>CEO</v>
      </c>
      <c r="O354" s="123" t="str">
        <f t="shared" si="315"/>
        <v>-</v>
      </c>
      <c r="P354" s="132" t="str">
        <f t="shared" si="315"/>
        <v>-</v>
      </c>
      <c r="Q354" s="219" t="s">
        <v>78</v>
      </c>
      <c r="R354" s="125" t="str">
        <f t="shared" si="305"/>
        <v>-</v>
      </c>
      <c r="S354" s="311" t="s">
        <v>78</v>
      </c>
      <c r="T354" s="126" t="str">
        <f t="shared" si="306"/>
        <v>-</v>
      </c>
      <c r="U354" s="221" t="s">
        <v>78</v>
      </c>
      <c r="V354" s="125" t="str">
        <f t="shared" si="298"/>
        <v>-</v>
      </c>
      <c r="W354" s="127" t="str">
        <f t="shared" si="280"/>
        <v>-</v>
      </c>
      <c r="X354" s="128"/>
      <c r="Y354" s="223" t="s">
        <v>78</v>
      </c>
      <c r="Z354" s="129" t="str">
        <f t="shared" si="281"/>
        <v>-</v>
      </c>
      <c r="AA354" s="124" t="str">
        <f t="shared" si="285"/>
        <v>-</v>
      </c>
      <c r="AB354" s="130" t="str">
        <f t="shared" si="286"/>
        <v>-</v>
      </c>
      <c r="AC354" s="221" t="s">
        <v>78</v>
      </c>
      <c r="AD354" s="225" t="s">
        <v>78</v>
      </c>
      <c r="AE354" s="225" t="s">
        <v>78</v>
      </c>
      <c r="AF354" s="225" t="s">
        <v>78</v>
      </c>
      <c r="AG354" s="225" t="s">
        <v>78</v>
      </c>
      <c r="AH354" s="125" t="str">
        <f t="shared" si="270"/>
        <v>-</v>
      </c>
      <c r="AI354" s="127" t="str">
        <f t="shared" si="282"/>
        <v>-</v>
      </c>
      <c r="AJ354" s="128"/>
      <c r="AK354" s="223" t="s">
        <v>78</v>
      </c>
      <c r="AL354" s="131" t="str">
        <f t="shared" si="283"/>
        <v>-</v>
      </c>
      <c r="AM354" s="368" t="str">
        <f t="shared" si="300"/>
        <v>-</v>
      </c>
      <c r="AN354" s="375" t="str">
        <f t="shared" si="287"/>
        <v>-</v>
      </c>
      <c r="AO354" s="376" t="str">
        <f t="shared" si="288"/>
        <v>-</v>
      </c>
      <c r="AP354" s="394" t="s">
        <v>78</v>
      </c>
      <c r="AQ354" s="395" t="s">
        <v>78</v>
      </c>
      <c r="AR354" s="396" t="str">
        <f t="shared" si="313"/>
        <v>-</v>
      </c>
      <c r="AS354" s="397"/>
      <c r="AT354" s="401" t="s">
        <v>78</v>
      </c>
      <c r="AU354" s="396" t="str">
        <f t="shared" si="314"/>
        <v>-</v>
      </c>
      <c r="AV354" s="397"/>
      <c r="AW354" s="388" t="str">
        <f t="shared" si="289"/>
        <v>-</v>
      </c>
      <c r="AX354" s="389" t="str">
        <f t="shared" si="290"/>
        <v>-</v>
      </c>
      <c r="AY354" s="353" t="s">
        <v>78</v>
      </c>
      <c r="AZ354" s="403"/>
      <c r="BA354" s="404"/>
    </row>
    <row r="355" spans="1:53" ht="15" customHeight="1">
      <c r="A355" s="1" t="str">
        <f t="shared" si="312"/>
        <v>0_2023_</v>
      </c>
      <c r="B355" s="1" t="str">
        <f t="shared" si="267"/>
        <v>0_2023_CEO</v>
      </c>
      <c r="D355" s="114">
        <f t="shared" si="296"/>
        <v>0</v>
      </c>
      <c r="E355" s="133" t="str">
        <f>_xll.ciqfunctions.udf.CIQ(D355,"IQ_Company_Name")</f>
        <v>(Invalid Identifier)</v>
      </c>
      <c r="F355" s="328">
        <f>$G$11</f>
        <v>2023</v>
      </c>
      <c r="G355" s="114" t="str">
        <f t="shared" si="277"/>
        <v>2023-01-01</v>
      </c>
      <c r="H355" s="330" t="str">
        <f t="shared" si="302"/>
        <v>2023-12-31</v>
      </c>
      <c r="I355" s="114">
        <f t="shared" si="284"/>
        <v>12</v>
      </c>
      <c r="J355" s="407" t="str">
        <f>J354</f>
        <v>CAD</v>
      </c>
      <c r="K355" s="439">
        <f t="shared" si="269"/>
        <v>1</v>
      </c>
      <c r="L355" s="445"/>
      <c r="M355" s="982"/>
      <c r="N355" s="443" t="str">
        <f t="shared" si="315"/>
        <v>CEO</v>
      </c>
      <c r="O355" s="123" t="str">
        <f t="shared" si="315"/>
        <v>-</v>
      </c>
      <c r="P355" s="132" t="str">
        <f t="shared" si="315"/>
        <v>-</v>
      </c>
      <c r="Q355" s="219" t="s">
        <v>78</v>
      </c>
      <c r="R355" s="125" t="str">
        <f t="shared" si="305"/>
        <v>-</v>
      </c>
      <c r="S355" s="311" t="s">
        <v>78</v>
      </c>
      <c r="T355" s="126" t="str">
        <f t="shared" si="306"/>
        <v>-</v>
      </c>
      <c r="U355" s="221" t="s">
        <v>78</v>
      </c>
      <c r="V355" s="125" t="str">
        <f t="shared" si="298"/>
        <v>-</v>
      </c>
      <c r="W355" s="127" t="str">
        <f t="shared" si="280"/>
        <v>-</v>
      </c>
      <c r="X355" s="128"/>
      <c r="Y355" s="223" t="s">
        <v>78</v>
      </c>
      <c r="Z355" s="129" t="str">
        <f t="shared" si="281"/>
        <v>-</v>
      </c>
      <c r="AA355" s="124" t="str">
        <f t="shared" si="285"/>
        <v>-</v>
      </c>
      <c r="AB355" s="130" t="str">
        <f t="shared" si="286"/>
        <v>-</v>
      </c>
      <c r="AC355" s="221" t="s">
        <v>78</v>
      </c>
      <c r="AD355" s="225" t="s">
        <v>78</v>
      </c>
      <c r="AE355" s="225" t="s">
        <v>78</v>
      </c>
      <c r="AF355" s="225" t="s">
        <v>78</v>
      </c>
      <c r="AG355" s="225" t="s">
        <v>78</v>
      </c>
      <c r="AH355" s="125" t="str">
        <f t="shared" si="270"/>
        <v>-</v>
      </c>
      <c r="AI355" s="127" t="str">
        <f t="shared" si="282"/>
        <v>-</v>
      </c>
      <c r="AJ355" s="128"/>
      <c r="AK355" s="223" t="s">
        <v>78</v>
      </c>
      <c r="AL355" s="131" t="str">
        <f t="shared" si="283"/>
        <v>-</v>
      </c>
      <c r="AM355" s="368" t="str">
        <f t="shared" si="300"/>
        <v>-</v>
      </c>
      <c r="AN355" s="375" t="str">
        <f t="shared" si="287"/>
        <v>-</v>
      </c>
      <c r="AO355" s="376" t="str">
        <f t="shared" si="288"/>
        <v>-</v>
      </c>
      <c r="AP355" s="394" t="s">
        <v>78</v>
      </c>
      <c r="AQ355" s="395" t="s">
        <v>78</v>
      </c>
      <c r="AR355" s="396" t="str">
        <f t="shared" si="313"/>
        <v>-</v>
      </c>
      <c r="AS355" s="397"/>
      <c r="AT355" s="401" t="s">
        <v>78</v>
      </c>
      <c r="AU355" s="396" t="str">
        <f t="shared" si="314"/>
        <v>-</v>
      </c>
      <c r="AV355" s="397"/>
      <c r="AW355" s="388" t="str">
        <f t="shared" si="289"/>
        <v>-</v>
      </c>
      <c r="AX355" s="389" t="str">
        <f t="shared" si="290"/>
        <v>-</v>
      </c>
      <c r="AY355" s="353" t="s">
        <v>78</v>
      </c>
      <c r="AZ355" s="403"/>
      <c r="BA355" s="404"/>
    </row>
    <row r="356" spans="1:53" ht="15" customHeight="1">
      <c r="A356" s="1" t="str">
        <f t="shared" si="312"/>
        <v>0_2025_</v>
      </c>
      <c r="B356" s="1" t="str">
        <f t="shared" si="267"/>
        <v>0_2025_CFO</v>
      </c>
      <c r="D356" s="114">
        <f t="shared" si="296"/>
        <v>0</v>
      </c>
      <c r="E356" s="133" t="str">
        <f>_xll.ciqfunctions.udf.CIQ(D356,"IQ_Company_Name")</f>
        <v>(Invalid Identifier)</v>
      </c>
      <c r="F356" s="114">
        <f t="shared" si="292"/>
        <v>2025</v>
      </c>
      <c r="G356" s="114" t="str">
        <f t="shared" si="277"/>
        <v>2025-01-01</v>
      </c>
      <c r="H356" s="330" t="str">
        <f t="shared" si="302"/>
        <v>2025-12-31</v>
      </c>
      <c r="I356" s="114">
        <f t="shared" si="284"/>
        <v>12</v>
      </c>
      <c r="J356" s="407" t="str">
        <f>J355</f>
        <v>CAD</v>
      </c>
      <c r="K356" s="439">
        <f t="shared" si="269"/>
        <v>1</v>
      </c>
      <c r="L356" s="445"/>
      <c r="M356" s="982"/>
      <c r="N356" s="442" t="s">
        <v>106</v>
      </c>
      <c r="O356" s="217" t="s">
        <v>78</v>
      </c>
      <c r="P356" s="218" t="s">
        <v>78</v>
      </c>
      <c r="Q356" s="219" t="s">
        <v>78</v>
      </c>
      <c r="R356" s="125" t="str">
        <f t="shared" si="305"/>
        <v>-</v>
      </c>
      <c r="S356" s="311" t="s">
        <v>78</v>
      </c>
      <c r="T356" s="126" t="str">
        <f t="shared" si="306"/>
        <v>-</v>
      </c>
      <c r="U356" s="221" t="s">
        <v>78</v>
      </c>
      <c r="V356" s="125" t="str">
        <f t="shared" si="298"/>
        <v>-</v>
      </c>
      <c r="W356" s="127" t="str">
        <f t="shared" si="280"/>
        <v>-</v>
      </c>
      <c r="X356" s="128" t="str">
        <f>IFERROR(AVERAGE(W356:W358),"N/A")</f>
        <v>N/A</v>
      </c>
      <c r="Y356" s="223" t="s">
        <v>78</v>
      </c>
      <c r="Z356" s="129" t="str">
        <f t="shared" si="281"/>
        <v>-</v>
      </c>
      <c r="AA356" s="124" t="str">
        <f t="shared" si="285"/>
        <v>-</v>
      </c>
      <c r="AB356" s="130" t="str">
        <f t="shared" si="286"/>
        <v>-</v>
      </c>
      <c r="AC356" s="221" t="s">
        <v>78</v>
      </c>
      <c r="AD356" s="225" t="s">
        <v>78</v>
      </c>
      <c r="AE356" s="225" t="s">
        <v>78</v>
      </c>
      <c r="AF356" s="225" t="s">
        <v>78</v>
      </c>
      <c r="AG356" s="225" t="s">
        <v>78</v>
      </c>
      <c r="AH356" s="125" t="str">
        <f t="shared" si="270"/>
        <v>-</v>
      </c>
      <c r="AI356" s="127" t="str">
        <f t="shared" si="282"/>
        <v>-</v>
      </c>
      <c r="AJ356" s="128" t="str">
        <f>IFERROR(AVERAGE(AI356:AI358),"N/A")</f>
        <v>N/A</v>
      </c>
      <c r="AK356" s="223" t="s">
        <v>78</v>
      </c>
      <c r="AL356" s="131" t="str">
        <f t="shared" si="283"/>
        <v>-</v>
      </c>
      <c r="AM356" s="368" t="str">
        <f t="shared" si="300"/>
        <v>-</v>
      </c>
      <c r="AN356" s="375" t="str">
        <f t="shared" si="287"/>
        <v>-</v>
      </c>
      <c r="AO356" s="376" t="str">
        <f t="shared" si="288"/>
        <v>-</v>
      </c>
      <c r="AP356" s="394" t="s">
        <v>78</v>
      </c>
      <c r="AQ356" s="395" t="s">
        <v>78</v>
      </c>
      <c r="AR356" s="396" t="str">
        <f t="shared" si="313"/>
        <v>-</v>
      </c>
      <c r="AS356" s="397" t="str">
        <f>IFERROR(AVERAGE(AR356:AR358),"N/A")</f>
        <v>N/A</v>
      </c>
      <c r="AT356" s="401" t="s">
        <v>78</v>
      </c>
      <c r="AU356" s="396" t="str">
        <f t="shared" si="314"/>
        <v>-</v>
      </c>
      <c r="AV356" s="397" t="str">
        <f>IFERROR(AVERAGE(AU356:AU358),"N/A")</f>
        <v>N/A</v>
      </c>
      <c r="AW356" s="388" t="str">
        <f t="shared" si="289"/>
        <v>-</v>
      </c>
      <c r="AX356" s="389" t="str">
        <f t="shared" si="290"/>
        <v>-</v>
      </c>
      <c r="AY356" s="353" t="s">
        <v>78</v>
      </c>
      <c r="AZ356" s="403"/>
      <c r="BA356" s="404"/>
    </row>
    <row r="357" spans="1:53" ht="15" customHeight="1">
      <c r="A357" s="1" t="str">
        <f t="shared" si="312"/>
        <v>0_2024_</v>
      </c>
      <c r="B357" s="1" t="str">
        <f t="shared" si="267"/>
        <v>0_2024_CFO</v>
      </c>
      <c r="D357" s="114">
        <f t="shared" si="296"/>
        <v>0</v>
      </c>
      <c r="E357" s="133" t="str">
        <f>_xll.ciqfunctions.udf.CIQ(D357,"IQ_Company_Name")</f>
        <v>(Invalid Identifier)</v>
      </c>
      <c r="F357" s="114">
        <f t="shared" si="292"/>
        <v>2024</v>
      </c>
      <c r="G357" s="114" t="str">
        <f t="shared" si="277"/>
        <v>2024-01-01</v>
      </c>
      <c r="H357" s="330" t="str">
        <f t="shared" si="302"/>
        <v>2024-12-31</v>
      </c>
      <c r="I357" s="114">
        <f t="shared" si="284"/>
        <v>12</v>
      </c>
      <c r="J357" s="407" t="str">
        <f>J356</f>
        <v>CAD</v>
      </c>
      <c r="K357" s="439">
        <f t="shared" si="269"/>
        <v>1</v>
      </c>
      <c r="L357" s="445"/>
      <c r="M357" s="982"/>
      <c r="N357" s="443" t="str">
        <f t="shared" ref="N357:P358" si="316">N356</f>
        <v>CFO</v>
      </c>
      <c r="O357" s="123" t="str">
        <f t="shared" si="316"/>
        <v>-</v>
      </c>
      <c r="P357" s="132" t="str">
        <f t="shared" si="316"/>
        <v>-</v>
      </c>
      <c r="Q357" s="219" t="s">
        <v>78</v>
      </c>
      <c r="R357" s="125" t="str">
        <f t="shared" si="305"/>
        <v>-</v>
      </c>
      <c r="S357" s="311" t="s">
        <v>78</v>
      </c>
      <c r="T357" s="126" t="str">
        <f t="shared" si="306"/>
        <v>-</v>
      </c>
      <c r="U357" s="221" t="s">
        <v>78</v>
      </c>
      <c r="V357" s="125" t="str">
        <f t="shared" si="298"/>
        <v>-</v>
      </c>
      <c r="W357" s="127" t="str">
        <f t="shared" si="280"/>
        <v>-</v>
      </c>
      <c r="X357" s="128"/>
      <c r="Y357" s="223" t="s">
        <v>78</v>
      </c>
      <c r="Z357" s="129" t="str">
        <f t="shared" si="281"/>
        <v>-</v>
      </c>
      <c r="AA357" s="124" t="str">
        <f t="shared" si="285"/>
        <v>-</v>
      </c>
      <c r="AB357" s="130" t="str">
        <f t="shared" si="286"/>
        <v>-</v>
      </c>
      <c r="AC357" s="221" t="s">
        <v>78</v>
      </c>
      <c r="AD357" s="225" t="s">
        <v>78</v>
      </c>
      <c r="AE357" s="225" t="s">
        <v>78</v>
      </c>
      <c r="AF357" s="225" t="s">
        <v>78</v>
      </c>
      <c r="AG357" s="225" t="s">
        <v>78</v>
      </c>
      <c r="AH357" s="125" t="str">
        <f t="shared" si="270"/>
        <v>-</v>
      </c>
      <c r="AI357" s="127" t="str">
        <f t="shared" si="282"/>
        <v>-</v>
      </c>
      <c r="AJ357" s="128"/>
      <c r="AK357" s="223" t="s">
        <v>78</v>
      </c>
      <c r="AL357" s="131" t="str">
        <f t="shared" si="283"/>
        <v>-</v>
      </c>
      <c r="AM357" s="368" t="str">
        <f t="shared" si="300"/>
        <v>-</v>
      </c>
      <c r="AN357" s="375" t="str">
        <f t="shared" si="287"/>
        <v>-</v>
      </c>
      <c r="AO357" s="376" t="str">
        <f t="shared" si="288"/>
        <v>-</v>
      </c>
      <c r="AP357" s="394" t="s">
        <v>78</v>
      </c>
      <c r="AQ357" s="395" t="s">
        <v>78</v>
      </c>
      <c r="AR357" s="396" t="str">
        <f t="shared" si="313"/>
        <v>-</v>
      </c>
      <c r="AS357" s="397"/>
      <c r="AT357" s="401" t="s">
        <v>78</v>
      </c>
      <c r="AU357" s="396" t="str">
        <f t="shared" si="314"/>
        <v>-</v>
      </c>
      <c r="AV357" s="397"/>
      <c r="AW357" s="388" t="str">
        <f t="shared" si="289"/>
        <v>-</v>
      </c>
      <c r="AX357" s="389" t="str">
        <f t="shared" si="290"/>
        <v>-</v>
      </c>
      <c r="AY357" s="353" t="s">
        <v>78</v>
      </c>
      <c r="AZ357" s="403"/>
      <c r="BA357" s="404"/>
    </row>
    <row r="358" spans="1:53" ht="15" customHeight="1">
      <c r="A358" s="1" t="str">
        <f t="shared" si="312"/>
        <v>0_2023_</v>
      </c>
      <c r="B358" s="1" t="str">
        <f t="shared" ref="B358:B412" si="317">$D358&amp;"_"&amp;$F358&amp;"_"&amp;$N358</f>
        <v>0_2023_CFO</v>
      </c>
      <c r="D358" s="114">
        <f t="shared" si="296"/>
        <v>0</v>
      </c>
      <c r="E358" s="133" t="str">
        <f>_xll.ciqfunctions.udf.CIQ(D358,"IQ_Company_Name")</f>
        <v>(Invalid Identifier)</v>
      </c>
      <c r="F358" s="114">
        <f t="shared" si="292"/>
        <v>2023</v>
      </c>
      <c r="G358" s="114" t="str">
        <f t="shared" si="277"/>
        <v>2023-01-01</v>
      </c>
      <c r="H358" s="330" t="str">
        <f t="shared" si="302"/>
        <v>2023-12-31</v>
      </c>
      <c r="I358" s="114">
        <f t="shared" si="284"/>
        <v>12</v>
      </c>
      <c r="J358" s="407" t="str">
        <f t="shared" si="278"/>
        <v>CAD</v>
      </c>
      <c r="K358" s="439">
        <f t="shared" si="269"/>
        <v>1</v>
      </c>
      <c r="L358" s="445"/>
      <c r="M358" s="982"/>
      <c r="N358" s="443" t="str">
        <f t="shared" si="316"/>
        <v>CFO</v>
      </c>
      <c r="O358" s="123" t="str">
        <f t="shared" si="316"/>
        <v>-</v>
      </c>
      <c r="P358" s="132" t="str">
        <f t="shared" si="316"/>
        <v>-</v>
      </c>
      <c r="Q358" s="219" t="s">
        <v>78</v>
      </c>
      <c r="R358" s="125" t="str">
        <f t="shared" si="305"/>
        <v>-</v>
      </c>
      <c r="S358" s="311" t="s">
        <v>78</v>
      </c>
      <c r="T358" s="126" t="str">
        <f t="shared" si="306"/>
        <v>-</v>
      </c>
      <c r="U358" s="221" t="s">
        <v>78</v>
      </c>
      <c r="V358" s="125" t="str">
        <f t="shared" si="298"/>
        <v>-</v>
      </c>
      <c r="W358" s="127" t="str">
        <f t="shared" si="280"/>
        <v>-</v>
      </c>
      <c r="X358" s="128"/>
      <c r="Y358" s="223" t="s">
        <v>78</v>
      </c>
      <c r="Z358" s="129" t="str">
        <f t="shared" si="281"/>
        <v>-</v>
      </c>
      <c r="AA358" s="124" t="str">
        <f t="shared" si="285"/>
        <v>-</v>
      </c>
      <c r="AB358" s="130" t="str">
        <f t="shared" si="286"/>
        <v>-</v>
      </c>
      <c r="AC358" s="221" t="s">
        <v>78</v>
      </c>
      <c r="AD358" s="225" t="s">
        <v>78</v>
      </c>
      <c r="AE358" s="225" t="s">
        <v>78</v>
      </c>
      <c r="AF358" s="225" t="s">
        <v>78</v>
      </c>
      <c r="AG358" s="225" t="s">
        <v>78</v>
      </c>
      <c r="AH358" s="125" t="str">
        <f t="shared" si="270"/>
        <v>-</v>
      </c>
      <c r="AI358" s="127" t="str">
        <f t="shared" si="282"/>
        <v>-</v>
      </c>
      <c r="AJ358" s="128"/>
      <c r="AK358" s="223" t="s">
        <v>78</v>
      </c>
      <c r="AL358" s="131" t="str">
        <f t="shared" si="283"/>
        <v>-</v>
      </c>
      <c r="AM358" s="368" t="str">
        <f t="shared" si="300"/>
        <v>-</v>
      </c>
      <c r="AN358" s="375" t="str">
        <f t="shared" si="287"/>
        <v>-</v>
      </c>
      <c r="AO358" s="376" t="str">
        <f t="shared" si="288"/>
        <v>-</v>
      </c>
      <c r="AP358" s="394" t="s">
        <v>78</v>
      </c>
      <c r="AQ358" s="395" t="s">
        <v>78</v>
      </c>
      <c r="AR358" s="396" t="str">
        <f t="shared" si="313"/>
        <v>-</v>
      </c>
      <c r="AS358" s="397"/>
      <c r="AT358" s="401" t="s">
        <v>78</v>
      </c>
      <c r="AU358" s="396" t="str">
        <f t="shared" si="314"/>
        <v>-</v>
      </c>
      <c r="AV358" s="397"/>
      <c r="AW358" s="388" t="str">
        <f t="shared" si="289"/>
        <v>-</v>
      </c>
      <c r="AX358" s="389" t="str">
        <f t="shared" si="290"/>
        <v>-</v>
      </c>
      <c r="AY358" s="353" t="s">
        <v>78</v>
      </c>
      <c r="AZ358" s="403"/>
      <c r="BA358" s="404"/>
    </row>
    <row r="359" spans="1:53" ht="15" customHeight="1">
      <c r="A359" s="1" t="str">
        <f t="shared" si="312"/>
        <v>0_2025_</v>
      </c>
      <c r="B359" s="1" t="str">
        <f t="shared" si="317"/>
        <v>0_2025_NEO1</v>
      </c>
      <c r="D359" s="114">
        <f t="shared" si="296"/>
        <v>0</v>
      </c>
      <c r="E359" s="133" t="str">
        <f>_xll.ciqfunctions.udf.CIQ(D359,"IQ_Company_Name")</f>
        <v>(Invalid Identifier)</v>
      </c>
      <c r="F359" s="114">
        <f t="shared" si="292"/>
        <v>2025</v>
      </c>
      <c r="G359" s="330" t="str">
        <f t="shared" si="277"/>
        <v>2025-01-01</v>
      </c>
      <c r="H359" s="330" t="str">
        <f t="shared" si="302"/>
        <v>2025-12-31</v>
      </c>
      <c r="I359" s="114">
        <f t="shared" si="284"/>
        <v>12</v>
      </c>
      <c r="J359" s="407" t="str">
        <f t="shared" si="278"/>
        <v>CAD</v>
      </c>
      <c r="K359" s="439">
        <f t="shared" ref="K359:K412" si="318">IF($J359="CAD",1,IF($J359="USD",VLOOKUP($F359,$G$9:$H$11,2,FALSE),"N/A"))</f>
        <v>1</v>
      </c>
      <c r="L359" s="445"/>
      <c r="M359" s="982"/>
      <c r="N359" s="442" t="s">
        <v>107</v>
      </c>
      <c r="O359" s="217" t="s">
        <v>78</v>
      </c>
      <c r="P359" s="218" t="s">
        <v>78</v>
      </c>
      <c r="Q359" s="219" t="s">
        <v>78</v>
      </c>
      <c r="R359" s="125" t="str">
        <f t="shared" si="305"/>
        <v>-</v>
      </c>
      <c r="S359" s="311" t="s">
        <v>78</v>
      </c>
      <c r="T359" s="126" t="str">
        <f t="shared" si="306"/>
        <v>-</v>
      </c>
      <c r="U359" s="221" t="s">
        <v>78</v>
      </c>
      <c r="V359" s="125" t="str">
        <f t="shared" si="298"/>
        <v>-</v>
      </c>
      <c r="W359" s="127" t="str">
        <f t="shared" si="280"/>
        <v>-</v>
      </c>
      <c r="X359" s="128" t="str">
        <f>IFERROR(AVERAGE(W359:W361),"N/A")</f>
        <v>N/A</v>
      </c>
      <c r="Y359" s="223" t="s">
        <v>78</v>
      </c>
      <c r="Z359" s="129" t="str">
        <f t="shared" si="281"/>
        <v>-</v>
      </c>
      <c r="AA359" s="124" t="str">
        <f t="shared" si="285"/>
        <v>-</v>
      </c>
      <c r="AB359" s="130" t="str">
        <f t="shared" si="286"/>
        <v>-</v>
      </c>
      <c r="AC359" s="221" t="s">
        <v>78</v>
      </c>
      <c r="AD359" s="225" t="s">
        <v>78</v>
      </c>
      <c r="AE359" s="225" t="s">
        <v>78</v>
      </c>
      <c r="AF359" s="225" t="s">
        <v>78</v>
      </c>
      <c r="AG359" s="225" t="s">
        <v>78</v>
      </c>
      <c r="AH359" s="125" t="str">
        <f t="shared" ref="AH359:AH412" si="319">IFERROR(IF(SUM(AC359:AG359)=0,IF(COUNTIF($AC359:$AG359,"=0")&gt;0,"$0","-"),SUM(AC359:AG359)),"-")</f>
        <v>-</v>
      </c>
      <c r="AI359" s="127" t="str">
        <f t="shared" si="282"/>
        <v>-</v>
      </c>
      <c r="AJ359" s="128" t="str">
        <f>IFERROR(AVERAGE(AI359:AI361),"N/A")</f>
        <v>N/A</v>
      </c>
      <c r="AK359" s="223" t="s">
        <v>78</v>
      </c>
      <c r="AL359" s="131" t="str">
        <f t="shared" si="283"/>
        <v>-</v>
      </c>
      <c r="AM359" s="368" t="str">
        <f t="shared" ref="AM359:AM390" si="320">IFERROR($AH359*$K359,"-")</f>
        <v>-</v>
      </c>
      <c r="AN359" s="375" t="str">
        <f t="shared" si="287"/>
        <v>-</v>
      </c>
      <c r="AO359" s="376" t="str">
        <f t="shared" si="288"/>
        <v>-</v>
      </c>
      <c r="AP359" s="394" t="s">
        <v>78</v>
      </c>
      <c r="AQ359" s="395" t="s">
        <v>78</v>
      </c>
      <c r="AR359" s="396" t="str">
        <f t="shared" si="313"/>
        <v>-</v>
      </c>
      <c r="AS359" s="397" t="str">
        <f>IFERROR(AVERAGE(AR359:AR361),"N/A")</f>
        <v>N/A</v>
      </c>
      <c r="AT359" s="401" t="s">
        <v>78</v>
      </c>
      <c r="AU359" s="396" t="str">
        <f t="shared" si="314"/>
        <v>-</v>
      </c>
      <c r="AV359" s="397" t="str">
        <f>IFERROR(AVERAGE(AU359:AU361),"N/A")</f>
        <v>N/A</v>
      </c>
      <c r="AW359" s="388" t="str">
        <f t="shared" si="289"/>
        <v>-</v>
      </c>
      <c r="AX359" s="389" t="str">
        <f t="shared" si="290"/>
        <v>-</v>
      </c>
      <c r="AY359" s="353" t="s">
        <v>78</v>
      </c>
      <c r="AZ359" s="403"/>
      <c r="BA359" s="404"/>
    </row>
    <row r="360" spans="1:53" ht="15" customHeight="1">
      <c r="A360" s="1" t="str">
        <f t="shared" si="312"/>
        <v>0_2024_</v>
      </c>
      <c r="B360" s="1" t="str">
        <f t="shared" si="317"/>
        <v>0_2024_NEO1</v>
      </c>
      <c r="D360" s="114">
        <f t="shared" si="296"/>
        <v>0</v>
      </c>
      <c r="E360" s="133" t="str">
        <f>_xll.ciqfunctions.udf.CIQ(D360,"IQ_Company_Name")</f>
        <v>(Invalid Identifier)</v>
      </c>
      <c r="F360" s="114">
        <f t="shared" si="292"/>
        <v>2024</v>
      </c>
      <c r="G360" s="330" t="str">
        <f t="shared" si="277"/>
        <v>2024-01-01</v>
      </c>
      <c r="H360" s="330" t="str">
        <f t="shared" si="302"/>
        <v>2024-12-31</v>
      </c>
      <c r="I360" s="114">
        <f t="shared" si="284"/>
        <v>12</v>
      </c>
      <c r="J360" s="407" t="str">
        <f t="shared" si="278"/>
        <v>CAD</v>
      </c>
      <c r="K360" s="439">
        <f t="shared" si="318"/>
        <v>1</v>
      </c>
      <c r="L360" s="445"/>
      <c r="M360" s="982"/>
      <c r="N360" s="443" t="str">
        <f t="shared" ref="N360:P361" si="321">N359</f>
        <v>NEO1</v>
      </c>
      <c r="O360" s="123" t="str">
        <f t="shared" si="321"/>
        <v>-</v>
      </c>
      <c r="P360" s="132" t="str">
        <f t="shared" si="321"/>
        <v>-</v>
      </c>
      <c r="Q360" s="219" t="s">
        <v>78</v>
      </c>
      <c r="R360" s="125" t="str">
        <f t="shared" si="305"/>
        <v>-</v>
      </c>
      <c r="S360" s="311" t="s">
        <v>78</v>
      </c>
      <c r="T360" s="126" t="str">
        <f t="shared" si="306"/>
        <v>-</v>
      </c>
      <c r="U360" s="221" t="s">
        <v>78</v>
      </c>
      <c r="V360" s="125" t="str">
        <f t="shared" si="298"/>
        <v>-</v>
      </c>
      <c r="W360" s="127" t="str">
        <f t="shared" si="280"/>
        <v>-</v>
      </c>
      <c r="X360" s="128"/>
      <c r="Y360" s="223" t="s">
        <v>78</v>
      </c>
      <c r="Z360" s="129" t="str">
        <f t="shared" si="281"/>
        <v>-</v>
      </c>
      <c r="AA360" s="124" t="str">
        <f t="shared" si="285"/>
        <v>-</v>
      </c>
      <c r="AB360" s="130" t="str">
        <f t="shared" si="286"/>
        <v>-</v>
      </c>
      <c r="AC360" s="221" t="s">
        <v>78</v>
      </c>
      <c r="AD360" s="225" t="s">
        <v>78</v>
      </c>
      <c r="AE360" s="225" t="s">
        <v>78</v>
      </c>
      <c r="AF360" s="225" t="s">
        <v>78</v>
      </c>
      <c r="AG360" s="225" t="s">
        <v>78</v>
      </c>
      <c r="AH360" s="125" t="str">
        <f t="shared" si="319"/>
        <v>-</v>
      </c>
      <c r="AI360" s="127" t="str">
        <f t="shared" si="282"/>
        <v>-</v>
      </c>
      <c r="AJ360" s="128"/>
      <c r="AK360" s="223" t="s">
        <v>78</v>
      </c>
      <c r="AL360" s="131" t="str">
        <f t="shared" si="283"/>
        <v>-</v>
      </c>
      <c r="AM360" s="368" t="str">
        <f t="shared" si="320"/>
        <v>-</v>
      </c>
      <c r="AN360" s="375" t="str">
        <f t="shared" si="287"/>
        <v>-</v>
      </c>
      <c r="AO360" s="376" t="str">
        <f t="shared" si="288"/>
        <v>-</v>
      </c>
      <c r="AP360" s="394" t="s">
        <v>78</v>
      </c>
      <c r="AQ360" s="395" t="s">
        <v>78</v>
      </c>
      <c r="AR360" s="396" t="str">
        <f t="shared" si="313"/>
        <v>-</v>
      </c>
      <c r="AS360" s="397"/>
      <c r="AT360" s="401" t="s">
        <v>78</v>
      </c>
      <c r="AU360" s="396" t="str">
        <f t="shared" si="314"/>
        <v>-</v>
      </c>
      <c r="AV360" s="397"/>
      <c r="AW360" s="388" t="str">
        <f t="shared" si="289"/>
        <v>-</v>
      </c>
      <c r="AX360" s="389" t="str">
        <f t="shared" si="290"/>
        <v>-</v>
      </c>
      <c r="AY360" s="353" t="s">
        <v>78</v>
      </c>
      <c r="AZ360" s="403"/>
      <c r="BA360" s="404"/>
    </row>
    <row r="361" spans="1:53" ht="15" customHeight="1">
      <c r="A361" s="1" t="str">
        <f t="shared" si="312"/>
        <v>0_2023_</v>
      </c>
      <c r="B361" s="1" t="str">
        <f t="shared" si="317"/>
        <v>0_2023_NEO1</v>
      </c>
      <c r="D361" s="114">
        <f t="shared" si="296"/>
        <v>0</v>
      </c>
      <c r="E361" s="133" t="str">
        <f>_xll.ciqfunctions.udf.CIQ(D361,"IQ_Company_Name")</f>
        <v>(Invalid Identifier)</v>
      </c>
      <c r="F361" s="114">
        <f t="shared" si="292"/>
        <v>2023</v>
      </c>
      <c r="G361" s="114" t="str">
        <f t="shared" si="277"/>
        <v>2023-01-01</v>
      </c>
      <c r="H361" s="330" t="str">
        <f t="shared" si="302"/>
        <v>2023-12-31</v>
      </c>
      <c r="I361" s="114">
        <f t="shared" si="284"/>
        <v>12</v>
      </c>
      <c r="J361" s="407" t="str">
        <f t="shared" si="278"/>
        <v>CAD</v>
      </c>
      <c r="K361" s="439">
        <f t="shared" si="318"/>
        <v>1</v>
      </c>
      <c r="L361" s="445"/>
      <c r="M361" s="982"/>
      <c r="N361" s="443" t="str">
        <f t="shared" si="321"/>
        <v>NEO1</v>
      </c>
      <c r="O361" s="123" t="str">
        <f t="shared" si="321"/>
        <v>-</v>
      </c>
      <c r="P361" s="132" t="str">
        <f t="shared" si="321"/>
        <v>-</v>
      </c>
      <c r="Q361" s="219" t="s">
        <v>78</v>
      </c>
      <c r="R361" s="125" t="str">
        <f t="shared" si="305"/>
        <v>-</v>
      </c>
      <c r="S361" s="311" t="s">
        <v>78</v>
      </c>
      <c r="T361" s="126" t="str">
        <f t="shared" si="306"/>
        <v>-</v>
      </c>
      <c r="U361" s="221" t="s">
        <v>78</v>
      </c>
      <c r="V361" s="125" t="str">
        <f t="shared" si="298"/>
        <v>-</v>
      </c>
      <c r="W361" s="127" t="str">
        <f t="shared" si="280"/>
        <v>-</v>
      </c>
      <c r="X361" s="128"/>
      <c r="Y361" s="223" t="s">
        <v>78</v>
      </c>
      <c r="Z361" s="129" t="str">
        <f t="shared" si="281"/>
        <v>-</v>
      </c>
      <c r="AA361" s="124" t="str">
        <f t="shared" si="285"/>
        <v>-</v>
      </c>
      <c r="AB361" s="130" t="str">
        <f t="shared" si="286"/>
        <v>-</v>
      </c>
      <c r="AC361" s="221" t="s">
        <v>78</v>
      </c>
      <c r="AD361" s="225" t="s">
        <v>78</v>
      </c>
      <c r="AE361" s="225" t="s">
        <v>78</v>
      </c>
      <c r="AF361" s="225" t="s">
        <v>78</v>
      </c>
      <c r="AG361" s="225" t="s">
        <v>78</v>
      </c>
      <c r="AH361" s="125" t="str">
        <f t="shared" si="319"/>
        <v>-</v>
      </c>
      <c r="AI361" s="127" t="str">
        <f t="shared" si="282"/>
        <v>-</v>
      </c>
      <c r="AJ361" s="128"/>
      <c r="AK361" s="223" t="s">
        <v>78</v>
      </c>
      <c r="AL361" s="131" t="str">
        <f t="shared" si="283"/>
        <v>-</v>
      </c>
      <c r="AM361" s="368" t="str">
        <f t="shared" si="320"/>
        <v>-</v>
      </c>
      <c r="AN361" s="375" t="str">
        <f t="shared" si="287"/>
        <v>-</v>
      </c>
      <c r="AO361" s="376" t="str">
        <f t="shared" si="288"/>
        <v>-</v>
      </c>
      <c r="AP361" s="394" t="s">
        <v>78</v>
      </c>
      <c r="AQ361" s="395" t="s">
        <v>78</v>
      </c>
      <c r="AR361" s="396" t="str">
        <f t="shared" si="313"/>
        <v>-</v>
      </c>
      <c r="AS361" s="397"/>
      <c r="AT361" s="401" t="s">
        <v>78</v>
      </c>
      <c r="AU361" s="396" t="str">
        <f t="shared" si="314"/>
        <v>-</v>
      </c>
      <c r="AV361" s="397"/>
      <c r="AW361" s="388" t="str">
        <f t="shared" si="289"/>
        <v>-</v>
      </c>
      <c r="AX361" s="389" t="str">
        <f t="shared" si="290"/>
        <v>-</v>
      </c>
      <c r="AY361" s="353" t="s">
        <v>78</v>
      </c>
      <c r="AZ361" s="403"/>
      <c r="BA361" s="404"/>
    </row>
    <row r="362" spans="1:53" ht="15" customHeight="1">
      <c r="A362" s="1" t="str">
        <f t="shared" si="312"/>
        <v>0_2025_</v>
      </c>
      <c r="B362" s="1" t="str">
        <f t="shared" si="317"/>
        <v>0_2025_NEO2</v>
      </c>
      <c r="D362" s="114">
        <f t="shared" si="296"/>
        <v>0</v>
      </c>
      <c r="E362" s="133" t="str">
        <f>_xll.ciqfunctions.udf.CIQ(D362,"IQ_Company_Name")</f>
        <v>(Invalid Identifier)</v>
      </c>
      <c r="F362" s="114">
        <f t="shared" si="292"/>
        <v>2025</v>
      </c>
      <c r="G362" s="114" t="str">
        <f t="shared" si="277"/>
        <v>2025-01-01</v>
      </c>
      <c r="H362" s="330" t="str">
        <f t="shared" si="302"/>
        <v>2025-12-31</v>
      </c>
      <c r="I362" s="114">
        <f t="shared" si="284"/>
        <v>12</v>
      </c>
      <c r="J362" s="407" t="str">
        <f t="shared" si="278"/>
        <v>CAD</v>
      </c>
      <c r="K362" s="439">
        <f t="shared" si="318"/>
        <v>1</v>
      </c>
      <c r="L362" s="445"/>
      <c r="M362" s="982"/>
      <c r="N362" s="442" t="s">
        <v>108</v>
      </c>
      <c r="O362" s="217" t="s">
        <v>78</v>
      </c>
      <c r="P362" s="218" t="s">
        <v>78</v>
      </c>
      <c r="Q362" s="219" t="s">
        <v>78</v>
      </c>
      <c r="R362" s="125" t="str">
        <f t="shared" si="305"/>
        <v>-</v>
      </c>
      <c r="S362" s="311" t="s">
        <v>78</v>
      </c>
      <c r="T362" s="126" t="str">
        <f t="shared" si="306"/>
        <v>-</v>
      </c>
      <c r="U362" s="221" t="s">
        <v>78</v>
      </c>
      <c r="V362" s="125" t="str">
        <f t="shared" si="298"/>
        <v>-</v>
      </c>
      <c r="W362" s="127" t="str">
        <f t="shared" si="280"/>
        <v>-</v>
      </c>
      <c r="X362" s="128" t="str">
        <f>IFERROR(AVERAGE(W362:W364),"N/A")</f>
        <v>N/A</v>
      </c>
      <c r="Y362" s="223" t="s">
        <v>78</v>
      </c>
      <c r="Z362" s="129" t="str">
        <f t="shared" si="281"/>
        <v>-</v>
      </c>
      <c r="AA362" s="124" t="str">
        <f t="shared" si="285"/>
        <v>-</v>
      </c>
      <c r="AB362" s="130" t="str">
        <f t="shared" si="286"/>
        <v>-</v>
      </c>
      <c r="AC362" s="221" t="s">
        <v>78</v>
      </c>
      <c r="AD362" s="225" t="s">
        <v>78</v>
      </c>
      <c r="AE362" s="225" t="s">
        <v>78</v>
      </c>
      <c r="AF362" s="225" t="s">
        <v>78</v>
      </c>
      <c r="AG362" s="225" t="s">
        <v>78</v>
      </c>
      <c r="AH362" s="125" t="str">
        <f t="shared" si="319"/>
        <v>-</v>
      </c>
      <c r="AI362" s="127" t="str">
        <f t="shared" si="282"/>
        <v>-</v>
      </c>
      <c r="AJ362" s="128" t="str">
        <f>IFERROR(AVERAGE(AI362:AI364),"N/A")</f>
        <v>N/A</v>
      </c>
      <c r="AK362" s="223" t="s">
        <v>78</v>
      </c>
      <c r="AL362" s="131" t="str">
        <f t="shared" si="283"/>
        <v>-</v>
      </c>
      <c r="AM362" s="368" t="str">
        <f t="shared" si="320"/>
        <v>-</v>
      </c>
      <c r="AN362" s="375" t="str">
        <f t="shared" si="287"/>
        <v>-</v>
      </c>
      <c r="AO362" s="376" t="str">
        <f t="shared" si="288"/>
        <v>-</v>
      </c>
      <c r="AP362" s="394" t="s">
        <v>78</v>
      </c>
      <c r="AQ362" s="395" t="s">
        <v>78</v>
      </c>
      <c r="AR362" s="396" t="str">
        <f t="shared" si="313"/>
        <v>-</v>
      </c>
      <c r="AS362" s="397" t="str">
        <f>IFERROR(AVERAGE(AR362:AR364),"N/A")</f>
        <v>N/A</v>
      </c>
      <c r="AT362" s="401" t="s">
        <v>78</v>
      </c>
      <c r="AU362" s="396" t="str">
        <f t="shared" si="314"/>
        <v>-</v>
      </c>
      <c r="AV362" s="397" t="str">
        <f>IFERROR(AVERAGE(AU362:AU364),"N/A")</f>
        <v>N/A</v>
      </c>
      <c r="AW362" s="388" t="str">
        <f t="shared" si="289"/>
        <v>-</v>
      </c>
      <c r="AX362" s="389" t="str">
        <f t="shared" si="290"/>
        <v>-</v>
      </c>
      <c r="AY362" s="353" t="s">
        <v>78</v>
      </c>
      <c r="AZ362" s="403"/>
      <c r="BA362" s="404"/>
    </row>
    <row r="363" spans="1:53" ht="15" customHeight="1">
      <c r="A363" s="1" t="str">
        <f t="shared" si="312"/>
        <v>0_2024_</v>
      </c>
      <c r="B363" s="1" t="str">
        <f t="shared" si="317"/>
        <v>0_2024_NEO2</v>
      </c>
      <c r="D363" s="114">
        <f t="shared" si="296"/>
        <v>0</v>
      </c>
      <c r="E363" s="133" t="str">
        <f>_xll.ciqfunctions.udf.CIQ(D363,"IQ_Company_Name")</f>
        <v>(Invalid Identifier)</v>
      </c>
      <c r="F363" s="114">
        <f t="shared" si="292"/>
        <v>2024</v>
      </c>
      <c r="G363" s="114" t="str">
        <f t="shared" si="277"/>
        <v>2024-01-01</v>
      </c>
      <c r="H363" s="330" t="str">
        <f t="shared" si="302"/>
        <v>2024-12-31</v>
      </c>
      <c r="I363" s="114">
        <f t="shared" si="284"/>
        <v>12</v>
      </c>
      <c r="J363" s="407" t="str">
        <f t="shared" si="278"/>
        <v>CAD</v>
      </c>
      <c r="K363" s="439">
        <f t="shared" si="318"/>
        <v>1</v>
      </c>
      <c r="L363" s="445"/>
      <c r="M363" s="982"/>
      <c r="N363" s="443" t="str">
        <f t="shared" ref="N363:P364" si="322">N362</f>
        <v>NEO2</v>
      </c>
      <c r="O363" s="123" t="str">
        <f t="shared" si="322"/>
        <v>-</v>
      </c>
      <c r="P363" s="132" t="str">
        <f t="shared" si="322"/>
        <v>-</v>
      </c>
      <c r="Q363" s="219" t="s">
        <v>78</v>
      </c>
      <c r="R363" s="125" t="str">
        <f t="shared" si="305"/>
        <v>-</v>
      </c>
      <c r="S363" s="311" t="s">
        <v>78</v>
      </c>
      <c r="T363" s="126" t="str">
        <f t="shared" si="306"/>
        <v>-</v>
      </c>
      <c r="U363" s="221" t="s">
        <v>78</v>
      </c>
      <c r="V363" s="125" t="str">
        <f t="shared" si="298"/>
        <v>-</v>
      </c>
      <c r="W363" s="127" t="str">
        <f t="shared" si="280"/>
        <v>-</v>
      </c>
      <c r="X363" s="128"/>
      <c r="Y363" s="223" t="s">
        <v>78</v>
      </c>
      <c r="Z363" s="129" t="str">
        <f t="shared" si="281"/>
        <v>-</v>
      </c>
      <c r="AA363" s="124" t="str">
        <f t="shared" si="285"/>
        <v>-</v>
      </c>
      <c r="AB363" s="130" t="str">
        <f t="shared" si="286"/>
        <v>-</v>
      </c>
      <c r="AC363" s="221" t="s">
        <v>78</v>
      </c>
      <c r="AD363" s="225" t="s">
        <v>78</v>
      </c>
      <c r="AE363" s="225" t="s">
        <v>78</v>
      </c>
      <c r="AF363" s="225" t="s">
        <v>78</v>
      </c>
      <c r="AG363" s="225" t="s">
        <v>78</v>
      </c>
      <c r="AH363" s="125" t="str">
        <f t="shared" si="319"/>
        <v>-</v>
      </c>
      <c r="AI363" s="127" t="str">
        <f t="shared" si="282"/>
        <v>-</v>
      </c>
      <c r="AJ363" s="128"/>
      <c r="AK363" s="223" t="s">
        <v>78</v>
      </c>
      <c r="AL363" s="131" t="str">
        <f t="shared" si="283"/>
        <v>-</v>
      </c>
      <c r="AM363" s="368" t="str">
        <f t="shared" si="320"/>
        <v>-</v>
      </c>
      <c r="AN363" s="375" t="str">
        <f t="shared" si="287"/>
        <v>-</v>
      </c>
      <c r="AO363" s="376" t="str">
        <f t="shared" si="288"/>
        <v>-</v>
      </c>
      <c r="AP363" s="394" t="s">
        <v>78</v>
      </c>
      <c r="AQ363" s="395" t="s">
        <v>78</v>
      </c>
      <c r="AR363" s="396" t="str">
        <f t="shared" si="313"/>
        <v>-</v>
      </c>
      <c r="AS363" s="397"/>
      <c r="AT363" s="401" t="s">
        <v>78</v>
      </c>
      <c r="AU363" s="396" t="str">
        <f t="shared" si="314"/>
        <v>-</v>
      </c>
      <c r="AV363" s="397"/>
      <c r="AW363" s="388" t="str">
        <f t="shared" si="289"/>
        <v>-</v>
      </c>
      <c r="AX363" s="389" t="str">
        <f t="shared" si="290"/>
        <v>-</v>
      </c>
      <c r="AY363" s="353" t="s">
        <v>78</v>
      </c>
      <c r="AZ363" s="403"/>
      <c r="BA363" s="404"/>
    </row>
    <row r="364" spans="1:53" ht="15" customHeight="1">
      <c r="A364" s="1" t="str">
        <f t="shared" si="312"/>
        <v>0_2023_</v>
      </c>
      <c r="B364" s="1" t="str">
        <f t="shared" si="317"/>
        <v>0_2023_NEO2</v>
      </c>
      <c r="D364" s="114">
        <f t="shared" si="296"/>
        <v>0</v>
      </c>
      <c r="E364" s="133" t="str">
        <f>_xll.ciqfunctions.udf.CIQ(D364,"IQ_Company_Name")</f>
        <v>(Invalid Identifier)</v>
      </c>
      <c r="F364" s="114">
        <f t="shared" si="292"/>
        <v>2023</v>
      </c>
      <c r="G364" s="114" t="str">
        <f t="shared" si="277"/>
        <v>2023-01-01</v>
      </c>
      <c r="H364" s="330" t="str">
        <f t="shared" si="302"/>
        <v>2023-12-31</v>
      </c>
      <c r="I364" s="114">
        <f t="shared" si="284"/>
        <v>12</v>
      </c>
      <c r="J364" s="407" t="str">
        <f t="shared" si="278"/>
        <v>CAD</v>
      </c>
      <c r="K364" s="439">
        <f t="shared" si="318"/>
        <v>1</v>
      </c>
      <c r="L364" s="445"/>
      <c r="M364" s="982"/>
      <c r="N364" s="443" t="str">
        <f t="shared" si="322"/>
        <v>NEO2</v>
      </c>
      <c r="O364" s="123" t="str">
        <f t="shared" si="322"/>
        <v>-</v>
      </c>
      <c r="P364" s="132" t="str">
        <f t="shared" si="322"/>
        <v>-</v>
      </c>
      <c r="Q364" s="219" t="s">
        <v>78</v>
      </c>
      <c r="R364" s="125" t="str">
        <f t="shared" si="305"/>
        <v>-</v>
      </c>
      <c r="S364" s="311" t="s">
        <v>78</v>
      </c>
      <c r="T364" s="126" t="str">
        <f t="shared" si="306"/>
        <v>-</v>
      </c>
      <c r="U364" s="221" t="s">
        <v>78</v>
      </c>
      <c r="V364" s="125" t="str">
        <f t="shared" si="298"/>
        <v>-</v>
      </c>
      <c r="W364" s="127" t="str">
        <f t="shared" si="280"/>
        <v>-</v>
      </c>
      <c r="X364" s="128"/>
      <c r="Y364" s="223" t="s">
        <v>78</v>
      </c>
      <c r="Z364" s="129" t="str">
        <f t="shared" si="281"/>
        <v>-</v>
      </c>
      <c r="AA364" s="124" t="str">
        <f t="shared" si="285"/>
        <v>-</v>
      </c>
      <c r="AB364" s="130" t="str">
        <f t="shared" si="286"/>
        <v>-</v>
      </c>
      <c r="AC364" s="221" t="s">
        <v>78</v>
      </c>
      <c r="AD364" s="225" t="s">
        <v>78</v>
      </c>
      <c r="AE364" s="225" t="s">
        <v>78</v>
      </c>
      <c r="AF364" s="225" t="s">
        <v>78</v>
      </c>
      <c r="AG364" s="225" t="s">
        <v>78</v>
      </c>
      <c r="AH364" s="125" t="str">
        <f t="shared" si="319"/>
        <v>-</v>
      </c>
      <c r="AI364" s="127" t="str">
        <f t="shared" si="282"/>
        <v>-</v>
      </c>
      <c r="AJ364" s="128"/>
      <c r="AK364" s="223" t="s">
        <v>78</v>
      </c>
      <c r="AL364" s="131" t="str">
        <f t="shared" si="283"/>
        <v>-</v>
      </c>
      <c r="AM364" s="368" t="str">
        <f t="shared" si="320"/>
        <v>-</v>
      </c>
      <c r="AN364" s="375" t="str">
        <f t="shared" si="287"/>
        <v>-</v>
      </c>
      <c r="AO364" s="376" t="str">
        <f t="shared" si="288"/>
        <v>-</v>
      </c>
      <c r="AP364" s="394" t="s">
        <v>78</v>
      </c>
      <c r="AQ364" s="395" t="s">
        <v>78</v>
      </c>
      <c r="AR364" s="396" t="str">
        <f t="shared" si="313"/>
        <v>-</v>
      </c>
      <c r="AS364" s="397"/>
      <c r="AT364" s="401" t="s">
        <v>78</v>
      </c>
      <c r="AU364" s="396" t="str">
        <f t="shared" si="314"/>
        <v>-</v>
      </c>
      <c r="AV364" s="397"/>
      <c r="AW364" s="388" t="str">
        <f t="shared" si="289"/>
        <v>-</v>
      </c>
      <c r="AX364" s="389" t="str">
        <f t="shared" si="290"/>
        <v>-</v>
      </c>
      <c r="AY364" s="353" t="s">
        <v>78</v>
      </c>
      <c r="AZ364" s="403"/>
      <c r="BA364" s="404"/>
    </row>
    <row r="365" spans="1:53" ht="15" customHeight="1">
      <c r="A365" s="1" t="str">
        <f t="shared" si="312"/>
        <v>0_2025_</v>
      </c>
      <c r="B365" s="1" t="str">
        <f t="shared" si="317"/>
        <v>0_2025_NEO3</v>
      </c>
      <c r="D365" s="114">
        <f t="shared" si="296"/>
        <v>0</v>
      </c>
      <c r="E365" s="133" t="str">
        <f>_xll.ciqfunctions.udf.CIQ(D365,"IQ_Company_Name")</f>
        <v>(Invalid Identifier)</v>
      </c>
      <c r="F365" s="114">
        <f t="shared" si="292"/>
        <v>2025</v>
      </c>
      <c r="G365" s="114" t="str">
        <f t="shared" si="277"/>
        <v>2025-01-01</v>
      </c>
      <c r="H365" s="330" t="str">
        <f t="shared" si="302"/>
        <v>2025-12-31</v>
      </c>
      <c r="I365" s="114">
        <f t="shared" si="284"/>
        <v>12</v>
      </c>
      <c r="J365" s="407" t="str">
        <f t="shared" si="278"/>
        <v>CAD</v>
      </c>
      <c r="K365" s="439">
        <f t="shared" si="318"/>
        <v>1</v>
      </c>
      <c r="L365" s="445"/>
      <c r="M365" s="982"/>
      <c r="N365" s="442" t="s">
        <v>109</v>
      </c>
      <c r="O365" s="217" t="s">
        <v>78</v>
      </c>
      <c r="P365" s="218" t="s">
        <v>78</v>
      </c>
      <c r="Q365" s="219" t="s">
        <v>78</v>
      </c>
      <c r="R365" s="125" t="str">
        <f t="shared" si="305"/>
        <v>-</v>
      </c>
      <c r="S365" s="311" t="s">
        <v>78</v>
      </c>
      <c r="T365" s="126" t="str">
        <f t="shared" si="306"/>
        <v>-</v>
      </c>
      <c r="U365" s="221" t="s">
        <v>78</v>
      </c>
      <c r="V365" s="125" t="str">
        <f t="shared" si="298"/>
        <v>-</v>
      </c>
      <c r="W365" s="127" t="str">
        <f t="shared" si="280"/>
        <v>-</v>
      </c>
      <c r="X365" s="128" t="str">
        <f>IFERROR(AVERAGE(W365:W367),"N/A")</f>
        <v>N/A</v>
      </c>
      <c r="Y365" s="223" t="s">
        <v>78</v>
      </c>
      <c r="Z365" s="129" t="str">
        <f t="shared" si="281"/>
        <v>-</v>
      </c>
      <c r="AA365" s="124" t="str">
        <f t="shared" si="285"/>
        <v>-</v>
      </c>
      <c r="AB365" s="130" t="str">
        <f t="shared" si="286"/>
        <v>-</v>
      </c>
      <c r="AC365" s="221" t="s">
        <v>78</v>
      </c>
      <c r="AD365" s="225" t="s">
        <v>78</v>
      </c>
      <c r="AE365" s="225" t="s">
        <v>78</v>
      </c>
      <c r="AF365" s="225" t="s">
        <v>78</v>
      </c>
      <c r="AG365" s="225" t="s">
        <v>78</v>
      </c>
      <c r="AH365" s="125" t="str">
        <f t="shared" si="319"/>
        <v>-</v>
      </c>
      <c r="AI365" s="127" t="str">
        <f t="shared" si="282"/>
        <v>-</v>
      </c>
      <c r="AJ365" s="128" t="str">
        <f>IFERROR(AVERAGE(AI365:AI367),"N/A")</f>
        <v>N/A</v>
      </c>
      <c r="AK365" s="223" t="s">
        <v>78</v>
      </c>
      <c r="AL365" s="131" t="str">
        <f t="shared" si="283"/>
        <v>-</v>
      </c>
      <c r="AM365" s="368" t="str">
        <f t="shared" si="320"/>
        <v>-</v>
      </c>
      <c r="AN365" s="375" t="str">
        <f t="shared" si="287"/>
        <v>-</v>
      </c>
      <c r="AO365" s="376" t="str">
        <f t="shared" si="288"/>
        <v>-</v>
      </c>
      <c r="AP365" s="394" t="s">
        <v>78</v>
      </c>
      <c r="AQ365" s="395" t="s">
        <v>78</v>
      </c>
      <c r="AR365" s="396" t="str">
        <f t="shared" si="313"/>
        <v>-</v>
      </c>
      <c r="AS365" s="397" t="str">
        <f>IFERROR(AVERAGE(AR365:AR367),"N/A")</f>
        <v>N/A</v>
      </c>
      <c r="AT365" s="401" t="s">
        <v>78</v>
      </c>
      <c r="AU365" s="396" t="str">
        <f t="shared" si="314"/>
        <v>-</v>
      </c>
      <c r="AV365" s="397" t="str">
        <f>IFERROR(AVERAGE(AU365:AU367),"N/A")</f>
        <v>N/A</v>
      </c>
      <c r="AW365" s="388" t="str">
        <f t="shared" si="289"/>
        <v>-</v>
      </c>
      <c r="AX365" s="389" t="str">
        <f t="shared" si="290"/>
        <v>-</v>
      </c>
      <c r="AY365" s="353" t="s">
        <v>78</v>
      </c>
      <c r="AZ365" s="403"/>
      <c r="BA365" s="404"/>
    </row>
    <row r="366" spans="1:53" ht="15" customHeight="1">
      <c r="A366" s="1" t="str">
        <f t="shared" si="312"/>
        <v>0_2024_</v>
      </c>
      <c r="B366" s="1" t="str">
        <f t="shared" si="317"/>
        <v>0_2024_NEO3</v>
      </c>
      <c r="D366" s="114">
        <f t="shared" si="296"/>
        <v>0</v>
      </c>
      <c r="E366" s="133" t="str">
        <f>_xll.ciqfunctions.udf.CIQ(D366,"IQ_Company_Name")</f>
        <v>(Invalid Identifier)</v>
      </c>
      <c r="F366" s="114">
        <f t="shared" si="292"/>
        <v>2024</v>
      </c>
      <c r="G366" s="114" t="str">
        <f t="shared" si="277"/>
        <v>2024-01-01</v>
      </c>
      <c r="H366" s="330" t="str">
        <f t="shared" si="302"/>
        <v>2024-12-31</v>
      </c>
      <c r="I366" s="114">
        <f t="shared" si="284"/>
        <v>12</v>
      </c>
      <c r="J366" s="407" t="str">
        <f t="shared" si="278"/>
        <v>CAD</v>
      </c>
      <c r="K366" s="439">
        <f t="shared" si="318"/>
        <v>1</v>
      </c>
      <c r="L366" s="445"/>
      <c r="M366" s="982"/>
      <c r="N366" s="443" t="str">
        <f t="shared" ref="N366:P367" si="323">N365</f>
        <v>NEO3</v>
      </c>
      <c r="O366" s="123" t="str">
        <f t="shared" si="323"/>
        <v>-</v>
      </c>
      <c r="P366" s="132" t="str">
        <f t="shared" si="323"/>
        <v>-</v>
      </c>
      <c r="Q366" s="219" t="s">
        <v>78</v>
      </c>
      <c r="R366" s="125" t="str">
        <f t="shared" si="305"/>
        <v>-</v>
      </c>
      <c r="S366" s="311" t="s">
        <v>78</v>
      </c>
      <c r="T366" s="126" t="str">
        <f t="shared" si="306"/>
        <v>-</v>
      </c>
      <c r="U366" s="221" t="s">
        <v>78</v>
      </c>
      <c r="V366" s="125" t="str">
        <f t="shared" si="298"/>
        <v>-</v>
      </c>
      <c r="W366" s="127" t="str">
        <f t="shared" si="280"/>
        <v>-</v>
      </c>
      <c r="X366" s="128"/>
      <c r="Y366" s="223" t="s">
        <v>78</v>
      </c>
      <c r="Z366" s="129" t="str">
        <f t="shared" si="281"/>
        <v>-</v>
      </c>
      <c r="AA366" s="124" t="str">
        <f t="shared" si="285"/>
        <v>-</v>
      </c>
      <c r="AB366" s="130" t="str">
        <f t="shared" si="286"/>
        <v>-</v>
      </c>
      <c r="AC366" s="221" t="s">
        <v>78</v>
      </c>
      <c r="AD366" s="225" t="s">
        <v>78</v>
      </c>
      <c r="AE366" s="225" t="s">
        <v>78</v>
      </c>
      <c r="AF366" s="225" t="s">
        <v>78</v>
      </c>
      <c r="AG366" s="225" t="s">
        <v>78</v>
      </c>
      <c r="AH366" s="125" t="str">
        <f t="shared" si="319"/>
        <v>-</v>
      </c>
      <c r="AI366" s="127" t="str">
        <f t="shared" si="282"/>
        <v>-</v>
      </c>
      <c r="AJ366" s="128"/>
      <c r="AK366" s="223" t="s">
        <v>78</v>
      </c>
      <c r="AL366" s="131" t="str">
        <f t="shared" si="283"/>
        <v>-</v>
      </c>
      <c r="AM366" s="368" t="str">
        <f t="shared" si="320"/>
        <v>-</v>
      </c>
      <c r="AN366" s="375" t="str">
        <f t="shared" si="287"/>
        <v>-</v>
      </c>
      <c r="AO366" s="376" t="str">
        <f t="shared" si="288"/>
        <v>-</v>
      </c>
      <c r="AP366" s="394" t="s">
        <v>78</v>
      </c>
      <c r="AQ366" s="395" t="s">
        <v>78</v>
      </c>
      <c r="AR366" s="396" t="str">
        <f t="shared" si="313"/>
        <v>-</v>
      </c>
      <c r="AS366" s="397"/>
      <c r="AT366" s="401" t="s">
        <v>78</v>
      </c>
      <c r="AU366" s="396" t="str">
        <f t="shared" si="314"/>
        <v>-</v>
      </c>
      <c r="AV366" s="397"/>
      <c r="AW366" s="388" t="str">
        <f t="shared" si="289"/>
        <v>-</v>
      </c>
      <c r="AX366" s="389" t="str">
        <f t="shared" si="290"/>
        <v>-</v>
      </c>
      <c r="AY366" s="353" t="s">
        <v>78</v>
      </c>
      <c r="AZ366" s="403"/>
      <c r="BA366" s="404"/>
    </row>
    <row r="367" spans="1:53" ht="15" customHeight="1">
      <c r="A367" s="1" t="str">
        <f t="shared" si="312"/>
        <v>0_2023_</v>
      </c>
      <c r="B367" s="1" t="str">
        <f t="shared" si="317"/>
        <v>0_2023_NEO3</v>
      </c>
      <c r="D367" s="203">
        <f t="shared" si="296"/>
        <v>0</v>
      </c>
      <c r="E367" s="205" t="str">
        <f>_xll.ciqfunctions.udf.CIQ(D367,"IQ_Company_Name")</f>
        <v>(Invalid Identifier)</v>
      </c>
      <c r="F367" s="204">
        <f t="shared" si="292"/>
        <v>2023</v>
      </c>
      <c r="G367" s="204" t="str">
        <f t="shared" si="277"/>
        <v>2023-01-01</v>
      </c>
      <c r="H367" s="331" t="str">
        <f t="shared" si="302"/>
        <v>2023-12-31</v>
      </c>
      <c r="I367" s="204">
        <f t="shared" si="284"/>
        <v>12</v>
      </c>
      <c r="J367" s="408" t="str">
        <f t="shared" si="278"/>
        <v>CAD</v>
      </c>
      <c r="K367" s="441">
        <f t="shared" si="318"/>
        <v>1</v>
      </c>
      <c r="L367" s="447"/>
      <c r="M367" s="983"/>
      <c r="N367" s="444" t="str">
        <f t="shared" si="323"/>
        <v>NEO3</v>
      </c>
      <c r="O367" s="206" t="str">
        <f t="shared" si="323"/>
        <v>-</v>
      </c>
      <c r="P367" s="207" t="str">
        <f t="shared" si="323"/>
        <v>-</v>
      </c>
      <c r="Q367" s="220" t="s">
        <v>78</v>
      </c>
      <c r="R367" s="209" t="str">
        <f t="shared" si="305"/>
        <v>-</v>
      </c>
      <c r="S367" s="312" t="s">
        <v>78</v>
      </c>
      <c r="T367" s="329" t="str">
        <f t="shared" si="306"/>
        <v>-</v>
      </c>
      <c r="U367" s="222" t="s">
        <v>78</v>
      </c>
      <c r="V367" s="209" t="str">
        <f t="shared" si="298"/>
        <v>-</v>
      </c>
      <c r="W367" s="211" t="str">
        <f t="shared" si="280"/>
        <v>-</v>
      </c>
      <c r="X367" s="212"/>
      <c r="Y367" s="224" t="s">
        <v>78</v>
      </c>
      <c r="Z367" s="213" t="str">
        <f t="shared" si="281"/>
        <v>-</v>
      </c>
      <c r="AA367" s="208" t="str">
        <f t="shared" si="285"/>
        <v>-</v>
      </c>
      <c r="AB367" s="214" t="str">
        <f t="shared" si="286"/>
        <v>-</v>
      </c>
      <c r="AC367" s="222" t="s">
        <v>78</v>
      </c>
      <c r="AD367" s="226" t="s">
        <v>78</v>
      </c>
      <c r="AE367" s="226" t="s">
        <v>78</v>
      </c>
      <c r="AF367" s="226" t="s">
        <v>78</v>
      </c>
      <c r="AG367" s="226" t="s">
        <v>78</v>
      </c>
      <c r="AH367" s="418" t="str">
        <f t="shared" si="319"/>
        <v>-</v>
      </c>
      <c r="AI367" s="211" t="str">
        <f t="shared" si="282"/>
        <v>-</v>
      </c>
      <c r="AJ367" s="212"/>
      <c r="AK367" s="224" t="s">
        <v>78</v>
      </c>
      <c r="AL367" s="215" t="str">
        <f t="shared" si="283"/>
        <v>-</v>
      </c>
      <c r="AM367" s="369" t="str">
        <f t="shared" si="320"/>
        <v>-</v>
      </c>
      <c r="AN367" s="377" t="str">
        <f t="shared" si="287"/>
        <v>-</v>
      </c>
      <c r="AO367" s="378" t="str">
        <f t="shared" si="288"/>
        <v>-</v>
      </c>
      <c r="AP367" s="398" t="s">
        <v>78</v>
      </c>
      <c r="AQ367" s="399" t="s">
        <v>78</v>
      </c>
      <c r="AR367" s="396" t="str">
        <f t="shared" si="313"/>
        <v>-</v>
      </c>
      <c r="AS367" s="400"/>
      <c r="AT367" s="402" t="s">
        <v>78</v>
      </c>
      <c r="AU367" s="396" t="str">
        <f t="shared" si="314"/>
        <v>-</v>
      </c>
      <c r="AV367" s="400"/>
      <c r="AW367" s="390" t="str">
        <f t="shared" si="289"/>
        <v>-</v>
      </c>
      <c r="AX367" s="391" t="str">
        <f t="shared" si="290"/>
        <v>-</v>
      </c>
      <c r="AY367" s="354" t="s">
        <v>78</v>
      </c>
      <c r="AZ367" s="405"/>
      <c r="BA367" s="406"/>
    </row>
    <row r="368" spans="1:53" ht="15" customHeight="1">
      <c r="A368" s="1" t="str">
        <f t="shared" si="312"/>
        <v>0_2025_</v>
      </c>
      <c r="B368" s="1" t="str">
        <f t="shared" si="317"/>
        <v>0_2025_CEO</v>
      </c>
      <c r="D368" s="216">
        <f>E25</f>
        <v>0</v>
      </c>
      <c r="E368" s="133" t="str">
        <f>_xll.ciqfunctions.udf.CIQ(D368,"IQ_Company_Name")</f>
        <v>(Invalid Identifier)</v>
      </c>
      <c r="F368" s="328">
        <f>$G$9</f>
        <v>2025</v>
      </c>
      <c r="G368" s="330" t="str">
        <f t="shared" ref="G368:G382" si="324">F368&amp;"-01-01"</f>
        <v>2025-01-01</v>
      </c>
      <c r="H368" s="330" t="str">
        <f t="shared" ref="H368:H382" si="325">F368&amp;"-12-31"</f>
        <v>2025-12-31</v>
      </c>
      <c r="I368" s="114">
        <f t="shared" ref="I368:I382" si="326">_xlfn.DAYS(H368,G368)/_xlfn.DAYS(F368&amp;"-12-31",F368&amp;"-01-01")*12</f>
        <v>12</v>
      </c>
      <c r="J368" s="328" t="str">
        <f>$H$5</f>
        <v>CAD</v>
      </c>
      <c r="K368" s="439">
        <f t="shared" si="318"/>
        <v>1</v>
      </c>
      <c r="L368" s="445"/>
      <c r="M368" s="982"/>
      <c r="N368" s="442" t="s">
        <v>79</v>
      </c>
      <c r="O368" s="217" t="s">
        <v>78</v>
      </c>
      <c r="P368" s="218" t="s">
        <v>78</v>
      </c>
      <c r="Q368" s="219" t="s">
        <v>78</v>
      </c>
      <c r="R368" s="125" t="str">
        <f t="shared" si="305"/>
        <v>-</v>
      </c>
      <c r="S368" s="311" t="s">
        <v>78</v>
      </c>
      <c r="T368" s="126" t="str">
        <f t="shared" si="306"/>
        <v>-</v>
      </c>
      <c r="U368" s="221" t="s">
        <v>78</v>
      </c>
      <c r="V368" s="125" t="str">
        <f t="shared" ref="V368:V382" si="327">IFERROR(U368*(12/$I368)*$K368,"-")</f>
        <v>-</v>
      </c>
      <c r="W368" s="127" t="str">
        <f t="shared" si="280"/>
        <v>-</v>
      </c>
      <c r="X368" s="128" t="str">
        <f>IFERROR(AVERAGE(W368:W370),"N/A")</f>
        <v>N/A</v>
      </c>
      <c r="Y368" s="223" t="s">
        <v>78</v>
      </c>
      <c r="Z368" s="129" t="str">
        <f t="shared" si="281"/>
        <v>-</v>
      </c>
      <c r="AA368" s="124" t="str">
        <f t="shared" si="285"/>
        <v>-</v>
      </c>
      <c r="AB368" s="130" t="str">
        <f t="shared" si="286"/>
        <v>-</v>
      </c>
      <c r="AC368" s="221" t="s">
        <v>78</v>
      </c>
      <c r="AD368" s="225" t="s">
        <v>78</v>
      </c>
      <c r="AE368" s="225" t="s">
        <v>78</v>
      </c>
      <c r="AF368" s="225" t="s">
        <v>78</v>
      </c>
      <c r="AG368" s="225" t="s">
        <v>78</v>
      </c>
      <c r="AH368" s="125" t="str">
        <f t="shared" si="319"/>
        <v>-</v>
      </c>
      <c r="AI368" s="127" t="str">
        <f t="shared" si="282"/>
        <v>-</v>
      </c>
      <c r="AJ368" s="128" t="str">
        <f>IFERROR(AVERAGE(AI368:AI370),"N/A")</f>
        <v>N/A</v>
      </c>
      <c r="AK368" s="223" t="s">
        <v>78</v>
      </c>
      <c r="AL368" s="131" t="str">
        <f t="shared" si="283"/>
        <v>-</v>
      </c>
      <c r="AM368" s="368" t="str">
        <f t="shared" si="320"/>
        <v>-</v>
      </c>
      <c r="AN368" s="375" t="str">
        <f t="shared" si="287"/>
        <v>-</v>
      </c>
      <c r="AO368" s="376" t="str">
        <f t="shared" si="288"/>
        <v>-</v>
      </c>
      <c r="AP368" s="394" t="s">
        <v>78</v>
      </c>
      <c r="AQ368" s="395" t="s">
        <v>78</v>
      </c>
      <c r="AR368" s="396" t="str">
        <f t="shared" si="313"/>
        <v>-</v>
      </c>
      <c r="AS368" s="409" t="str">
        <f>IFERROR(AVERAGE(AR368:AR370),"N/A")</f>
        <v>N/A</v>
      </c>
      <c r="AT368" s="401" t="s">
        <v>78</v>
      </c>
      <c r="AU368" s="396" t="str">
        <f t="shared" si="314"/>
        <v>-</v>
      </c>
      <c r="AV368" s="409" t="str">
        <f>IFERROR(AVERAGE(AU368:AU370),"N/A")</f>
        <v>N/A</v>
      </c>
      <c r="AW368" s="388" t="str">
        <f t="shared" si="289"/>
        <v>-</v>
      </c>
      <c r="AX368" s="389" t="str">
        <f t="shared" si="290"/>
        <v>-</v>
      </c>
      <c r="AY368" s="353" t="s">
        <v>78</v>
      </c>
      <c r="AZ368" s="403"/>
      <c r="BA368" s="404"/>
    </row>
    <row r="369" spans="1:53" ht="15" customHeight="1">
      <c r="A369" s="1" t="str">
        <f t="shared" si="312"/>
        <v>0_2024_</v>
      </c>
      <c r="B369" s="1" t="str">
        <f t="shared" si="317"/>
        <v>0_2024_CEO</v>
      </c>
      <c r="D369" s="114">
        <f>D368</f>
        <v>0</v>
      </c>
      <c r="E369" s="133" t="str">
        <f>_xll.ciqfunctions.udf.CIQ(D369,"IQ_Company_Name")</f>
        <v>(Invalid Identifier)</v>
      </c>
      <c r="F369" s="328">
        <f>$G$10</f>
        <v>2024</v>
      </c>
      <c r="G369" s="330" t="str">
        <f t="shared" si="324"/>
        <v>2024-01-01</v>
      </c>
      <c r="H369" s="330" t="str">
        <f t="shared" si="325"/>
        <v>2024-12-31</v>
      </c>
      <c r="I369" s="114">
        <f t="shared" si="326"/>
        <v>12</v>
      </c>
      <c r="J369" s="407" t="str">
        <f t="shared" ref="J369:J412" si="328">J368</f>
        <v>CAD</v>
      </c>
      <c r="K369" s="439">
        <f t="shared" si="318"/>
        <v>1</v>
      </c>
      <c r="L369" s="445"/>
      <c r="M369" s="982"/>
      <c r="N369" s="443" t="str">
        <f t="shared" ref="N369:P370" si="329">N368</f>
        <v>CEO</v>
      </c>
      <c r="O369" s="123" t="str">
        <f t="shared" si="329"/>
        <v>-</v>
      </c>
      <c r="P369" s="132" t="str">
        <f t="shared" si="329"/>
        <v>-</v>
      </c>
      <c r="Q369" s="219" t="s">
        <v>78</v>
      </c>
      <c r="R369" s="125" t="str">
        <f t="shared" ref="R369:R400" si="330">IFERROR(Q369*(12/$I369)*$K369,"-")</f>
        <v>-</v>
      </c>
      <c r="S369" s="311" t="s">
        <v>78</v>
      </c>
      <c r="T369" s="126" t="str">
        <f t="shared" si="306"/>
        <v>-</v>
      </c>
      <c r="U369" s="221" t="s">
        <v>78</v>
      </c>
      <c r="V369" s="125" t="str">
        <f t="shared" si="327"/>
        <v>-</v>
      </c>
      <c r="W369" s="127" t="str">
        <f t="shared" si="280"/>
        <v>-</v>
      </c>
      <c r="X369" s="128"/>
      <c r="Y369" s="223" t="s">
        <v>78</v>
      </c>
      <c r="Z369" s="129" t="str">
        <f t="shared" si="281"/>
        <v>-</v>
      </c>
      <c r="AA369" s="124" t="str">
        <f t="shared" si="285"/>
        <v>-</v>
      </c>
      <c r="AB369" s="130" t="str">
        <f t="shared" si="286"/>
        <v>-</v>
      </c>
      <c r="AC369" s="221" t="s">
        <v>78</v>
      </c>
      <c r="AD369" s="225" t="s">
        <v>78</v>
      </c>
      <c r="AE369" s="225" t="s">
        <v>78</v>
      </c>
      <c r="AF369" s="225" t="s">
        <v>78</v>
      </c>
      <c r="AG369" s="225" t="s">
        <v>78</v>
      </c>
      <c r="AH369" s="125" t="str">
        <f t="shared" si="319"/>
        <v>-</v>
      </c>
      <c r="AI369" s="127" t="str">
        <f t="shared" si="282"/>
        <v>-</v>
      </c>
      <c r="AJ369" s="128"/>
      <c r="AK369" s="223" t="s">
        <v>78</v>
      </c>
      <c r="AL369" s="131" t="str">
        <f t="shared" si="283"/>
        <v>-</v>
      </c>
      <c r="AM369" s="368" t="str">
        <f t="shared" si="320"/>
        <v>-</v>
      </c>
      <c r="AN369" s="375" t="str">
        <f t="shared" si="287"/>
        <v>-</v>
      </c>
      <c r="AO369" s="376" t="str">
        <f t="shared" si="288"/>
        <v>-</v>
      </c>
      <c r="AP369" s="394" t="s">
        <v>78</v>
      </c>
      <c r="AQ369" s="395" t="s">
        <v>78</v>
      </c>
      <c r="AR369" s="396" t="str">
        <f t="shared" si="313"/>
        <v>-</v>
      </c>
      <c r="AS369" s="397"/>
      <c r="AT369" s="401" t="s">
        <v>78</v>
      </c>
      <c r="AU369" s="396" t="str">
        <f t="shared" si="314"/>
        <v>-</v>
      </c>
      <c r="AV369" s="397"/>
      <c r="AW369" s="388" t="str">
        <f t="shared" si="289"/>
        <v>-</v>
      </c>
      <c r="AX369" s="389" t="str">
        <f t="shared" si="290"/>
        <v>-</v>
      </c>
      <c r="AY369" s="353" t="s">
        <v>78</v>
      </c>
      <c r="AZ369" s="403"/>
      <c r="BA369" s="404"/>
    </row>
    <row r="370" spans="1:53" ht="15" customHeight="1">
      <c r="A370" s="1" t="str">
        <f t="shared" si="312"/>
        <v>0_2023_</v>
      </c>
      <c r="B370" s="1" t="str">
        <f t="shared" si="317"/>
        <v>0_2023_CEO</v>
      </c>
      <c r="D370" s="114">
        <f t="shared" si="296"/>
        <v>0</v>
      </c>
      <c r="E370" s="133" t="str">
        <f>_xll.ciqfunctions.udf.CIQ(D370,"IQ_Company_Name")</f>
        <v>(Invalid Identifier)</v>
      </c>
      <c r="F370" s="328">
        <f>$G$11</f>
        <v>2023</v>
      </c>
      <c r="G370" s="114" t="str">
        <f t="shared" si="324"/>
        <v>2023-01-01</v>
      </c>
      <c r="H370" s="330" t="str">
        <f t="shared" si="325"/>
        <v>2023-12-31</v>
      </c>
      <c r="I370" s="114">
        <f t="shared" si="326"/>
        <v>12</v>
      </c>
      <c r="J370" s="407" t="str">
        <f t="shared" si="328"/>
        <v>CAD</v>
      </c>
      <c r="K370" s="439">
        <f t="shared" si="318"/>
        <v>1</v>
      </c>
      <c r="L370" s="445"/>
      <c r="M370" s="982"/>
      <c r="N370" s="443" t="str">
        <f t="shared" si="329"/>
        <v>CEO</v>
      </c>
      <c r="O370" s="123" t="str">
        <f t="shared" si="329"/>
        <v>-</v>
      </c>
      <c r="P370" s="132" t="str">
        <f t="shared" si="329"/>
        <v>-</v>
      </c>
      <c r="Q370" s="219" t="s">
        <v>78</v>
      </c>
      <c r="R370" s="125" t="str">
        <f t="shared" si="330"/>
        <v>-</v>
      </c>
      <c r="S370" s="311" t="s">
        <v>78</v>
      </c>
      <c r="T370" s="126" t="str">
        <f t="shared" si="306"/>
        <v>-</v>
      </c>
      <c r="U370" s="221" t="s">
        <v>78</v>
      </c>
      <c r="V370" s="125" t="str">
        <f t="shared" si="327"/>
        <v>-</v>
      </c>
      <c r="W370" s="127" t="str">
        <f t="shared" si="280"/>
        <v>-</v>
      </c>
      <c r="X370" s="128"/>
      <c r="Y370" s="223" t="s">
        <v>78</v>
      </c>
      <c r="Z370" s="129" t="str">
        <f t="shared" si="281"/>
        <v>-</v>
      </c>
      <c r="AA370" s="124" t="str">
        <f t="shared" si="285"/>
        <v>-</v>
      </c>
      <c r="AB370" s="130" t="str">
        <f t="shared" si="286"/>
        <v>-</v>
      </c>
      <c r="AC370" s="221" t="s">
        <v>78</v>
      </c>
      <c r="AD370" s="225" t="s">
        <v>78</v>
      </c>
      <c r="AE370" s="225" t="s">
        <v>78</v>
      </c>
      <c r="AF370" s="225" t="s">
        <v>78</v>
      </c>
      <c r="AG370" s="225" t="s">
        <v>78</v>
      </c>
      <c r="AH370" s="125" t="str">
        <f t="shared" si="319"/>
        <v>-</v>
      </c>
      <c r="AI370" s="127" t="str">
        <f t="shared" si="282"/>
        <v>-</v>
      </c>
      <c r="AJ370" s="128"/>
      <c r="AK370" s="223" t="s">
        <v>78</v>
      </c>
      <c r="AL370" s="131" t="str">
        <f t="shared" si="283"/>
        <v>-</v>
      </c>
      <c r="AM370" s="368" t="str">
        <f t="shared" si="320"/>
        <v>-</v>
      </c>
      <c r="AN370" s="375" t="str">
        <f t="shared" si="287"/>
        <v>-</v>
      </c>
      <c r="AO370" s="376" t="str">
        <f t="shared" si="288"/>
        <v>-</v>
      </c>
      <c r="AP370" s="394" t="s">
        <v>78</v>
      </c>
      <c r="AQ370" s="395" t="s">
        <v>78</v>
      </c>
      <c r="AR370" s="396" t="str">
        <f t="shared" si="313"/>
        <v>-</v>
      </c>
      <c r="AS370" s="397"/>
      <c r="AT370" s="401" t="s">
        <v>78</v>
      </c>
      <c r="AU370" s="396" t="str">
        <f t="shared" si="314"/>
        <v>-</v>
      </c>
      <c r="AV370" s="397"/>
      <c r="AW370" s="388" t="str">
        <f t="shared" si="289"/>
        <v>-</v>
      </c>
      <c r="AX370" s="389" t="str">
        <f t="shared" si="290"/>
        <v>-</v>
      </c>
      <c r="AY370" s="353" t="s">
        <v>78</v>
      </c>
      <c r="AZ370" s="403"/>
      <c r="BA370" s="404"/>
    </row>
    <row r="371" spans="1:53" ht="15" customHeight="1">
      <c r="A371" s="1" t="str">
        <f t="shared" si="312"/>
        <v>0_2025_</v>
      </c>
      <c r="B371" s="1" t="str">
        <f t="shared" si="317"/>
        <v>0_2025_CFO</v>
      </c>
      <c r="D371" s="114">
        <f t="shared" si="296"/>
        <v>0</v>
      </c>
      <c r="E371" s="133" t="str">
        <f>_xll.ciqfunctions.udf.CIQ(D371,"IQ_Company_Name")</f>
        <v>(Invalid Identifier)</v>
      </c>
      <c r="F371" s="114">
        <f t="shared" si="292"/>
        <v>2025</v>
      </c>
      <c r="G371" s="114" t="str">
        <f t="shared" si="324"/>
        <v>2025-01-01</v>
      </c>
      <c r="H371" s="330" t="str">
        <f t="shared" si="325"/>
        <v>2025-12-31</v>
      </c>
      <c r="I371" s="114">
        <f t="shared" si="326"/>
        <v>12</v>
      </c>
      <c r="J371" s="407" t="str">
        <f t="shared" si="328"/>
        <v>CAD</v>
      </c>
      <c r="K371" s="439">
        <f t="shared" si="318"/>
        <v>1</v>
      </c>
      <c r="L371" s="445"/>
      <c r="M371" s="982"/>
      <c r="N371" s="442" t="s">
        <v>106</v>
      </c>
      <c r="O371" s="217" t="s">
        <v>78</v>
      </c>
      <c r="P371" s="218" t="s">
        <v>78</v>
      </c>
      <c r="Q371" s="219" t="s">
        <v>78</v>
      </c>
      <c r="R371" s="125" t="str">
        <f t="shared" si="330"/>
        <v>-</v>
      </c>
      <c r="S371" s="311" t="s">
        <v>78</v>
      </c>
      <c r="T371" s="126" t="str">
        <f t="shared" si="306"/>
        <v>-</v>
      </c>
      <c r="U371" s="221" t="s">
        <v>78</v>
      </c>
      <c r="V371" s="125" t="str">
        <f t="shared" si="327"/>
        <v>-</v>
      </c>
      <c r="W371" s="127" t="str">
        <f t="shared" si="280"/>
        <v>-</v>
      </c>
      <c r="X371" s="128" t="str">
        <f>IFERROR(AVERAGE(W371:W373),"N/A")</f>
        <v>N/A</v>
      </c>
      <c r="Y371" s="223" t="s">
        <v>78</v>
      </c>
      <c r="Z371" s="129" t="str">
        <f t="shared" si="281"/>
        <v>-</v>
      </c>
      <c r="AA371" s="124" t="str">
        <f t="shared" si="285"/>
        <v>-</v>
      </c>
      <c r="AB371" s="130" t="str">
        <f t="shared" si="286"/>
        <v>-</v>
      </c>
      <c r="AC371" s="221" t="s">
        <v>78</v>
      </c>
      <c r="AD371" s="225" t="s">
        <v>78</v>
      </c>
      <c r="AE371" s="225" t="s">
        <v>78</v>
      </c>
      <c r="AF371" s="225" t="s">
        <v>78</v>
      </c>
      <c r="AG371" s="225" t="s">
        <v>78</v>
      </c>
      <c r="AH371" s="125" t="str">
        <f t="shared" si="319"/>
        <v>-</v>
      </c>
      <c r="AI371" s="127" t="str">
        <f t="shared" si="282"/>
        <v>-</v>
      </c>
      <c r="AJ371" s="128" t="str">
        <f>IFERROR(AVERAGE(AI371:AI373),"N/A")</f>
        <v>N/A</v>
      </c>
      <c r="AK371" s="223" t="s">
        <v>78</v>
      </c>
      <c r="AL371" s="131" t="str">
        <f t="shared" si="283"/>
        <v>-</v>
      </c>
      <c r="AM371" s="368" t="str">
        <f t="shared" si="320"/>
        <v>-</v>
      </c>
      <c r="AN371" s="375" t="str">
        <f t="shared" si="287"/>
        <v>-</v>
      </c>
      <c r="AO371" s="376" t="str">
        <f t="shared" si="288"/>
        <v>-</v>
      </c>
      <c r="AP371" s="394" t="s">
        <v>78</v>
      </c>
      <c r="AQ371" s="395" t="s">
        <v>78</v>
      </c>
      <c r="AR371" s="396" t="str">
        <f t="shared" si="313"/>
        <v>-</v>
      </c>
      <c r="AS371" s="397" t="str">
        <f>IFERROR(AVERAGE(AR371:AR373),"N/A")</f>
        <v>N/A</v>
      </c>
      <c r="AT371" s="401" t="s">
        <v>78</v>
      </c>
      <c r="AU371" s="396" t="str">
        <f t="shared" si="314"/>
        <v>-</v>
      </c>
      <c r="AV371" s="397" t="str">
        <f>IFERROR(AVERAGE(AU371:AU373),"N/A")</f>
        <v>N/A</v>
      </c>
      <c r="AW371" s="388" t="str">
        <f t="shared" si="289"/>
        <v>-</v>
      </c>
      <c r="AX371" s="389" t="str">
        <f t="shared" si="290"/>
        <v>-</v>
      </c>
      <c r="AY371" s="353" t="s">
        <v>78</v>
      </c>
      <c r="AZ371" s="403"/>
      <c r="BA371" s="404"/>
    </row>
    <row r="372" spans="1:53" ht="15" customHeight="1">
      <c r="A372" s="1" t="str">
        <f t="shared" si="312"/>
        <v>0_2024_</v>
      </c>
      <c r="B372" s="1" t="str">
        <f t="shared" si="317"/>
        <v>0_2024_CFO</v>
      </c>
      <c r="D372" s="114">
        <f t="shared" si="296"/>
        <v>0</v>
      </c>
      <c r="E372" s="133" t="str">
        <f>_xll.ciqfunctions.udf.CIQ(D372,"IQ_Company_Name")</f>
        <v>(Invalid Identifier)</v>
      </c>
      <c r="F372" s="114">
        <f t="shared" si="292"/>
        <v>2024</v>
      </c>
      <c r="G372" s="114" t="str">
        <f t="shared" si="324"/>
        <v>2024-01-01</v>
      </c>
      <c r="H372" s="330" t="str">
        <f t="shared" si="325"/>
        <v>2024-12-31</v>
      </c>
      <c r="I372" s="114">
        <f t="shared" si="326"/>
        <v>12</v>
      </c>
      <c r="J372" s="407" t="str">
        <f t="shared" si="328"/>
        <v>CAD</v>
      </c>
      <c r="K372" s="439">
        <f t="shared" si="318"/>
        <v>1</v>
      </c>
      <c r="L372" s="445"/>
      <c r="M372" s="982"/>
      <c r="N372" s="443" t="str">
        <f t="shared" ref="N372:P373" si="331">N371</f>
        <v>CFO</v>
      </c>
      <c r="O372" s="123" t="str">
        <f t="shared" si="331"/>
        <v>-</v>
      </c>
      <c r="P372" s="132" t="str">
        <f t="shared" si="331"/>
        <v>-</v>
      </c>
      <c r="Q372" s="219" t="s">
        <v>78</v>
      </c>
      <c r="R372" s="125" t="str">
        <f t="shared" si="330"/>
        <v>-</v>
      </c>
      <c r="S372" s="311" t="s">
        <v>78</v>
      </c>
      <c r="T372" s="126" t="str">
        <f t="shared" si="306"/>
        <v>-</v>
      </c>
      <c r="U372" s="221" t="s">
        <v>78</v>
      </c>
      <c r="V372" s="125" t="str">
        <f t="shared" si="327"/>
        <v>-</v>
      </c>
      <c r="W372" s="127" t="str">
        <f t="shared" si="280"/>
        <v>-</v>
      </c>
      <c r="X372" s="128"/>
      <c r="Y372" s="223" t="s">
        <v>78</v>
      </c>
      <c r="Z372" s="129" t="str">
        <f t="shared" si="281"/>
        <v>-</v>
      </c>
      <c r="AA372" s="124" t="str">
        <f t="shared" si="285"/>
        <v>-</v>
      </c>
      <c r="AB372" s="130" t="str">
        <f t="shared" si="286"/>
        <v>-</v>
      </c>
      <c r="AC372" s="221" t="s">
        <v>78</v>
      </c>
      <c r="AD372" s="225" t="s">
        <v>78</v>
      </c>
      <c r="AE372" s="225" t="s">
        <v>78</v>
      </c>
      <c r="AF372" s="225" t="s">
        <v>78</v>
      </c>
      <c r="AG372" s="225" t="s">
        <v>78</v>
      </c>
      <c r="AH372" s="125" t="str">
        <f t="shared" si="319"/>
        <v>-</v>
      </c>
      <c r="AI372" s="127" t="str">
        <f t="shared" si="282"/>
        <v>-</v>
      </c>
      <c r="AJ372" s="128"/>
      <c r="AK372" s="223" t="s">
        <v>78</v>
      </c>
      <c r="AL372" s="131" t="str">
        <f t="shared" si="283"/>
        <v>-</v>
      </c>
      <c r="AM372" s="368" t="str">
        <f t="shared" si="320"/>
        <v>-</v>
      </c>
      <c r="AN372" s="375" t="str">
        <f t="shared" si="287"/>
        <v>-</v>
      </c>
      <c r="AO372" s="376" t="str">
        <f t="shared" si="288"/>
        <v>-</v>
      </c>
      <c r="AP372" s="394" t="s">
        <v>78</v>
      </c>
      <c r="AQ372" s="395" t="s">
        <v>78</v>
      </c>
      <c r="AR372" s="396" t="str">
        <f t="shared" si="313"/>
        <v>-</v>
      </c>
      <c r="AS372" s="397"/>
      <c r="AT372" s="401" t="s">
        <v>78</v>
      </c>
      <c r="AU372" s="396" t="str">
        <f t="shared" si="314"/>
        <v>-</v>
      </c>
      <c r="AV372" s="397"/>
      <c r="AW372" s="388" t="str">
        <f t="shared" si="289"/>
        <v>-</v>
      </c>
      <c r="AX372" s="389" t="str">
        <f t="shared" si="290"/>
        <v>-</v>
      </c>
      <c r="AY372" s="353" t="s">
        <v>78</v>
      </c>
      <c r="AZ372" s="403"/>
      <c r="BA372" s="404"/>
    </row>
    <row r="373" spans="1:53" ht="15" customHeight="1">
      <c r="A373" s="1" t="str">
        <f t="shared" si="312"/>
        <v>0_2023_</v>
      </c>
      <c r="B373" s="1" t="str">
        <f t="shared" si="317"/>
        <v>0_2023_CFO</v>
      </c>
      <c r="D373" s="114">
        <f t="shared" si="296"/>
        <v>0</v>
      </c>
      <c r="E373" s="133" t="str">
        <f>_xll.ciqfunctions.udf.CIQ(D373,"IQ_Company_Name")</f>
        <v>(Invalid Identifier)</v>
      </c>
      <c r="F373" s="114">
        <f t="shared" si="292"/>
        <v>2023</v>
      </c>
      <c r="G373" s="114" t="str">
        <f t="shared" si="324"/>
        <v>2023-01-01</v>
      </c>
      <c r="H373" s="330" t="str">
        <f t="shared" si="325"/>
        <v>2023-12-31</v>
      </c>
      <c r="I373" s="114">
        <f t="shared" si="326"/>
        <v>12</v>
      </c>
      <c r="J373" s="407" t="str">
        <f t="shared" si="328"/>
        <v>CAD</v>
      </c>
      <c r="K373" s="439">
        <f t="shared" si="318"/>
        <v>1</v>
      </c>
      <c r="L373" s="445"/>
      <c r="M373" s="982"/>
      <c r="N373" s="443" t="str">
        <f t="shared" si="331"/>
        <v>CFO</v>
      </c>
      <c r="O373" s="123" t="str">
        <f t="shared" si="331"/>
        <v>-</v>
      </c>
      <c r="P373" s="132" t="str">
        <f t="shared" si="331"/>
        <v>-</v>
      </c>
      <c r="Q373" s="219" t="s">
        <v>78</v>
      </c>
      <c r="R373" s="125" t="str">
        <f t="shared" si="330"/>
        <v>-</v>
      </c>
      <c r="S373" s="311" t="s">
        <v>78</v>
      </c>
      <c r="T373" s="126" t="str">
        <f t="shared" si="306"/>
        <v>-</v>
      </c>
      <c r="U373" s="221" t="s">
        <v>78</v>
      </c>
      <c r="V373" s="125" t="str">
        <f t="shared" si="327"/>
        <v>-</v>
      </c>
      <c r="W373" s="127" t="str">
        <f t="shared" ref="W373:W412" si="332">IFERROR($V373/$R373,"-")</f>
        <v>-</v>
      </c>
      <c r="X373" s="128"/>
      <c r="Y373" s="223" t="s">
        <v>78</v>
      </c>
      <c r="Z373" s="129" t="str">
        <f t="shared" ref="Z373:Z412" si="333">IFERROR(IF(ISNUMBER($Y373)=TRUE, $Y373*$R373,$X373*$R373),"-")</f>
        <v>-</v>
      </c>
      <c r="AA373" s="124" t="str">
        <f t="shared" si="285"/>
        <v>-</v>
      </c>
      <c r="AB373" s="130" t="str">
        <f t="shared" si="286"/>
        <v>-</v>
      </c>
      <c r="AC373" s="221" t="s">
        <v>78</v>
      </c>
      <c r="AD373" s="225" t="s">
        <v>78</v>
      </c>
      <c r="AE373" s="225" t="s">
        <v>78</v>
      </c>
      <c r="AF373" s="225" t="s">
        <v>78</v>
      </c>
      <c r="AG373" s="225" t="s">
        <v>78</v>
      </c>
      <c r="AH373" s="125" t="str">
        <f t="shared" si="319"/>
        <v>-</v>
      </c>
      <c r="AI373" s="127" t="str">
        <f t="shared" ref="AI373:AI412" si="334">IFERROR($AM373/$R373,"-")</f>
        <v>-</v>
      </c>
      <c r="AJ373" s="128"/>
      <c r="AK373" s="223" t="s">
        <v>78</v>
      </c>
      <c r="AL373" s="131" t="str">
        <f t="shared" ref="AL373:AL412" si="335">IFERROR(IF(ISNUMBER($AK373)=TRUE, $AK373*$R373, $AJ373*$R373), "-")</f>
        <v>-</v>
      </c>
      <c r="AM373" s="368" t="str">
        <f t="shared" si="320"/>
        <v>-</v>
      </c>
      <c r="AN373" s="375" t="str">
        <f t="shared" si="287"/>
        <v>-</v>
      </c>
      <c r="AO373" s="376" t="str">
        <f t="shared" si="288"/>
        <v>-</v>
      </c>
      <c r="AP373" s="394" t="s">
        <v>78</v>
      </c>
      <c r="AQ373" s="395" t="s">
        <v>78</v>
      </c>
      <c r="AR373" s="396" t="str">
        <f t="shared" si="313"/>
        <v>-</v>
      </c>
      <c r="AS373" s="397"/>
      <c r="AT373" s="401" t="s">
        <v>78</v>
      </c>
      <c r="AU373" s="396" t="str">
        <f t="shared" si="314"/>
        <v>-</v>
      </c>
      <c r="AV373" s="397"/>
      <c r="AW373" s="388" t="str">
        <f t="shared" si="289"/>
        <v>-</v>
      </c>
      <c r="AX373" s="389" t="str">
        <f t="shared" si="290"/>
        <v>-</v>
      </c>
      <c r="AY373" s="353" t="s">
        <v>78</v>
      </c>
      <c r="AZ373" s="403"/>
      <c r="BA373" s="404"/>
    </row>
    <row r="374" spans="1:53" ht="15" customHeight="1">
      <c r="A374" s="1" t="str">
        <f t="shared" si="312"/>
        <v>0_2025_</v>
      </c>
      <c r="B374" s="1" t="str">
        <f t="shared" si="317"/>
        <v>0_2025_NEO1</v>
      </c>
      <c r="D374" s="114">
        <f t="shared" si="296"/>
        <v>0</v>
      </c>
      <c r="E374" s="133" t="str">
        <f>_xll.ciqfunctions.udf.CIQ(D374,"IQ_Company_Name")</f>
        <v>(Invalid Identifier)</v>
      </c>
      <c r="F374" s="114">
        <f t="shared" si="292"/>
        <v>2025</v>
      </c>
      <c r="G374" s="330" t="str">
        <f t="shared" si="324"/>
        <v>2025-01-01</v>
      </c>
      <c r="H374" s="330" t="str">
        <f t="shared" si="325"/>
        <v>2025-12-31</v>
      </c>
      <c r="I374" s="114">
        <f t="shared" si="326"/>
        <v>12</v>
      </c>
      <c r="J374" s="407" t="str">
        <f t="shared" si="328"/>
        <v>CAD</v>
      </c>
      <c r="K374" s="439">
        <f t="shared" si="318"/>
        <v>1</v>
      </c>
      <c r="L374" s="445"/>
      <c r="M374" s="982"/>
      <c r="N374" s="442" t="s">
        <v>107</v>
      </c>
      <c r="O374" s="217" t="s">
        <v>78</v>
      </c>
      <c r="P374" s="218" t="s">
        <v>78</v>
      </c>
      <c r="Q374" s="219" t="s">
        <v>78</v>
      </c>
      <c r="R374" s="125" t="str">
        <f t="shared" si="330"/>
        <v>-</v>
      </c>
      <c r="S374" s="311" t="s">
        <v>78</v>
      </c>
      <c r="T374" s="126" t="str">
        <f t="shared" si="306"/>
        <v>-</v>
      </c>
      <c r="U374" s="221" t="s">
        <v>78</v>
      </c>
      <c r="V374" s="125" t="str">
        <f t="shared" si="327"/>
        <v>-</v>
      </c>
      <c r="W374" s="127" t="str">
        <f t="shared" si="332"/>
        <v>-</v>
      </c>
      <c r="X374" s="128" t="str">
        <f>IFERROR(AVERAGE(W374:W376),"N/A")</f>
        <v>N/A</v>
      </c>
      <c r="Y374" s="223" t="s">
        <v>78</v>
      </c>
      <c r="Z374" s="129" t="str">
        <f t="shared" si="333"/>
        <v>-</v>
      </c>
      <c r="AA374" s="124" t="str">
        <f t="shared" ref="AA374:AA412" si="336">IFERROR(IF(SUM(R374,V374)=0,"-",SUM(R374,V374)),"-")</f>
        <v>-</v>
      </c>
      <c r="AB374" s="130" t="str">
        <f t="shared" ref="AB374:AB412" si="337">IFERROR(IF(SUM(R374,Z374)=0,"-",SUM(R374,Z374)),"-")</f>
        <v>-</v>
      </c>
      <c r="AC374" s="221" t="s">
        <v>78</v>
      </c>
      <c r="AD374" s="225" t="s">
        <v>78</v>
      </c>
      <c r="AE374" s="225" t="s">
        <v>78</v>
      </c>
      <c r="AF374" s="225" t="s">
        <v>78</v>
      </c>
      <c r="AG374" s="225" t="s">
        <v>78</v>
      </c>
      <c r="AH374" s="125" t="str">
        <f t="shared" si="319"/>
        <v>-</v>
      </c>
      <c r="AI374" s="127" t="str">
        <f t="shared" si="334"/>
        <v>-</v>
      </c>
      <c r="AJ374" s="128" t="str">
        <f>IFERROR(AVERAGE(AI374:AI376),"N/A")</f>
        <v>N/A</v>
      </c>
      <c r="AK374" s="223" t="s">
        <v>78</v>
      </c>
      <c r="AL374" s="131" t="str">
        <f t="shared" si="335"/>
        <v>-</v>
      </c>
      <c r="AM374" s="368" t="str">
        <f t="shared" si="320"/>
        <v>-</v>
      </c>
      <c r="AN374" s="375" t="str">
        <f t="shared" ref="AN374:AN412" si="338">IFERROR(IF(SUM(AA374,AM374)=0,"-",SUM(AA374,AM374)),"-")</f>
        <v>-</v>
      </c>
      <c r="AO374" s="376" t="str">
        <f t="shared" ref="AO374:AO412" si="339">IFERROR(IF(SUM($AB374,$AL374)=0,"-",SUM($AB374,$AL374)),"-")</f>
        <v>-</v>
      </c>
      <c r="AP374" s="394" t="s">
        <v>78</v>
      </c>
      <c r="AQ374" s="395" t="s">
        <v>78</v>
      </c>
      <c r="AR374" s="396" t="str">
        <f t="shared" si="313"/>
        <v>-</v>
      </c>
      <c r="AS374" s="397" t="str">
        <f>IFERROR(AVERAGE(AR374:AR376),"N/A")</f>
        <v>N/A</v>
      </c>
      <c r="AT374" s="401" t="s">
        <v>78</v>
      </c>
      <c r="AU374" s="396" t="str">
        <f t="shared" si="314"/>
        <v>-</v>
      </c>
      <c r="AV374" s="397" t="str">
        <f>IFERROR(AVERAGE(AU374:AU376),"N/A")</f>
        <v>N/A</v>
      </c>
      <c r="AW374" s="388" t="str">
        <f t="shared" ref="AW374:AW412" si="340">IFERROR(IF(SUM(AN374,AR374,AU374)=0,"-",SUM(AN374,AR374,AU374)),"-")</f>
        <v>-</v>
      </c>
      <c r="AX374" s="389" t="str">
        <f t="shared" ref="AX374:AX412" si="341">IFERROR(IF(SUM(AO374,AR374,AU374)=0,"-",SUM(AO374,AR374,AU374)),"-")</f>
        <v>-</v>
      </c>
      <c r="AY374" s="353" t="s">
        <v>78</v>
      </c>
      <c r="AZ374" s="403"/>
      <c r="BA374" s="404"/>
    </row>
    <row r="375" spans="1:53" ht="15" customHeight="1">
      <c r="A375" s="1" t="str">
        <f t="shared" si="312"/>
        <v>0_2024_</v>
      </c>
      <c r="B375" s="1" t="str">
        <f t="shared" si="317"/>
        <v>0_2024_NEO1</v>
      </c>
      <c r="D375" s="114">
        <f t="shared" si="296"/>
        <v>0</v>
      </c>
      <c r="E375" s="133" t="str">
        <f>_xll.ciqfunctions.udf.CIQ(D375,"IQ_Company_Name")</f>
        <v>(Invalid Identifier)</v>
      </c>
      <c r="F375" s="114">
        <f t="shared" si="292"/>
        <v>2024</v>
      </c>
      <c r="G375" s="330" t="str">
        <f t="shared" si="324"/>
        <v>2024-01-01</v>
      </c>
      <c r="H375" s="330" t="str">
        <f t="shared" si="325"/>
        <v>2024-12-31</v>
      </c>
      <c r="I375" s="114">
        <f t="shared" si="326"/>
        <v>12</v>
      </c>
      <c r="J375" s="407" t="str">
        <f t="shared" si="328"/>
        <v>CAD</v>
      </c>
      <c r="K375" s="439">
        <f t="shared" si="318"/>
        <v>1</v>
      </c>
      <c r="L375" s="445"/>
      <c r="M375" s="982"/>
      <c r="N375" s="443" t="str">
        <f t="shared" ref="N375:P376" si="342">N374</f>
        <v>NEO1</v>
      </c>
      <c r="O375" s="123" t="str">
        <f t="shared" si="342"/>
        <v>-</v>
      </c>
      <c r="P375" s="132" t="str">
        <f t="shared" si="342"/>
        <v>-</v>
      </c>
      <c r="Q375" s="219" t="s">
        <v>78</v>
      </c>
      <c r="R375" s="125" t="str">
        <f t="shared" si="330"/>
        <v>-</v>
      </c>
      <c r="S375" s="311" t="s">
        <v>78</v>
      </c>
      <c r="T375" s="126" t="str">
        <f t="shared" si="306"/>
        <v>-</v>
      </c>
      <c r="U375" s="221" t="s">
        <v>78</v>
      </c>
      <c r="V375" s="125" t="str">
        <f t="shared" si="327"/>
        <v>-</v>
      </c>
      <c r="W375" s="127" t="str">
        <f t="shared" si="332"/>
        <v>-</v>
      </c>
      <c r="X375" s="128"/>
      <c r="Y375" s="223" t="s">
        <v>78</v>
      </c>
      <c r="Z375" s="129" t="str">
        <f t="shared" si="333"/>
        <v>-</v>
      </c>
      <c r="AA375" s="124" t="str">
        <f t="shared" si="336"/>
        <v>-</v>
      </c>
      <c r="AB375" s="130" t="str">
        <f t="shared" si="337"/>
        <v>-</v>
      </c>
      <c r="AC375" s="221" t="s">
        <v>78</v>
      </c>
      <c r="AD375" s="225" t="s">
        <v>78</v>
      </c>
      <c r="AE375" s="225" t="s">
        <v>78</v>
      </c>
      <c r="AF375" s="225" t="s">
        <v>78</v>
      </c>
      <c r="AG375" s="225" t="s">
        <v>78</v>
      </c>
      <c r="AH375" s="125" t="str">
        <f t="shared" si="319"/>
        <v>-</v>
      </c>
      <c r="AI375" s="127" t="str">
        <f t="shared" si="334"/>
        <v>-</v>
      </c>
      <c r="AJ375" s="128"/>
      <c r="AK375" s="223" t="s">
        <v>78</v>
      </c>
      <c r="AL375" s="131" t="str">
        <f t="shared" si="335"/>
        <v>-</v>
      </c>
      <c r="AM375" s="368" t="str">
        <f t="shared" si="320"/>
        <v>-</v>
      </c>
      <c r="AN375" s="375" t="str">
        <f t="shared" si="338"/>
        <v>-</v>
      </c>
      <c r="AO375" s="376" t="str">
        <f t="shared" si="339"/>
        <v>-</v>
      </c>
      <c r="AP375" s="394" t="s">
        <v>78</v>
      </c>
      <c r="AQ375" s="395" t="s">
        <v>78</v>
      </c>
      <c r="AR375" s="396" t="str">
        <f t="shared" si="313"/>
        <v>-</v>
      </c>
      <c r="AS375" s="397"/>
      <c r="AT375" s="401" t="s">
        <v>78</v>
      </c>
      <c r="AU375" s="396" t="str">
        <f t="shared" si="314"/>
        <v>-</v>
      </c>
      <c r="AV375" s="397"/>
      <c r="AW375" s="388" t="str">
        <f t="shared" si="340"/>
        <v>-</v>
      </c>
      <c r="AX375" s="389" t="str">
        <f t="shared" si="341"/>
        <v>-</v>
      </c>
      <c r="AY375" s="353" t="s">
        <v>78</v>
      </c>
      <c r="AZ375" s="403"/>
      <c r="BA375" s="404"/>
    </row>
    <row r="376" spans="1:53" ht="15" customHeight="1">
      <c r="A376" s="1" t="str">
        <f t="shared" si="312"/>
        <v>0_2023_</v>
      </c>
      <c r="B376" s="1" t="str">
        <f t="shared" si="317"/>
        <v>0_2023_NEO1</v>
      </c>
      <c r="D376" s="114">
        <f t="shared" si="296"/>
        <v>0</v>
      </c>
      <c r="E376" s="133" t="str">
        <f>_xll.ciqfunctions.udf.CIQ(D376,"IQ_Company_Name")</f>
        <v>(Invalid Identifier)</v>
      </c>
      <c r="F376" s="114">
        <f t="shared" si="292"/>
        <v>2023</v>
      </c>
      <c r="G376" s="114" t="str">
        <f t="shared" si="324"/>
        <v>2023-01-01</v>
      </c>
      <c r="H376" s="330" t="str">
        <f t="shared" si="325"/>
        <v>2023-12-31</v>
      </c>
      <c r="I376" s="114">
        <f t="shared" si="326"/>
        <v>12</v>
      </c>
      <c r="J376" s="407" t="str">
        <f t="shared" si="328"/>
        <v>CAD</v>
      </c>
      <c r="K376" s="439">
        <f t="shared" si="318"/>
        <v>1</v>
      </c>
      <c r="L376" s="445"/>
      <c r="M376" s="982"/>
      <c r="N376" s="443" t="str">
        <f t="shared" si="342"/>
        <v>NEO1</v>
      </c>
      <c r="O376" s="123" t="str">
        <f t="shared" si="342"/>
        <v>-</v>
      </c>
      <c r="P376" s="132" t="str">
        <f t="shared" si="342"/>
        <v>-</v>
      </c>
      <c r="Q376" s="219" t="s">
        <v>78</v>
      </c>
      <c r="R376" s="125" t="str">
        <f t="shared" si="330"/>
        <v>-</v>
      </c>
      <c r="S376" s="311" t="s">
        <v>78</v>
      </c>
      <c r="T376" s="126" t="str">
        <f t="shared" si="306"/>
        <v>-</v>
      </c>
      <c r="U376" s="221" t="s">
        <v>78</v>
      </c>
      <c r="V376" s="125" t="str">
        <f t="shared" si="327"/>
        <v>-</v>
      </c>
      <c r="W376" s="127" t="str">
        <f t="shared" si="332"/>
        <v>-</v>
      </c>
      <c r="X376" s="128"/>
      <c r="Y376" s="223" t="s">
        <v>78</v>
      </c>
      <c r="Z376" s="129" t="str">
        <f t="shared" si="333"/>
        <v>-</v>
      </c>
      <c r="AA376" s="124" t="str">
        <f t="shared" si="336"/>
        <v>-</v>
      </c>
      <c r="AB376" s="130" t="str">
        <f t="shared" si="337"/>
        <v>-</v>
      </c>
      <c r="AC376" s="221" t="s">
        <v>78</v>
      </c>
      <c r="AD376" s="225" t="s">
        <v>78</v>
      </c>
      <c r="AE376" s="225" t="s">
        <v>78</v>
      </c>
      <c r="AF376" s="225" t="s">
        <v>78</v>
      </c>
      <c r="AG376" s="225" t="s">
        <v>78</v>
      </c>
      <c r="AH376" s="125" t="str">
        <f t="shared" si="319"/>
        <v>-</v>
      </c>
      <c r="AI376" s="127" t="str">
        <f t="shared" si="334"/>
        <v>-</v>
      </c>
      <c r="AJ376" s="128"/>
      <c r="AK376" s="223" t="s">
        <v>78</v>
      </c>
      <c r="AL376" s="131" t="str">
        <f t="shared" si="335"/>
        <v>-</v>
      </c>
      <c r="AM376" s="368" t="str">
        <f t="shared" si="320"/>
        <v>-</v>
      </c>
      <c r="AN376" s="375" t="str">
        <f t="shared" si="338"/>
        <v>-</v>
      </c>
      <c r="AO376" s="376" t="str">
        <f t="shared" si="339"/>
        <v>-</v>
      </c>
      <c r="AP376" s="394" t="s">
        <v>78</v>
      </c>
      <c r="AQ376" s="395" t="s">
        <v>78</v>
      </c>
      <c r="AR376" s="396" t="str">
        <f t="shared" si="313"/>
        <v>-</v>
      </c>
      <c r="AS376" s="397"/>
      <c r="AT376" s="401" t="s">
        <v>78</v>
      </c>
      <c r="AU376" s="396" t="str">
        <f t="shared" si="314"/>
        <v>-</v>
      </c>
      <c r="AV376" s="397"/>
      <c r="AW376" s="388" t="str">
        <f t="shared" si="340"/>
        <v>-</v>
      </c>
      <c r="AX376" s="389" t="str">
        <f t="shared" si="341"/>
        <v>-</v>
      </c>
      <c r="AY376" s="353" t="s">
        <v>78</v>
      </c>
      <c r="AZ376" s="403"/>
      <c r="BA376" s="404"/>
    </row>
    <row r="377" spans="1:53" ht="15" customHeight="1">
      <c r="A377" s="1" t="str">
        <f t="shared" si="312"/>
        <v>0_2025_</v>
      </c>
      <c r="B377" s="1" t="str">
        <f t="shared" si="317"/>
        <v>0_2025_NEO2</v>
      </c>
      <c r="D377" s="114">
        <f t="shared" si="296"/>
        <v>0</v>
      </c>
      <c r="E377" s="133" t="str">
        <f>_xll.ciqfunctions.udf.CIQ(D377,"IQ_Company_Name")</f>
        <v>(Invalid Identifier)</v>
      </c>
      <c r="F377" s="114">
        <f t="shared" si="292"/>
        <v>2025</v>
      </c>
      <c r="G377" s="114" t="str">
        <f t="shared" si="324"/>
        <v>2025-01-01</v>
      </c>
      <c r="H377" s="330" t="str">
        <f t="shared" si="325"/>
        <v>2025-12-31</v>
      </c>
      <c r="I377" s="114">
        <f t="shared" si="326"/>
        <v>12</v>
      </c>
      <c r="J377" s="407" t="str">
        <f t="shared" si="328"/>
        <v>CAD</v>
      </c>
      <c r="K377" s="439">
        <f t="shared" si="318"/>
        <v>1</v>
      </c>
      <c r="L377" s="445"/>
      <c r="M377" s="982"/>
      <c r="N377" s="442" t="s">
        <v>108</v>
      </c>
      <c r="O377" s="217" t="s">
        <v>78</v>
      </c>
      <c r="P377" s="218" t="s">
        <v>78</v>
      </c>
      <c r="Q377" s="219" t="s">
        <v>78</v>
      </c>
      <c r="R377" s="125" t="str">
        <f t="shared" si="330"/>
        <v>-</v>
      </c>
      <c r="S377" s="311" t="s">
        <v>78</v>
      </c>
      <c r="T377" s="126" t="str">
        <f t="shared" si="306"/>
        <v>-</v>
      </c>
      <c r="U377" s="221" t="s">
        <v>78</v>
      </c>
      <c r="V377" s="125" t="str">
        <f t="shared" si="327"/>
        <v>-</v>
      </c>
      <c r="W377" s="127" t="str">
        <f t="shared" si="332"/>
        <v>-</v>
      </c>
      <c r="X377" s="128" t="str">
        <f>IFERROR(AVERAGE(W377:W379),"N/A")</f>
        <v>N/A</v>
      </c>
      <c r="Y377" s="223" t="s">
        <v>78</v>
      </c>
      <c r="Z377" s="129" t="str">
        <f t="shared" si="333"/>
        <v>-</v>
      </c>
      <c r="AA377" s="124" t="str">
        <f t="shared" si="336"/>
        <v>-</v>
      </c>
      <c r="AB377" s="130" t="str">
        <f t="shared" si="337"/>
        <v>-</v>
      </c>
      <c r="AC377" s="221" t="s">
        <v>78</v>
      </c>
      <c r="AD377" s="225" t="s">
        <v>78</v>
      </c>
      <c r="AE377" s="225" t="s">
        <v>78</v>
      </c>
      <c r="AF377" s="225" t="s">
        <v>78</v>
      </c>
      <c r="AG377" s="225" t="s">
        <v>78</v>
      </c>
      <c r="AH377" s="125" t="str">
        <f t="shared" si="319"/>
        <v>-</v>
      </c>
      <c r="AI377" s="127" t="str">
        <f t="shared" si="334"/>
        <v>-</v>
      </c>
      <c r="AJ377" s="128" t="str">
        <f>IFERROR(AVERAGE(AI377:AI379),"N/A")</f>
        <v>N/A</v>
      </c>
      <c r="AK377" s="223" t="s">
        <v>78</v>
      </c>
      <c r="AL377" s="131" t="str">
        <f t="shared" si="335"/>
        <v>-</v>
      </c>
      <c r="AM377" s="368" t="str">
        <f t="shared" si="320"/>
        <v>-</v>
      </c>
      <c r="AN377" s="375" t="str">
        <f t="shared" si="338"/>
        <v>-</v>
      </c>
      <c r="AO377" s="376" t="str">
        <f t="shared" si="339"/>
        <v>-</v>
      </c>
      <c r="AP377" s="394" t="s">
        <v>78</v>
      </c>
      <c r="AQ377" s="395" t="s">
        <v>78</v>
      </c>
      <c r="AR377" s="396" t="str">
        <f t="shared" si="313"/>
        <v>-</v>
      </c>
      <c r="AS377" s="397" t="str">
        <f>IFERROR(AVERAGE(AR377:AR379),"N/A")</f>
        <v>N/A</v>
      </c>
      <c r="AT377" s="401" t="s">
        <v>78</v>
      </c>
      <c r="AU377" s="396" t="str">
        <f t="shared" si="314"/>
        <v>-</v>
      </c>
      <c r="AV377" s="397" t="str">
        <f>IFERROR(AVERAGE(AU377:AU379),"N/A")</f>
        <v>N/A</v>
      </c>
      <c r="AW377" s="388" t="str">
        <f t="shared" si="340"/>
        <v>-</v>
      </c>
      <c r="AX377" s="389" t="str">
        <f t="shared" si="341"/>
        <v>-</v>
      </c>
      <c r="AY377" s="353" t="s">
        <v>78</v>
      </c>
      <c r="AZ377" s="403"/>
      <c r="BA377" s="404"/>
    </row>
    <row r="378" spans="1:53" ht="15" customHeight="1">
      <c r="A378" s="1" t="str">
        <f t="shared" si="312"/>
        <v>0_2024_</v>
      </c>
      <c r="B378" s="1" t="str">
        <f t="shared" si="317"/>
        <v>0_2024_NEO2</v>
      </c>
      <c r="D378" s="114">
        <f t="shared" si="296"/>
        <v>0</v>
      </c>
      <c r="E378" s="133" t="str">
        <f>_xll.ciqfunctions.udf.CIQ(D378,"IQ_Company_Name")</f>
        <v>(Invalid Identifier)</v>
      </c>
      <c r="F378" s="114">
        <f t="shared" si="292"/>
        <v>2024</v>
      </c>
      <c r="G378" s="114" t="str">
        <f t="shared" si="324"/>
        <v>2024-01-01</v>
      </c>
      <c r="H378" s="330" t="str">
        <f t="shared" si="325"/>
        <v>2024-12-31</v>
      </c>
      <c r="I378" s="114">
        <f t="shared" si="326"/>
        <v>12</v>
      </c>
      <c r="J378" s="407" t="str">
        <f t="shared" si="328"/>
        <v>CAD</v>
      </c>
      <c r="K378" s="439">
        <f t="shared" si="318"/>
        <v>1</v>
      </c>
      <c r="L378" s="445"/>
      <c r="M378" s="982"/>
      <c r="N378" s="443" t="str">
        <f t="shared" ref="N378:P379" si="343">N377</f>
        <v>NEO2</v>
      </c>
      <c r="O378" s="123" t="str">
        <f t="shared" si="343"/>
        <v>-</v>
      </c>
      <c r="P378" s="132" t="str">
        <f t="shared" si="343"/>
        <v>-</v>
      </c>
      <c r="Q378" s="219" t="s">
        <v>78</v>
      </c>
      <c r="R378" s="125" t="str">
        <f t="shared" si="330"/>
        <v>-</v>
      </c>
      <c r="S378" s="311" t="s">
        <v>78</v>
      </c>
      <c r="T378" s="126" t="str">
        <f t="shared" si="306"/>
        <v>-</v>
      </c>
      <c r="U378" s="221" t="s">
        <v>78</v>
      </c>
      <c r="V378" s="125" t="str">
        <f t="shared" si="327"/>
        <v>-</v>
      </c>
      <c r="W378" s="127" t="str">
        <f t="shared" si="332"/>
        <v>-</v>
      </c>
      <c r="X378" s="128"/>
      <c r="Y378" s="223" t="s">
        <v>78</v>
      </c>
      <c r="Z378" s="129" t="str">
        <f t="shared" si="333"/>
        <v>-</v>
      </c>
      <c r="AA378" s="124" t="str">
        <f t="shared" si="336"/>
        <v>-</v>
      </c>
      <c r="AB378" s="130" t="str">
        <f t="shared" si="337"/>
        <v>-</v>
      </c>
      <c r="AC378" s="221" t="s">
        <v>78</v>
      </c>
      <c r="AD378" s="225" t="s">
        <v>78</v>
      </c>
      <c r="AE378" s="225" t="s">
        <v>78</v>
      </c>
      <c r="AF378" s="225" t="s">
        <v>78</v>
      </c>
      <c r="AG378" s="225" t="s">
        <v>78</v>
      </c>
      <c r="AH378" s="125" t="str">
        <f t="shared" si="319"/>
        <v>-</v>
      </c>
      <c r="AI378" s="127" t="str">
        <f t="shared" si="334"/>
        <v>-</v>
      </c>
      <c r="AJ378" s="128"/>
      <c r="AK378" s="223" t="s">
        <v>78</v>
      </c>
      <c r="AL378" s="131" t="str">
        <f t="shared" si="335"/>
        <v>-</v>
      </c>
      <c r="AM378" s="368" t="str">
        <f t="shared" si="320"/>
        <v>-</v>
      </c>
      <c r="AN378" s="375" t="str">
        <f t="shared" si="338"/>
        <v>-</v>
      </c>
      <c r="AO378" s="376" t="str">
        <f t="shared" si="339"/>
        <v>-</v>
      </c>
      <c r="AP378" s="394" t="s">
        <v>78</v>
      </c>
      <c r="AQ378" s="395" t="s">
        <v>78</v>
      </c>
      <c r="AR378" s="396" t="str">
        <f t="shared" si="313"/>
        <v>-</v>
      </c>
      <c r="AS378" s="397"/>
      <c r="AT378" s="401" t="s">
        <v>78</v>
      </c>
      <c r="AU378" s="396" t="str">
        <f t="shared" si="314"/>
        <v>-</v>
      </c>
      <c r="AV378" s="397"/>
      <c r="AW378" s="388" t="str">
        <f t="shared" si="340"/>
        <v>-</v>
      </c>
      <c r="AX378" s="389" t="str">
        <f t="shared" si="341"/>
        <v>-</v>
      </c>
      <c r="AY378" s="353" t="s">
        <v>78</v>
      </c>
      <c r="AZ378" s="403"/>
      <c r="BA378" s="404"/>
    </row>
    <row r="379" spans="1:53" ht="15" customHeight="1">
      <c r="A379" s="1" t="str">
        <f t="shared" si="312"/>
        <v>0_2023_</v>
      </c>
      <c r="B379" s="1" t="str">
        <f t="shared" si="317"/>
        <v>0_2023_NEO2</v>
      </c>
      <c r="D379" s="114">
        <f t="shared" si="296"/>
        <v>0</v>
      </c>
      <c r="E379" s="133" t="str">
        <f>_xll.ciqfunctions.udf.CIQ(D379,"IQ_Company_Name")</f>
        <v>(Invalid Identifier)</v>
      </c>
      <c r="F379" s="114">
        <f t="shared" ref="F379:F412" si="344">F376</f>
        <v>2023</v>
      </c>
      <c r="G379" s="114" t="str">
        <f t="shared" si="324"/>
        <v>2023-01-01</v>
      </c>
      <c r="H379" s="330" t="str">
        <f t="shared" si="325"/>
        <v>2023-12-31</v>
      </c>
      <c r="I379" s="114">
        <f t="shared" si="326"/>
        <v>12</v>
      </c>
      <c r="J379" s="407" t="str">
        <f t="shared" si="328"/>
        <v>CAD</v>
      </c>
      <c r="K379" s="439">
        <f t="shared" si="318"/>
        <v>1</v>
      </c>
      <c r="L379" s="445"/>
      <c r="M379" s="982"/>
      <c r="N379" s="443" t="str">
        <f t="shared" si="343"/>
        <v>NEO2</v>
      </c>
      <c r="O379" s="123" t="str">
        <f t="shared" si="343"/>
        <v>-</v>
      </c>
      <c r="P379" s="132" t="str">
        <f t="shared" si="343"/>
        <v>-</v>
      </c>
      <c r="Q379" s="219" t="s">
        <v>78</v>
      </c>
      <c r="R379" s="125" t="str">
        <f t="shared" si="330"/>
        <v>-</v>
      </c>
      <c r="S379" s="311" t="s">
        <v>78</v>
      </c>
      <c r="T379" s="126" t="str">
        <f t="shared" si="306"/>
        <v>-</v>
      </c>
      <c r="U379" s="221" t="s">
        <v>78</v>
      </c>
      <c r="V379" s="125" t="str">
        <f t="shared" si="327"/>
        <v>-</v>
      </c>
      <c r="W379" s="127" t="str">
        <f t="shared" si="332"/>
        <v>-</v>
      </c>
      <c r="X379" s="128"/>
      <c r="Y379" s="223" t="s">
        <v>78</v>
      </c>
      <c r="Z379" s="129" t="str">
        <f t="shared" si="333"/>
        <v>-</v>
      </c>
      <c r="AA379" s="124" t="str">
        <f t="shared" si="336"/>
        <v>-</v>
      </c>
      <c r="AB379" s="130" t="str">
        <f t="shared" si="337"/>
        <v>-</v>
      </c>
      <c r="AC379" s="221" t="s">
        <v>78</v>
      </c>
      <c r="AD379" s="225" t="s">
        <v>78</v>
      </c>
      <c r="AE379" s="225" t="s">
        <v>78</v>
      </c>
      <c r="AF379" s="225" t="s">
        <v>78</v>
      </c>
      <c r="AG379" s="225" t="s">
        <v>78</v>
      </c>
      <c r="AH379" s="125" t="str">
        <f t="shared" si="319"/>
        <v>-</v>
      </c>
      <c r="AI379" s="127" t="str">
        <f t="shared" si="334"/>
        <v>-</v>
      </c>
      <c r="AJ379" s="128"/>
      <c r="AK379" s="223" t="s">
        <v>78</v>
      </c>
      <c r="AL379" s="131" t="str">
        <f t="shared" si="335"/>
        <v>-</v>
      </c>
      <c r="AM379" s="368" t="str">
        <f t="shared" si="320"/>
        <v>-</v>
      </c>
      <c r="AN379" s="375" t="str">
        <f t="shared" si="338"/>
        <v>-</v>
      </c>
      <c r="AO379" s="376" t="str">
        <f t="shared" si="339"/>
        <v>-</v>
      </c>
      <c r="AP379" s="394" t="s">
        <v>78</v>
      </c>
      <c r="AQ379" s="395" t="s">
        <v>78</v>
      </c>
      <c r="AR379" s="396" t="str">
        <f t="shared" si="313"/>
        <v>-</v>
      </c>
      <c r="AS379" s="397"/>
      <c r="AT379" s="401" t="s">
        <v>78</v>
      </c>
      <c r="AU379" s="396" t="str">
        <f t="shared" si="314"/>
        <v>-</v>
      </c>
      <c r="AV379" s="397"/>
      <c r="AW379" s="388" t="str">
        <f t="shared" si="340"/>
        <v>-</v>
      </c>
      <c r="AX379" s="389" t="str">
        <f t="shared" si="341"/>
        <v>-</v>
      </c>
      <c r="AY379" s="353" t="s">
        <v>78</v>
      </c>
      <c r="AZ379" s="403"/>
      <c r="BA379" s="404"/>
    </row>
    <row r="380" spans="1:53" ht="15" customHeight="1">
      <c r="A380" s="1" t="str">
        <f t="shared" si="312"/>
        <v>0_2025_</v>
      </c>
      <c r="B380" s="1" t="str">
        <f t="shared" si="317"/>
        <v>0_2025_NEO3</v>
      </c>
      <c r="D380" s="114">
        <f t="shared" si="296"/>
        <v>0</v>
      </c>
      <c r="E380" s="133" t="str">
        <f>_xll.ciqfunctions.udf.CIQ(D380,"IQ_Company_Name")</f>
        <v>(Invalid Identifier)</v>
      </c>
      <c r="F380" s="114">
        <f t="shared" si="344"/>
        <v>2025</v>
      </c>
      <c r="G380" s="114" t="str">
        <f t="shared" si="324"/>
        <v>2025-01-01</v>
      </c>
      <c r="H380" s="330" t="str">
        <f t="shared" si="325"/>
        <v>2025-12-31</v>
      </c>
      <c r="I380" s="114">
        <f t="shared" si="326"/>
        <v>12</v>
      </c>
      <c r="J380" s="407" t="str">
        <f t="shared" si="328"/>
        <v>CAD</v>
      </c>
      <c r="K380" s="439">
        <f t="shared" si="318"/>
        <v>1</v>
      </c>
      <c r="L380" s="445"/>
      <c r="M380" s="982"/>
      <c r="N380" s="442" t="s">
        <v>109</v>
      </c>
      <c r="O380" s="217" t="s">
        <v>78</v>
      </c>
      <c r="P380" s="218" t="s">
        <v>78</v>
      </c>
      <c r="Q380" s="219" t="s">
        <v>78</v>
      </c>
      <c r="R380" s="125" t="str">
        <f t="shared" si="330"/>
        <v>-</v>
      </c>
      <c r="S380" s="311" t="s">
        <v>78</v>
      </c>
      <c r="T380" s="126" t="str">
        <f t="shared" si="306"/>
        <v>-</v>
      </c>
      <c r="U380" s="221" t="s">
        <v>78</v>
      </c>
      <c r="V380" s="125" t="str">
        <f t="shared" si="327"/>
        <v>-</v>
      </c>
      <c r="W380" s="127" t="str">
        <f t="shared" si="332"/>
        <v>-</v>
      </c>
      <c r="X380" s="128" t="str">
        <f>IFERROR(AVERAGE(W380:W382),"N/A")</f>
        <v>N/A</v>
      </c>
      <c r="Y380" s="223" t="s">
        <v>78</v>
      </c>
      <c r="Z380" s="129" t="str">
        <f t="shared" si="333"/>
        <v>-</v>
      </c>
      <c r="AA380" s="124" t="str">
        <f t="shared" si="336"/>
        <v>-</v>
      </c>
      <c r="AB380" s="130" t="str">
        <f t="shared" si="337"/>
        <v>-</v>
      </c>
      <c r="AC380" s="221" t="s">
        <v>78</v>
      </c>
      <c r="AD380" s="225" t="s">
        <v>78</v>
      </c>
      <c r="AE380" s="225" t="s">
        <v>78</v>
      </c>
      <c r="AF380" s="225" t="s">
        <v>78</v>
      </c>
      <c r="AG380" s="225" t="s">
        <v>78</v>
      </c>
      <c r="AH380" s="125" t="str">
        <f t="shared" si="319"/>
        <v>-</v>
      </c>
      <c r="AI380" s="127" t="str">
        <f t="shared" si="334"/>
        <v>-</v>
      </c>
      <c r="AJ380" s="128" t="str">
        <f>IFERROR(AVERAGE(AI380:AI382),"N/A")</f>
        <v>N/A</v>
      </c>
      <c r="AK380" s="223" t="s">
        <v>78</v>
      </c>
      <c r="AL380" s="131" t="str">
        <f t="shared" si="335"/>
        <v>-</v>
      </c>
      <c r="AM380" s="368" t="str">
        <f t="shared" si="320"/>
        <v>-</v>
      </c>
      <c r="AN380" s="375" t="str">
        <f t="shared" si="338"/>
        <v>-</v>
      </c>
      <c r="AO380" s="376" t="str">
        <f t="shared" si="339"/>
        <v>-</v>
      </c>
      <c r="AP380" s="394" t="s">
        <v>78</v>
      </c>
      <c r="AQ380" s="395" t="s">
        <v>78</v>
      </c>
      <c r="AR380" s="396" t="str">
        <f t="shared" si="313"/>
        <v>-</v>
      </c>
      <c r="AS380" s="397" t="str">
        <f>IFERROR(AVERAGE(AR380:AR382),"N/A")</f>
        <v>N/A</v>
      </c>
      <c r="AT380" s="401" t="s">
        <v>78</v>
      </c>
      <c r="AU380" s="396" t="str">
        <f t="shared" si="314"/>
        <v>-</v>
      </c>
      <c r="AV380" s="397" t="str">
        <f>IFERROR(AVERAGE(AU380:AU382),"N/A")</f>
        <v>N/A</v>
      </c>
      <c r="AW380" s="388" t="str">
        <f t="shared" si="340"/>
        <v>-</v>
      </c>
      <c r="AX380" s="389" t="str">
        <f t="shared" si="341"/>
        <v>-</v>
      </c>
      <c r="AY380" s="353" t="s">
        <v>78</v>
      </c>
      <c r="AZ380" s="403"/>
      <c r="BA380" s="404"/>
    </row>
    <row r="381" spans="1:53" ht="15" customHeight="1">
      <c r="A381" s="1" t="str">
        <f t="shared" si="312"/>
        <v>0_2024_</v>
      </c>
      <c r="B381" s="1" t="str">
        <f t="shared" si="317"/>
        <v>0_2024_NEO3</v>
      </c>
      <c r="D381" s="114">
        <f t="shared" si="296"/>
        <v>0</v>
      </c>
      <c r="E381" s="133" t="str">
        <f>_xll.ciqfunctions.udf.CIQ(D381,"IQ_Company_Name")</f>
        <v>(Invalid Identifier)</v>
      </c>
      <c r="F381" s="114">
        <f t="shared" si="344"/>
        <v>2024</v>
      </c>
      <c r="G381" s="114" t="str">
        <f t="shared" si="324"/>
        <v>2024-01-01</v>
      </c>
      <c r="H381" s="330" t="str">
        <f t="shared" si="325"/>
        <v>2024-12-31</v>
      </c>
      <c r="I381" s="114">
        <f t="shared" si="326"/>
        <v>12</v>
      </c>
      <c r="J381" s="407" t="str">
        <f t="shared" si="328"/>
        <v>CAD</v>
      </c>
      <c r="K381" s="439">
        <f t="shared" si="318"/>
        <v>1</v>
      </c>
      <c r="L381" s="445"/>
      <c r="M381" s="982"/>
      <c r="N381" s="443" t="str">
        <f t="shared" ref="N381:P382" si="345">N380</f>
        <v>NEO3</v>
      </c>
      <c r="O381" s="123" t="str">
        <f t="shared" si="345"/>
        <v>-</v>
      </c>
      <c r="P381" s="132" t="str">
        <f t="shared" si="345"/>
        <v>-</v>
      </c>
      <c r="Q381" s="219" t="s">
        <v>78</v>
      </c>
      <c r="R381" s="125" t="str">
        <f t="shared" si="330"/>
        <v>-</v>
      </c>
      <c r="S381" s="311" t="s">
        <v>78</v>
      </c>
      <c r="T381" s="126" t="str">
        <f t="shared" si="306"/>
        <v>-</v>
      </c>
      <c r="U381" s="221" t="s">
        <v>78</v>
      </c>
      <c r="V381" s="125" t="str">
        <f t="shared" si="327"/>
        <v>-</v>
      </c>
      <c r="W381" s="127" t="str">
        <f t="shared" si="332"/>
        <v>-</v>
      </c>
      <c r="X381" s="128"/>
      <c r="Y381" s="223" t="s">
        <v>78</v>
      </c>
      <c r="Z381" s="129" t="str">
        <f t="shared" si="333"/>
        <v>-</v>
      </c>
      <c r="AA381" s="124" t="str">
        <f t="shared" si="336"/>
        <v>-</v>
      </c>
      <c r="AB381" s="130" t="str">
        <f t="shared" si="337"/>
        <v>-</v>
      </c>
      <c r="AC381" s="221" t="s">
        <v>78</v>
      </c>
      <c r="AD381" s="225" t="s">
        <v>78</v>
      </c>
      <c r="AE381" s="225" t="s">
        <v>78</v>
      </c>
      <c r="AF381" s="225" t="s">
        <v>78</v>
      </c>
      <c r="AG381" s="225" t="s">
        <v>78</v>
      </c>
      <c r="AH381" s="125" t="str">
        <f t="shared" si="319"/>
        <v>-</v>
      </c>
      <c r="AI381" s="127" t="str">
        <f t="shared" si="334"/>
        <v>-</v>
      </c>
      <c r="AJ381" s="128"/>
      <c r="AK381" s="223" t="s">
        <v>78</v>
      </c>
      <c r="AL381" s="131" t="str">
        <f t="shared" si="335"/>
        <v>-</v>
      </c>
      <c r="AM381" s="368" t="str">
        <f t="shared" si="320"/>
        <v>-</v>
      </c>
      <c r="AN381" s="375" t="str">
        <f t="shared" si="338"/>
        <v>-</v>
      </c>
      <c r="AO381" s="376" t="str">
        <f t="shared" si="339"/>
        <v>-</v>
      </c>
      <c r="AP381" s="394" t="s">
        <v>78</v>
      </c>
      <c r="AQ381" s="395" t="s">
        <v>78</v>
      </c>
      <c r="AR381" s="396" t="str">
        <f t="shared" si="313"/>
        <v>-</v>
      </c>
      <c r="AS381" s="397"/>
      <c r="AT381" s="401" t="s">
        <v>78</v>
      </c>
      <c r="AU381" s="396" t="str">
        <f t="shared" si="314"/>
        <v>-</v>
      </c>
      <c r="AV381" s="397"/>
      <c r="AW381" s="388" t="str">
        <f t="shared" si="340"/>
        <v>-</v>
      </c>
      <c r="AX381" s="389" t="str">
        <f t="shared" si="341"/>
        <v>-</v>
      </c>
      <c r="AY381" s="353" t="s">
        <v>78</v>
      </c>
      <c r="AZ381" s="403"/>
      <c r="BA381" s="404"/>
    </row>
    <row r="382" spans="1:53" ht="15" customHeight="1">
      <c r="A382" s="1" t="str">
        <f t="shared" si="312"/>
        <v>0_2023_</v>
      </c>
      <c r="B382" s="1" t="str">
        <f t="shared" si="317"/>
        <v>0_2023_NEO3</v>
      </c>
      <c r="D382" s="203">
        <f t="shared" si="296"/>
        <v>0</v>
      </c>
      <c r="E382" s="205" t="str">
        <f>_xll.ciqfunctions.udf.CIQ(D382,"IQ_Company_Name")</f>
        <v>(Invalid Identifier)</v>
      </c>
      <c r="F382" s="204">
        <f t="shared" si="344"/>
        <v>2023</v>
      </c>
      <c r="G382" s="204" t="str">
        <f t="shared" si="324"/>
        <v>2023-01-01</v>
      </c>
      <c r="H382" s="331" t="str">
        <f t="shared" si="325"/>
        <v>2023-12-31</v>
      </c>
      <c r="I382" s="204">
        <f t="shared" si="326"/>
        <v>12</v>
      </c>
      <c r="J382" s="408" t="str">
        <f t="shared" si="328"/>
        <v>CAD</v>
      </c>
      <c r="K382" s="441">
        <f t="shared" si="318"/>
        <v>1</v>
      </c>
      <c r="L382" s="447"/>
      <c r="M382" s="983"/>
      <c r="N382" s="444" t="str">
        <f t="shared" si="345"/>
        <v>NEO3</v>
      </c>
      <c r="O382" s="206" t="str">
        <f t="shared" si="345"/>
        <v>-</v>
      </c>
      <c r="P382" s="207" t="str">
        <f t="shared" si="345"/>
        <v>-</v>
      </c>
      <c r="Q382" s="220" t="s">
        <v>78</v>
      </c>
      <c r="R382" s="209" t="str">
        <f t="shared" si="330"/>
        <v>-</v>
      </c>
      <c r="S382" s="312" t="s">
        <v>78</v>
      </c>
      <c r="T382" s="329" t="str">
        <f t="shared" si="306"/>
        <v>-</v>
      </c>
      <c r="U382" s="222" t="s">
        <v>78</v>
      </c>
      <c r="V382" s="209" t="str">
        <f t="shared" si="327"/>
        <v>-</v>
      </c>
      <c r="W382" s="211" t="str">
        <f t="shared" si="332"/>
        <v>-</v>
      </c>
      <c r="X382" s="212"/>
      <c r="Y382" s="224" t="s">
        <v>78</v>
      </c>
      <c r="Z382" s="213" t="str">
        <f t="shared" si="333"/>
        <v>-</v>
      </c>
      <c r="AA382" s="208" t="str">
        <f t="shared" si="336"/>
        <v>-</v>
      </c>
      <c r="AB382" s="214" t="str">
        <f t="shared" si="337"/>
        <v>-</v>
      </c>
      <c r="AC382" s="222" t="s">
        <v>78</v>
      </c>
      <c r="AD382" s="226" t="s">
        <v>78</v>
      </c>
      <c r="AE382" s="226" t="s">
        <v>78</v>
      </c>
      <c r="AF382" s="226" t="s">
        <v>78</v>
      </c>
      <c r="AG382" s="226" t="s">
        <v>78</v>
      </c>
      <c r="AH382" s="418" t="str">
        <f t="shared" si="319"/>
        <v>-</v>
      </c>
      <c r="AI382" s="211" t="str">
        <f t="shared" si="334"/>
        <v>-</v>
      </c>
      <c r="AJ382" s="212"/>
      <c r="AK382" s="224" t="s">
        <v>78</v>
      </c>
      <c r="AL382" s="215" t="str">
        <f t="shared" si="335"/>
        <v>-</v>
      </c>
      <c r="AM382" s="369" t="str">
        <f t="shared" si="320"/>
        <v>-</v>
      </c>
      <c r="AN382" s="377" t="str">
        <f t="shared" si="338"/>
        <v>-</v>
      </c>
      <c r="AO382" s="378" t="str">
        <f t="shared" si="339"/>
        <v>-</v>
      </c>
      <c r="AP382" s="398" t="s">
        <v>78</v>
      </c>
      <c r="AQ382" s="399" t="s">
        <v>78</v>
      </c>
      <c r="AR382" s="396" t="str">
        <f t="shared" si="313"/>
        <v>-</v>
      </c>
      <c r="AS382" s="400"/>
      <c r="AT382" s="402" t="s">
        <v>78</v>
      </c>
      <c r="AU382" s="396" t="str">
        <f t="shared" si="314"/>
        <v>-</v>
      </c>
      <c r="AV382" s="400"/>
      <c r="AW382" s="390" t="str">
        <f t="shared" si="340"/>
        <v>-</v>
      </c>
      <c r="AX382" s="391" t="str">
        <f t="shared" si="341"/>
        <v>-</v>
      </c>
      <c r="AY382" s="354" t="s">
        <v>78</v>
      </c>
      <c r="AZ382" s="405"/>
      <c r="BA382" s="406"/>
    </row>
    <row r="383" spans="1:53" ht="15" customHeight="1">
      <c r="A383" s="1" t="str">
        <f t="shared" si="312"/>
        <v>0_2025_</v>
      </c>
      <c r="B383" s="1" t="str">
        <f t="shared" si="317"/>
        <v>0_2025_CEO</v>
      </c>
      <c r="D383" s="216">
        <f>E26</f>
        <v>0</v>
      </c>
      <c r="E383" s="133" t="str">
        <f>_xll.ciqfunctions.udf.CIQ(D383,"IQ_Company_Name")</f>
        <v>(Invalid Identifier)</v>
      </c>
      <c r="F383" s="328">
        <f>$G$9</f>
        <v>2025</v>
      </c>
      <c r="G383" s="330" t="str">
        <f t="shared" ref="G383:G397" si="346">F383&amp;"-01-01"</f>
        <v>2025-01-01</v>
      </c>
      <c r="H383" s="330" t="str">
        <f t="shared" ref="H383:H397" si="347">F383&amp;"-12-31"</f>
        <v>2025-12-31</v>
      </c>
      <c r="I383" s="114">
        <f t="shared" ref="I383:I397" si="348">_xlfn.DAYS(H383,G383)/_xlfn.DAYS(F383&amp;"-12-31",F383&amp;"-01-01")*12</f>
        <v>12</v>
      </c>
      <c r="J383" s="328" t="str">
        <f>$H$5</f>
        <v>CAD</v>
      </c>
      <c r="K383" s="439">
        <f t="shared" si="318"/>
        <v>1</v>
      </c>
      <c r="L383" s="445"/>
      <c r="M383" s="982"/>
      <c r="N383" s="442" t="s">
        <v>79</v>
      </c>
      <c r="O383" s="217" t="s">
        <v>78</v>
      </c>
      <c r="P383" s="218" t="s">
        <v>78</v>
      </c>
      <c r="Q383" s="219" t="s">
        <v>78</v>
      </c>
      <c r="R383" s="125" t="str">
        <f t="shared" si="330"/>
        <v>-</v>
      </c>
      <c r="S383" s="311" t="s">
        <v>78</v>
      </c>
      <c r="T383" s="126" t="str">
        <f t="shared" si="306"/>
        <v>-</v>
      </c>
      <c r="U383" s="221" t="s">
        <v>78</v>
      </c>
      <c r="V383" s="125" t="str">
        <f t="shared" ref="V383:V397" si="349">IFERROR(U383*(12/$I383)*$K383,"-")</f>
        <v>-</v>
      </c>
      <c r="W383" s="127" t="str">
        <f t="shared" si="332"/>
        <v>-</v>
      </c>
      <c r="X383" s="128" t="str">
        <f>IFERROR(AVERAGE(W383:W385),"N/A")</f>
        <v>N/A</v>
      </c>
      <c r="Y383" s="223" t="s">
        <v>78</v>
      </c>
      <c r="Z383" s="129" t="str">
        <f t="shared" si="333"/>
        <v>-</v>
      </c>
      <c r="AA383" s="124" t="str">
        <f t="shared" si="336"/>
        <v>-</v>
      </c>
      <c r="AB383" s="130" t="str">
        <f t="shared" si="337"/>
        <v>-</v>
      </c>
      <c r="AC383" s="221" t="s">
        <v>78</v>
      </c>
      <c r="AD383" s="225" t="s">
        <v>78</v>
      </c>
      <c r="AE383" s="225" t="s">
        <v>78</v>
      </c>
      <c r="AF383" s="225" t="s">
        <v>78</v>
      </c>
      <c r="AG383" s="225" t="s">
        <v>78</v>
      </c>
      <c r="AH383" s="125" t="str">
        <f t="shared" si="319"/>
        <v>-</v>
      </c>
      <c r="AI383" s="127" t="str">
        <f t="shared" si="334"/>
        <v>-</v>
      </c>
      <c r="AJ383" s="128" t="str">
        <f>IFERROR(AVERAGE(AI383:AI385),"N/A")</f>
        <v>N/A</v>
      </c>
      <c r="AK383" s="223" t="s">
        <v>78</v>
      </c>
      <c r="AL383" s="131" t="str">
        <f t="shared" si="335"/>
        <v>-</v>
      </c>
      <c r="AM383" s="368" t="str">
        <f t="shared" si="320"/>
        <v>-</v>
      </c>
      <c r="AN383" s="375" t="str">
        <f t="shared" si="338"/>
        <v>-</v>
      </c>
      <c r="AO383" s="376" t="str">
        <f t="shared" si="339"/>
        <v>-</v>
      </c>
      <c r="AP383" s="394" t="s">
        <v>78</v>
      </c>
      <c r="AQ383" s="395" t="s">
        <v>78</v>
      </c>
      <c r="AR383" s="396" t="str">
        <f t="shared" si="313"/>
        <v>-</v>
      </c>
      <c r="AS383" s="409" t="str">
        <f>IFERROR(AVERAGE(AR383:AR385),"N/A")</f>
        <v>N/A</v>
      </c>
      <c r="AT383" s="401" t="s">
        <v>78</v>
      </c>
      <c r="AU383" s="396" t="str">
        <f t="shared" si="314"/>
        <v>-</v>
      </c>
      <c r="AV383" s="409" t="str">
        <f>IFERROR(AVERAGE(AU383:AU385),"N/A")</f>
        <v>N/A</v>
      </c>
      <c r="AW383" s="388" t="str">
        <f t="shared" si="340"/>
        <v>-</v>
      </c>
      <c r="AX383" s="389" t="str">
        <f t="shared" si="341"/>
        <v>-</v>
      </c>
      <c r="AY383" s="353" t="s">
        <v>78</v>
      </c>
      <c r="AZ383" s="403"/>
      <c r="BA383" s="404"/>
    </row>
    <row r="384" spans="1:53" ht="15" customHeight="1">
      <c r="A384" s="1" t="str">
        <f t="shared" si="312"/>
        <v>0_2024_</v>
      </c>
      <c r="B384" s="1" t="str">
        <f t="shared" si="317"/>
        <v>0_2024_CEO</v>
      </c>
      <c r="D384" s="114">
        <f>D383</f>
        <v>0</v>
      </c>
      <c r="E384" s="133" t="str">
        <f>_xll.ciqfunctions.udf.CIQ(D384,"IQ_Company_Name")</f>
        <v>(Invalid Identifier)</v>
      </c>
      <c r="F384" s="328">
        <f>$G$10</f>
        <v>2024</v>
      </c>
      <c r="G384" s="330" t="str">
        <f t="shared" si="346"/>
        <v>2024-01-01</v>
      </c>
      <c r="H384" s="330" t="str">
        <f t="shared" si="347"/>
        <v>2024-12-31</v>
      </c>
      <c r="I384" s="114">
        <f t="shared" si="348"/>
        <v>12</v>
      </c>
      <c r="J384" s="407" t="str">
        <f>J383</f>
        <v>CAD</v>
      </c>
      <c r="K384" s="439">
        <f t="shared" si="318"/>
        <v>1</v>
      </c>
      <c r="L384" s="445"/>
      <c r="M384" s="982"/>
      <c r="N384" s="443" t="str">
        <f t="shared" ref="N384:P385" si="350">N383</f>
        <v>CEO</v>
      </c>
      <c r="O384" s="123" t="str">
        <f t="shared" si="350"/>
        <v>-</v>
      </c>
      <c r="P384" s="132" t="str">
        <f t="shared" si="350"/>
        <v>-</v>
      </c>
      <c r="Q384" s="219" t="s">
        <v>78</v>
      </c>
      <c r="R384" s="125" t="str">
        <f t="shared" si="330"/>
        <v>-</v>
      </c>
      <c r="S384" s="311" t="s">
        <v>78</v>
      </c>
      <c r="T384" s="126" t="str">
        <f t="shared" si="306"/>
        <v>-</v>
      </c>
      <c r="U384" s="221" t="s">
        <v>78</v>
      </c>
      <c r="V384" s="125" t="str">
        <f t="shared" si="349"/>
        <v>-</v>
      </c>
      <c r="W384" s="127" t="str">
        <f t="shared" si="332"/>
        <v>-</v>
      </c>
      <c r="X384" s="128"/>
      <c r="Y384" s="223" t="s">
        <v>78</v>
      </c>
      <c r="Z384" s="129" t="str">
        <f t="shared" si="333"/>
        <v>-</v>
      </c>
      <c r="AA384" s="124" t="str">
        <f t="shared" si="336"/>
        <v>-</v>
      </c>
      <c r="AB384" s="130" t="str">
        <f t="shared" si="337"/>
        <v>-</v>
      </c>
      <c r="AC384" s="221" t="s">
        <v>78</v>
      </c>
      <c r="AD384" s="225" t="s">
        <v>78</v>
      </c>
      <c r="AE384" s="225" t="s">
        <v>78</v>
      </c>
      <c r="AF384" s="225" t="s">
        <v>78</v>
      </c>
      <c r="AG384" s="225" t="s">
        <v>78</v>
      </c>
      <c r="AH384" s="125" t="str">
        <f t="shared" si="319"/>
        <v>-</v>
      </c>
      <c r="AI384" s="127" t="str">
        <f t="shared" si="334"/>
        <v>-</v>
      </c>
      <c r="AJ384" s="128"/>
      <c r="AK384" s="223" t="s">
        <v>78</v>
      </c>
      <c r="AL384" s="131" t="str">
        <f t="shared" si="335"/>
        <v>-</v>
      </c>
      <c r="AM384" s="368" t="str">
        <f t="shared" si="320"/>
        <v>-</v>
      </c>
      <c r="AN384" s="375" t="str">
        <f t="shared" si="338"/>
        <v>-</v>
      </c>
      <c r="AO384" s="376" t="str">
        <f t="shared" si="339"/>
        <v>-</v>
      </c>
      <c r="AP384" s="394" t="s">
        <v>78</v>
      </c>
      <c r="AQ384" s="395" t="s">
        <v>78</v>
      </c>
      <c r="AR384" s="396" t="str">
        <f t="shared" si="313"/>
        <v>-</v>
      </c>
      <c r="AS384" s="397"/>
      <c r="AT384" s="401" t="s">
        <v>78</v>
      </c>
      <c r="AU384" s="396" t="str">
        <f t="shared" si="314"/>
        <v>-</v>
      </c>
      <c r="AV384" s="397"/>
      <c r="AW384" s="388" t="str">
        <f t="shared" si="340"/>
        <v>-</v>
      </c>
      <c r="AX384" s="389" t="str">
        <f t="shared" si="341"/>
        <v>-</v>
      </c>
      <c r="AY384" s="353" t="s">
        <v>78</v>
      </c>
      <c r="AZ384" s="403"/>
      <c r="BA384" s="404"/>
    </row>
    <row r="385" spans="1:53" ht="15" customHeight="1">
      <c r="A385" s="1" t="str">
        <f t="shared" si="312"/>
        <v>0_2023_</v>
      </c>
      <c r="B385" s="1" t="str">
        <f t="shared" si="317"/>
        <v>0_2023_CEO</v>
      </c>
      <c r="D385" s="114">
        <f t="shared" si="296"/>
        <v>0</v>
      </c>
      <c r="E385" s="133" t="str">
        <f>_xll.ciqfunctions.udf.CIQ(D385,"IQ_Company_Name")</f>
        <v>(Invalid Identifier)</v>
      </c>
      <c r="F385" s="328">
        <f>$G$11</f>
        <v>2023</v>
      </c>
      <c r="G385" s="114" t="str">
        <f t="shared" si="346"/>
        <v>2023-01-01</v>
      </c>
      <c r="H385" s="330" t="str">
        <f t="shared" si="347"/>
        <v>2023-12-31</v>
      </c>
      <c r="I385" s="114">
        <f t="shared" si="348"/>
        <v>12</v>
      </c>
      <c r="J385" s="407" t="str">
        <f>J384</f>
        <v>CAD</v>
      </c>
      <c r="K385" s="439">
        <f t="shared" si="318"/>
        <v>1</v>
      </c>
      <c r="L385" s="445"/>
      <c r="M385" s="982"/>
      <c r="N385" s="443" t="str">
        <f t="shared" si="350"/>
        <v>CEO</v>
      </c>
      <c r="O385" s="123" t="str">
        <f t="shared" si="350"/>
        <v>-</v>
      </c>
      <c r="P385" s="132" t="str">
        <f t="shared" si="350"/>
        <v>-</v>
      </c>
      <c r="Q385" s="219" t="s">
        <v>78</v>
      </c>
      <c r="R385" s="125" t="str">
        <f t="shared" si="330"/>
        <v>-</v>
      </c>
      <c r="S385" s="311" t="s">
        <v>78</v>
      </c>
      <c r="T385" s="126" t="str">
        <f t="shared" si="306"/>
        <v>-</v>
      </c>
      <c r="U385" s="221" t="s">
        <v>78</v>
      </c>
      <c r="V385" s="125" t="str">
        <f t="shared" si="349"/>
        <v>-</v>
      </c>
      <c r="W385" s="127" t="str">
        <f t="shared" si="332"/>
        <v>-</v>
      </c>
      <c r="X385" s="128"/>
      <c r="Y385" s="223" t="s">
        <v>78</v>
      </c>
      <c r="Z385" s="129" t="str">
        <f t="shared" si="333"/>
        <v>-</v>
      </c>
      <c r="AA385" s="124" t="str">
        <f t="shared" si="336"/>
        <v>-</v>
      </c>
      <c r="AB385" s="130" t="str">
        <f t="shared" si="337"/>
        <v>-</v>
      </c>
      <c r="AC385" s="221" t="s">
        <v>78</v>
      </c>
      <c r="AD385" s="225" t="s">
        <v>78</v>
      </c>
      <c r="AE385" s="225" t="s">
        <v>78</v>
      </c>
      <c r="AF385" s="225" t="s">
        <v>78</v>
      </c>
      <c r="AG385" s="225" t="s">
        <v>78</v>
      </c>
      <c r="AH385" s="125" t="str">
        <f t="shared" si="319"/>
        <v>-</v>
      </c>
      <c r="AI385" s="127" t="str">
        <f t="shared" si="334"/>
        <v>-</v>
      </c>
      <c r="AJ385" s="128"/>
      <c r="AK385" s="223" t="s">
        <v>78</v>
      </c>
      <c r="AL385" s="131" t="str">
        <f t="shared" si="335"/>
        <v>-</v>
      </c>
      <c r="AM385" s="368" t="str">
        <f t="shared" si="320"/>
        <v>-</v>
      </c>
      <c r="AN385" s="375" t="str">
        <f t="shared" si="338"/>
        <v>-</v>
      </c>
      <c r="AO385" s="376" t="str">
        <f t="shared" si="339"/>
        <v>-</v>
      </c>
      <c r="AP385" s="394" t="s">
        <v>78</v>
      </c>
      <c r="AQ385" s="395" t="s">
        <v>78</v>
      </c>
      <c r="AR385" s="396" t="str">
        <f t="shared" si="313"/>
        <v>-</v>
      </c>
      <c r="AS385" s="397"/>
      <c r="AT385" s="401" t="s">
        <v>78</v>
      </c>
      <c r="AU385" s="396" t="str">
        <f t="shared" si="314"/>
        <v>-</v>
      </c>
      <c r="AV385" s="397"/>
      <c r="AW385" s="388" t="str">
        <f t="shared" si="340"/>
        <v>-</v>
      </c>
      <c r="AX385" s="389" t="str">
        <f t="shared" si="341"/>
        <v>-</v>
      </c>
      <c r="AY385" s="353" t="s">
        <v>78</v>
      </c>
      <c r="AZ385" s="403"/>
      <c r="BA385" s="404"/>
    </row>
    <row r="386" spans="1:53" ht="15" customHeight="1">
      <c r="A386" s="1" t="str">
        <f t="shared" si="312"/>
        <v>0_2025_</v>
      </c>
      <c r="B386" s="1" t="str">
        <f t="shared" si="317"/>
        <v>0_2025_CFO</v>
      </c>
      <c r="D386" s="114">
        <f t="shared" si="296"/>
        <v>0</v>
      </c>
      <c r="E386" s="133" t="str">
        <f>_xll.ciqfunctions.udf.CIQ(D386,"IQ_Company_Name")</f>
        <v>(Invalid Identifier)</v>
      </c>
      <c r="F386" s="114">
        <f t="shared" si="344"/>
        <v>2025</v>
      </c>
      <c r="G386" s="114" t="str">
        <f t="shared" si="346"/>
        <v>2025-01-01</v>
      </c>
      <c r="H386" s="330" t="str">
        <f t="shared" si="347"/>
        <v>2025-12-31</v>
      </c>
      <c r="I386" s="114">
        <f t="shared" si="348"/>
        <v>12</v>
      </c>
      <c r="J386" s="407" t="str">
        <f>J385</f>
        <v>CAD</v>
      </c>
      <c r="K386" s="439">
        <f t="shared" si="318"/>
        <v>1</v>
      </c>
      <c r="L386" s="445"/>
      <c r="M386" s="982"/>
      <c r="N386" s="442" t="s">
        <v>106</v>
      </c>
      <c r="O386" s="217" t="s">
        <v>78</v>
      </c>
      <c r="P386" s="218" t="s">
        <v>78</v>
      </c>
      <c r="Q386" s="219" t="s">
        <v>78</v>
      </c>
      <c r="R386" s="125" t="str">
        <f t="shared" si="330"/>
        <v>-</v>
      </c>
      <c r="S386" s="311" t="s">
        <v>78</v>
      </c>
      <c r="T386" s="126" t="str">
        <f t="shared" si="306"/>
        <v>-</v>
      </c>
      <c r="U386" s="221" t="s">
        <v>78</v>
      </c>
      <c r="V386" s="125" t="str">
        <f t="shared" si="349"/>
        <v>-</v>
      </c>
      <c r="W386" s="127" t="str">
        <f t="shared" si="332"/>
        <v>-</v>
      </c>
      <c r="X386" s="128" t="str">
        <f>IFERROR(AVERAGE(W386:W388),"N/A")</f>
        <v>N/A</v>
      </c>
      <c r="Y386" s="223" t="s">
        <v>78</v>
      </c>
      <c r="Z386" s="129" t="str">
        <f t="shared" si="333"/>
        <v>-</v>
      </c>
      <c r="AA386" s="124" t="str">
        <f t="shared" si="336"/>
        <v>-</v>
      </c>
      <c r="AB386" s="130" t="str">
        <f t="shared" si="337"/>
        <v>-</v>
      </c>
      <c r="AC386" s="221" t="s">
        <v>78</v>
      </c>
      <c r="AD386" s="225" t="s">
        <v>78</v>
      </c>
      <c r="AE386" s="225" t="s">
        <v>78</v>
      </c>
      <c r="AF386" s="225" t="s">
        <v>78</v>
      </c>
      <c r="AG386" s="225" t="s">
        <v>78</v>
      </c>
      <c r="AH386" s="125" t="str">
        <f t="shared" si="319"/>
        <v>-</v>
      </c>
      <c r="AI386" s="127" t="str">
        <f t="shared" si="334"/>
        <v>-</v>
      </c>
      <c r="AJ386" s="128" t="str">
        <f>IFERROR(AVERAGE(AI386:AI388),"N/A")</f>
        <v>N/A</v>
      </c>
      <c r="AK386" s="223" t="s">
        <v>78</v>
      </c>
      <c r="AL386" s="131" t="str">
        <f t="shared" si="335"/>
        <v>-</v>
      </c>
      <c r="AM386" s="368" t="str">
        <f t="shared" si="320"/>
        <v>-</v>
      </c>
      <c r="AN386" s="375" t="str">
        <f t="shared" si="338"/>
        <v>-</v>
      </c>
      <c r="AO386" s="376" t="str">
        <f t="shared" si="339"/>
        <v>-</v>
      </c>
      <c r="AP386" s="394" t="s">
        <v>78</v>
      </c>
      <c r="AQ386" s="395" t="s">
        <v>78</v>
      </c>
      <c r="AR386" s="396" t="str">
        <f t="shared" si="313"/>
        <v>-</v>
      </c>
      <c r="AS386" s="397" t="str">
        <f>IFERROR(AVERAGE(AR386:AR388),"N/A")</f>
        <v>N/A</v>
      </c>
      <c r="AT386" s="401" t="s">
        <v>78</v>
      </c>
      <c r="AU386" s="396" t="str">
        <f t="shared" si="314"/>
        <v>-</v>
      </c>
      <c r="AV386" s="397" t="str">
        <f>IFERROR(AVERAGE(AU386:AU388),"N/A")</f>
        <v>N/A</v>
      </c>
      <c r="AW386" s="388" t="str">
        <f t="shared" si="340"/>
        <v>-</v>
      </c>
      <c r="AX386" s="389" t="str">
        <f t="shared" si="341"/>
        <v>-</v>
      </c>
      <c r="AY386" s="353" t="s">
        <v>78</v>
      </c>
      <c r="AZ386" s="403"/>
      <c r="BA386" s="404"/>
    </row>
    <row r="387" spans="1:53" ht="15" customHeight="1">
      <c r="A387" s="1" t="str">
        <f t="shared" si="312"/>
        <v>0_2024_</v>
      </c>
      <c r="B387" s="1" t="str">
        <f t="shared" si="317"/>
        <v>0_2024_CFO</v>
      </c>
      <c r="D387" s="114">
        <f t="shared" si="296"/>
        <v>0</v>
      </c>
      <c r="E387" s="133" t="str">
        <f>_xll.ciqfunctions.udf.CIQ(D387,"IQ_Company_Name")</f>
        <v>(Invalid Identifier)</v>
      </c>
      <c r="F387" s="114">
        <f t="shared" si="344"/>
        <v>2024</v>
      </c>
      <c r="G387" s="114" t="str">
        <f t="shared" si="346"/>
        <v>2024-01-01</v>
      </c>
      <c r="H387" s="330" t="str">
        <f t="shared" si="347"/>
        <v>2024-12-31</v>
      </c>
      <c r="I387" s="114">
        <f t="shared" si="348"/>
        <v>12</v>
      </c>
      <c r="J387" s="407" t="str">
        <f>J386</f>
        <v>CAD</v>
      </c>
      <c r="K387" s="439">
        <f t="shared" si="318"/>
        <v>1</v>
      </c>
      <c r="L387" s="445"/>
      <c r="M387" s="982"/>
      <c r="N387" s="443" t="str">
        <f t="shared" ref="N387:P388" si="351">N386</f>
        <v>CFO</v>
      </c>
      <c r="O387" s="123" t="str">
        <f t="shared" si="351"/>
        <v>-</v>
      </c>
      <c r="P387" s="132" t="str">
        <f t="shared" si="351"/>
        <v>-</v>
      </c>
      <c r="Q387" s="219" t="s">
        <v>78</v>
      </c>
      <c r="R387" s="125" t="str">
        <f t="shared" si="330"/>
        <v>-</v>
      </c>
      <c r="S387" s="311" t="s">
        <v>78</v>
      </c>
      <c r="T387" s="126" t="str">
        <f t="shared" si="306"/>
        <v>-</v>
      </c>
      <c r="U387" s="221" t="s">
        <v>78</v>
      </c>
      <c r="V387" s="125" t="str">
        <f t="shared" si="349"/>
        <v>-</v>
      </c>
      <c r="W387" s="127" t="str">
        <f t="shared" si="332"/>
        <v>-</v>
      </c>
      <c r="X387" s="128"/>
      <c r="Y387" s="223" t="s">
        <v>78</v>
      </c>
      <c r="Z387" s="129" t="str">
        <f t="shared" si="333"/>
        <v>-</v>
      </c>
      <c r="AA387" s="124" t="str">
        <f t="shared" si="336"/>
        <v>-</v>
      </c>
      <c r="AB387" s="130" t="str">
        <f t="shared" si="337"/>
        <v>-</v>
      </c>
      <c r="AC387" s="221" t="s">
        <v>78</v>
      </c>
      <c r="AD387" s="225" t="s">
        <v>78</v>
      </c>
      <c r="AE387" s="225" t="s">
        <v>78</v>
      </c>
      <c r="AF387" s="225" t="s">
        <v>78</v>
      </c>
      <c r="AG387" s="225" t="s">
        <v>78</v>
      </c>
      <c r="AH387" s="125" t="str">
        <f t="shared" si="319"/>
        <v>-</v>
      </c>
      <c r="AI387" s="127" t="str">
        <f t="shared" si="334"/>
        <v>-</v>
      </c>
      <c r="AJ387" s="128"/>
      <c r="AK387" s="223" t="s">
        <v>78</v>
      </c>
      <c r="AL387" s="131" t="str">
        <f t="shared" si="335"/>
        <v>-</v>
      </c>
      <c r="AM387" s="368" t="str">
        <f t="shared" si="320"/>
        <v>-</v>
      </c>
      <c r="AN387" s="375" t="str">
        <f t="shared" si="338"/>
        <v>-</v>
      </c>
      <c r="AO387" s="376" t="str">
        <f t="shared" si="339"/>
        <v>-</v>
      </c>
      <c r="AP387" s="394" t="s">
        <v>78</v>
      </c>
      <c r="AQ387" s="395" t="s">
        <v>78</v>
      </c>
      <c r="AR387" s="396" t="str">
        <f t="shared" si="313"/>
        <v>-</v>
      </c>
      <c r="AS387" s="397"/>
      <c r="AT387" s="401" t="s">
        <v>78</v>
      </c>
      <c r="AU387" s="396" t="str">
        <f t="shared" si="314"/>
        <v>-</v>
      </c>
      <c r="AV387" s="397"/>
      <c r="AW387" s="388" t="str">
        <f t="shared" si="340"/>
        <v>-</v>
      </c>
      <c r="AX387" s="389" t="str">
        <f t="shared" si="341"/>
        <v>-</v>
      </c>
      <c r="AY387" s="353" t="s">
        <v>78</v>
      </c>
      <c r="AZ387" s="403"/>
      <c r="BA387" s="404"/>
    </row>
    <row r="388" spans="1:53" ht="15" customHeight="1">
      <c r="A388" s="1" t="str">
        <f t="shared" si="312"/>
        <v>0_2023_</v>
      </c>
      <c r="B388" s="1" t="str">
        <f t="shared" si="317"/>
        <v>0_2023_CFO</v>
      </c>
      <c r="D388" s="114">
        <f t="shared" ref="D388:D412" si="352">D387</f>
        <v>0</v>
      </c>
      <c r="E388" s="133" t="str">
        <f>_xll.ciqfunctions.udf.CIQ(D388,"IQ_Company_Name")</f>
        <v>(Invalid Identifier)</v>
      </c>
      <c r="F388" s="114">
        <f t="shared" si="344"/>
        <v>2023</v>
      </c>
      <c r="G388" s="114" t="str">
        <f t="shared" si="346"/>
        <v>2023-01-01</v>
      </c>
      <c r="H388" s="330" t="str">
        <f t="shared" si="347"/>
        <v>2023-12-31</v>
      </c>
      <c r="I388" s="114">
        <f t="shared" si="348"/>
        <v>12</v>
      </c>
      <c r="J388" s="407" t="str">
        <f t="shared" si="328"/>
        <v>CAD</v>
      </c>
      <c r="K388" s="439">
        <f t="shared" si="318"/>
        <v>1</v>
      </c>
      <c r="L388" s="445"/>
      <c r="M388" s="982"/>
      <c r="N388" s="443" t="str">
        <f t="shared" si="351"/>
        <v>CFO</v>
      </c>
      <c r="O388" s="123" t="str">
        <f t="shared" si="351"/>
        <v>-</v>
      </c>
      <c r="P388" s="132" t="str">
        <f t="shared" si="351"/>
        <v>-</v>
      </c>
      <c r="Q388" s="219" t="s">
        <v>78</v>
      </c>
      <c r="R388" s="125" t="str">
        <f t="shared" si="330"/>
        <v>-</v>
      </c>
      <c r="S388" s="311" t="s">
        <v>78</v>
      </c>
      <c r="T388" s="126" t="str">
        <f t="shared" si="306"/>
        <v>-</v>
      </c>
      <c r="U388" s="221" t="s">
        <v>78</v>
      </c>
      <c r="V388" s="125" t="str">
        <f t="shared" si="349"/>
        <v>-</v>
      </c>
      <c r="W388" s="127" t="str">
        <f t="shared" si="332"/>
        <v>-</v>
      </c>
      <c r="X388" s="128"/>
      <c r="Y388" s="223" t="s">
        <v>78</v>
      </c>
      <c r="Z388" s="129" t="str">
        <f t="shared" si="333"/>
        <v>-</v>
      </c>
      <c r="AA388" s="124" t="str">
        <f t="shared" si="336"/>
        <v>-</v>
      </c>
      <c r="AB388" s="130" t="str">
        <f t="shared" si="337"/>
        <v>-</v>
      </c>
      <c r="AC388" s="221" t="s">
        <v>78</v>
      </c>
      <c r="AD388" s="225" t="s">
        <v>78</v>
      </c>
      <c r="AE388" s="225" t="s">
        <v>78</v>
      </c>
      <c r="AF388" s="225" t="s">
        <v>78</v>
      </c>
      <c r="AG388" s="225" t="s">
        <v>78</v>
      </c>
      <c r="AH388" s="125" t="str">
        <f t="shared" si="319"/>
        <v>-</v>
      </c>
      <c r="AI388" s="127" t="str">
        <f t="shared" si="334"/>
        <v>-</v>
      </c>
      <c r="AJ388" s="128"/>
      <c r="AK388" s="223" t="s">
        <v>78</v>
      </c>
      <c r="AL388" s="131" t="str">
        <f t="shared" si="335"/>
        <v>-</v>
      </c>
      <c r="AM388" s="368" t="str">
        <f t="shared" si="320"/>
        <v>-</v>
      </c>
      <c r="AN388" s="375" t="str">
        <f t="shared" si="338"/>
        <v>-</v>
      </c>
      <c r="AO388" s="376" t="str">
        <f t="shared" si="339"/>
        <v>-</v>
      </c>
      <c r="AP388" s="394" t="s">
        <v>78</v>
      </c>
      <c r="AQ388" s="395" t="s">
        <v>78</v>
      </c>
      <c r="AR388" s="396" t="str">
        <f t="shared" si="313"/>
        <v>-</v>
      </c>
      <c r="AS388" s="397"/>
      <c r="AT388" s="401" t="s">
        <v>78</v>
      </c>
      <c r="AU388" s="396" t="str">
        <f t="shared" si="314"/>
        <v>-</v>
      </c>
      <c r="AV388" s="397"/>
      <c r="AW388" s="388" t="str">
        <f t="shared" si="340"/>
        <v>-</v>
      </c>
      <c r="AX388" s="389" t="str">
        <f t="shared" si="341"/>
        <v>-</v>
      </c>
      <c r="AY388" s="353" t="s">
        <v>78</v>
      </c>
      <c r="AZ388" s="403"/>
      <c r="BA388" s="404"/>
    </row>
    <row r="389" spans="1:53" ht="15" customHeight="1">
      <c r="A389" s="1" t="str">
        <f t="shared" si="312"/>
        <v>0_2025_</v>
      </c>
      <c r="B389" s="1" t="str">
        <f t="shared" si="317"/>
        <v>0_2025_NEO1</v>
      </c>
      <c r="D389" s="114">
        <f t="shared" si="352"/>
        <v>0</v>
      </c>
      <c r="E389" s="133" t="str">
        <f>_xll.ciqfunctions.udf.CIQ(D389,"IQ_Company_Name")</f>
        <v>(Invalid Identifier)</v>
      </c>
      <c r="F389" s="114">
        <f t="shared" si="344"/>
        <v>2025</v>
      </c>
      <c r="G389" s="330" t="str">
        <f t="shared" si="346"/>
        <v>2025-01-01</v>
      </c>
      <c r="H389" s="330" t="str">
        <f t="shared" si="347"/>
        <v>2025-12-31</v>
      </c>
      <c r="I389" s="114">
        <f t="shared" si="348"/>
        <v>12</v>
      </c>
      <c r="J389" s="407" t="str">
        <f t="shared" si="328"/>
        <v>CAD</v>
      </c>
      <c r="K389" s="439">
        <f t="shared" si="318"/>
        <v>1</v>
      </c>
      <c r="L389" s="445"/>
      <c r="M389" s="982"/>
      <c r="N389" s="442" t="s">
        <v>107</v>
      </c>
      <c r="O389" s="217" t="s">
        <v>78</v>
      </c>
      <c r="P389" s="218" t="s">
        <v>78</v>
      </c>
      <c r="Q389" s="219" t="s">
        <v>78</v>
      </c>
      <c r="R389" s="125" t="str">
        <f t="shared" si="330"/>
        <v>-</v>
      </c>
      <c r="S389" s="311" t="s">
        <v>78</v>
      </c>
      <c r="T389" s="126" t="str">
        <f t="shared" si="306"/>
        <v>-</v>
      </c>
      <c r="U389" s="221" t="s">
        <v>78</v>
      </c>
      <c r="V389" s="125" t="str">
        <f t="shared" si="349"/>
        <v>-</v>
      </c>
      <c r="W389" s="127" t="str">
        <f t="shared" si="332"/>
        <v>-</v>
      </c>
      <c r="X389" s="128" t="str">
        <f>IFERROR(AVERAGE(W389:W391),"N/A")</f>
        <v>N/A</v>
      </c>
      <c r="Y389" s="223" t="s">
        <v>78</v>
      </c>
      <c r="Z389" s="129" t="str">
        <f t="shared" si="333"/>
        <v>-</v>
      </c>
      <c r="AA389" s="124" t="str">
        <f t="shared" si="336"/>
        <v>-</v>
      </c>
      <c r="AB389" s="130" t="str">
        <f t="shared" si="337"/>
        <v>-</v>
      </c>
      <c r="AC389" s="221" t="s">
        <v>78</v>
      </c>
      <c r="AD389" s="225" t="s">
        <v>78</v>
      </c>
      <c r="AE389" s="225" t="s">
        <v>78</v>
      </c>
      <c r="AF389" s="225" t="s">
        <v>78</v>
      </c>
      <c r="AG389" s="225" t="s">
        <v>78</v>
      </c>
      <c r="AH389" s="125" t="str">
        <f t="shared" si="319"/>
        <v>-</v>
      </c>
      <c r="AI389" s="127" t="str">
        <f t="shared" si="334"/>
        <v>-</v>
      </c>
      <c r="AJ389" s="128" t="str">
        <f>IFERROR(AVERAGE(AI389:AI391),"N/A")</f>
        <v>N/A</v>
      </c>
      <c r="AK389" s="223" t="s">
        <v>78</v>
      </c>
      <c r="AL389" s="131" t="str">
        <f t="shared" si="335"/>
        <v>-</v>
      </c>
      <c r="AM389" s="368" t="str">
        <f t="shared" si="320"/>
        <v>-</v>
      </c>
      <c r="AN389" s="375" t="str">
        <f t="shared" si="338"/>
        <v>-</v>
      </c>
      <c r="AO389" s="376" t="str">
        <f t="shared" si="339"/>
        <v>-</v>
      </c>
      <c r="AP389" s="394" t="s">
        <v>78</v>
      </c>
      <c r="AQ389" s="395" t="s">
        <v>78</v>
      </c>
      <c r="AR389" s="396" t="str">
        <f t="shared" si="313"/>
        <v>-</v>
      </c>
      <c r="AS389" s="397" t="str">
        <f>IFERROR(AVERAGE(AR389:AR391),"N/A")</f>
        <v>N/A</v>
      </c>
      <c r="AT389" s="401" t="s">
        <v>78</v>
      </c>
      <c r="AU389" s="396" t="str">
        <f t="shared" si="314"/>
        <v>-</v>
      </c>
      <c r="AV389" s="397" t="str">
        <f>IFERROR(AVERAGE(AU389:AU391),"N/A")</f>
        <v>N/A</v>
      </c>
      <c r="AW389" s="388" t="str">
        <f t="shared" si="340"/>
        <v>-</v>
      </c>
      <c r="AX389" s="389" t="str">
        <f t="shared" si="341"/>
        <v>-</v>
      </c>
      <c r="AY389" s="353" t="s">
        <v>78</v>
      </c>
      <c r="AZ389" s="403"/>
      <c r="BA389" s="404"/>
    </row>
    <row r="390" spans="1:53" ht="15" customHeight="1">
      <c r="A390" s="1" t="str">
        <f t="shared" si="312"/>
        <v>0_2024_</v>
      </c>
      <c r="B390" s="1" t="str">
        <f t="shared" si="317"/>
        <v>0_2024_NEO1</v>
      </c>
      <c r="D390" s="114">
        <f t="shared" si="352"/>
        <v>0</v>
      </c>
      <c r="E390" s="133" t="str">
        <f>_xll.ciqfunctions.udf.CIQ(D390,"IQ_Company_Name")</f>
        <v>(Invalid Identifier)</v>
      </c>
      <c r="F390" s="114">
        <f t="shared" si="344"/>
        <v>2024</v>
      </c>
      <c r="G390" s="330" t="str">
        <f t="shared" si="346"/>
        <v>2024-01-01</v>
      </c>
      <c r="H390" s="330" t="str">
        <f t="shared" si="347"/>
        <v>2024-12-31</v>
      </c>
      <c r="I390" s="114">
        <f t="shared" si="348"/>
        <v>12</v>
      </c>
      <c r="J390" s="407" t="str">
        <f t="shared" si="328"/>
        <v>CAD</v>
      </c>
      <c r="K390" s="439">
        <f t="shared" si="318"/>
        <v>1</v>
      </c>
      <c r="L390" s="445"/>
      <c r="M390" s="982"/>
      <c r="N390" s="443" t="str">
        <f t="shared" ref="N390:P391" si="353">N389</f>
        <v>NEO1</v>
      </c>
      <c r="O390" s="123" t="str">
        <f t="shared" si="353"/>
        <v>-</v>
      </c>
      <c r="P390" s="132" t="str">
        <f t="shared" si="353"/>
        <v>-</v>
      </c>
      <c r="Q390" s="219" t="s">
        <v>78</v>
      </c>
      <c r="R390" s="125" t="str">
        <f t="shared" si="330"/>
        <v>-</v>
      </c>
      <c r="S390" s="311" t="s">
        <v>78</v>
      </c>
      <c r="T390" s="126" t="str">
        <f t="shared" si="306"/>
        <v>-</v>
      </c>
      <c r="U390" s="221" t="s">
        <v>78</v>
      </c>
      <c r="V390" s="125" t="str">
        <f t="shared" si="349"/>
        <v>-</v>
      </c>
      <c r="W390" s="127" t="str">
        <f t="shared" si="332"/>
        <v>-</v>
      </c>
      <c r="X390" s="128"/>
      <c r="Y390" s="223" t="s">
        <v>78</v>
      </c>
      <c r="Z390" s="129" t="str">
        <f t="shared" si="333"/>
        <v>-</v>
      </c>
      <c r="AA390" s="124" t="str">
        <f t="shared" si="336"/>
        <v>-</v>
      </c>
      <c r="AB390" s="130" t="str">
        <f t="shared" si="337"/>
        <v>-</v>
      </c>
      <c r="AC390" s="221" t="s">
        <v>78</v>
      </c>
      <c r="AD390" s="225" t="s">
        <v>78</v>
      </c>
      <c r="AE390" s="225" t="s">
        <v>78</v>
      </c>
      <c r="AF390" s="225" t="s">
        <v>78</v>
      </c>
      <c r="AG390" s="225" t="s">
        <v>78</v>
      </c>
      <c r="AH390" s="125" t="str">
        <f t="shared" si="319"/>
        <v>-</v>
      </c>
      <c r="AI390" s="127" t="str">
        <f t="shared" si="334"/>
        <v>-</v>
      </c>
      <c r="AJ390" s="128"/>
      <c r="AK390" s="223" t="s">
        <v>78</v>
      </c>
      <c r="AL390" s="131" t="str">
        <f t="shared" si="335"/>
        <v>-</v>
      </c>
      <c r="AM390" s="368" t="str">
        <f t="shared" si="320"/>
        <v>-</v>
      </c>
      <c r="AN390" s="375" t="str">
        <f t="shared" si="338"/>
        <v>-</v>
      </c>
      <c r="AO390" s="376" t="str">
        <f t="shared" si="339"/>
        <v>-</v>
      </c>
      <c r="AP390" s="394" t="s">
        <v>78</v>
      </c>
      <c r="AQ390" s="395" t="s">
        <v>78</v>
      </c>
      <c r="AR390" s="396" t="str">
        <f t="shared" si="313"/>
        <v>-</v>
      </c>
      <c r="AS390" s="397"/>
      <c r="AT390" s="401" t="s">
        <v>78</v>
      </c>
      <c r="AU390" s="396" t="str">
        <f t="shared" si="314"/>
        <v>-</v>
      </c>
      <c r="AV390" s="397"/>
      <c r="AW390" s="388" t="str">
        <f t="shared" si="340"/>
        <v>-</v>
      </c>
      <c r="AX390" s="389" t="str">
        <f t="shared" si="341"/>
        <v>-</v>
      </c>
      <c r="AY390" s="353" t="s">
        <v>78</v>
      </c>
      <c r="AZ390" s="403"/>
      <c r="BA390" s="404"/>
    </row>
    <row r="391" spans="1:53" ht="15" customHeight="1">
      <c r="A391" s="1" t="str">
        <f t="shared" si="312"/>
        <v>0_2023_</v>
      </c>
      <c r="B391" s="1" t="str">
        <f t="shared" si="317"/>
        <v>0_2023_NEO1</v>
      </c>
      <c r="D391" s="114">
        <f t="shared" si="352"/>
        <v>0</v>
      </c>
      <c r="E391" s="133" t="str">
        <f>_xll.ciqfunctions.udf.CIQ(D391,"IQ_Company_Name")</f>
        <v>(Invalid Identifier)</v>
      </c>
      <c r="F391" s="114">
        <f t="shared" si="344"/>
        <v>2023</v>
      </c>
      <c r="G391" s="114" t="str">
        <f t="shared" si="346"/>
        <v>2023-01-01</v>
      </c>
      <c r="H391" s="330" t="str">
        <f t="shared" si="347"/>
        <v>2023-12-31</v>
      </c>
      <c r="I391" s="114">
        <f t="shared" si="348"/>
        <v>12</v>
      </c>
      <c r="J391" s="407" t="str">
        <f t="shared" si="328"/>
        <v>CAD</v>
      </c>
      <c r="K391" s="439">
        <f t="shared" si="318"/>
        <v>1</v>
      </c>
      <c r="L391" s="445"/>
      <c r="M391" s="982"/>
      <c r="N391" s="443" t="str">
        <f t="shared" si="353"/>
        <v>NEO1</v>
      </c>
      <c r="O391" s="123" t="str">
        <f t="shared" si="353"/>
        <v>-</v>
      </c>
      <c r="P391" s="132" t="str">
        <f t="shared" si="353"/>
        <v>-</v>
      </c>
      <c r="Q391" s="219" t="s">
        <v>78</v>
      </c>
      <c r="R391" s="125" t="str">
        <f t="shared" si="330"/>
        <v>-</v>
      </c>
      <c r="S391" s="311" t="s">
        <v>78</v>
      </c>
      <c r="T391" s="126" t="str">
        <f t="shared" si="306"/>
        <v>-</v>
      </c>
      <c r="U391" s="221" t="s">
        <v>78</v>
      </c>
      <c r="V391" s="125" t="str">
        <f t="shared" si="349"/>
        <v>-</v>
      </c>
      <c r="W391" s="127" t="str">
        <f t="shared" si="332"/>
        <v>-</v>
      </c>
      <c r="X391" s="128"/>
      <c r="Y391" s="223" t="s">
        <v>78</v>
      </c>
      <c r="Z391" s="129" t="str">
        <f t="shared" si="333"/>
        <v>-</v>
      </c>
      <c r="AA391" s="124" t="str">
        <f t="shared" si="336"/>
        <v>-</v>
      </c>
      <c r="AB391" s="130" t="str">
        <f t="shared" si="337"/>
        <v>-</v>
      </c>
      <c r="AC391" s="221" t="s">
        <v>78</v>
      </c>
      <c r="AD391" s="225" t="s">
        <v>78</v>
      </c>
      <c r="AE391" s="225" t="s">
        <v>78</v>
      </c>
      <c r="AF391" s="225" t="s">
        <v>78</v>
      </c>
      <c r="AG391" s="225" t="s">
        <v>78</v>
      </c>
      <c r="AH391" s="125" t="str">
        <f t="shared" si="319"/>
        <v>-</v>
      </c>
      <c r="AI391" s="127" t="str">
        <f t="shared" si="334"/>
        <v>-</v>
      </c>
      <c r="AJ391" s="128"/>
      <c r="AK391" s="223" t="s">
        <v>78</v>
      </c>
      <c r="AL391" s="131" t="str">
        <f t="shared" si="335"/>
        <v>-</v>
      </c>
      <c r="AM391" s="368" t="str">
        <f t="shared" ref="AM391:AM412" si="354">IFERROR($AH391*$K391,"-")</f>
        <v>-</v>
      </c>
      <c r="AN391" s="375" t="str">
        <f t="shared" si="338"/>
        <v>-</v>
      </c>
      <c r="AO391" s="376" t="str">
        <f t="shared" si="339"/>
        <v>-</v>
      </c>
      <c r="AP391" s="394" t="s">
        <v>78</v>
      </c>
      <c r="AQ391" s="395" t="s">
        <v>78</v>
      </c>
      <c r="AR391" s="396" t="str">
        <f t="shared" si="313"/>
        <v>-</v>
      </c>
      <c r="AS391" s="397"/>
      <c r="AT391" s="401" t="s">
        <v>78</v>
      </c>
      <c r="AU391" s="396" t="str">
        <f t="shared" si="314"/>
        <v>-</v>
      </c>
      <c r="AV391" s="397"/>
      <c r="AW391" s="388" t="str">
        <f t="shared" si="340"/>
        <v>-</v>
      </c>
      <c r="AX391" s="389" t="str">
        <f t="shared" si="341"/>
        <v>-</v>
      </c>
      <c r="AY391" s="353" t="s">
        <v>78</v>
      </c>
      <c r="AZ391" s="403"/>
      <c r="BA391" s="404"/>
    </row>
    <row r="392" spans="1:53" ht="15" customHeight="1">
      <c r="A392" s="1" t="str">
        <f t="shared" si="312"/>
        <v>0_2025_</v>
      </c>
      <c r="B392" s="1" t="str">
        <f t="shared" si="317"/>
        <v>0_2025_NEO2</v>
      </c>
      <c r="D392" s="114">
        <f t="shared" si="352"/>
        <v>0</v>
      </c>
      <c r="E392" s="133" t="str">
        <f>_xll.ciqfunctions.udf.CIQ(D392,"IQ_Company_Name")</f>
        <v>(Invalid Identifier)</v>
      </c>
      <c r="F392" s="114">
        <f t="shared" si="344"/>
        <v>2025</v>
      </c>
      <c r="G392" s="114" t="str">
        <f t="shared" si="346"/>
        <v>2025-01-01</v>
      </c>
      <c r="H392" s="330" t="str">
        <f t="shared" si="347"/>
        <v>2025-12-31</v>
      </c>
      <c r="I392" s="114">
        <f t="shared" si="348"/>
        <v>12</v>
      </c>
      <c r="J392" s="407" t="str">
        <f t="shared" si="328"/>
        <v>CAD</v>
      </c>
      <c r="K392" s="439">
        <f t="shared" si="318"/>
        <v>1</v>
      </c>
      <c r="L392" s="445"/>
      <c r="M392" s="982"/>
      <c r="N392" s="442" t="s">
        <v>108</v>
      </c>
      <c r="O392" s="217" t="s">
        <v>78</v>
      </c>
      <c r="P392" s="218" t="s">
        <v>78</v>
      </c>
      <c r="Q392" s="219" t="s">
        <v>78</v>
      </c>
      <c r="R392" s="125" t="str">
        <f t="shared" si="330"/>
        <v>-</v>
      </c>
      <c r="S392" s="311" t="s">
        <v>78</v>
      </c>
      <c r="T392" s="126" t="str">
        <f t="shared" si="306"/>
        <v>-</v>
      </c>
      <c r="U392" s="221" t="s">
        <v>78</v>
      </c>
      <c r="V392" s="125" t="str">
        <f t="shared" si="349"/>
        <v>-</v>
      </c>
      <c r="W392" s="127" t="str">
        <f t="shared" si="332"/>
        <v>-</v>
      </c>
      <c r="X392" s="128" t="str">
        <f>IFERROR(AVERAGE(W392:W394),"N/A")</f>
        <v>N/A</v>
      </c>
      <c r="Y392" s="223" t="s">
        <v>78</v>
      </c>
      <c r="Z392" s="129" t="str">
        <f t="shared" si="333"/>
        <v>-</v>
      </c>
      <c r="AA392" s="124" t="str">
        <f t="shared" si="336"/>
        <v>-</v>
      </c>
      <c r="AB392" s="130" t="str">
        <f t="shared" si="337"/>
        <v>-</v>
      </c>
      <c r="AC392" s="221" t="s">
        <v>78</v>
      </c>
      <c r="AD392" s="225" t="s">
        <v>78</v>
      </c>
      <c r="AE392" s="225" t="s">
        <v>78</v>
      </c>
      <c r="AF392" s="225" t="s">
        <v>78</v>
      </c>
      <c r="AG392" s="225" t="s">
        <v>78</v>
      </c>
      <c r="AH392" s="125" t="str">
        <f t="shared" si="319"/>
        <v>-</v>
      </c>
      <c r="AI392" s="127" t="str">
        <f t="shared" si="334"/>
        <v>-</v>
      </c>
      <c r="AJ392" s="128" t="str">
        <f>IFERROR(AVERAGE(AI392:AI394),"N/A")</f>
        <v>N/A</v>
      </c>
      <c r="AK392" s="223" t="s">
        <v>78</v>
      </c>
      <c r="AL392" s="131" t="str">
        <f t="shared" si="335"/>
        <v>-</v>
      </c>
      <c r="AM392" s="368" t="str">
        <f t="shared" si="354"/>
        <v>-</v>
      </c>
      <c r="AN392" s="375" t="str">
        <f t="shared" si="338"/>
        <v>-</v>
      </c>
      <c r="AO392" s="376" t="str">
        <f t="shared" si="339"/>
        <v>-</v>
      </c>
      <c r="AP392" s="394" t="s">
        <v>78</v>
      </c>
      <c r="AQ392" s="395" t="s">
        <v>78</v>
      </c>
      <c r="AR392" s="396" t="str">
        <f t="shared" si="313"/>
        <v>-</v>
      </c>
      <c r="AS392" s="397" t="str">
        <f>IFERROR(AVERAGE(AR392:AR394),"N/A")</f>
        <v>N/A</v>
      </c>
      <c r="AT392" s="401" t="s">
        <v>78</v>
      </c>
      <c r="AU392" s="396" t="str">
        <f t="shared" si="314"/>
        <v>-</v>
      </c>
      <c r="AV392" s="397" t="str">
        <f>IFERROR(AVERAGE(AU392:AU394),"N/A")</f>
        <v>N/A</v>
      </c>
      <c r="AW392" s="388" t="str">
        <f t="shared" si="340"/>
        <v>-</v>
      </c>
      <c r="AX392" s="389" t="str">
        <f t="shared" si="341"/>
        <v>-</v>
      </c>
      <c r="AY392" s="353" t="s">
        <v>78</v>
      </c>
      <c r="AZ392" s="403"/>
      <c r="BA392" s="404"/>
    </row>
    <row r="393" spans="1:53" ht="15" customHeight="1">
      <c r="A393" s="1" t="str">
        <f t="shared" si="312"/>
        <v>0_2024_</v>
      </c>
      <c r="B393" s="1" t="str">
        <f t="shared" si="317"/>
        <v>0_2024_NEO2</v>
      </c>
      <c r="D393" s="114">
        <f t="shared" si="352"/>
        <v>0</v>
      </c>
      <c r="E393" s="133" t="str">
        <f>_xll.ciqfunctions.udf.CIQ(D393,"IQ_Company_Name")</f>
        <v>(Invalid Identifier)</v>
      </c>
      <c r="F393" s="114">
        <f t="shared" si="344"/>
        <v>2024</v>
      </c>
      <c r="G393" s="114" t="str">
        <f t="shared" si="346"/>
        <v>2024-01-01</v>
      </c>
      <c r="H393" s="330" t="str">
        <f t="shared" si="347"/>
        <v>2024-12-31</v>
      </c>
      <c r="I393" s="114">
        <f t="shared" si="348"/>
        <v>12</v>
      </c>
      <c r="J393" s="407" t="str">
        <f t="shared" si="328"/>
        <v>CAD</v>
      </c>
      <c r="K393" s="439">
        <f t="shared" si="318"/>
        <v>1</v>
      </c>
      <c r="L393" s="445"/>
      <c r="M393" s="982"/>
      <c r="N393" s="443" t="str">
        <f t="shared" ref="N393:P394" si="355">N392</f>
        <v>NEO2</v>
      </c>
      <c r="O393" s="123" t="str">
        <f t="shared" si="355"/>
        <v>-</v>
      </c>
      <c r="P393" s="132" t="str">
        <f t="shared" si="355"/>
        <v>-</v>
      </c>
      <c r="Q393" s="219" t="s">
        <v>78</v>
      </c>
      <c r="R393" s="125" t="str">
        <f t="shared" si="330"/>
        <v>-</v>
      </c>
      <c r="S393" s="311" t="s">
        <v>78</v>
      </c>
      <c r="T393" s="126" t="str">
        <f t="shared" si="306"/>
        <v>-</v>
      </c>
      <c r="U393" s="221" t="s">
        <v>78</v>
      </c>
      <c r="V393" s="125" t="str">
        <f t="shared" si="349"/>
        <v>-</v>
      </c>
      <c r="W393" s="127" t="str">
        <f t="shared" si="332"/>
        <v>-</v>
      </c>
      <c r="X393" s="128"/>
      <c r="Y393" s="223" t="s">
        <v>78</v>
      </c>
      <c r="Z393" s="129" t="str">
        <f t="shared" si="333"/>
        <v>-</v>
      </c>
      <c r="AA393" s="124" t="str">
        <f t="shared" si="336"/>
        <v>-</v>
      </c>
      <c r="AB393" s="130" t="str">
        <f t="shared" si="337"/>
        <v>-</v>
      </c>
      <c r="AC393" s="221" t="s">
        <v>78</v>
      </c>
      <c r="AD393" s="225" t="s">
        <v>78</v>
      </c>
      <c r="AE393" s="225" t="s">
        <v>78</v>
      </c>
      <c r="AF393" s="225" t="s">
        <v>78</v>
      </c>
      <c r="AG393" s="225" t="s">
        <v>78</v>
      </c>
      <c r="AH393" s="125" t="str">
        <f t="shared" si="319"/>
        <v>-</v>
      </c>
      <c r="AI393" s="127" t="str">
        <f t="shared" si="334"/>
        <v>-</v>
      </c>
      <c r="AJ393" s="128"/>
      <c r="AK393" s="223" t="s">
        <v>78</v>
      </c>
      <c r="AL393" s="131" t="str">
        <f t="shared" si="335"/>
        <v>-</v>
      </c>
      <c r="AM393" s="368" t="str">
        <f t="shared" si="354"/>
        <v>-</v>
      </c>
      <c r="AN393" s="375" t="str">
        <f t="shared" si="338"/>
        <v>-</v>
      </c>
      <c r="AO393" s="376" t="str">
        <f t="shared" si="339"/>
        <v>-</v>
      </c>
      <c r="AP393" s="394" t="s">
        <v>78</v>
      </c>
      <c r="AQ393" s="395" t="s">
        <v>78</v>
      </c>
      <c r="AR393" s="396" t="str">
        <f t="shared" si="313"/>
        <v>-</v>
      </c>
      <c r="AS393" s="397"/>
      <c r="AT393" s="401" t="s">
        <v>78</v>
      </c>
      <c r="AU393" s="396" t="str">
        <f t="shared" si="314"/>
        <v>-</v>
      </c>
      <c r="AV393" s="397"/>
      <c r="AW393" s="388" t="str">
        <f t="shared" si="340"/>
        <v>-</v>
      </c>
      <c r="AX393" s="389" t="str">
        <f t="shared" si="341"/>
        <v>-</v>
      </c>
      <c r="AY393" s="353" t="s">
        <v>78</v>
      </c>
      <c r="AZ393" s="403"/>
      <c r="BA393" s="404"/>
    </row>
    <row r="394" spans="1:53" ht="15" customHeight="1">
      <c r="A394" s="1" t="str">
        <f t="shared" si="312"/>
        <v>0_2023_</v>
      </c>
      <c r="B394" s="1" t="str">
        <f t="shared" si="317"/>
        <v>0_2023_NEO2</v>
      </c>
      <c r="D394" s="114">
        <f t="shared" si="352"/>
        <v>0</v>
      </c>
      <c r="E394" s="133" t="str">
        <f>_xll.ciqfunctions.udf.CIQ(D394,"IQ_Company_Name")</f>
        <v>(Invalid Identifier)</v>
      </c>
      <c r="F394" s="114">
        <f t="shared" si="344"/>
        <v>2023</v>
      </c>
      <c r="G394" s="114" t="str">
        <f t="shared" si="346"/>
        <v>2023-01-01</v>
      </c>
      <c r="H394" s="330" t="str">
        <f t="shared" si="347"/>
        <v>2023-12-31</v>
      </c>
      <c r="I394" s="114">
        <f t="shared" si="348"/>
        <v>12</v>
      </c>
      <c r="J394" s="407" t="str">
        <f t="shared" si="328"/>
        <v>CAD</v>
      </c>
      <c r="K394" s="439">
        <f t="shared" si="318"/>
        <v>1</v>
      </c>
      <c r="L394" s="445"/>
      <c r="M394" s="982"/>
      <c r="N394" s="443" t="str">
        <f t="shared" si="355"/>
        <v>NEO2</v>
      </c>
      <c r="O394" s="123" t="str">
        <f t="shared" si="355"/>
        <v>-</v>
      </c>
      <c r="P394" s="132" t="str">
        <f t="shared" si="355"/>
        <v>-</v>
      </c>
      <c r="Q394" s="219" t="s">
        <v>78</v>
      </c>
      <c r="R394" s="125" t="str">
        <f t="shared" si="330"/>
        <v>-</v>
      </c>
      <c r="S394" s="311" t="s">
        <v>78</v>
      </c>
      <c r="T394" s="126" t="str">
        <f t="shared" si="306"/>
        <v>-</v>
      </c>
      <c r="U394" s="221" t="s">
        <v>78</v>
      </c>
      <c r="V394" s="125" t="str">
        <f t="shared" si="349"/>
        <v>-</v>
      </c>
      <c r="W394" s="127" t="str">
        <f t="shared" si="332"/>
        <v>-</v>
      </c>
      <c r="X394" s="128"/>
      <c r="Y394" s="223" t="s">
        <v>78</v>
      </c>
      <c r="Z394" s="129" t="str">
        <f t="shared" si="333"/>
        <v>-</v>
      </c>
      <c r="AA394" s="124" t="str">
        <f t="shared" si="336"/>
        <v>-</v>
      </c>
      <c r="AB394" s="130" t="str">
        <f t="shared" si="337"/>
        <v>-</v>
      </c>
      <c r="AC394" s="221" t="s">
        <v>78</v>
      </c>
      <c r="AD394" s="225" t="s">
        <v>78</v>
      </c>
      <c r="AE394" s="225" t="s">
        <v>78</v>
      </c>
      <c r="AF394" s="225" t="s">
        <v>78</v>
      </c>
      <c r="AG394" s="225" t="s">
        <v>78</v>
      </c>
      <c r="AH394" s="125" t="str">
        <f t="shared" si="319"/>
        <v>-</v>
      </c>
      <c r="AI394" s="127" t="str">
        <f t="shared" si="334"/>
        <v>-</v>
      </c>
      <c r="AJ394" s="128"/>
      <c r="AK394" s="223" t="s">
        <v>78</v>
      </c>
      <c r="AL394" s="131" t="str">
        <f t="shared" si="335"/>
        <v>-</v>
      </c>
      <c r="AM394" s="368" t="str">
        <f t="shared" si="354"/>
        <v>-</v>
      </c>
      <c r="AN394" s="375" t="str">
        <f t="shared" si="338"/>
        <v>-</v>
      </c>
      <c r="AO394" s="376" t="str">
        <f t="shared" si="339"/>
        <v>-</v>
      </c>
      <c r="AP394" s="394" t="s">
        <v>78</v>
      </c>
      <c r="AQ394" s="395" t="s">
        <v>78</v>
      </c>
      <c r="AR394" s="396" t="str">
        <f t="shared" si="313"/>
        <v>-</v>
      </c>
      <c r="AS394" s="397"/>
      <c r="AT394" s="401" t="s">
        <v>78</v>
      </c>
      <c r="AU394" s="396" t="str">
        <f t="shared" si="314"/>
        <v>-</v>
      </c>
      <c r="AV394" s="397"/>
      <c r="AW394" s="388" t="str">
        <f t="shared" si="340"/>
        <v>-</v>
      </c>
      <c r="AX394" s="389" t="str">
        <f t="shared" si="341"/>
        <v>-</v>
      </c>
      <c r="AY394" s="353" t="s">
        <v>78</v>
      </c>
      <c r="AZ394" s="403"/>
      <c r="BA394" s="404"/>
    </row>
    <row r="395" spans="1:53" ht="15" customHeight="1">
      <c r="A395" s="1" t="str">
        <f t="shared" si="312"/>
        <v>0_2025_</v>
      </c>
      <c r="B395" s="1" t="str">
        <f t="shared" si="317"/>
        <v>0_2025_NEO3</v>
      </c>
      <c r="D395" s="114">
        <f t="shared" si="352"/>
        <v>0</v>
      </c>
      <c r="E395" s="133" t="str">
        <f>_xll.ciqfunctions.udf.CIQ(D395,"IQ_Company_Name")</f>
        <v>(Invalid Identifier)</v>
      </c>
      <c r="F395" s="114">
        <f t="shared" si="344"/>
        <v>2025</v>
      </c>
      <c r="G395" s="114" t="str">
        <f t="shared" si="346"/>
        <v>2025-01-01</v>
      </c>
      <c r="H395" s="330" t="str">
        <f t="shared" si="347"/>
        <v>2025-12-31</v>
      </c>
      <c r="I395" s="114">
        <f t="shared" si="348"/>
        <v>12</v>
      </c>
      <c r="J395" s="407" t="str">
        <f t="shared" si="328"/>
        <v>CAD</v>
      </c>
      <c r="K395" s="439">
        <f t="shared" si="318"/>
        <v>1</v>
      </c>
      <c r="L395" s="445"/>
      <c r="M395" s="982"/>
      <c r="N395" s="442" t="s">
        <v>109</v>
      </c>
      <c r="O395" s="217" t="s">
        <v>78</v>
      </c>
      <c r="P395" s="218" t="s">
        <v>78</v>
      </c>
      <c r="Q395" s="219" t="s">
        <v>78</v>
      </c>
      <c r="R395" s="125" t="str">
        <f t="shared" si="330"/>
        <v>-</v>
      </c>
      <c r="S395" s="311" t="s">
        <v>78</v>
      </c>
      <c r="T395" s="126" t="str">
        <f t="shared" si="306"/>
        <v>-</v>
      </c>
      <c r="U395" s="221" t="s">
        <v>78</v>
      </c>
      <c r="V395" s="125" t="str">
        <f t="shared" si="349"/>
        <v>-</v>
      </c>
      <c r="W395" s="127" t="str">
        <f t="shared" si="332"/>
        <v>-</v>
      </c>
      <c r="X395" s="128" t="str">
        <f>IFERROR(AVERAGE(W395:W397),"N/A")</f>
        <v>N/A</v>
      </c>
      <c r="Y395" s="223" t="s">
        <v>78</v>
      </c>
      <c r="Z395" s="129" t="str">
        <f t="shared" si="333"/>
        <v>-</v>
      </c>
      <c r="AA395" s="124" t="str">
        <f t="shared" si="336"/>
        <v>-</v>
      </c>
      <c r="AB395" s="130" t="str">
        <f t="shared" si="337"/>
        <v>-</v>
      </c>
      <c r="AC395" s="221" t="s">
        <v>78</v>
      </c>
      <c r="AD395" s="225" t="s">
        <v>78</v>
      </c>
      <c r="AE395" s="225" t="s">
        <v>78</v>
      </c>
      <c r="AF395" s="225" t="s">
        <v>78</v>
      </c>
      <c r="AG395" s="225" t="s">
        <v>78</v>
      </c>
      <c r="AH395" s="125" t="str">
        <f t="shared" si="319"/>
        <v>-</v>
      </c>
      <c r="AI395" s="127" t="str">
        <f t="shared" si="334"/>
        <v>-</v>
      </c>
      <c r="AJ395" s="128" t="str">
        <f>IFERROR(AVERAGE(AI395:AI397),"N/A")</f>
        <v>N/A</v>
      </c>
      <c r="AK395" s="223" t="s">
        <v>78</v>
      </c>
      <c r="AL395" s="131" t="str">
        <f t="shared" si="335"/>
        <v>-</v>
      </c>
      <c r="AM395" s="368" t="str">
        <f t="shared" si="354"/>
        <v>-</v>
      </c>
      <c r="AN395" s="375" t="str">
        <f t="shared" si="338"/>
        <v>-</v>
      </c>
      <c r="AO395" s="376" t="str">
        <f t="shared" si="339"/>
        <v>-</v>
      </c>
      <c r="AP395" s="394" t="s">
        <v>78</v>
      </c>
      <c r="AQ395" s="395" t="s">
        <v>78</v>
      </c>
      <c r="AR395" s="396" t="str">
        <f t="shared" si="313"/>
        <v>-</v>
      </c>
      <c r="AS395" s="397" t="str">
        <f>IFERROR(AVERAGE(AR395:AR397),"N/A")</f>
        <v>N/A</v>
      </c>
      <c r="AT395" s="401" t="s">
        <v>78</v>
      </c>
      <c r="AU395" s="396" t="str">
        <f t="shared" si="314"/>
        <v>-</v>
      </c>
      <c r="AV395" s="397" t="str">
        <f>IFERROR(AVERAGE(AU395:AU397),"N/A")</f>
        <v>N/A</v>
      </c>
      <c r="AW395" s="388" t="str">
        <f t="shared" si="340"/>
        <v>-</v>
      </c>
      <c r="AX395" s="389" t="str">
        <f t="shared" si="341"/>
        <v>-</v>
      </c>
      <c r="AY395" s="353" t="s">
        <v>78</v>
      </c>
      <c r="AZ395" s="403"/>
      <c r="BA395" s="404"/>
    </row>
    <row r="396" spans="1:53" ht="15" customHeight="1">
      <c r="A396" s="1" t="str">
        <f t="shared" si="312"/>
        <v>0_2024_</v>
      </c>
      <c r="B396" s="1" t="str">
        <f t="shared" si="317"/>
        <v>0_2024_NEO3</v>
      </c>
      <c r="D396" s="114">
        <f t="shared" si="352"/>
        <v>0</v>
      </c>
      <c r="E396" s="133" t="str">
        <f>_xll.ciqfunctions.udf.CIQ(D396,"IQ_Company_Name")</f>
        <v>(Invalid Identifier)</v>
      </c>
      <c r="F396" s="114">
        <f t="shared" si="344"/>
        <v>2024</v>
      </c>
      <c r="G396" s="114" t="str">
        <f t="shared" si="346"/>
        <v>2024-01-01</v>
      </c>
      <c r="H396" s="330" t="str">
        <f t="shared" si="347"/>
        <v>2024-12-31</v>
      </c>
      <c r="I396" s="114">
        <f t="shared" si="348"/>
        <v>12</v>
      </c>
      <c r="J396" s="407" t="str">
        <f t="shared" si="328"/>
        <v>CAD</v>
      </c>
      <c r="K396" s="439">
        <f t="shared" si="318"/>
        <v>1</v>
      </c>
      <c r="L396" s="445"/>
      <c r="M396" s="982"/>
      <c r="N396" s="443" t="str">
        <f t="shared" ref="N396:P397" si="356">N395</f>
        <v>NEO3</v>
      </c>
      <c r="O396" s="123" t="str">
        <f t="shared" si="356"/>
        <v>-</v>
      </c>
      <c r="P396" s="132" t="str">
        <f t="shared" si="356"/>
        <v>-</v>
      </c>
      <c r="Q396" s="219" t="s">
        <v>78</v>
      </c>
      <c r="R396" s="125" t="str">
        <f t="shared" si="330"/>
        <v>-</v>
      </c>
      <c r="S396" s="311" t="s">
        <v>78</v>
      </c>
      <c r="T396" s="126" t="str">
        <f t="shared" si="306"/>
        <v>-</v>
      </c>
      <c r="U396" s="221" t="s">
        <v>78</v>
      </c>
      <c r="V396" s="125" t="str">
        <f t="shared" si="349"/>
        <v>-</v>
      </c>
      <c r="W396" s="127" t="str">
        <f t="shared" si="332"/>
        <v>-</v>
      </c>
      <c r="X396" s="128"/>
      <c r="Y396" s="223" t="s">
        <v>78</v>
      </c>
      <c r="Z396" s="129" t="str">
        <f t="shared" si="333"/>
        <v>-</v>
      </c>
      <c r="AA396" s="124" t="str">
        <f t="shared" si="336"/>
        <v>-</v>
      </c>
      <c r="AB396" s="130" t="str">
        <f t="shared" si="337"/>
        <v>-</v>
      </c>
      <c r="AC396" s="221" t="s">
        <v>78</v>
      </c>
      <c r="AD396" s="225" t="s">
        <v>78</v>
      </c>
      <c r="AE396" s="225" t="s">
        <v>78</v>
      </c>
      <c r="AF396" s="225" t="s">
        <v>78</v>
      </c>
      <c r="AG396" s="225" t="s">
        <v>78</v>
      </c>
      <c r="AH396" s="125" t="str">
        <f t="shared" si="319"/>
        <v>-</v>
      </c>
      <c r="AI396" s="127" t="str">
        <f t="shared" si="334"/>
        <v>-</v>
      </c>
      <c r="AJ396" s="128"/>
      <c r="AK396" s="223" t="s">
        <v>78</v>
      </c>
      <c r="AL396" s="131" t="str">
        <f t="shared" si="335"/>
        <v>-</v>
      </c>
      <c r="AM396" s="368" t="str">
        <f t="shared" si="354"/>
        <v>-</v>
      </c>
      <c r="AN396" s="375" t="str">
        <f t="shared" si="338"/>
        <v>-</v>
      </c>
      <c r="AO396" s="376" t="str">
        <f t="shared" si="339"/>
        <v>-</v>
      </c>
      <c r="AP396" s="394" t="s">
        <v>78</v>
      </c>
      <c r="AQ396" s="395" t="s">
        <v>78</v>
      </c>
      <c r="AR396" s="396" t="str">
        <f t="shared" si="313"/>
        <v>-</v>
      </c>
      <c r="AS396" s="397"/>
      <c r="AT396" s="401" t="s">
        <v>78</v>
      </c>
      <c r="AU396" s="396" t="str">
        <f t="shared" si="314"/>
        <v>-</v>
      </c>
      <c r="AV396" s="397"/>
      <c r="AW396" s="388" t="str">
        <f t="shared" si="340"/>
        <v>-</v>
      </c>
      <c r="AX396" s="389" t="str">
        <f t="shared" si="341"/>
        <v>-</v>
      </c>
      <c r="AY396" s="353" t="s">
        <v>78</v>
      </c>
      <c r="AZ396" s="403"/>
      <c r="BA396" s="404"/>
    </row>
    <row r="397" spans="1:53" ht="15" customHeight="1">
      <c r="A397" s="1" t="str">
        <f t="shared" si="312"/>
        <v>0_2023_</v>
      </c>
      <c r="B397" s="1" t="str">
        <f t="shared" si="317"/>
        <v>0_2023_NEO3</v>
      </c>
      <c r="D397" s="203">
        <f t="shared" si="352"/>
        <v>0</v>
      </c>
      <c r="E397" s="205" t="str">
        <f>_xll.ciqfunctions.udf.CIQ(D397,"IQ_Company_Name")</f>
        <v>(Invalid Identifier)</v>
      </c>
      <c r="F397" s="204">
        <f t="shared" si="344"/>
        <v>2023</v>
      </c>
      <c r="G397" s="204" t="str">
        <f t="shared" si="346"/>
        <v>2023-01-01</v>
      </c>
      <c r="H397" s="331" t="str">
        <f t="shared" si="347"/>
        <v>2023-12-31</v>
      </c>
      <c r="I397" s="204">
        <f t="shared" si="348"/>
        <v>12</v>
      </c>
      <c r="J397" s="408" t="str">
        <f t="shared" si="328"/>
        <v>CAD</v>
      </c>
      <c r="K397" s="441">
        <f t="shared" si="318"/>
        <v>1</v>
      </c>
      <c r="L397" s="447"/>
      <c r="M397" s="983"/>
      <c r="N397" s="444" t="str">
        <f t="shared" si="356"/>
        <v>NEO3</v>
      </c>
      <c r="O397" s="206" t="str">
        <f t="shared" si="356"/>
        <v>-</v>
      </c>
      <c r="P397" s="207" t="str">
        <f t="shared" si="356"/>
        <v>-</v>
      </c>
      <c r="Q397" s="220" t="s">
        <v>78</v>
      </c>
      <c r="R397" s="209" t="str">
        <f t="shared" si="330"/>
        <v>-</v>
      </c>
      <c r="S397" s="312" t="s">
        <v>78</v>
      </c>
      <c r="T397" s="329" t="str">
        <f t="shared" si="306"/>
        <v>-</v>
      </c>
      <c r="U397" s="222" t="s">
        <v>78</v>
      </c>
      <c r="V397" s="209" t="str">
        <f t="shared" si="349"/>
        <v>-</v>
      </c>
      <c r="W397" s="211" t="str">
        <f t="shared" si="332"/>
        <v>-</v>
      </c>
      <c r="X397" s="212"/>
      <c r="Y397" s="224" t="s">
        <v>78</v>
      </c>
      <c r="Z397" s="213" t="str">
        <f t="shared" si="333"/>
        <v>-</v>
      </c>
      <c r="AA397" s="208" t="str">
        <f t="shared" si="336"/>
        <v>-</v>
      </c>
      <c r="AB397" s="214" t="str">
        <f t="shared" si="337"/>
        <v>-</v>
      </c>
      <c r="AC397" s="222" t="s">
        <v>78</v>
      </c>
      <c r="AD397" s="226" t="s">
        <v>78</v>
      </c>
      <c r="AE397" s="226" t="s">
        <v>78</v>
      </c>
      <c r="AF397" s="226" t="s">
        <v>78</v>
      </c>
      <c r="AG397" s="226" t="s">
        <v>78</v>
      </c>
      <c r="AH397" s="418" t="str">
        <f t="shared" si="319"/>
        <v>-</v>
      </c>
      <c r="AI397" s="211" t="str">
        <f t="shared" si="334"/>
        <v>-</v>
      </c>
      <c r="AJ397" s="212"/>
      <c r="AK397" s="224" t="s">
        <v>78</v>
      </c>
      <c r="AL397" s="215" t="str">
        <f t="shared" si="335"/>
        <v>-</v>
      </c>
      <c r="AM397" s="369" t="str">
        <f t="shared" si="354"/>
        <v>-</v>
      </c>
      <c r="AN397" s="377" t="str">
        <f t="shared" si="338"/>
        <v>-</v>
      </c>
      <c r="AO397" s="378" t="str">
        <f t="shared" si="339"/>
        <v>-</v>
      </c>
      <c r="AP397" s="398" t="s">
        <v>78</v>
      </c>
      <c r="AQ397" s="399" t="s">
        <v>78</v>
      </c>
      <c r="AR397" s="396" t="str">
        <f t="shared" si="313"/>
        <v>-</v>
      </c>
      <c r="AS397" s="400"/>
      <c r="AT397" s="402" t="s">
        <v>78</v>
      </c>
      <c r="AU397" s="396" t="str">
        <f t="shared" si="314"/>
        <v>-</v>
      </c>
      <c r="AV397" s="400"/>
      <c r="AW397" s="390" t="str">
        <f t="shared" si="340"/>
        <v>-</v>
      </c>
      <c r="AX397" s="391" t="str">
        <f t="shared" si="341"/>
        <v>-</v>
      </c>
      <c r="AY397" s="354" t="s">
        <v>78</v>
      </c>
      <c r="AZ397" s="405"/>
      <c r="BA397" s="406"/>
    </row>
    <row r="398" spans="1:53" ht="15" customHeight="1">
      <c r="A398" s="1" t="str">
        <f t="shared" si="312"/>
        <v>0_2025_</v>
      </c>
      <c r="B398" s="1" t="str">
        <f t="shared" si="317"/>
        <v>0_2025_CEO</v>
      </c>
      <c r="D398" s="216">
        <f>E27</f>
        <v>0</v>
      </c>
      <c r="E398" s="133" t="str">
        <f>_xll.ciqfunctions.udf.CIQ(D398,"IQ_Company_Name")</f>
        <v>(Invalid Identifier)</v>
      </c>
      <c r="F398" s="328">
        <f>$G$9</f>
        <v>2025</v>
      </c>
      <c r="G398" s="330" t="str">
        <f t="shared" ref="G398:G412" si="357">F398&amp;"-01-01"</f>
        <v>2025-01-01</v>
      </c>
      <c r="H398" s="330" t="str">
        <f t="shared" ref="H398:H412" si="358">F398&amp;"-12-31"</f>
        <v>2025-12-31</v>
      </c>
      <c r="I398" s="114">
        <f t="shared" ref="I398:I412" si="359">_xlfn.DAYS(H398,G398)/_xlfn.DAYS(F398&amp;"-12-31",F398&amp;"-01-01")*12</f>
        <v>12</v>
      </c>
      <c r="J398" s="328" t="str">
        <f>$H$5</f>
        <v>CAD</v>
      </c>
      <c r="K398" s="439">
        <f t="shared" si="318"/>
        <v>1</v>
      </c>
      <c r="L398" s="445"/>
      <c r="M398" s="982"/>
      <c r="N398" s="442" t="s">
        <v>79</v>
      </c>
      <c r="O398" s="217" t="s">
        <v>78</v>
      </c>
      <c r="P398" s="218" t="s">
        <v>78</v>
      </c>
      <c r="Q398" s="219" t="s">
        <v>78</v>
      </c>
      <c r="R398" s="125" t="str">
        <f t="shared" si="330"/>
        <v>-</v>
      </c>
      <c r="S398" s="311" t="s">
        <v>78</v>
      </c>
      <c r="T398" s="126" t="str">
        <f t="shared" si="306"/>
        <v>-</v>
      </c>
      <c r="U398" s="221" t="s">
        <v>78</v>
      </c>
      <c r="V398" s="125" t="str">
        <f t="shared" ref="V398:V412" si="360">IFERROR(U398*(12/$I398)*$K398,"-")</f>
        <v>-</v>
      </c>
      <c r="W398" s="127" t="str">
        <f t="shared" si="332"/>
        <v>-</v>
      </c>
      <c r="X398" s="128" t="str">
        <f>IFERROR(AVERAGE(W398:W400),"N/A")</f>
        <v>N/A</v>
      </c>
      <c r="Y398" s="223" t="s">
        <v>78</v>
      </c>
      <c r="Z398" s="129" t="str">
        <f t="shared" si="333"/>
        <v>-</v>
      </c>
      <c r="AA398" s="124" t="str">
        <f t="shared" si="336"/>
        <v>-</v>
      </c>
      <c r="AB398" s="130" t="str">
        <f t="shared" si="337"/>
        <v>-</v>
      </c>
      <c r="AC398" s="221" t="s">
        <v>78</v>
      </c>
      <c r="AD398" s="225" t="s">
        <v>78</v>
      </c>
      <c r="AE398" s="225" t="s">
        <v>78</v>
      </c>
      <c r="AF398" s="225" t="s">
        <v>78</v>
      </c>
      <c r="AG398" s="225" t="s">
        <v>78</v>
      </c>
      <c r="AH398" s="125" t="str">
        <f t="shared" si="319"/>
        <v>-</v>
      </c>
      <c r="AI398" s="127" t="str">
        <f t="shared" si="334"/>
        <v>-</v>
      </c>
      <c r="AJ398" s="128" t="str">
        <f>IFERROR(AVERAGE(AI398:AI400),"N/A")</f>
        <v>N/A</v>
      </c>
      <c r="AK398" s="223" t="s">
        <v>78</v>
      </c>
      <c r="AL398" s="131" t="str">
        <f t="shared" si="335"/>
        <v>-</v>
      </c>
      <c r="AM398" s="368" t="str">
        <f t="shared" si="354"/>
        <v>-</v>
      </c>
      <c r="AN398" s="375" t="str">
        <f t="shared" si="338"/>
        <v>-</v>
      </c>
      <c r="AO398" s="376" t="str">
        <f t="shared" si="339"/>
        <v>-</v>
      </c>
      <c r="AP398" s="394" t="s">
        <v>78</v>
      </c>
      <c r="AQ398" s="395" t="s">
        <v>78</v>
      </c>
      <c r="AR398" s="396" t="str">
        <f t="shared" si="313"/>
        <v>-</v>
      </c>
      <c r="AS398" s="409" t="str">
        <f>IFERROR(AVERAGE(AR398:AR400),"N/A")</f>
        <v>N/A</v>
      </c>
      <c r="AT398" s="401" t="s">
        <v>78</v>
      </c>
      <c r="AU398" s="396" t="str">
        <f t="shared" si="314"/>
        <v>-</v>
      </c>
      <c r="AV398" s="409" t="str">
        <f>IFERROR(AVERAGE(AU398:AU400),"N/A")</f>
        <v>N/A</v>
      </c>
      <c r="AW398" s="388" t="str">
        <f t="shared" si="340"/>
        <v>-</v>
      </c>
      <c r="AX398" s="389" t="str">
        <f t="shared" si="341"/>
        <v>-</v>
      </c>
      <c r="AY398" s="353" t="s">
        <v>78</v>
      </c>
      <c r="AZ398" s="403"/>
      <c r="BA398" s="404"/>
    </row>
    <row r="399" spans="1:53" ht="15" customHeight="1">
      <c r="A399" s="1" t="str">
        <f t="shared" si="312"/>
        <v>0_2024_</v>
      </c>
      <c r="B399" s="1" t="str">
        <f t="shared" si="317"/>
        <v>0_2024_CEO</v>
      </c>
      <c r="D399" s="114">
        <f>D398</f>
        <v>0</v>
      </c>
      <c r="E399" s="133" t="str">
        <f>_xll.ciqfunctions.udf.CIQ(D399,"IQ_Company_Name")</f>
        <v>(Invalid Identifier)</v>
      </c>
      <c r="F399" s="328">
        <f>$G$10</f>
        <v>2024</v>
      </c>
      <c r="G399" s="330" t="str">
        <f t="shared" si="357"/>
        <v>2024-01-01</v>
      </c>
      <c r="H399" s="330" t="str">
        <f t="shared" si="358"/>
        <v>2024-12-31</v>
      </c>
      <c r="I399" s="114">
        <f t="shared" si="359"/>
        <v>12</v>
      </c>
      <c r="J399" s="407" t="str">
        <f>J398</f>
        <v>CAD</v>
      </c>
      <c r="K399" s="439">
        <f t="shared" si="318"/>
        <v>1</v>
      </c>
      <c r="L399" s="445"/>
      <c r="M399" s="982"/>
      <c r="N399" s="443" t="str">
        <f t="shared" ref="N399:P400" si="361">N398</f>
        <v>CEO</v>
      </c>
      <c r="O399" s="123" t="str">
        <f t="shared" si="361"/>
        <v>-</v>
      </c>
      <c r="P399" s="132" t="str">
        <f t="shared" si="361"/>
        <v>-</v>
      </c>
      <c r="Q399" s="219" t="s">
        <v>78</v>
      </c>
      <c r="R399" s="125" t="str">
        <f t="shared" si="330"/>
        <v>-</v>
      </c>
      <c r="S399" s="311" t="s">
        <v>78</v>
      </c>
      <c r="T399" s="126" t="str">
        <f t="shared" si="306"/>
        <v>-</v>
      </c>
      <c r="U399" s="221" t="s">
        <v>78</v>
      </c>
      <c r="V399" s="125" t="str">
        <f t="shared" si="360"/>
        <v>-</v>
      </c>
      <c r="W399" s="127" t="str">
        <f t="shared" si="332"/>
        <v>-</v>
      </c>
      <c r="X399" s="128"/>
      <c r="Y399" s="223" t="s">
        <v>78</v>
      </c>
      <c r="Z399" s="129" t="str">
        <f t="shared" si="333"/>
        <v>-</v>
      </c>
      <c r="AA399" s="124" t="str">
        <f t="shared" si="336"/>
        <v>-</v>
      </c>
      <c r="AB399" s="130" t="str">
        <f t="shared" si="337"/>
        <v>-</v>
      </c>
      <c r="AC399" s="221" t="s">
        <v>78</v>
      </c>
      <c r="AD399" s="225" t="s">
        <v>78</v>
      </c>
      <c r="AE399" s="225" t="s">
        <v>78</v>
      </c>
      <c r="AF399" s="225" t="s">
        <v>78</v>
      </c>
      <c r="AG399" s="225" t="s">
        <v>78</v>
      </c>
      <c r="AH399" s="125" t="str">
        <f t="shared" si="319"/>
        <v>-</v>
      </c>
      <c r="AI399" s="127" t="str">
        <f t="shared" si="334"/>
        <v>-</v>
      </c>
      <c r="AJ399" s="128"/>
      <c r="AK399" s="223" t="s">
        <v>78</v>
      </c>
      <c r="AL399" s="131" t="str">
        <f t="shared" si="335"/>
        <v>-</v>
      </c>
      <c r="AM399" s="368" t="str">
        <f t="shared" si="354"/>
        <v>-</v>
      </c>
      <c r="AN399" s="375" t="str">
        <f t="shared" si="338"/>
        <v>-</v>
      </c>
      <c r="AO399" s="376" t="str">
        <f t="shared" si="339"/>
        <v>-</v>
      </c>
      <c r="AP399" s="394" t="s">
        <v>78</v>
      </c>
      <c r="AQ399" s="395" t="s">
        <v>78</v>
      </c>
      <c r="AR399" s="396" t="str">
        <f t="shared" si="313"/>
        <v>-</v>
      </c>
      <c r="AS399" s="397"/>
      <c r="AT399" s="401" t="s">
        <v>78</v>
      </c>
      <c r="AU399" s="396" t="str">
        <f t="shared" si="314"/>
        <v>-</v>
      </c>
      <c r="AV399" s="397"/>
      <c r="AW399" s="388" t="str">
        <f t="shared" si="340"/>
        <v>-</v>
      </c>
      <c r="AX399" s="389" t="str">
        <f t="shared" si="341"/>
        <v>-</v>
      </c>
      <c r="AY399" s="353" t="s">
        <v>78</v>
      </c>
      <c r="AZ399" s="403"/>
      <c r="BA399" s="404"/>
    </row>
    <row r="400" spans="1:53" ht="15" customHeight="1">
      <c r="A400" s="1" t="str">
        <f t="shared" si="312"/>
        <v>0_2023_</v>
      </c>
      <c r="B400" s="1" t="str">
        <f t="shared" si="317"/>
        <v>0_2023_CEO</v>
      </c>
      <c r="D400" s="114">
        <f t="shared" si="352"/>
        <v>0</v>
      </c>
      <c r="E400" s="133" t="str">
        <f>_xll.ciqfunctions.udf.CIQ(D400,"IQ_Company_Name")</f>
        <v>(Invalid Identifier)</v>
      </c>
      <c r="F400" s="328">
        <f>$G$11</f>
        <v>2023</v>
      </c>
      <c r="G400" s="114" t="str">
        <f t="shared" si="357"/>
        <v>2023-01-01</v>
      </c>
      <c r="H400" s="330" t="str">
        <f t="shared" si="358"/>
        <v>2023-12-31</v>
      </c>
      <c r="I400" s="114">
        <f t="shared" si="359"/>
        <v>12</v>
      </c>
      <c r="J400" s="407" t="str">
        <f>J399</f>
        <v>CAD</v>
      </c>
      <c r="K400" s="439">
        <f t="shared" si="318"/>
        <v>1</v>
      </c>
      <c r="L400" s="445"/>
      <c r="M400" s="982"/>
      <c r="N400" s="443" t="str">
        <f t="shared" si="361"/>
        <v>CEO</v>
      </c>
      <c r="O400" s="123" t="str">
        <f t="shared" si="361"/>
        <v>-</v>
      </c>
      <c r="P400" s="132" t="str">
        <f t="shared" si="361"/>
        <v>-</v>
      </c>
      <c r="Q400" s="219" t="s">
        <v>78</v>
      </c>
      <c r="R400" s="125" t="str">
        <f t="shared" si="330"/>
        <v>-</v>
      </c>
      <c r="S400" s="311" t="s">
        <v>78</v>
      </c>
      <c r="T400" s="126" t="str">
        <f t="shared" si="306"/>
        <v>-</v>
      </c>
      <c r="U400" s="221" t="s">
        <v>78</v>
      </c>
      <c r="V400" s="125" t="str">
        <f t="shared" si="360"/>
        <v>-</v>
      </c>
      <c r="W400" s="127" t="str">
        <f t="shared" si="332"/>
        <v>-</v>
      </c>
      <c r="X400" s="128"/>
      <c r="Y400" s="223" t="s">
        <v>78</v>
      </c>
      <c r="Z400" s="129" t="str">
        <f t="shared" si="333"/>
        <v>-</v>
      </c>
      <c r="AA400" s="124" t="str">
        <f t="shared" si="336"/>
        <v>-</v>
      </c>
      <c r="AB400" s="130" t="str">
        <f t="shared" si="337"/>
        <v>-</v>
      </c>
      <c r="AC400" s="221" t="s">
        <v>78</v>
      </c>
      <c r="AD400" s="225" t="s">
        <v>78</v>
      </c>
      <c r="AE400" s="225" t="s">
        <v>78</v>
      </c>
      <c r="AF400" s="225" t="s">
        <v>78</v>
      </c>
      <c r="AG400" s="225" t="s">
        <v>78</v>
      </c>
      <c r="AH400" s="125" t="str">
        <f t="shared" si="319"/>
        <v>-</v>
      </c>
      <c r="AI400" s="127" t="str">
        <f t="shared" si="334"/>
        <v>-</v>
      </c>
      <c r="AJ400" s="128"/>
      <c r="AK400" s="223" t="s">
        <v>78</v>
      </c>
      <c r="AL400" s="131" t="str">
        <f t="shared" si="335"/>
        <v>-</v>
      </c>
      <c r="AM400" s="368" t="str">
        <f t="shared" si="354"/>
        <v>-</v>
      </c>
      <c r="AN400" s="375" t="str">
        <f t="shared" si="338"/>
        <v>-</v>
      </c>
      <c r="AO400" s="376" t="str">
        <f t="shared" si="339"/>
        <v>-</v>
      </c>
      <c r="AP400" s="394" t="s">
        <v>78</v>
      </c>
      <c r="AQ400" s="395" t="s">
        <v>78</v>
      </c>
      <c r="AR400" s="396" t="str">
        <f t="shared" si="313"/>
        <v>-</v>
      </c>
      <c r="AS400" s="397"/>
      <c r="AT400" s="401" t="s">
        <v>78</v>
      </c>
      <c r="AU400" s="396" t="str">
        <f t="shared" si="314"/>
        <v>-</v>
      </c>
      <c r="AV400" s="397"/>
      <c r="AW400" s="388" t="str">
        <f t="shared" si="340"/>
        <v>-</v>
      </c>
      <c r="AX400" s="389" t="str">
        <f t="shared" si="341"/>
        <v>-</v>
      </c>
      <c r="AY400" s="353" t="s">
        <v>78</v>
      </c>
      <c r="AZ400" s="403"/>
      <c r="BA400" s="404"/>
    </row>
    <row r="401" spans="1:53" ht="15" customHeight="1">
      <c r="A401" s="1" t="str">
        <f t="shared" si="312"/>
        <v>0_2025_</v>
      </c>
      <c r="B401" s="1" t="str">
        <f t="shared" si="317"/>
        <v>0_2025_CFO</v>
      </c>
      <c r="D401" s="114">
        <f t="shared" si="352"/>
        <v>0</v>
      </c>
      <c r="E401" s="133" t="str">
        <f>_xll.ciqfunctions.udf.CIQ(D401,"IQ_Company_Name")</f>
        <v>(Invalid Identifier)</v>
      </c>
      <c r="F401" s="114">
        <f t="shared" si="344"/>
        <v>2025</v>
      </c>
      <c r="G401" s="114" t="str">
        <f t="shared" si="357"/>
        <v>2025-01-01</v>
      </c>
      <c r="H401" s="330" t="str">
        <f t="shared" si="358"/>
        <v>2025-12-31</v>
      </c>
      <c r="I401" s="114">
        <f t="shared" si="359"/>
        <v>12</v>
      </c>
      <c r="J401" s="407" t="str">
        <f>J400</f>
        <v>CAD</v>
      </c>
      <c r="K401" s="439">
        <f t="shared" si="318"/>
        <v>1</v>
      </c>
      <c r="L401" s="445"/>
      <c r="M401" s="982"/>
      <c r="N401" s="442" t="s">
        <v>106</v>
      </c>
      <c r="O401" s="217" t="s">
        <v>78</v>
      </c>
      <c r="P401" s="218" t="s">
        <v>78</v>
      </c>
      <c r="Q401" s="219" t="s">
        <v>78</v>
      </c>
      <c r="R401" s="125" t="str">
        <f t="shared" ref="R401:R411" si="362">IFERROR(Q401*(12/$I401)*$K401,"-")</f>
        <v>-</v>
      </c>
      <c r="S401" s="311" t="s">
        <v>78</v>
      </c>
      <c r="T401" s="126" t="str">
        <f t="shared" ref="T401:T411" si="363">IFERROR(IF((S401*$K401)=0,"-",(S401*$K401)),"-")</f>
        <v>-</v>
      </c>
      <c r="U401" s="221" t="s">
        <v>78</v>
      </c>
      <c r="V401" s="125" t="str">
        <f t="shared" si="360"/>
        <v>-</v>
      </c>
      <c r="W401" s="127" t="str">
        <f t="shared" si="332"/>
        <v>-</v>
      </c>
      <c r="X401" s="128" t="str">
        <f>IFERROR(AVERAGE(W401:W403),"N/A")</f>
        <v>N/A</v>
      </c>
      <c r="Y401" s="223" t="s">
        <v>78</v>
      </c>
      <c r="Z401" s="129" t="str">
        <f t="shared" si="333"/>
        <v>-</v>
      </c>
      <c r="AA401" s="124" t="str">
        <f t="shared" si="336"/>
        <v>-</v>
      </c>
      <c r="AB401" s="130" t="str">
        <f t="shared" si="337"/>
        <v>-</v>
      </c>
      <c r="AC401" s="221" t="s">
        <v>78</v>
      </c>
      <c r="AD401" s="225" t="s">
        <v>78</v>
      </c>
      <c r="AE401" s="225" t="s">
        <v>78</v>
      </c>
      <c r="AF401" s="225" t="s">
        <v>78</v>
      </c>
      <c r="AG401" s="225" t="s">
        <v>78</v>
      </c>
      <c r="AH401" s="125" t="str">
        <f t="shared" si="319"/>
        <v>-</v>
      </c>
      <c r="AI401" s="127" t="str">
        <f t="shared" si="334"/>
        <v>-</v>
      </c>
      <c r="AJ401" s="128" t="str">
        <f>IFERROR(AVERAGE(AI401:AI403),"N/A")</f>
        <v>N/A</v>
      </c>
      <c r="AK401" s="223" t="s">
        <v>78</v>
      </c>
      <c r="AL401" s="131" t="str">
        <f t="shared" si="335"/>
        <v>-</v>
      </c>
      <c r="AM401" s="368" t="str">
        <f t="shared" si="354"/>
        <v>-</v>
      </c>
      <c r="AN401" s="375" t="str">
        <f t="shared" si="338"/>
        <v>-</v>
      </c>
      <c r="AO401" s="376" t="str">
        <f t="shared" si="339"/>
        <v>-</v>
      </c>
      <c r="AP401" s="394" t="s">
        <v>78</v>
      </c>
      <c r="AQ401" s="395" t="s">
        <v>78</v>
      </c>
      <c r="AR401" s="396" t="str">
        <f t="shared" si="313"/>
        <v>-</v>
      </c>
      <c r="AS401" s="397" t="str">
        <f>IFERROR(AVERAGE(AR401:AR403),"N/A")</f>
        <v>N/A</v>
      </c>
      <c r="AT401" s="401" t="s">
        <v>78</v>
      </c>
      <c r="AU401" s="396" t="str">
        <f t="shared" si="314"/>
        <v>-</v>
      </c>
      <c r="AV401" s="397" t="str">
        <f>IFERROR(AVERAGE(AU401:AU403),"N/A")</f>
        <v>N/A</v>
      </c>
      <c r="AW401" s="388" t="str">
        <f t="shared" si="340"/>
        <v>-</v>
      </c>
      <c r="AX401" s="389" t="str">
        <f t="shared" si="341"/>
        <v>-</v>
      </c>
      <c r="AY401" s="353" t="s">
        <v>78</v>
      </c>
      <c r="AZ401" s="403"/>
      <c r="BA401" s="404"/>
    </row>
    <row r="402" spans="1:53" ht="15" customHeight="1">
      <c r="A402" s="1" t="str">
        <f t="shared" si="312"/>
        <v>0_2024_</v>
      </c>
      <c r="B402" s="1" t="str">
        <f t="shared" si="317"/>
        <v>0_2024_CFO</v>
      </c>
      <c r="D402" s="114">
        <f t="shared" si="352"/>
        <v>0</v>
      </c>
      <c r="E402" s="133" t="str">
        <f>_xll.ciqfunctions.udf.CIQ(D402,"IQ_Company_Name")</f>
        <v>(Invalid Identifier)</v>
      </c>
      <c r="F402" s="114">
        <f t="shared" si="344"/>
        <v>2024</v>
      </c>
      <c r="G402" s="114" t="str">
        <f t="shared" si="357"/>
        <v>2024-01-01</v>
      </c>
      <c r="H402" s="330" t="str">
        <f t="shared" si="358"/>
        <v>2024-12-31</v>
      </c>
      <c r="I402" s="114">
        <f t="shared" si="359"/>
        <v>12</v>
      </c>
      <c r="J402" s="407" t="str">
        <f>J401</f>
        <v>CAD</v>
      </c>
      <c r="K402" s="439">
        <f t="shared" si="318"/>
        <v>1</v>
      </c>
      <c r="L402" s="445"/>
      <c r="M402" s="982"/>
      <c r="N402" s="443" t="str">
        <f t="shared" ref="N402:P403" si="364">N401</f>
        <v>CFO</v>
      </c>
      <c r="O402" s="123" t="str">
        <f t="shared" si="364"/>
        <v>-</v>
      </c>
      <c r="P402" s="132" t="str">
        <f t="shared" si="364"/>
        <v>-</v>
      </c>
      <c r="Q402" s="219" t="s">
        <v>78</v>
      </c>
      <c r="R402" s="125" t="str">
        <f t="shared" si="362"/>
        <v>-</v>
      </c>
      <c r="S402" s="311" t="s">
        <v>78</v>
      </c>
      <c r="T402" s="126" t="str">
        <f t="shared" si="363"/>
        <v>-</v>
      </c>
      <c r="U402" s="221" t="s">
        <v>78</v>
      </c>
      <c r="V402" s="125" t="str">
        <f t="shared" si="360"/>
        <v>-</v>
      </c>
      <c r="W402" s="127" t="str">
        <f t="shared" si="332"/>
        <v>-</v>
      </c>
      <c r="X402" s="128"/>
      <c r="Y402" s="223" t="s">
        <v>78</v>
      </c>
      <c r="Z402" s="129" t="str">
        <f t="shared" si="333"/>
        <v>-</v>
      </c>
      <c r="AA402" s="124" t="str">
        <f t="shared" si="336"/>
        <v>-</v>
      </c>
      <c r="AB402" s="130" t="str">
        <f t="shared" si="337"/>
        <v>-</v>
      </c>
      <c r="AC402" s="221" t="s">
        <v>78</v>
      </c>
      <c r="AD402" s="225" t="s">
        <v>78</v>
      </c>
      <c r="AE402" s="225" t="s">
        <v>78</v>
      </c>
      <c r="AF402" s="225" t="s">
        <v>78</v>
      </c>
      <c r="AG402" s="225" t="s">
        <v>78</v>
      </c>
      <c r="AH402" s="125" t="str">
        <f t="shared" si="319"/>
        <v>-</v>
      </c>
      <c r="AI402" s="127" t="str">
        <f t="shared" si="334"/>
        <v>-</v>
      </c>
      <c r="AJ402" s="128"/>
      <c r="AK402" s="223" t="s">
        <v>78</v>
      </c>
      <c r="AL402" s="131" t="str">
        <f t="shared" si="335"/>
        <v>-</v>
      </c>
      <c r="AM402" s="368" t="str">
        <f t="shared" si="354"/>
        <v>-</v>
      </c>
      <c r="AN402" s="375" t="str">
        <f t="shared" si="338"/>
        <v>-</v>
      </c>
      <c r="AO402" s="376" t="str">
        <f t="shared" si="339"/>
        <v>-</v>
      </c>
      <c r="AP402" s="394" t="s">
        <v>78</v>
      </c>
      <c r="AQ402" s="395" t="s">
        <v>78</v>
      </c>
      <c r="AR402" s="396" t="str">
        <f t="shared" si="313"/>
        <v>-</v>
      </c>
      <c r="AS402" s="397"/>
      <c r="AT402" s="401" t="s">
        <v>78</v>
      </c>
      <c r="AU402" s="396" t="str">
        <f t="shared" si="314"/>
        <v>-</v>
      </c>
      <c r="AV402" s="397"/>
      <c r="AW402" s="388" t="str">
        <f t="shared" si="340"/>
        <v>-</v>
      </c>
      <c r="AX402" s="389" t="str">
        <f t="shared" si="341"/>
        <v>-</v>
      </c>
      <c r="AY402" s="353" t="s">
        <v>78</v>
      </c>
      <c r="AZ402" s="403"/>
      <c r="BA402" s="404"/>
    </row>
    <row r="403" spans="1:53" ht="15" customHeight="1">
      <c r="A403" s="1" t="str">
        <f t="shared" si="312"/>
        <v>0_2023_</v>
      </c>
      <c r="B403" s="1" t="str">
        <f t="shared" si="317"/>
        <v>0_2023_CFO</v>
      </c>
      <c r="D403" s="114">
        <f t="shared" si="352"/>
        <v>0</v>
      </c>
      <c r="E403" s="133" t="str">
        <f>_xll.ciqfunctions.udf.CIQ(D403,"IQ_Company_Name")</f>
        <v>(Invalid Identifier)</v>
      </c>
      <c r="F403" s="114">
        <f t="shared" si="344"/>
        <v>2023</v>
      </c>
      <c r="G403" s="114" t="str">
        <f t="shared" si="357"/>
        <v>2023-01-01</v>
      </c>
      <c r="H403" s="330" t="str">
        <f t="shared" si="358"/>
        <v>2023-12-31</v>
      </c>
      <c r="I403" s="114">
        <f t="shared" si="359"/>
        <v>12</v>
      </c>
      <c r="J403" s="407" t="str">
        <f t="shared" si="328"/>
        <v>CAD</v>
      </c>
      <c r="K403" s="439">
        <f t="shared" si="318"/>
        <v>1</v>
      </c>
      <c r="L403" s="445"/>
      <c r="M403" s="982"/>
      <c r="N403" s="443" t="str">
        <f t="shared" si="364"/>
        <v>CFO</v>
      </c>
      <c r="O403" s="123" t="str">
        <f t="shared" si="364"/>
        <v>-</v>
      </c>
      <c r="P403" s="132" t="str">
        <f t="shared" si="364"/>
        <v>-</v>
      </c>
      <c r="Q403" s="219" t="s">
        <v>78</v>
      </c>
      <c r="R403" s="125" t="str">
        <f t="shared" si="362"/>
        <v>-</v>
      </c>
      <c r="S403" s="311" t="s">
        <v>78</v>
      </c>
      <c r="T403" s="126" t="str">
        <f t="shared" si="363"/>
        <v>-</v>
      </c>
      <c r="U403" s="221" t="s">
        <v>78</v>
      </c>
      <c r="V403" s="125" t="str">
        <f t="shared" si="360"/>
        <v>-</v>
      </c>
      <c r="W403" s="127" t="str">
        <f t="shared" si="332"/>
        <v>-</v>
      </c>
      <c r="X403" s="128"/>
      <c r="Y403" s="223" t="s">
        <v>78</v>
      </c>
      <c r="Z403" s="129" t="str">
        <f t="shared" si="333"/>
        <v>-</v>
      </c>
      <c r="AA403" s="124" t="str">
        <f t="shared" si="336"/>
        <v>-</v>
      </c>
      <c r="AB403" s="130" t="str">
        <f t="shared" si="337"/>
        <v>-</v>
      </c>
      <c r="AC403" s="221" t="s">
        <v>78</v>
      </c>
      <c r="AD403" s="225" t="s">
        <v>78</v>
      </c>
      <c r="AE403" s="225" t="s">
        <v>78</v>
      </c>
      <c r="AF403" s="225" t="s">
        <v>78</v>
      </c>
      <c r="AG403" s="225" t="s">
        <v>78</v>
      </c>
      <c r="AH403" s="125" t="str">
        <f t="shared" si="319"/>
        <v>-</v>
      </c>
      <c r="AI403" s="127" t="str">
        <f t="shared" si="334"/>
        <v>-</v>
      </c>
      <c r="AJ403" s="128"/>
      <c r="AK403" s="223" t="s">
        <v>78</v>
      </c>
      <c r="AL403" s="131" t="str">
        <f t="shared" si="335"/>
        <v>-</v>
      </c>
      <c r="AM403" s="368" t="str">
        <f t="shared" si="354"/>
        <v>-</v>
      </c>
      <c r="AN403" s="375" t="str">
        <f t="shared" si="338"/>
        <v>-</v>
      </c>
      <c r="AO403" s="376" t="str">
        <f t="shared" si="339"/>
        <v>-</v>
      </c>
      <c r="AP403" s="394" t="s">
        <v>78</v>
      </c>
      <c r="AQ403" s="395" t="s">
        <v>78</v>
      </c>
      <c r="AR403" s="396" t="str">
        <f t="shared" si="313"/>
        <v>-</v>
      </c>
      <c r="AS403" s="397"/>
      <c r="AT403" s="401" t="s">
        <v>78</v>
      </c>
      <c r="AU403" s="396" t="str">
        <f t="shared" si="314"/>
        <v>-</v>
      </c>
      <c r="AV403" s="397"/>
      <c r="AW403" s="388" t="str">
        <f t="shared" si="340"/>
        <v>-</v>
      </c>
      <c r="AX403" s="389" t="str">
        <f t="shared" si="341"/>
        <v>-</v>
      </c>
      <c r="AY403" s="353" t="s">
        <v>78</v>
      </c>
      <c r="AZ403" s="403"/>
      <c r="BA403" s="404"/>
    </row>
    <row r="404" spans="1:53" ht="15" customHeight="1">
      <c r="A404" s="1" t="str">
        <f t="shared" si="312"/>
        <v>0_2025_</v>
      </c>
      <c r="B404" s="1" t="str">
        <f t="shared" si="317"/>
        <v>0_2025_NEO1</v>
      </c>
      <c r="D404" s="114">
        <f t="shared" si="352"/>
        <v>0</v>
      </c>
      <c r="E404" s="133" t="str">
        <f>_xll.ciqfunctions.udf.CIQ(D404,"IQ_Company_Name")</f>
        <v>(Invalid Identifier)</v>
      </c>
      <c r="F404" s="114">
        <f t="shared" si="344"/>
        <v>2025</v>
      </c>
      <c r="G404" s="330" t="str">
        <f t="shared" si="357"/>
        <v>2025-01-01</v>
      </c>
      <c r="H404" s="330" t="str">
        <f t="shared" si="358"/>
        <v>2025-12-31</v>
      </c>
      <c r="I404" s="114">
        <f t="shared" si="359"/>
        <v>12</v>
      </c>
      <c r="J404" s="407" t="str">
        <f t="shared" si="328"/>
        <v>CAD</v>
      </c>
      <c r="K404" s="439">
        <f t="shared" si="318"/>
        <v>1</v>
      </c>
      <c r="L404" s="445"/>
      <c r="M404" s="982"/>
      <c r="N404" s="442" t="s">
        <v>107</v>
      </c>
      <c r="O404" s="217" t="s">
        <v>78</v>
      </c>
      <c r="P404" s="218" t="s">
        <v>78</v>
      </c>
      <c r="Q404" s="219" t="s">
        <v>78</v>
      </c>
      <c r="R404" s="125" t="str">
        <f t="shared" si="362"/>
        <v>-</v>
      </c>
      <c r="S404" s="311" t="s">
        <v>78</v>
      </c>
      <c r="T404" s="126" t="str">
        <f t="shared" si="363"/>
        <v>-</v>
      </c>
      <c r="U404" s="221" t="s">
        <v>78</v>
      </c>
      <c r="V404" s="125" t="str">
        <f t="shared" si="360"/>
        <v>-</v>
      </c>
      <c r="W404" s="127" t="str">
        <f t="shared" si="332"/>
        <v>-</v>
      </c>
      <c r="X404" s="128" t="str">
        <f>IFERROR(AVERAGE(W404:W406),"N/A")</f>
        <v>N/A</v>
      </c>
      <c r="Y404" s="223" t="s">
        <v>78</v>
      </c>
      <c r="Z404" s="129" t="str">
        <f t="shared" si="333"/>
        <v>-</v>
      </c>
      <c r="AA404" s="124" t="str">
        <f t="shared" si="336"/>
        <v>-</v>
      </c>
      <c r="AB404" s="130" t="str">
        <f t="shared" si="337"/>
        <v>-</v>
      </c>
      <c r="AC404" s="221" t="s">
        <v>78</v>
      </c>
      <c r="AD404" s="225" t="s">
        <v>78</v>
      </c>
      <c r="AE404" s="225" t="s">
        <v>78</v>
      </c>
      <c r="AF404" s="225" t="s">
        <v>78</v>
      </c>
      <c r="AG404" s="225" t="s">
        <v>78</v>
      </c>
      <c r="AH404" s="125" t="str">
        <f t="shared" si="319"/>
        <v>-</v>
      </c>
      <c r="AI404" s="127" t="str">
        <f t="shared" si="334"/>
        <v>-</v>
      </c>
      <c r="AJ404" s="128" t="str">
        <f>IFERROR(AVERAGE(AI404:AI406),"N/A")</f>
        <v>N/A</v>
      </c>
      <c r="AK404" s="223" t="s">
        <v>78</v>
      </c>
      <c r="AL404" s="131" t="str">
        <f t="shared" si="335"/>
        <v>-</v>
      </c>
      <c r="AM404" s="368" t="str">
        <f t="shared" si="354"/>
        <v>-</v>
      </c>
      <c r="AN404" s="375" t="str">
        <f t="shared" si="338"/>
        <v>-</v>
      </c>
      <c r="AO404" s="376" t="str">
        <f t="shared" si="339"/>
        <v>-</v>
      </c>
      <c r="AP404" s="394" t="s">
        <v>78</v>
      </c>
      <c r="AQ404" s="395" t="s">
        <v>78</v>
      </c>
      <c r="AR404" s="396" t="str">
        <f t="shared" si="313"/>
        <v>-</v>
      </c>
      <c r="AS404" s="397" t="str">
        <f>IFERROR(AVERAGE(AR404:AR406),"N/A")</f>
        <v>N/A</v>
      </c>
      <c r="AT404" s="401" t="s">
        <v>78</v>
      </c>
      <c r="AU404" s="396" t="str">
        <f t="shared" si="314"/>
        <v>-</v>
      </c>
      <c r="AV404" s="397" t="str">
        <f>IFERROR(AVERAGE(AU404:AU406),"N/A")</f>
        <v>N/A</v>
      </c>
      <c r="AW404" s="388" t="str">
        <f t="shared" si="340"/>
        <v>-</v>
      </c>
      <c r="AX404" s="389" t="str">
        <f t="shared" si="341"/>
        <v>-</v>
      </c>
      <c r="AY404" s="353" t="s">
        <v>78</v>
      </c>
      <c r="AZ404" s="403"/>
      <c r="BA404" s="404"/>
    </row>
    <row r="405" spans="1:53" ht="15" customHeight="1">
      <c r="A405" s="1" t="str">
        <f t="shared" si="312"/>
        <v>0_2024_</v>
      </c>
      <c r="B405" s="1" t="str">
        <f t="shared" si="317"/>
        <v>0_2024_NEO1</v>
      </c>
      <c r="D405" s="114">
        <f t="shared" si="352"/>
        <v>0</v>
      </c>
      <c r="E405" s="133" t="str">
        <f>_xll.ciqfunctions.udf.CIQ(D405,"IQ_Company_Name")</f>
        <v>(Invalid Identifier)</v>
      </c>
      <c r="F405" s="114">
        <f t="shared" si="344"/>
        <v>2024</v>
      </c>
      <c r="G405" s="330" t="str">
        <f t="shared" si="357"/>
        <v>2024-01-01</v>
      </c>
      <c r="H405" s="330" t="str">
        <f t="shared" si="358"/>
        <v>2024-12-31</v>
      </c>
      <c r="I405" s="114">
        <f t="shared" si="359"/>
        <v>12</v>
      </c>
      <c r="J405" s="407" t="str">
        <f t="shared" si="328"/>
        <v>CAD</v>
      </c>
      <c r="K405" s="439">
        <f t="shared" si="318"/>
        <v>1</v>
      </c>
      <c r="L405" s="445"/>
      <c r="M405" s="982"/>
      <c r="N405" s="443" t="str">
        <f t="shared" ref="N405:P406" si="365">N404</f>
        <v>NEO1</v>
      </c>
      <c r="O405" s="123" t="str">
        <f t="shared" si="365"/>
        <v>-</v>
      </c>
      <c r="P405" s="132" t="str">
        <f t="shared" si="365"/>
        <v>-</v>
      </c>
      <c r="Q405" s="219" t="s">
        <v>78</v>
      </c>
      <c r="R405" s="125" t="str">
        <f t="shared" si="362"/>
        <v>-</v>
      </c>
      <c r="S405" s="311" t="s">
        <v>78</v>
      </c>
      <c r="T405" s="126" t="str">
        <f t="shared" si="363"/>
        <v>-</v>
      </c>
      <c r="U405" s="221" t="s">
        <v>78</v>
      </c>
      <c r="V405" s="125" t="str">
        <f t="shared" si="360"/>
        <v>-</v>
      </c>
      <c r="W405" s="127" t="str">
        <f t="shared" si="332"/>
        <v>-</v>
      </c>
      <c r="X405" s="128"/>
      <c r="Y405" s="223" t="s">
        <v>78</v>
      </c>
      <c r="Z405" s="129" t="str">
        <f t="shared" si="333"/>
        <v>-</v>
      </c>
      <c r="AA405" s="124" t="str">
        <f t="shared" si="336"/>
        <v>-</v>
      </c>
      <c r="AB405" s="130" t="str">
        <f t="shared" si="337"/>
        <v>-</v>
      </c>
      <c r="AC405" s="221" t="s">
        <v>78</v>
      </c>
      <c r="AD405" s="225" t="s">
        <v>78</v>
      </c>
      <c r="AE405" s="225" t="s">
        <v>78</v>
      </c>
      <c r="AF405" s="225" t="s">
        <v>78</v>
      </c>
      <c r="AG405" s="225" t="s">
        <v>78</v>
      </c>
      <c r="AH405" s="125" t="str">
        <f t="shared" si="319"/>
        <v>-</v>
      </c>
      <c r="AI405" s="127" t="str">
        <f t="shared" si="334"/>
        <v>-</v>
      </c>
      <c r="AJ405" s="128"/>
      <c r="AK405" s="223" t="s">
        <v>78</v>
      </c>
      <c r="AL405" s="131" t="str">
        <f t="shared" si="335"/>
        <v>-</v>
      </c>
      <c r="AM405" s="368" t="str">
        <f t="shared" si="354"/>
        <v>-</v>
      </c>
      <c r="AN405" s="375" t="str">
        <f t="shared" si="338"/>
        <v>-</v>
      </c>
      <c r="AO405" s="376" t="str">
        <f t="shared" si="339"/>
        <v>-</v>
      </c>
      <c r="AP405" s="394" t="s">
        <v>78</v>
      </c>
      <c r="AQ405" s="395" t="s">
        <v>78</v>
      </c>
      <c r="AR405" s="396" t="str">
        <f t="shared" si="313"/>
        <v>-</v>
      </c>
      <c r="AS405" s="397"/>
      <c r="AT405" s="401" t="s">
        <v>78</v>
      </c>
      <c r="AU405" s="396" t="str">
        <f t="shared" si="314"/>
        <v>-</v>
      </c>
      <c r="AV405" s="397"/>
      <c r="AW405" s="388" t="str">
        <f t="shared" si="340"/>
        <v>-</v>
      </c>
      <c r="AX405" s="389" t="str">
        <f t="shared" si="341"/>
        <v>-</v>
      </c>
      <c r="AY405" s="353" t="s">
        <v>78</v>
      </c>
      <c r="AZ405" s="403"/>
      <c r="BA405" s="404"/>
    </row>
    <row r="406" spans="1:53" ht="15" customHeight="1">
      <c r="A406" s="1" t="str">
        <f t="shared" si="312"/>
        <v>0_2023_</v>
      </c>
      <c r="B406" s="1" t="str">
        <f t="shared" si="317"/>
        <v>0_2023_NEO1</v>
      </c>
      <c r="D406" s="114">
        <f t="shared" si="352"/>
        <v>0</v>
      </c>
      <c r="E406" s="133" t="str">
        <f>_xll.ciqfunctions.udf.CIQ(D406,"IQ_Company_Name")</f>
        <v>(Invalid Identifier)</v>
      </c>
      <c r="F406" s="114">
        <f t="shared" si="344"/>
        <v>2023</v>
      </c>
      <c r="G406" s="114" t="str">
        <f t="shared" si="357"/>
        <v>2023-01-01</v>
      </c>
      <c r="H406" s="330" t="str">
        <f t="shared" si="358"/>
        <v>2023-12-31</v>
      </c>
      <c r="I406" s="114">
        <f t="shared" si="359"/>
        <v>12</v>
      </c>
      <c r="J406" s="407" t="str">
        <f t="shared" si="328"/>
        <v>CAD</v>
      </c>
      <c r="K406" s="439">
        <f t="shared" si="318"/>
        <v>1</v>
      </c>
      <c r="L406" s="445"/>
      <c r="M406" s="982"/>
      <c r="N406" s="443" t="str">
        <f t="shared" si="365"/>
        <v>NEO1</v>
      </c>
      <c r="O406" s="123" t="str">
        <f t="shared" si="365"/>
        <v>-</v>
      </c>
      <c r="P406" s="132" t="str">
        <f t="shared" si="365"/>
        <v>-</v>
      </c>
      <c r="Q406" s="219" t="s">
        <v>78</v>
      </c>
      <c r="R406" s="125" t="str">
        <f t="shared" si="362"/>
        <v>-</v>
      </c>
      <c r="S406" s="311" t="s">
        <v>78</v>
      </c>
      <c r="T406" s="126" t="str">
        <f t="shared" si="363"/>
        <v>-</v>
      </c>
      <c r="U406" s="221" t="s">
        <v>78</v>
      </c>
      <c r="V406" s="125" t="str">
        <f t="shared" si="360"/>
        <v>-</v>
      </c>
      <c r="W406" s="127" t="str">
        <f t="shared" si="332"/>
        <v>-</v>
      </c>
      <c r="X406" s="128"/>
      <c r="Y406" s="223" t="s">
        <v>78</v>
      </c>
      <c r="Z406" s="129" t="str">
        <f t="shared" si="333"/>
        <v>-</v>
      </c>
      <c r="AA406" s="124" t="str">
        <f t="shared" si="336"/>
        <v>-</v>
      </c>
      <c r="AB406" s="130" t="str">
        <f t="shared" si="337"/>
        <v>-</v>
      </c>
      <c r="AC406" s="221" t="s">
        <v>78</v>
      </c>
      <c r="AD406" s="225" t="s">
        <v>78</v>
      </c>
      <c r="AE406" s="225" t="s">
        <v>78</v>
      </c>
      <c r="AF406" s="225" t="s">
        <v>78</v>
      </c>
      <c r="AG406" s="225" t="s">
        <v>78</v>
      </c>
      <c r="AH406" s="125" t="str">
        <f t="shared" si="319"/>
        <v>-</v>
      </c>
      <c r="AI406" s="127" t="str">
        <f t="shared" si="334"/>
        <v>-</v>
      </c>
      <c r="AJ406" s="128"/>
      <c r="AK406" s="223" t="s">
        <v>78</v>
      </c>
      <c r="AL406" s="131" t="str">
        <f t="shared" si="335"/>
        <v>-</v>
      </c>
      <c r="AM406" s="368" t="str">
        <f t="shared" si="354"/>
        <v>-</v>
      </c>
      <c r="AN406" s="375" t="str">
        <f t="shared" si="338"/>
        <v>-</v>
      </c>
      <c r="AO406" s="376" t="str">
        <f t="shared" si="339"/>
        <v>-</v>
      </c>
      <c r="AP406" s="394" t="s">
        <v>78</v>
      </c>
      <c r="AQ406" s="395" t="s">
        <v>78</v>
      </c>
      <c r="AR406" s="396" t="str">
        <f t="shared" si="313"/>
        <v>-</v>
      </c>
      <c r="AS406" s="397"/>
      <c r="AT406" s="401" t="s">
        <v>78</v>
      </c>
      <c r="AU406" s="396" t="str">
        <f t="shared" si="314"/>
        <v>-</v>
      </c>
      <c r="AV406" s="397"/>
      <c r="AW406" s="388" t="str">
        <f t="shared" si="340"/>
        <v>-</v>
      </c>
      <c r="AX406" s="389" t="str">
        <f t="shared" si="341"/>
        <v>-</v>
      </c>
      <c r="AY406" s="353" t="s">
        <v>78</v>
      </c>
      <c r="AZ406" s="403"/>
      <c r="BA406" s="404"/>
    </row>
    <row r="407" spans="1:53" ht="15" customHeight="1">
      <c r="A407" s="1" t="str">
        <f t="shared" si="312"/>
        <v>0_2025_</v>
      </c>
      <c r="B407" s="1" t="str">
        <f t="shared" si="317"/>
        <v>0_2025_NEO2</v>
      </c>
      <c r="D407" s="114">
        <f t="shared" si="352"/>
        <v>0</v>
      </c>
      <c r="E407" s="133" t="str">
        <f>_xll.ciqfunctions.udf.CIQ(D407,"IQ_Company_Name")</f>
        <v>(Invalid Identifier)</v>
      </c>
      <c r="F407" s="114">
        <f t="shared" si="344"/>
        <v>2025</v>
      </c>
      <c r="G407" s="114" t="str">
        <f t="shared" si="357"/>
        <v>2025-01-01</v>
      </c>
      <c r="H407" s="330" t="str">
        <f t="shared" si="358"/>
        <v>2025-12-31</v>
      </c>
      <c r="I407" s="114">
        <f t="shared" si="359"/>
        <v>12</v>
      </c>
      <c r="J407" s="407" t="str">
        <f t="shared" si="328"/>
        <v>CAD</v>
      </c>
      <c r="K407" s="439">
        <f t="shared" si="318"/>
        <v>1</v>
      </c>
      <c r="L407" s="445"/>
      <c r="M407" s="982"/>
      <c r="N407" s="442" t="s">
        <v>108</v>
      </c>
      <c r="O407" s="217" t="s">
        <v>78</v>
      </c>
      <c r="P407" s="218" t="s">
        <v>78</v>
      </c>
      <c r="Q407" s="219" t="s">
        <v>78</v>
      </c>
      <c r="R407" s="125" t="str">
        <f t="shared" si="362"/>
        <v>-</v>
      </c>
      <c r="S407" s="311" t="s">
        <v>78</v>
      </c>
      <c r="T407" s="126" t="str">
        <f t="shared" si="363"/>
        <v>-</v>
      </c>
      <c r="U407" s="221" t="s">
        <v>78</v>
      </c>
      <c r="V407" s="125" t="str">
        <f t="shared" si="360"/>
        <v>-</v>
      </c>
      <c r="W407" s="127" t="str">
        <f t="shared" si="332"/>
        <v>-</v>
      </c>
      <c r="X407" s="128" t="str">
        <f>IFERROR(AVERAGE(W407:W409),"N/A")</f>
        <v>N/A</v>
      </c>
      <c r="Y407" s="223" t="s">
        <v>78</v>
      </c>
      <c r="Z407" s="129" t="str">
        <f t="shared" si="333"/>
        <v>-</v>
      </c>
      <c r="AA407" s="124" t="str">
        <f t="shared" si="336"/>
        <v>-</v>
      </c>
      <c r="AB407" s="130" t="str">
        <f t="shared" si="337"/>
        <v>-</v>
      </c>
      <c r="AC407" s="221" t="s">
        <v>78</v>
      </c>
      <c r="AD407" s="225" t="s">
        <v>78</v>
      </c>
      <c r="AE407" s="225" t="s">
        <v>78</v>
      </c>
      <c r="AF407" s="225" t="s">
        <v>78</v>
      </c>
      <c r="AG407" s="225" t="s">
        <v>78</v>
      </c>
      <c r="AH407" s="125" t="str">
        <f t="shared" si="319"/>
        <v>-</v>
      </c>
      <c r="AI407" s="127" t="str">
        <f t="shared" si="334"/>
        <v>-</v>
      </c>
      <c r="AJ407" s="128" t="str">
        <f>IFERROR(AVERAGE(AI407:AI409),"N/A")</f>
        <v>N/A</v>
      </c>
      <c r="AK407" s="223" t="s">
        <v>78</v>
      </c>
      <c r="AL407" s="131" t="str">
        <f t="shared" si="335"/>
        <v>-</v>
      </c>
      <c r="AM407" s="368" t="str">
        <f t="shared" si="354"/>
        <v>-</v>
      </c>
      <c r="AN407" s="375" t="str">
        <f t="shared" si="338"/>
        <v>-</v>
      </c>
      <c r="AO407" s="376" t="str">
        <f t="shared" si="339"/>
        <v>-</v>
      </c>
      <c r="AP407" s="394" t="s">
        <v>78</v>
      </c>
      <c r="AQ407" s="395" t="s">
        <v>78</v>
      </c>
      <c r="AR407" s="396" t="str">
        <f t="shared" si="313"/>
        <v>-</v>
      </c>
      <c r="AS407" s="397" t="str">
        <f>IFERROR(AVERAGE(AR407:AR409),"N/A")</f>
        <v>N/A</v>
      </c>
      <c r="AT407" s="401" t="s">
        <v>78</v>
      </c>
      <c r="AU407" s="396" t="str">
        <f t="shared" si="314"/>
        <v>-</v>
      </c>
      <c r="AV407" s="397" t="str">
        <f>IFERROR(AVERAGE(AU407:AU409),"N/A")</f>
        <v>N/A</v>
      </c>
      <c r="AW407" s="388" t="str">
        <f t="shared" si="340"/>
        <v>-</v>
      </c>
      <c r="AX407" s="389" t="str">
        <f t="shared" si="341"/>
        <v>-</v>
      </c>
      <c r="AY407" s="353" t="s">
        <v>78</v>
      </c>
      <c r="AZ407" s="403"/>
      <c r="BA407" s="404"/>
    </row>
    <row r="408" spans="1:53" ht="15" customHeight="1">
      <c r="A408" s="1" t="str">
        <f t="shared" si="312"/>
        <v>0_2024_</v>
      </c>
      <c r="B408" s="1" t="str">
        <f t="shared" si="317"/>
        <v>0_2024_NEO2</v>
      </c>
      <c r="D408" s="114">
        <f t="shared" si="352"/>
        <v>0</v>
      </c>
      <c r="E408" s="133" t="str">
        <f>_xll.ciqfunctions.udf.CIQ(D408,"IQ_Company_Name")</f>
        <v>(Invalid Identifier)</v>
      </c>
      <c r="F408" s="114">
        <f t="shared" si="344"/>
        <v>2024</v>
      </c>
      <c r="G408" s="114" t="str">
        <f t="shared" si="357"/>
        <v>2024-01-01</v>
      </c>
      <c r="H408" s="330" t="str">
        <f t="shared" si="358"/>
        <v>2024-12-31</v>
      </c>
      <c r="I408" s="114">
        <f t="shared" si="359"/>
        <v>12</v>
      </c>
      <c r="J408" s="407" t="str">
        <f t="shared" si="328"/>
        <v>CAD</v>
      </c>
      <c r="K408" s="439">
        <f t="shared" si="318"/>
        <v>1</v>
      </c>
      <c r="L408" s="445"/>
      <c r="M408" s="982"/>
      <c r="N408" s="443" t="str">
        <f t="shared" ref="N408:P409" si="366">N407</f>
        <v>NEO2</v>
      </c>
      <c r="O408" s="123" t="str">
        <f t="shared" si="366"/>
        <v>-</v>
      </c>
      <c r="P408" s="132" t="str">
        <f t="shared" si="366"/>
        <v>-</v>
      </c>
      <c r="Q408" s="219" t="s">
        <v>78</v>
      </c>
      <c r="R408" s="125" t="str">
        <f t="shared" si="362"/>
        <v>-</v>
      </c>
      <c r="S408" s="311" t="s">
        <v>78</v>
      </c>
      <c r="T408" s="126" t="str">
        <f t="shared" si="363"/>
        <v>-</v>
      </c>
      <c r="U408" s="221" t="s">
        <v>78</v>
      </c>
      <c r="V408" s="125" t="str">
        <f t="shared" si="360"/>
        <v>-</v>
      </c>
      <c r="W408" s="127" t="str">
        <f t="shared" si="332"/>
        <v>-</v>
      </c>
      <c r="X408" s="128"/>
      <c r="Y408" s="223" t="s">
        <v>78</v>
      </c>
      <c r="Z408" s="129" t="str">
        <f t="shared" si="333"/>
        <v>-</v>
      </c>
      <c r="AA408" s="124" t="str">
        <f t="shared" si="336"/>
        <v>-</v>
      </c>
      <c r="AB408" s="130" t="str">
        <f t="shared" si="337"/>
        <v>-</v>
      </c>
      <c r="AC408" s="221" t="s">
        <v>78</v>
      </c>
      <c r="AD408" s="225" t="s">
        <v>78</v>
      </c>
      <c r="AE408" s="225" t="s">
        <v>78</v>
      </c>
      <c r="AF408" s="225" t="s">
        <v>78</v>
      </c>
      <c r="AG408" s="225" t="s">
        <v>78</v>
      </c>
      <c r="AH408" s="125" t="str">
        <f t="shared" si="319"/>
        <v>-</v>
      </c>
      <c r="AI408" s="127" t="str">
        <f t="shared" si="334"/>
        <v>-</v>
      </c>
      <c r="AJ408" s="128"/>
      <c r="AK408" s="223" t="s">
        <v>78</v>
      </c>
      <c r="AL408" s="131" t="str">
        <f t="shared" si="335"/>
        <v>-</v>
      </c>
      <c r="AM408" s="368" t="str">
        <f t="shared" si="354"/>
        <v>-</v>
      </c>
      <c r="AN408" s="375" t="str">
        <f t="shared" si="338"/>
        <v>-</v>
      </c>
      <c r="AO408" s="376" t="str">
        <f t="shared" si="339"/>
        <v>-</v>
      </c>
      <c r="AP408" s="394" t="s">
        <v>78</v>
      </c>
      <c r="AQ408" s="395" t="s">
        <v>78</v>
      </c>
      <c r="AR408" s="396" t="str">
        <f t="shared" si="313"/>
        <v>-</v>
      </c>
      <c r="AS408" s="397"/>
      <c r="AT408" s="401" t="s">
        <v>78</v>
      </c>
      <c r="AU408" s="396" t="str">
        <f t="shared" si="314"/>
        <v>-</v>
      </c>
      <c r="AV408" s="397"/>
      <c r="AW408" s="388" t="str">
        <f t="shared" si="340"/>
        <v>-</v>
      </c>
      <c r="AX408" s="389" t="str">
        <f t="shared" si="341"/>
        <v>-</v>
      </c>
      <c r="AY408" s="353" t="s">
        <v>78</v>
      </c>
      <c r="AZ408" s="403"/>
      <c r="BA408" s="404"/>
    </row>
    <row r="409" spans="1:53" ht="15" customHeight="1">
      <c r="A409" s="1" t="str">
        <f t="shared" si="312"/>
        <v>0_2023_</v>
      </c>
      <c r="B409" s="1" t="str">
        <f t="shared" si="317"/>
        <v>0_2023_NEO2</v>
      </c>
      <c r="D409" s="114">
        <f t="shared" si="352"/>
        <v>0</v>
      </c>
      <c r="E409" s="133" t="str">
        <f>_xll.ciqfunctions.udf.CIQ(D409,"IQ_Company_Name")</f>
        <v>(Invalid Identifier)</v>
      </c>
      <c r="F409" s="114">
        <f t="shared" si="344"/>
        <v>2023</v>
      </c>
      <c r="G409" s="114" t="str">
        <f t="shared" si="357"/>
        <v>2023-01-01</v>
      </c>
      <c r="H409" s="330" t="str">
        <f t="shared" si="358"/>
        <v>2023-12-31</v>
      </c>
      <c r="I409" s="114">
        <f t="shared" si="359"/>
        <v>12</v>
      </c>
      <c r="J409" s="407" t="str">
        <f t="shared" si="328"/>
        <v>CAD</v>
      </c>
      <c r="K409" s="439">
        <f t="shared" si="318"/>
        <v>1</v>
      </c>
      <c r="L409" s="445"/>
      <c r="M409" s="982"/>
      <c r="N409" s="443" t="str">
        <f t="shared" si="366"/>
        <v>NEO2</v>
      </c>
      <c r="O409" s="123" t="str">
        <f t="shared" si="366"/>
        <v>-</v>
      </c>
      <c r="P409" s="132" t="str">
        <f t="shared" si="366"/>
        <v>-</v>
      </c>
      <c r="Q409" s="219" t="s">
        <v>78</v>
      </c>
      <c r="R409" s="125" t="str">
        <f t="shared" si="362"/>
        <v>-</v>
      </c>
      <c r="S409" s="311" t="s">
        <v>78</v>
      </c>
      <c r="T409" s="126" t="str">
        <f t="shared" si="363"/>
        <v>-</v>
      </c>
      <c r="U409" s="221" t="s">
        <v>78</v>
      </c>
      <c r="V409" s="125" t="str">
        <f t="shared" si="360"/>
        <v>-</v>
      </c>
      <c r="W409" s="127" t="str">
        <f t="shared" si="332"/>
        <v>-</v>
      </c>
      <c r="X409" s="128"/>
      <c r="Y409" s="223" t="s">
        <v>78</v>
      </c>
      <c r="Z409" s="129" t="str">
        <f t="shared" si="333"/>
        <v>-</v>
      </c>
      <c r="AA409" s="124" t="str">
        <f t="shared" si="336"/>
        <v>-</v>
      </c>
      <c r="AB409" s="130" t="str">
        <f t="shared" si="337"/>
        <v>-</v>
      </c>
      <c r="AC409" s="221" t="s">
        <v>78</v>
      </c>
      <c r="AD409" s="225" t="s">
        <v>78</v>
      </c>
      <c r="AE409" s="225" t="s">
        <v>78</v>
      </c>
      <c r="AF409" s="225" t="s">
        <v>78</v>
      </c>
      <c r="AG409" s="225" t="s">
        <v>78</v>
      </c>
      <c r="AH409" s="125" t="str">
        <f t="shared" si="319"/>
        <v>-</v>
      </c>
      <c r="AI409" s="127" t="str">
        <f t="shared" si="334"/>
        <v>-</v>
      </c>
      <c r="AJ409" s="128"/>
      <c r="AK409" s="223" t="s">
        <v>78</v>
      </c>
      <c r="AL409" s="131" t="str">
        <f t="shared" si="335"/>
        <v>-</v>
      </c>
      <c r="AM409" s="368" t="str">
        <f t="shared" si="354"/>
        <v>-</v>
      </c>
      <c r="AN409" s="375" t="str">
        <f t="shared" si="338"/>
        <v>-</v>
      </c>
      <c r="AO409" s="376" t="str">
        <f t="shared" si="339"/>
        <v>-</v>
      </c>
      <c r="AP409" s="394" t="s">
        <v>78</v>
      </c>
      <c r="AQ409" s="395" t="s">
        <v>78</v>
      </c>
      <c r="AR409" s="396" t="str">
        <f t="shared" si="313"/>
        <v>-</v>
      </c>
      <c r="AS409" s="397"/>
      <c r="AT409" s="401" t="s">
        <v>78</v>
      </c>
      <c r="AU409" s="396" t="str">
        <f t="shared" si="314"/>
        <v>-</v>
      </c>
      <c r="AV409" s="397"/>
      <c r="AW409" s="388" t="str">
        <f t="shared" si="340"/>
        <v>-</v>
      </c>
      <c r="AX409" s="389" t="str">
        <f t="shared" si="341"/>
        <v>-</v>
      </c>
      <c r="AY409" s="353" t="s">
        <v>78</v>
      </c>
      <c r="AZ409" s="403"/>
      <c r="BA409" s="404"/>
    </row>
    <row r="410" spans="1:53" ht="15" customHeight="1">
      <c r="A410" s="1" t="str">
        <f t="shared" si="312"/>
        <v>0_2025_</v>
      </c>
      <c r="B410" s="1" t="str">
        <f t="shared" si="317"/>
        <v>0_2025_NEO3</v>
      </c>
      <c r="D410" s="114">
        <f t="shared" si="352"/>
        <v>0</v>
      </c>
      <c r="E410" s="133" t="str">
        <f>_xll.ciqfunctions.udf.CIQ(D410,"IQ_Company_Name")</f>
        <v>(Invalid Identifier)</v>
      </c>
      <c r="F410" s="114">
        <f t="shared" si="344"/>
        <v>2025</v>
      </c>
      <c r="G410" s="114" t="str">
        <f t="shared" si="357"/>
        <v>2025-01-01</v>
      </c>
      <c r="H410" s="330" t="str">
        <f t="shared" si="358"/>
        <v>2025-12-31</v>
      </c>
      <c r="I410" s="114">
        <f t="shared" si="359"/>
        <v>12</v>
      </c>
      <c r="J410" s="407" t="str">
        <f t="shared" si="328"/>
        <v>CAD</v>
      </c>
      <c r="K410" s="439">
        <f t="shared" si="318"/>
        <v>1</v>
      </c>
      <c r="L410" s="445"/>
      <c r="M410" s="982"/>
      <c r="N410" s="442" t="s">
        <v>109</v>
      </c>
      <c r="O410" s="217" t="s">
        <v>78</v>
      </c>
      <c r="P410" s="218" t="s">
        <v>78</v>
      </c>
      <c r="Q410" s="219" t="s">
        <v>78</v>
      </c>
      <c r="R410" s="125" t="str">
        <f t="shared" si="362"/>
        <v>-</v>
      </c>
      <c r="S410" s="311" t="s">
        <v>78</v>
      </c>
      <c r="T410" s="126" t="str">
        <f t="shared" si="363"/>
        <v>-</v>
      </c>
      <c r="U410" s="221" t="s">
        <v>78</v>
      </c>
      <c r="V410" s="125" t="str">
        <f t="shared" si="360"/>
        <v>-</v>
      </c>
      <c r="W410" s="127" t="str">
        <f t="shared" si="332"/>
        <v>-</v>
      </c>
      <c r="X410" s="128" t="str">
        <f>IFERROR(AVERAGE(W410:W412),"N/A")</f>
        <v>N/A</v>
      </c>
      <c r="Y410" s="223" t="s">
        <v>78</v>
      </c>
      <c r="Z410" s="129" t="str">
        <f t="shared" si="333"/>
        <v>-</v>
      </c>
      <c r="AA410" s="124" t="str">
        <f t="shared" si="336"/>
        <v>-</v>
      </c>
      <c r="AB410" s="130" t="str">
        <f t="shared" si="337"/>
        <v>-</v>
      </c>
      <c r="AC410" s="221" t="s">
        <v>78</v>
      </c>
      <c r="AD410" s="225" t="s">
        <v>78</v>
      </c>
      <c r="AE410" s="225" t="s">
        <v>78</v>
      </c>
      <c r="AF410" s="225" t="s">
        <v>78</v>
      </c>
      <c r="AG410" s="225" t="s">
        <v>78</v>
      </c>
      <c r="AH410" s="125" t="str">
        <f t="shared" si="319"/>
        <v>-</v>
      </c>
      <c r="AI410" s="127" t="str">
        <f t="shared" si="334"/>
        <v>-</v>
      </c>
      <c r="AJ410" s="128" t="str">
        <f>IFERROR(AVERAGE(AI410:AI412),"N/A")</f>
        <v>N/A</v>
      </c>
      <c r="AK410" s="223" t="s">
        <v>78</v>
      </c>
      <c r="AL410" s="131" t="str">
        <f t="shared" si="335"/>
        <v>-</v>
      </c>
      <c r="AM410" s="368" t="str">
        <f t="shared" si="354"/>
        <v>-</v>
      </c>
      <c r="AN410" s="375" t="str">
        <f t="shared" si="338"/>
        <v>-</v>
      </c>
      <c r="AO410" s="376" t="str">
        <f t="shared" si="339"/>
        <v>-</v>
      </c>
      <c r="AP410" s="394" t="s">
        <v>78</v>
      </c>
      <c r="AQ410" s="395" t="s">
        <v>78</v>
      </c>
      <c r="AR410" s="396" t="str">
        <f t="shared" si="313"/>
        <v>-</v>
      </c>
      <c r="AS410" s="397" t="str">
        <f>IFERROR(AVERAGE(AR410:AR412),"N/A")</f>
        <v>N/A</v>
      </c>
      <c r="AT410" s="401" t="s">
        <v>78</v>
      </c>
      <c r="AU410" s="396" t="str">
        <f t="shared" si="314"/>
        <v>-</v>
      </c>
      <c r="AV410" s="397" t="str">
        <f>IFERROR(AVERAGE(AU410:AU412),"N/A")</f>
        <v>N/A</v>
      </c>
      <c r="AW410" s="388" t="str">
        <f t="shared" si="340"/>
        <v>-</v>
      </c>
      <c r="AX410" s="389" t="str">
        <f t="shared" si="341"/>
        <v>-</v>
      </c>
      <c r="AY410" s="353" t="s">
        <v>78</v>
      </c>
      <c r="AZ410" s="403"/>
      <c r="BA410" s="404"/>
    </row>
    <row r="411" spans="1:53" ht="15" customHeight="1">
      <c r="A411" s="1" t="str">
        <f t="shared" si="312"/>
        <v>0_2024_</v>
      </c>
      <c r="B411" s="1" t="str">
        <f t="shared" si="317"/>
        <v>0_2024_NEO3</v>
      </c>
      <c r="D411" s="114">
        <f t="shared" si="352"/>
        <v>0</v>
      </c>
      <c r="E411" s="133" t="str">
        <f>_xll.ciqfunctions.udf.CIQ(D411,"IQ_Company_Name")</f>
        <v>(Invalid Identifier)</v>
      </c>
      <c r="F411" s="114">
        <f t="shared" si="344"/>
        <v>2024</v>
      </c>
      <c r="G411" s="114" t="str">
        <f t="shared" si="357"/>
        <v>2024-01-01</v>
      </c>
      <c r="H411" s="330" t="str">
        <f t="shared" si="358"/>
        <v>2024-12-31</v>
      </c>
      <c r="I411" s="114">
        <f t="shared" si="359"/>
        <v>12</v>
      </c>
      <c r="J411" s="407" t="str">
        <f t="shared" si="328"/>
        <v>CAD</v>
      </c>
      <c r="K411" s="439">
        <f t="shared" si="318"/>
        <v>1</v>
      </c>
      <c r="L411" s="445"/>
      <c r="M411" s="982"/>
      <c r="N411" s="443" t="str">
        <f t="shared" ref="N411:P412" si="367">N410</f>
        <v>NEO3</v>
      </c>
      <c r="O411" s="123" t="str">
        <f t="shared" si="367"/>
        <v>-</v>
      </c>
      <c r="P411" s="132" t="str">
        <f t="shared" si="367"/>
        <v>-</v>
      </c>
      <c r="Q411" s="219" t="s">
        <v>78</v>
      </c>
      <c r="R411" s="125" t="str">
        <f t="shared" si="362"/>
        <v>-</v>
      </c>
      <c r="S411" s="311" t="s">
        <v>78</v>
      </c>
      <c r="T411" s="126" t="str">
        <f t="shared" si="363"/>
        <v>-</v>
      </c>
      <c r="U411" s="221" t="s">
        <v>78</v>
      </c>
      <c r="V411" s="125" t="str">
        <f t="shared" si="360"/>
        <v>-</v>
      </c>
      <c r="W411" s="127" t="str">
        <f t="shared" si="332"/>
        <v>-</v>
      </c>
      <c r="X411" s="128"/>
      <c r="Y411" s="223" t="s">
        <v>78</v>
      </c>
      <c r="Z411" s="129" t="str">
        <f t="shared" si="333"/>
        <v>-</v>
      </c>
      <c r="AA411" s="124" t="str">
        <f t="shared" si="336"/>
        <v>-</v>
      </c>
      <c r="AB411" s="130" t="str">
        <f t="shared" si="337"/>
        <v>-</v>
      </c>
      <c r="AC411" s="221" t="s">
        <v>78</v>
      </c>
      <c r="AD411" s="225" t="s">
        <v>78</v>
      </c>
      <c r="AE411" s="225" t="s">
        <v>78</v>
      </c>
      <c r="AF411" s="225" t="s">
        <v>78</v>
      </c>
      <c r="AG411" s="225" t="s">
        <v>78</v>
      </c>
      <c r="AH411" s="125" t="str">
        <f t="shared" si="319"/>
        <v>-</v>
      </c>
      <c r="AI411" s="127" t="str">
        <f t="shared" si="334"/>
        <v>-</v>
      </c>
      <c r="AJ411" s="128"/>
      <c r="AK411" s="223" t="s">
        <v>78</v>
      </c>
      <c r="AL411" s="131" t="str">
        <f t="shared" si="335"/>
        <v>-</v>
      </c>
      <c r="AM411" s="368" t="str">
        <f t="shared" si="354"/>
        <v>-</v>
      </c>
      <c r="AN411" s="375" t="str">
        <f t="shared" si="338"/>
        <v>-</v>
      </c>
      <c r="AO411" s="376" t="str">
        <f t="shared" si="339"/>
        <v>-</v>
      </c>
      <c r="AP411" s="394" t="s">
        <v>78</v>
      </c>
      <c r="AQ411" s="395" t="s">
        <v>78</v>
      </c>
      <c r="AR411" s="396" t="str">
        <f t="shared" si="313"/>
        <v>-</v>
      </c>
      <c r="AS411" s="397"/>
      <c r="AT411" s="401" t="s">
        <v>78</v>
      </c>
      <c r="AU411" s="396" t="str">
        <f t="shared" si="314"/>
        <v>-</v>
      </c>
      <c r="AV411" s="397"/>
      <c r="AW411" s="388" t="str">
        <f t="shared" si="340"/>
        <v>-</v>
      </c>
      <c r="AX411" s="389" t="str">
        <f t="shared" si="341"/>
        <v>-</v>
      </c>
      <c r="AY411" s="353" t="s">
        <v>78</v>
      </c>
      <c r="AZ411" s="403"/>
      <c r="BA411" s="404"/>
    </row>
    <row r="412" spans="1:53" ht="15" customHeight="1" thickBot="1">
      <c r="A412" s="1" t="str">
        <f t="shared" si="312"/>
        <v>0_2023_</v>
      </c>
      <c r="B412" s="1" t="str">
        <f t="shared" si="317"/>
        <v>0_2023_NEO3</v>
      </c>
      <c r="D412" s="203">
        <f t="shared" si="352"/>
        <v>0</v>
      </c>
      <c r="E412" s="205" t="str">
        <f>_xll.ciqfunctions.udf.CIQ(D412,"IQ_Company_Name")</f>
        <v>(Invalid Identifier)</v>
      </c>
      <c r="F412" s="204">
        <f t="shared" si="344"/>
        <v>2023</v>
      </c>
      <c r="G412" s="204" t="str">
        <f t="shared" si="357"/>
        <v>2023-01-01</v>
      </c>
      <c r="H412" s="331" t="str">
        <f t="shared" si="358"/>
        <v>2023-12-31</v>
      </c>
      <c r="I412" s="204">
        <f t="shared" si="359"/>
        <v>12</v>
      </c>
      <c r="J412" s="408" t="str">
        <f t="shared" si="328"/>
        <v>CAD</v>
      </c>
      <c r="K412" s="441">
        <f t="shared" si="318"/>
        <v>1</v>
      </c>
      <c r="L412" s="447"/>
      <c r="M412" s="983"/>
      <c r="N412" s="444" t="str">
        <f t="shared" si="367"/>
        <v>NEO3</v>
      </c>
      <c r="O412" s="206" t="str">
        <f t="shared" si="367"/>
        <v>-</v>
      </c>
      <c r="P412" s="207" t="str">
        <f t="shared" si="367"/>
        <v>-</v>
      </c>
      <c r="Q412" s="220" t="s">
        <v>78</v>
      </c>
      <c r="R412" s="209" t="str">
        <f>IFERROR(Q412*(12/$I412)*$K412,"-")</f>
        <v>-</v>
      </c>
      <c r="S412" s="312" t="s">
        <v>78</v>
      </c>
      <c r="T412" s="329" t="str">
        <f>IFERROR(IF((S412*$K412)=0,"-",(S412*$K412)),"-")</f>
        <v>-</v>
      </c>
      <c r="U412" s="222" t="s">
        <v>78</v>
      </c>
      <c r="V412" s="209" t="str">
        <f t="shared" si="360"/>
        <v>-</v>
      </c>
      <c r="W412" s="211" t="str">
        <f t="shared" si="332"/>
        <v>-</v>
      </c>
      <c r="X412" s="212"/>
      <c r="Y412" s="224" t="s">
        <v>78</v>
      </c>
      <c r="Z412" s="213" t="str">
        <f t="shared" si="333"/>
        <v>-</v>
      </c>
      <c r="AA412" s="208" t="str">
        <f t="shared" si="336"/>
        <v>-</v>
      </c>
      <c r="AB412" s="214" t="str">
        <f t="shared" si="337"/>
        <v>-</v>
      </c>
      <c r="AC412" s="222" t="s">
        <v>78</v>
      </c>
      <c r="AD412" s="226" t="s">
        <v>78</v>
      </c>
      <c r="AE412" s="226" t="s">
        <v>78</v>
      </c>
      <c r="AF412" s="226" t="s">
        <v>78</v>
      </c>
      <c r="AG412" s="226" t="s">
        <v>78</v>
      </c>
      <c r="AH412" s="418" t="str">
        <f t="shared" si="319"/>
        <v>-</v>
      </c>
      <c r="AI412" s="211" t="str">
        <f t="shared" si="334"/>
        <v>-</v>
      </c>
      <c r="AJ412" s="212"/>
      <c r="AK412" s="224" t="s">
        <v>78</v>
      </c>
      <c r="AL412" s="215" t="str">
        <f t="shared" si="335"/>
        <v>-</v>
      </c>
      <c r="AM412" s="369" t="str">
        <f t="shared" si="354"/>
        <v>-</v>
      </c>
      <c r="AN412" s="379" t="str">
        <f t="shared" si="338"/>
        <v>-</v>
      </c>
      <c r="AO412" s="380" t="str">
        <f t="shared" si="339"/>
        <v>-</v>
      </c>
      <c r="AP412" s="398" t="s">
        <v>78</v>
      </c>
      <c r="AQ412" s="399" t="s">
        <v>78</v>
      </c>
      <c r="AR412" s="396" t="str">
        <f t="shared" si="313"/>
        <v>-</v>
      </c>
      <c r="AS412" s="400"/>
      <c r="AT412" s="402" t="s">
        <v>78</v>
      </c>
      <c r="AU412" s="396" t="str">
        <f t="shared" si="314"/>
        <v>-</v>
      </c>
      <c r="AV412" s="400"/>
      <c r="AW412" s="392" t="str">
        <f t="shared" si="340"/>
        <v>-</v>
      </c>
      <c r="AX412" s="393" t="str">
        <f t="shared" si="341"/>
        <v>-</v>
      </c>
      <c r="AY412" s="354" t="s">
        <v>78</v>
      </c>
      <c r="AZ412" s="405"/>
      <c r="BA412" s="406"/>
    </row>
  </sheetData>
  <conditionalFormatting sqref="D32:AT412">
    <cfRule type="expression" dxfId="212" priority="1" stopIfTrue="1">
      <formula>MOD(ROW()-5,3*2)+1&lt;=3</formula>
    </cfRule>
  </conditionalFormatting>
  <conditionalFormatting sqref="F5:F18">
    <cfRule type="containsText" dxfId="211" priority="164" operator="containsText" text="Y">
      <formula>NOT(ISERROR(SEARCH("Y",F5)))</formula>
    </cfRule>
  </conditionalFormatting>
  <conditionalFormatting sqref="I6">
    <cfRule type="containsText" dxfId="210" priority="163" operator="containsText" text="Y">
      <formula>NOT(ISERROR(SEARCH("Y",I6)))</formula>
    </cfRule>
  </conditionalFormatting>
  <dataValidations disablePrompts="1" count="1">
    <dataValidation type="list" allowBlank="1" showInputMessage="1" showErrorMessage="1" sqref="H5" xr:uid="{00000000-0002-0000-0100-000000000000}">
      <formula1>$F$3:$G$3</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AA55"/>
  <sheetViews>
    <sheetView workbookViewId="0"/>
  </sheetViews>
  <sheetFormatPr defaultColWidth="9.1796875" defaultRowHeight="14" outlineLevelRow="1" outlineLevelCol="1"/>
  <cols>
    <col min="1" max="1" width="10.453125" style="12" bestFit="1" customWidth="1"/>
    <col min="2" max="2" width="8.1796875" style="12" customWidth="1"/>
    <col min="3" max="3" width="32.7265625" style="12" customWidth="1"/>
    <col min="4" max="5" width="14.453125" style="12" customWidth="1" outlineLevel="1"/>
    <col min="6" max="6" width="18.7265625" style="12" customWidth="1" outlineLevel="1"/>
    <col min="7" max="7" width="12.7265625" style="12" customWidth="1"/>
    <col min="8" max="8" width="13.26953125" style="12" customWidth="1"/>
    <col min="9" max="11" width="13.26953125" style="12" customWidth="1" outlineLevel="1"/>
    <col min="12" max="15" width="13.26953125" style="12" customWidth="1"/>
    <col min="16" max="18" width="13.26953125" style="12" customWidth="1" outlineLevel="1"/>
    <col min="19" max="22" width="13.26953125" style="12" customWidth="1"/>
    <col min="23" max="23" width="3.1796875" style="12" customWidth="1"/>
    <col min="24" max="25" width="13.26953125" style="12" customWidth="1"/>
    <col min="26" max="26" width="9.1796875" style="12"/>
    <col min="27" max="27" width="19.26953125" style="13" customWidth="1"/>
    <col min="28" max="16384" width="9.1796875" style="12"/>
  </cols>
  <sheetData>
    <row r="1" spans="1:27" s="48" customFormat="1" ht="17.25" customHeight="1">
      <c r="A1" s="111">
        <f ca="1">TODAY()</f>
        <v>46204</v>
      </c>
    </row>
    <row r="2" spans="1:27">
      <c r="A2" s="12" t="s">
        <v>2</v>
      </c>
      <c r="B2" s="49" t="s">
        <v>24</v>
      </c>
      <c r="C2" s="53"/>
    </row>
    <row r="3" spans="1:27">
      <c r="B3" s="49" t="s">
        <v>23</v>
      </c>
      <c r="C3" s="53">
        <v>2018</v>
      </c>
    </row>
    <row r="4" spans="1:27" s="157" customFormat="1" ht="35.15" customHeight="1" outlineLevel="1">
      <c r="C4" s="157" t="s">
        <v>22</v>
      </c>
      <c r="D4" s="157" t="s">
        <v>21</v>
      </c>
      <c r="E4" s="157" t="s">
        <v>20</v>
      </c>
      <c r="F4" s="157" t="s">
        <v>19</v>
      </c>
      <c r="G4" s="157" t="s">
        <v>29</v>
      </c>
      <c r="H4" s="157" t="s">
        <v>39</v>
      </c>
      <c r="I4" s="157" t="s">
        <v>55</v>
      </c>
      <c r="J4" s="157" t="s">
        <v>56</v>
      </c>
      <c r="K4" s="157" t="s">
        <v>104</v>
      </c>
      <c r="L4" s="157" t="s">
        <v>57</v>
      </c>
      <c r="M4" s="157" t="s">
        <v>60</v>
      </c>
      <c r="N4" s="157" t="s">
        <v>58</v>
      </c>
      <c r="O4" s="157" t="s">
        <v>59</v>
      </c>
      <c r="P4" s="157" t="s">
        <v>47</v>
      </c>
      <c r="Q4" s="157" t="s">
        <v>45</v>
      </c>
      <c r="R4" s="157" t="s">
        <v>105</v>
      </c>
      <c r="S4" s="157" t="s">
        <v>50</v>
      </c>
      <c r="T4" s="157" t="s">
        <v>46</v>
      </c>
      <c r="U4" s="157" t="s">
        <v>48</v>
      </c>
      <c r="V4" s="157" t="s">
        <v>80</v>
      </c>
      <c r="X4" s="157" t="s">
        <v>11</v>
      </c>
      <c r="Y4" s="157" t="s">
        <v>10</v>
      </c>
    </row>
    <row r="5" spans="1:27" ht="20">
      <c r="B5" s="26"/>
      <c r="C5" s="47" t="str">
        <f>+C2&amp; " Benchmarking - "&amp;'Raw Data'!H5&amp;" $000s"</f>
        <v xml:space="preserve"> Benchmarking - CAD $000s</v>
      </c>
      <c r="D5" s="46"/>
      <c r="E5" s="26"/>
      <c r="F5" s="26"/>
      <c r="G5" s="26"/>
      <c r="H5" s="26"/>
      <c r="I5" s="26"/>
      <c r="J5" s="26"/>
      <c r="K5" s="26"/>
      <c r="L5" s="26"/>
      <c r="M5" s="26"/>
      <c r="N5" s="26"/>
      <c r="O5" s="26"/>
      <c r="P5" s="26"/>
      <c r="Q5" s="26"/>
      <c r="R5" s="26"/>
      <c r="S5" s="26"/>
      <c r="T5" s="26"/>
      <c r="U5" s="26"/>
      <c r="V5" s="26"/>
      <c r="W5" s="26"/>
      <c r="X5" s="26"/>
      <c r="Y5" s="26"/>
    </row>
    <row r="6" spans="1:27" ht="35.15" customHeight="1">
      <c r="B6" s="45"/>
      <c r="C6" s="1247" t="s">
        <v>22</v>
      </c>
      <c r="D6" s="1249" t="s">
        <v>21</v>
      </c>
      <c r="E6" s="1249" t="s">
        <v>20</v>
      </c>
      <c r="F6" s="1249" t="s">
        <v>19</v>
      </c>
      <c r="G6" s="1249" t="s">
        <v>18</v>
      </c>
      <c r="H6" s="1245" t="s">
        <v>17</v>
      </c>
      <c r="I6" s="158" t="s">
        <v>16</v>
      </c>
      <c r="J6" s="158"/>
      <c r="K6" s="158"/>
      <c r="L6" s="159" t="s">
        <v>16</v>
      </c>
      <c r="M6" s="159"/>
      <c r="N6" s="158" t="s">
        <v>15</v>
      </c>
      <c r="O6" s="158"/>
      <c r="P6" s="158" t="s">
        <v>14</v>
      </c>
      <c r="Q6" s="158"/>
      <c r="R6" s="158"/>
      <c r="S6" s="159" t="s">
        <v>14</v>
      </c>
      <c r="T6" s="159"/>
      <c r="U6" s="158" t="s">
        <v>13</v>
      </c>
      <c r="V6" s="160"/>
      <c r="W6" s="44"/>
      <c r="X6" s="180" t="s">
        <v>12</v>
      </c>
      <c r="Y6" s="160"/>
    </row>
    <row r="7" spans="1:27" ht="45" customHeight="1">
      <c r="A7" s="52" t="s">
        <v>54</v>
      </c>
      <c r="B7" s="52" t="s">
        <v>25</v>
      </c>
      <c r="C7" s="1248"/>
      <c r="D7" s="1250" t="s">
        <v>21</v>
      </c>
      <c r="E7" s="1250" t="s">
        <v>20</v>
      </c>
      <c r="F7" s="1250" t="s">
        <v>19</v>
      </c>
      <c r="G7" s="1250" t="s">
        <v>18</v>
      </c>
      <c r="H7" s="1246" t="s">
        <v>17</v>
      </c>
      <c r="I7" s="139" t="s">
        <v>40</v>
      </c>
      <c r="J7" s="140" t="s">
        <v>51</v>
      </c>
      <c r="K7" s="140" t="s">
        <v>104</v>
      </c>
      <c r="L7" s="141" t="s">
        <v>42</v>
      </c>
      <c r="M7" s="144" t="s">
        <v>41</v>
      </c>
      <c r="N7" s="139" t="s">
        <v>53</v>
      </c>
      <c r="O7" s="144" t="s">
        <v>42</v>
      </c>
      <c r="P7" s="140" t="s">
        <v>40</v>
      </c>
      <c r="Q7" s="145" t="s">
        <v>52</v>
      </c>
      <c r="R7" s="145" t="s">
        <v>105</v>
      </c>
      <c r="S7" s="141" t="s">
        <v>42</v>
      </c>
      <c r="T7" s="146" t="s">
        <v>41</v>
      </c>
      <c r="U7" s="139" t="s">
        <v>40</v>
      </c>
      <c r="V7" s="161" t="s">
        <v>42</v>
      </c>
      <c r="W7" s="43"/>
      <c r="X7" s="181" t="s">
        <v>11</v>
      </c>
      <c r="Y7" s="182" t="s">
        <v>10</v>
      </c>
    </row>
    <row r="8" spans="1:27" ht="20.25" customHeight="1">
      <c r="A8" s="12" t="str">
        <f t="shared" ref="A8:A27" si="0">$B8&amp;"_"&amp;$C$3&amp;"_"&amp;$C$2</f>
        <v>TSX:T_2018_</v>
      </c>
      <c r="B8" s="12" t="s">
        <v>102</v>
      </c>
      <c r="C8" s="189" t="str">
        <f t="shared" ref="C8:C27" si="1">IFERROR(INDEX(Raw_Data,MATCH($A8,Look_Up,0),MATCH(C$4,Component,0)),"-")</f>
        <v>-</v>
      </c>
      <c r="D8" s="115" t="str">
        <f ca="1">_xll.ciqfunctions.udf.CIQ(B8, "IQ_MARKETCAP", $A$1,$A$2)</f>
        <v>#PEND</v>
      </c>
      <c r="E8" s="115" t="str">
        <f ca="1">_xll.ciqfunctions.udf.CIQ($B8, "IQ_TEV", $A$1,$A$2)</f>
        <v>#PEND</v>
      </c>
      <c r="F8" s="116" t="str">
        <f t="shared" ref="F8:G27" si="2">IFERROR(INDEX(Raw_Data,MATCH($A8,Look_Up,0),MATCH(F$4,Component,0)),"-")</f>
        <v>-</v>
      </c>
      <c r="G8" s="116" t="str">
        <f t="shared" si="2"/>
        <v>-</v>
      </c>
      <c r="H8" s="115" t="str">
        <f t="shared" ref="H8:I27" si="3">IFERROR(INDEX(Raw_Data,MATCH($A8,Look_Up,0),MATCH(H$4,Component,0))/1000,"-")</f>
        <v>-</v>
      </c>
      <c r="I8" s="117" t="str">
        <f t="shared" si="3"/>
        <v>-</v>
      </c>
      <c r="J8" s="118" t="str">
        <f t="shared" ref="J8:K27" si="4">IFERROR(INDEX(Raw_Data,MATCH($A8,Look_Up,0),MATCH(J$4,Component,0)),"-")</f>
        <v>-</v>
      </c>
      <c r="K8" s="118" t="str">
        <f t="shared" si="4"/>
        <v>-</v>
      </c>
      <c r="L8" s="119" t="str">
        <f t="shared" ref="L8:L27" si="5">IFERROR(INDEX(Raw_Data,MATCH($A8,Look_Up,0),MATCH(L$4,Component,0))/1000,"-")</f>
        <v>-</v>
      </c>
      <c r="M8" s="120" t="str">
        <f t="shared" ref="M8:M27" si="6">IFERROR(INDEX(Raw_Data,MATCH($A8,Look_Up,0),MATCH(M$4,Component,0)),"-")</f>
        <v>-</v>
      </c>
      <c r="N8" s="117" t="str">
        <f t="shared" ref="N8:P27" si="7">IFERROR(INDEX(Raw_Data,MATCH($A8,Look_Up,0),MATCH(N$4,Component,0))/1000,"-")</f>
        <v>-</v>
      </c>
      <c r="O8" s="121" t="str">
        <f t="shared" si="7"/>
        <v>-</v>
      </c>
      <c r="P8" s="117" t="str">
        <f t="shared" si="7"/>
        <v>-</v>
      </c>
      <c r="Q8" s="118" t="str">
        <f t="shared" ref="Q8:R27" si="8">IFERROR(INDEX(Raw_Data,MATCH($A8,Look_Up,0),MATCH(Q$4,Component,0)),"-")</f>
        <v>-</v>
      </c>
      <c r="R8" s="118" t="str">
        <f t="shared" si="8"/>
        <v>-</v>
      </c>
      <c r="S8" s="119" t="str">
        <f t="shared" ref="S8:S27" si="9">IFERROR(INDEX(Raw_Data,MATCH($A8,Look_Up,0),MATCH(S$4,Component,0))/1000,"-")</f>
        <v>-</v>
      </c>
      <c r="T8" s="120" t="str">
        <f t="shared" ref="T8:T27" si="10">IFERROR(INDEX(Raw_Data,MATCH($A8,Look_Up,0),MATCH(T$4,Component,0)),"-")</f>
        <v>-</v>
      </c>
      <c r="U8" s="117" t="str">
        <f t="shared" ref="U8:V27" si="11">IFERROR(INDEX(Raw_Data,MATCH($A8,Look_Up,0),MATCH(U$4,Component,0))/1000,"-")</f>
        <v>-</v>
      </c>
      <c r="V8" s="162" t="str">
        <f t="shared" si="11"/>
        <v>-</v>
      </c>
      <c r="W8" s="28"/>
      <c r="X8" s="198" t="str">
        <f t="shared" ref="X8:X27" si="12">IFERROR(N8/U8,"-")</f>
        <v>-</v>
      </c>
      <c r="Y8" s="199" t="str">
        <f t="shared" ref="Y8:Y27" si="13">IFERROR(P8/U8,"-")</f>
        <v>-</v>
      </c>
      <c r="AA8" s="36"/>
    </row>
    <row r="9" spans="1:27" ht="20.25" customHeight="1">
      <c r="A9" s="12" t="str">
        <f t="shared" si="0"/>
        <v>TSX:S_2018_</v>
      </c>
      <c r="B9" s="12" t="s">
        <v>101</v>
      </c>
      <c r="C9" s="189" t="str">
        <f t="shared" si="1"/>
        <v>-</v>
      </c>
      <c r="D9" s="115" t="str">
        <f ca="1">_xll.ciqfunctions.udf.CIQ(B9, "IQ_MARKETCAP", $A$1,$A$2)</f>
        <v>#PEND</v>
      </c>
      <c r="E9" s="115" t="str">
        <f ca="1">_xll.ciqfunctions.udf.CIQ($B9, "IQ_TEV", $A$1,$A$2)</f>
        <v>#PEND</v>
      </c>
      <c r="F9" s="116" t="str">
        <f t="shared" si="2"/>
        <v>-</v>
      </c>
      <c r="G9" s="116" t="str">
        <f t="shared" si="2"/>
        <v>-</v>
      </c>
      <c r="H9" s="115" t="str">
        <f t="shared" si="3"/>
        <v>-</v>
      </c>
      <c r="I9" s="117" t="str">
        <f t="shared" si="3"/>
        <v>-</v>
      </c>
      <c r="J9" s="118" t="str">
        <f t="shared" si="4"/>
        <v>-</v>
      </c>
      <c r="K9" s="118" t="str">
        <f t="shared" si="4"/>
        <v>-</v>
      </c>
      <c r="L9" s="119" t="str">
        <f t="shared" si="5"/>
        <v>-</v>
      </c>
      <c r="M9" s="120" t="str">
        <f t="shared" si="6"/>
        <v>-</v>
      </c>
      <c r="N9" s="117" t="str">
        <f t="shared" si="7"/>
        <v>-</v>
      </c>
      <c r="O9" s="121" t="str">
        <f t="shared" si="7"/>
        <v>-</v>
      </c>
      <c r="P9" s="117" t="str">
        <f t="shared" si="7"/>
        <v>-</v>
      </c>
      <c r="Q9" s="118" t="str">
        <f t="shared" si="8"/>
        <v>-</v>
      </c>
      <c r="R9" s="118" t="str">
        <f t="shared" si="8"/>
        <v>-</v>
      </c>
      <c r="S9" s="119" t="str">
        <f t="shared" si="9"/>
        <v>-</v>
      </c>
      <c r="T9" s="120" t="str">
        <f t="shared" si="10"/>
        <v>-</v>
      </c>
      <c r="U9" s="117" t="str">
        <f t="shared" si="11"/>
        <v>-</v>
      </c>
      <c r="V9" s="162" t="str">
        <f t="shared" si="11"/>
        <v>-</v>
      </c>
      <c r="W9" s="28"/>
      <c r="X9" s="198" t="str">
        <f t="shared" si="12"/>
        <v>-</v>
      </c>
      <c r="Y9" s="199" t="str">
        <f t="shared" si="13"/>
        <v>-</v>
      </c>
      <c r="AA9" s="36"/>
    </row>
    <row r="10" spans="1:27" ht="20.25" customHeight="1">
      <c r="A10" s="12" t="str">
        <f t="shared" si="0"/>
        <v>TSX:R_2018_</v>
      </c>
      <c r="B10" s="12" t="s">
        <v>100</v>
      </c>
      <c r="C10" s="189" t="str">
        <f t="shared" si="1"/>
        <v>-</v>
      </c>
      <c r="D10" s="115" t="str">
        <f ca="1">_xll.ciqfunctions.udf.CIQ(B10, "IQ_MARKETCAP", $A$1,$A$2)</f>
        <v>#PEND</v>
      </c>
      <c r="E10" s="115" t="str">
        <f ca="1">_xll.ciqfunctions.udf.CIQ($B10, "IQ_TEV", $A$1,$A$2)</f>
        <v>#PEND</v>
      </c>
      <c r="F10" s="116" t="str">
        <f t="shared" si="2"/>
        <v>-</v>
      </c>
      <c r="G10" s="116" t="str">
        <f t="shared" si="2"/>
        <v>-</v>
      </c>
      <c r="H10" s="115" t="str">
        <f t="shared" si="3"/>
        <v>-</v>
      </c>
      <c r="I10" s="117" t="str">
        <f t="shared" si="3"/>
        <v>-</v>
      </c>
      <c r="J10" s="118" t="str">
        <f t="shared" si="4"/>
        <v>-</v>
      </c>
      <c r="K10" s="118" t="str">
        <f t="shared" si="4"/>
        <v>-</v>
      </c>
      <c r="L10" s="119" t="str">
        <f t="shared" si="5"/>
        <v>-</v>
      </c>
      <c r="M10" s="120" t="str">
        <f t="shared" si="6"/>
        <v>-</v>
      </c>
      <c r="N10" s="117" t="str">
        <f t="shared" si="7"/>
        <v>-</v>
      </c>
      <c r="O10" s="121" t="str">
        <f t="shared" si="7"/>
        <v>-</v>
      </c>
      <c r="P10" s="117" t="str">
        <f t="shared" si="7"/>
        <v>-</v>
      </c>
      <c r="Q10" s="118" t="str">
        <f t="shared" si="8"/>
        <v>-</v>
      </c>
      <c r="R10" s="118" t="str">
        <f t="shared" si="8"/>
        <v>-</v>
      </c>
      <c r="S10" s="119" t="str">
        <f t="shared" si="9"/>
        <v>-</v>
      </c>
      <c r="T10" s="120" t="str">
        <f t="shared" si="10"/>
        <v>-</v>
      </c>
      <c r="U10" s="117" t="str">
        <f t="shared" si="11"/>
        <v>-</v>
      </c>
      <c r="V10" s="162" t="str">
        <f t="shared" si="11"/>
        <v>-</v>
      </c>
      <c r="W10" s="28"/>
      <c r="X10" s="198" t="str">
        <f t="shared" si="12"/>
        <v>-</v>
      </c>
      <c r="Y10" s="199" t="str">
        <f t="shared" si="13"/>
        <v>-</v>
      </c>
      <c r="AA10" s="36"/>
    </row>
    <row r="11" spans="1:27" ht="20.25" customHeight="1">
      <c r="A11" s="12" t="str">
        <f t="shared" si="0"/>
        <v>TSX:Q_2018_</v>
      </c>
      <c r="B11" s="12" t="s">
        <v>99</v>
      </c>
      <c r="C11" s="189" t="str">
        <f t="shared" si="1"/>
        <v>-</v>
      </c>
      <c r="D11" s="115" t="str">
        <f ca="1">_xll.ciqfunctions.udf.CIQ(B11, "IQ_MARKETCAP", $A$1,$A$2)</f>
        <v>#PEND</v>
      </c>
      <c r="E11" s="115" t="str">
        <f ca="1">_xll.ciqfunctions.udf.CIQ($B11, "IQ_TEV", $A$1,$A$2)</f>
        <v>#PEND</v>
      </c>
      <c r="F11" s="116" t="str">
        <f t="shared" si="2"/>
        <v>-</v>
      </c>
      <c r="G11" s="116" t="str">
        <f t="shared" si="2"/>
        <v>-</v>
      </c>
      <c r="H11" s="115" t="str">
        <f t="shared" si="3"/>
        <v>-</v>
      </c>
      <c r="I11" s="117" t="str">
        <f t="shared" si="3"/>
        <v>-</v>
      </c>
      <c r="J11" s="118" t="str">
        <f t="shared" si="4"/>
        <v>-</v>
      </c>
      <c r="K11" s="118" t="str">
        <f t="shared" si="4"/>
        <v>-</v>
      </c>
      <c r="L11" s="119" t="str">
        <f t="shared" si="5"/>
        <v>-</v>
      </c>
      <c r="M11" s="120" t="str">
        <f t="shared" si="6"/>
        <v>-</v>
      </c>
      <c r="N11" s="117" t="str">
        <f t="shared" si="7"/>
        <v>-</v>
      </c>
      <c r="O11" s="121" t="str">
        <f t="shared" si="7"/>
        <v>-</v>
      </c>
      <c r="P11" s="117" t="str">
        <f t="shared" si="7"/>
        <v>-</v>
      </c>
      <c r="Q11" s="118" t="str">
        <f t="shared" si="8"/>
        <v>-</v>
      </c>
      <c r="R11" s="118" t="str">
        <f t="shared" si="8"/>
        <v>-</v>
      </c>
      <c r="S11" s="119" t="str">
        <f t="shared" si="9"/>
        <v>-</v>
      </c>
      <c r="T11" s="120" t="str">
        <f t="shared" si="10"/>
        <v>-</v>
      </c>
      <c r="U11" s="117" t="str">
        <f t="shared" si="11"/>
        <v>-</v>
      </c>
      <c r="V11" s="162" t="str">
        <f t="shared" si="11"/>
        <v>-</v>
      </c>
      <c r="W11" s="28"/>
      <c r="X11" s="198" t="str">
        <f t="shared" si="12"/>
        <v>-</v>
      </c>
      <c r="Y11" s="199" t="str">
        <f t="shared" si="13"/>
        <v>-</v>
      </c>
      <c r="AA11" s="36"/>
    </row>
    <row r="12" spans="1:27" ht="20.25" customHeight="1">
      <c r="A12" s="12" t="str">
        <f t="shared" si="0"/>
        <v>TSX:P_2018_</v>
      </c>
      <c r="B12" s="12" t="s">
        <v>98</v>
      </c>
      <c r="C12" s="189" t="str">
        <f t="shared" si="1"/>
        <v>-</v>
      </c>
      <c r="D12" s="115" t="str">
        <f ca="1">_xll.ciqfunctions.udf.CIQ(B12, "IQ_MARKETCAP", $A$1,$A$2)</f>
        <v>#PEND</v>
      </c>
      <c r="E12" s="115" t="str">
        <f ca="1">_xll.ciqfunctions.udf.CIQ($B12, "IQ_TEV", $A$1,$A$2)</f>
        <v>#PEND</v>
      </c>
      <c r="F12" s="116" t="str">
        <f t="shared" si="2"/>
        <v>-</v>
      </c>
      <c r="G12" s="116" t="str">
        <f t="shared" si="2"/>
        <v>-</v>
      </c>
      <c r="H12" s="115" t="str">
        <f t="shared" si="3"/>
        <v>-</v>
      </c>
      <c r="I12" s="117" t="str">
        <f t="shared" si="3"/>
        <v>-</v>
      </c>
      <c r="J12" s="118" t="str">
        <f t="shared" si="4"/>
        <v>-</v>
      </c>
      <c r="K12" s="118" t="str">
        <f t="shared" si="4"/>
        <v>-</v>
      </c>
      <c r="L12" s="119" t="str">
        <f t="shared" si="5"/>
        <v>-</v>
      </c>
      <c r="M12" s="120" t="str">
        <f t="shared" si="6"/>
        <v>-</v>
      </c>
      <c r="N12" s="117" t="str">
        <f t="shared" si="7"/>
        <v>-</v>
      </c>
      <c r="O12" s="121" t="str">
        <f t="shared" si="7"/>
        <v>-</v>
      </c>
      <c r="P12" s="117" t="str">
        <f t="shared" si="7"/>
        <v>-</v>
      </c>
      <c r="Q12" s="118" t="str">
        <f t="shared" si="8"/>
        <v>-</v>
      </c>
      <c r="R12" s="118" t="str">
        <f t="shared" si="8"/>
        <v>-</v>
      </c>
      <c r="S12" s="119" t="str">
        <f t="shared" si="9"/>
        <v>-</v>
      </c>
      <c r="T12" s="120" t="str">
        <f t="shared" si="10"/>
        <v>-</v>
      </c>
      <c r="U12" s="117" t="str">
        <f t="shared" si="11"/>
        <v>-</v>
      </c>
      <c r="V12" s="162" t="str">
        <f t="shared" si="11"/>
        <v>-</v>
      </c>
      <c r="W12" s="28"/>
      <c r="X12" s="198" t="str">
        <f t="shared" si="12"/>
        <v>-</v>
      </c>
      <c r="Y12" s="199" t="str">
        <f t="shared" si="13"/>
        <v>-</v>
      </c>
      <c r="AA12" s="36"/>
    </row>
    <row r="13" spans="1:27" ht="20.25" customHeight="1">
      <c r="A13" s="12" t="str">
        <f t="shared" si="0"/>
        <v>TSX:O_2018_</v>
      </c>
      <c r="B13" s="12" t="s">
        <v>97</v>
      </c>
      <c r="C13" s="189" t="str">
        <f t="shared" si="1"/>
        <v>-</v>
      </c>
      <c r="D13" s="115" t="str">
        <f ca="1">_xll.ciqfunctions.udf.CIQ(B13, "IQ_MARKETCAP", $A$1,$A$2)</f>
        <v>#PEND</v>
      </c>
      <c r="E13" s="115" t="str">
        <f ca="1">_xll.ciqfunctions.udf.CIQ($B13, "IQ_TEV", $A$1,$A$2)</f>
        <v>#PEND</v>
      </c>
      <c r="F13" s="116" t="str">
        <f t="shared" si="2"/>
        <v>-</v>
      </c>
      <c r="G13" s="116" t="str">
        <f t="shared" si="2"/>
        <v>-</v>
      </c>
      <c r="H13" s="115" t="str">
        <f t="shared" si="3"/>
        <v>-</v>
      </c>
      <c r="I13" s="117" t="str">
        <f t="shared" si="3"/>
        <v>-</v>
      </c>
      <c r="J13" s="118" t="str">
        <f t="shared" si="4"/>
        <v>-</v>
      </c>
      <c r="K13" s="118" t="str">
        <f t="shared" si="4"/>
        <v>-</v>
      </c>
      <c r="L13" s="119" t="str">
        <f t="shared" si="5"/>
        <v>-</v>
      </c>
      <c r="M13" s="120" t="str">
        <f t="shared" si="6"/>
        <v>-</v>
      </c>
      <c r="N13" s="117" t="str">
        <f t="shared" si="7"/>
        <v>-</v>
      </c>
      <c r="O13" s="121" t="str">
        <f t="shared" si="7"/>
        <v>-</v>
      </c>
      <c r="P13" s="117" t="str">
        <f t="shared" si="7"/>
        <v>-</v>
      </c>
      <c r="Q13" s="118" t="str">
        <f t="shared" si="8"/>
        <v>-</v>
      </c>
      <c r="R13" s="118" t="str">
        <f t="shared" si="8"/>
        <v>-</v>
      </c>
      <c r="S13" s="119" t="str">
        <f t="shared" si="9"/>
        <v>-</v>
      </c>
      <c r="T13" s="120" t="str">
        <f t="shared" si="10"/>
        <v>-</v>
      </c>
      <c r="U13" s="117" t="str">
        <f t="shared" si="11"/>
        <v>-</v>
      </c>
      <c r="V13" s="162" t="str">
        <f t="shared" si="11"/>
        <v>-</v>
      </c>
      <c r="W13" s="28"/>
      <c r="X13" s="198" t="str">
        <f t="shared" si="12"/>
        <v>-</v>
      </c>
      <c r="Y13" s="199" t="str">
        <f t="shared" si="13"/>
        <v>-</v>
      </c>
      <c r="AA13" s="36"/>
    </row>
    <row r="14" spans="1:27" ht="20.25" customHeight="1">
      <c r="A14" s="12" t="str">
        <f t="shared" si="0"/>
        <v>TSX:N_2018_</v>
      </c>
      <c r="B14" s="12" t="s">
        <v>96</v>
      </c>
      <c r="C14" s="189" t="str">
        <f t="shared" si="1"/>
        <v>-</v>
      </c>
      <c r="D14" s="115" t="str">
        <f ca="1">_xll.ciqfunctions.udf.CIQ(B14, "IQ_MARKETCAP", $A$1,$A$2)</f>
        <v>#PEND</v>
      </c>
      <c r="E14" s="115" t="str">
        <f ca="1">_xll.ciqfunctions.udf.CIQ($B14, "IQ_TEV", $A$1,$A$2)</f>
        <v>#PEND</v>
      </c>
      <c r="F14" s="116" t="str">
        <f t="shared" si="2"/>
        <v>-</v>
      </c>
      <c r="G14" s="116" t="str">
        <f t="shared" si="2"/>
        <v>-</v>
      </c>
      <c r="H14" s="115" t="str">
        <f t="shared" si="3"/>
        <v>-</v>
      </c>
      <c r="I14" s="117" t="str">
        <f t="shared" si="3"/>
        <v>-</v>
      </c>
      <c r="J14" s="118" t="str">
        <f t="shared" si="4"/>
        <v>-</v>
      </c>
      <c r="K14" s="118" t="str">
        <f t="shared" si="4"/>
        <v>-</v>
      </c>
      <c r="L14" s="119" t="str">
        <f t="shared" si="5"/>
        <v>-</v>
      </c>
      <c r="M14" s="120" t="str">
        <f t="shared" si="6"/>
        <v>-</v>
      </c>
      <c r="N14" s="117" t="str">
        <f t="shared" si="7"/>
        <v>-</v>
      </c>
      <c r="O14" s="121" t="str">
        <f t="shared" si="7"/>
        <v>-</v>
      </c>
      <c r="P14" s="117" t="str">
        <f t="shared" si="7"/>
        <v>-</v>
      </c>
      <c r="Q14" s="118" t="str">
        <f t="shared" si="8"/>
        <v>-</v>
      </c>
      <c r="R14" s="118" t="str">
        <f t="shared" si="8"/>
        <v>-</v>
      </c>
      <c r="S14" s="119" t="str">
        <f t="shared" si="9"/>
        <v>-</v>
      </c>
      <c r="T14" s="120" t="str">
        <f t="shared" si="10"/>
        <v>-</v>
      </c>
      <c r="U14" s="117" t="str">
        <f t="shared" si="11"/>
        <v>-</v>
      </c>
      <c r="V14" s="162" t="str">
        <f t="shared" si="11"/>
        <v>-</v>
      </c>
      <c r="W14" s="28"/>
      <c r="X14" s="198" t="str">
        <f t="shared" si="12"/>
        <v>-</v>
      </c>
      <c r="Y14" s="199" t="str">
        <f t="shared" si="13"/>
        <v>-</v>
      </c>
      <c r="AA14" s="36"/>
    </row>
    <row r="15" spans="1:27" ht="20.25" customHeight="1">
      <c r="A15" s="12" t="str">
        <f t="shared" si="0"/>
        <v>TSX:M_2018_</v>
      </c>
      <c r="B15" s="12" t="s">
        <v>95</v>
      </c>
      <c r="C15" s="189" t="str">
        <f t="shared" si="1"/>
        <v>-</v>
      </c>
      <c r="D15" s="115" t="str">
        <f ca="1">_xll.ciqfunctions.udf.CIQ(B15, "IQ_MARKETCAP", $A$1,$A$2)</f>
        <v>#PEND</v>
      </c>
      <c r="E15" s="115" t="str">
        <f ca="1">_xll.ciqfunctions.udf.CIQ($B15, "IQ_TEV", $A$1,$A$2)</f>
        <v>#PEND</v>
      </c>
      <c r="F15" s="116" t="str">
        <f t="shared" si="2"/>
        <v>-</v>
      </c>
      <c r="G15" s="116" t="str">
        <f t="shared" si="2"/>
        <v>-</v>
      </c>
      <c r="H15" s="115" t="str">
        <f t="shared" si="3"/>
        <v>-</v>
      </c>
      <c r="I15" s="117" t="str">
        <f t="shared" si="3"/>
        <v>-</v>
      </c>
      <c r="J15" s="118" t="str">
        <f t="shared" si="4"/>
        <v>-</v>
      </c>
      <c r="K15" s="118" t="str">
        <f t="shared" si="4"/>
        <v>-</v>
      </c>
      <c r="L15" s="119" t="str">
        <f t="shared" si="5"/>
        <v>-</v>
      </c>
      <c r="M15" s="120" t="str">
        <f t="shared" si="6"/>
        <v>-</v>
      </c>
      <c r="N15" s="117" t="str">
        <f t="shared" si="7"/>
        <v>-</v>
      </c>
      <c r="O15" s="121" t="str">
        <f t="shared" si="7"/>
        <v>-</v>
      </c>
      <c r="P15" s="117" t="str">
        <f t="shared" si="7"/>
        <v>-</v>
      </c>
      <c r="Q15" s="118" t="str">
        <f t="shared" si="8"/>
        <v>-</v>
      </c>
      <c r="R15" s="118" t="str">
        <f t="shared" si="8"/>
        <v>-</v>
      </c>
      <c r="S15" s="119" t="str">
        <f t="shared" si="9"/>
        <v>-</v>
      </c>
      <c r="T15" s="120" t="str">
        <f t="shared" si="10"/>
        <v>-</v>
      </c>
      <c r="U15" s="117" t="str">
        <f t="shared" si="11"/>
        <v>-</v>
      </c>
      <c r="V15" s="162" t="str">
        <f t="shared" si="11"/>
        <v>-</v>
      </c>
      <c r="W15" s="28"/>
      <c r="X15" s="198" t="str">
        <f t="shared" si="12"/>
        <v>-</v>
      </c>
      <c r="Y15" s="199" t="str">
        <f t="shared" si="13"/>
        <v>-</v>
      </c>
      <c r="AA15" s="36"/>
    </row>
    <row r="16" spans="1:27" ht="20.25" customHeight="1">
      <c r="A16" s="12" t="str">
        <f t="shared" si="0"/>
        <v>TSX:L_2018_</v>
      </c>
      <c r="B16" s="12" t="s">
        <v>94</v>
      </c>
      <c r="C16" s="189" t="str">
        <f t="shared" si="1"/>
        <v>-</v>
      </c>
      <c r="D16" s="115" t="str">
        <f ca="1">_xll.ciqfunctions.udf.CIQ(B16, "IQ_MARKETCAP", $A$1,$A$2)</f>
        <v>#PEND</v>
      </c>
      <c r="E16" s="115" t="str">
        <f ca="1">_xll.ciqfunctions.udf.CIQ($B16, "IQ_TEV", $A$1,$A$2)</f>
        <v>#PEND</v>
      </c>
      <c r="F16" s="116" t="str">
        <f t="shared" si="2"/>
        <v>-</v>
      </c>
      <c r="G16" s="116" t="str">
        <f t="shared" si="2"/>
        <v>-</v>
      </c>
      <c r="H16" s="115" t="str">
        <f t="shared" si="3"/>
        <v>-</v>
      </c>
      <c r="I16" s="117" t="str">
        <f t="shared" si="3"/>
        <v>-</v>
      </c>
      <c r="J16" s="118" t="str">
        <f t="shared" si="4"/>
        <v>-</v>
      </c>
      <c r="K16" s="118" t="str">
        <f t="shared" si="4"/>
        <v>-</v>
      </c>
      <c r="L16" s="119" t="str">
        <f t="shared" si="5"/>
        <v>-</v>
      </c>
      <c r="M16" s="120" t="str">
        <f t="shared" si="6"/>
        <v>-</v>
      </c>
      <c r="N16" s="117" t="str">
        <f t="shared" si="7"/>
        <v>-</v>
      </c>
      <c r="O16" s="121" t="str">
        <f t="shared" si="7"/>
        <v>-</v>
      </c>
      <c r="P16" s="117" t="str">
        <f t="shared" si="7"/>
        <v>-</v>
      </c>
      <c r="Q16" s="118" t="str">
        <f t="shared" si="8"/>
        <v>-</v>
      </c>
      <c r="R16" s="118" t="str">
        <f t="shared" si="8"/>
        <v>-</v>
      </c>
      <c r="S16" s="119" t="str">
        <f t="shared" si="9"/>
        <v>-</v>
      </c>
      <c r="T16" s="120" t="str">
        <f t="shared" si="10"/>
        <v>-</v>
      </c>
      <c r="U16" s="117" t="str">
        <f t="shared" si="11"/>
        <v>-</v>
      </c>
      <c r="V16" s="162" t="str">
        <f t="shared" si="11"/>
        <v>-</v>
      </c>
      <c r="W16" s="28"/>
      <c r="X16" s="198" t="str">
        <f t="shared" si="12"/>
        <v>-</v>
      </c>
      <c r="Y16" s="199" t="str">
        <f t="shared" si="13"/>
        <v>-</v>
      </c>
      <c r="AA16" s="36"/>
    </row>
    <row r="17" spans="1:27" ht="20.25" customHeight="1">
      <c r="A17" s="12" t="str">
        <f t="shared" si="0"/>
        <v>TSX:K_2018_</v>
      </c>
      <c r="B17" s="12" t="s">
        <v>93</v>
      </c>
      <c r="C17" s="189" t="str">
        <f t="shared" si="1"/>
        <v>-</v>
      </c>
      <c r="D17" s="115" t="str">
        <f ca="1">_xll.ciqfunctions.udf.CIQ(B17, "IQ_MARKETCAP", $A$1,$A$2)</f>
        <v>#PEND</v>
      </c>
      <c r="E17" s="115" t="str">
        <f ca="1">_xll.ciqfunctions.udf.CIQ($B17, "IQ_TEV", $A$1,$A$2)</f>
        <v>#PEND</v>
      </c>
      <c r="F17" s="116" t="str">
        <f t="shared" si="2"/>
        <v>-</v>
      </c>
      <c r="G17" s="116" t="str">
        <f t="shared" si="2"/>
        <v>-</v>
      </c>
      <c r="H17" s="115" t="str">
        <f t="shared" si="3"/>
        <v>-</v>
      </c>
      <c r="I17" s="117" t="str">
        <f t="shared" si="3"/>
        <v>-</v>
      </c>
      <c r="J17" s="118" t="str">
        <f t="shared" si="4"/>
        <v>-</v>
      </c>
      <c r="K17" s="118" t="str">
        <f t="shared" si="4"/>
        <v>-</v>
      </c>
      <c r="L17" s="119" t="str">
        <f t="shared" si="5"/>
        <v>-</v>
      </c>
      <c r="M17" s="120" t="str">
        <f t="shared" si="6"/>
        <v>-</v>
      </c>
      <c r="N17" s="117" t="str">
        <f t="shared" si="7"/>
        <v>-</v>
      </c>
      <c r="O17" s="121" t="str">
        <f t="shared" si="7"/>
        <v>-</v>
      </c>
      <c r="P17" s="117" t="str">
        <f t="shared" si="7"/>
        <v>-</v>
      </c>
      <c r="Q17" s="118" t="str">
        <f t="shared" si="8"/>
        <v>-</v>
      </c>
      <c r="R17" s="118" t="str">
        <f t="shared" si="8"/>
        <v>-</v>
      </c>
      <c r="S17" s="119" t="str">
        <f t="shared" si="9"/>
        <v>-</v>
      </c>
      <c r="T17" s="120" t="str">
        <f t="shared" si="10"/>
        <v>-</v>
      </c>
      <c r="U17" s="117" t="str">
        <f t="shared" si="11"/>
        <v>-</v>
      </c>
      <c r="V17" s="162" t="str">
        <f t="shared" si="11"/>
        <v>-</v>
      </c>
      <c r="W17" s="28"/>
      <c r="X17" s="198" t="str">
        <f t="shared" si="12"/>
        <v>-</v>
      </c>
      <c r="Y17" s="199" t="str">
        <f t="shared" si="13"/>
        <v>-</v>
      </c>
      <c r="AA17" s="36"/>
    </row>
    <row r="18" spans="1:27" ht="20.25" customHeight="1">
      <c r="A18" s="12" t="str">
        <f t="shared" si="0"/>
        <v>TSX:J_2018_</v>
      </c>
      <c r="B18" s="12" t="s">
        <v>92</v>
      </c>
      <c r="C18" s="189" t="str">
        <f t="shared" si="1"/>
        <v>-</v>
      </c>
      <c r="D18" s="115" t="str">
        <f ca="1">_xll.ciqfunctions.udf.CIQ(B18, "IQ_MARKETCAP", $A$1,$A$2)</f>
        <v>#PEND</v>
      </c>
      <c r="E18" s="115" t="str">
        <f ca="1">_xll.ciqfunctions.udf.CIQ($B18, "IQ_TEV", $A$1,$A$2)</f>
        <v>#PEND</v>
      </c>
      <c r="F18" s="116" t="str">
        <f t="shared" si="2"/>
        <v>-</v>
      </c>
      <c r="G18" s="116" t="str">
        <f t="shared" si="2"/>
        <v>-</v>
      </c>
      <c r="H18" s="115" t="str">
        <f t="shared" si="3"/>
        <v>-</v>
      </c>
      <c r="I18" s="117" t="str">
        <f t="shared" si="3"/>
        <v>-</v>
      </c>
      <c r="J18" s="118" t="str">
        <f t="shared" si="4"/>
        <v>-</v>
      </c>
      <c r="K18" s="118" t="str">
        <f t="shared" si="4"/>
        <v>-</v>
      </c>
      <c r="L18" s="119" t="str">
        <f t="shared" si="5"/>
        <v>-</v>
      </c>
      <c r="M18" s="120" t="str">
        <f t="shared" si="6"/>
        <v>-</v>
      </c>
      <c r="N18" s="117" t="str">
        <f t="shared" si="7"/>
        <v>-</v>
      </c>
      <c r="O18" s="121" t="str">
        <f t="shared" si="7"/>
        <v>-</v>
      </c>
      <c r="P18" s="117" t="str">
        <f t="shared" si="7"/>
        <v>-</v>
      </c>
      <c r="Q18" s="118" t="str">
        <f t="shared" si="8"/>
        <v>-</v>
      </c>
      <c r="R18" s="118" t="str">
        <f t="shared" si="8"/>
        <v>-</v>
      </c>
      <c r="S18" s="119" t="str">
        <f t="shared" si="9"/>
        <v>-</v>
      </c>
      <c r="T18" s="120" t="str">
        <f t="shared" si="10"/>
        <v>-</v>
      </c>
      <c r="U18" s="117" t="str">
        <f t="shared" si="11"/>
        <v>-</v>
      </c>
      <c r="V18" s="162" t="str">
        <f t="shared" si="11"/>
        <v>-</v>
      </c>
      <c r="W18" s="28"/>
      <c r="X18" s="198" t="str">
        <f t="shared" si="12"/>
        <v>-</v>
      </c>
      <c r="Y18" s="199" t="str">
        <f t="shared" si="13"/>
        <v>-</v>
      </c>
      <c r="AA18" s="36"/>
    </row>
    <row r="19" spans="1:27" ht="20.25" customHeight="1">
      <c r="A19" s="12" t="str">
        <f t="shared" si="0"/>
        <v>TSX:I_2018_</v>
      </c>
      <c r="B19" s="12" t="s">
        <v>91</v>
      </c>
      <c r="C19" s="189" t="str">
        <f t="shared" si="1"/>
        <v>-</v>
      </c>
      <c r="D19" s="115" t="str">
        <f ca="1">_xll.ciqfunctions.udf.CIQ(B19, "IQ_MARKETCAP", $A$1,$A$2)</f>
        <v>#PEND</v>
      </c>
      <c r="E19" s="115" t="str">
        <f ca="1">_xll.ciqfunctions.udf.CIQ($B19, "IQ_TEV", $A$1,$A$2)</f>
        <v>#PEND</v>
      </c>
      <c r="F19" s="116" t="str">
        <f t="shared" si="2"/>
        <v>-</v>
      </c>
      <c r="G19" s="116" t="str">
        <f t="shared" si="2"/>
        <v>-</v>
      </c>
      <c r="H19" s="115" t="str">
        <f t="shared" si="3"/>
        <v>-</v>
      </c>
      <c r="I19" s="117" t="str">
        <f t="shared" si="3"/>
        <v>-</v>
      </c>
      <c r="J19" s="118" t="str">
        <f t="shared" si="4"/>
        <v>-</v>
      </c>
      <c r="K19" s="118" t="str">
        <f t="shared" si="4"/>
        <v>-</v>
      </c>
      <c r="L19" s="119" t="str">
        <f t="shared" si="5"/>
        <v>-</v>
      </c>
      <c r="M19" s="120" t="str">
        <f t="shared" si="6"/>
        <v>-</v>
      </c>
      <c r="N19" s="117" t="str">
        <f t="shared" si="7"/>
        <v>-</v>
      </c>
      <c r="O19" s="121" t="str">
        <f t="shared" si="7"/>
        <v>-</v>
      </c>
      <c r="P19" s="117" t="str">
        <f t="shared" si="7"/>
        <v>-</v>
      </c>
      <c r="Q19" s="118" t="str">
        <f t="shared" si="8"/>
        <v>-</v>
      </c>
      <c r="R19" s="118" t="str">
        <f t="shared" si="8"/>
        <v>-</v>
      </c>
      <c r="S19" s="119" t="str">
        <f t="shared" si="9"/>
        <v>-</v>
      </c>
      <c r="T19" s="120" t="str">
        <f t="shared" si="10"/>
        <v>-</v>
      </c>
      <c r="U19" s="117" t="str">
        <f t="shared" si="11"/>
        <v>-</v>
      </c>
      <c r="V19" s="162" t="str">
        <f t="shared" si="11"/>
        <v>-</v>
      </c>
      <c r="W19" s="28"/>
      <c r="X19" s="198" t="str">
        <f t="shared" si="12"/>
        <v>-</v>
      </c>
      <c r="Y19" s="199" t="str">
        <f t="shared" si="13"/>
        <v>-</v>
      </c>
      <c r="AA19" s="36"/>
    </row>
    <row r="20" spans="1:27" ht="20.25" customHeight="1">
      <c r="A20" s="12" t="str">
        <f t="shared" si="0"/>
        <v>TSX:H_2018_</v>
      </c>
      <c r="B20" s="12" t="s">
        <v>90</v>
      </c>
      <c r="C20" s="189" t="str">
        <f t="shared" si="1"/>
        <v>-</v>
      </c>
      <c r="D20" s="115" t="str">
        <f ca="1">_xll.ciqfunctions.udf.CIQ(B20, "IQ_MARKETCAP", $A$1,$A$2)</f>
        <v>#PEND</v>
      </c>
      <c r="E20" s="115" t="str">
        <f ca="1">_xll.ciqfunctions.udf.CIQ($B20, "IQ_TEV", $A$1,$A$2)</f>
        <v>#PEND</v>
      </c>
      <c r="F20" s="116" t="str">
        <f t="shared" si="2"/>
        <v>-</v>
      </c>
      <c r="G20" s="116" t="str">
        <f t="shared" si="2"/>
        <v>-</v>
      </c>
      <c r="H20" s="115" t="str">
        <f t="shared" si="3"/>
        <v>-</v>
      </c>
      <c r="I20" s="117" t="str">
        <f t="shared" si="3"/>
        <v>-</v>
      </c>
      <c r="J20" s="118" t="str">
        <f t="shared" si="4"/>
        <v>-</v>
      </c>
      <c r="K20" s="118" t="str">
        <f t="shared" si="4"/>
        <v>-</v>
      </c>
      <c r="L20" s="119" t="str">
        <f t="shared" si="5"/>
        <v>-</v>
      </c>
      <c r="M20" s="120" t="str">
        <f t="shared" si="6"/>
        <v>-</v>
      </c>
      <c r="N20" s="117" t="str">
        <f t="shared" si="7"/>
        <v>-</v>
      </c>
      <c r="O20" s="121" t="str">
        <f t="shared" si="7"/>
        <v>-</v>
      </c>
      <c r="P20" s="117" t="str">
        <f t="shared" si="7"/>
        <v>-</v>
      </c>
      <c r="Q20" s="118" t="str">
        <f t="shared" si="8"/>
        <v>-</v>
      </c>
      <c r="R20" s="118" t="str">
        <f t="shared" si="8"/>
        <v>-</v>
      </c>
      <c r="S20" s="119" t="str">
        <f t="shared" si="9"/>
        <v>-</v>
      </c>
      <c r="T20" s="120" t="str">
        <f t="shared" si="10"/>
        <v>-</v>
      </c>
      <c r="U20" s="117" t="str">
        <f t="shared" si="11"/>
        <v>-</v>
      </c>
      <c r="V20" s="162" t="str">
        <f t="shared" si="11"/>
        <v>-</v>
      </c>
      <c r="W20" s="28"/>
      <c r="X20" s="198" t="str">
        <f t="shared" si="12"/>
        <v>-</v>
      </c>
      <c r="Y20" s="199" t="str">
        <f t="shared" si="13"/>
        <v>-</v>
      </c>
      <c r="AA20" s="36"/>
    </row>
    <row r="21" spans="1:27" ht="20.25" customHeight="1">
      <c r="A21" s="12" t="str">
        <f t="shared" si="0"/>
        <v>TSX:G_2018_</v>
      </c>
      <c r="B21" s="12" t="s">
        <v>89</v>
      </c>
      <c r="C21" s="189" t="str">
        <f t="shared" si="1"/>
        <v>-</v>
      </c>
      <c r="D21" s="115" t="str">
        <f ca="1">_xll.ciqfunctions.udf.CIQ(B21, "IQ_MARKETCAP", $A$1,$A$2)</f>
        <v>#PEND</v>
      </c>
      <c r="E21" s="115" t="str">
        <f ca="1">_xll.ciqfunctions.udf.CIQ($B21, "IQ_TEV", $A$1,$A$2)</f>
        <v>#PEND</v>
      </c>
      <c r="F21" s="116" t="str">
        <f t="shared" si="2"/>
        <v>-</v>
      </c>
      <c r="G21" s="116" t="str">
        <f t="shared" si="2"/>
        <v>-</v>
      </c>
      <c r="H21" s="115" t="str">
        <f t="shared" si="3"/>
        <v>-</v>
      </c>
      <c r="I21" s="117" t="str">
        <f t="shared" si="3"/>
        <v>-</v>
      </c>
      <c r="J21" s="118" t="str">
        <f t="shared" si="4"/>
        <v>-</v>
      </c>
      <c r="K21" s="118" t="str">
        <f t="shared" si="4"/>
        <v>-</v>
      </c>
      <c r="L21" s="119" t="str">
        <f t="shared" si="5"/>
        <v>-</v>
      </c>
      <c r="M21" s="120" t="str">
        <f t="shared" si="6"/>
        <v>-</v>
      </c>
      <c r="N21" s="117" t="str">
        <f t="shared" si="7"/>
        <v>-</v>
      </c>
      <c r="O21" s="121" t="str">
        <f t="shared" si="7"/>
        <v>-</v>
      </c>
      <c r="P21" s="117" t="str">
        <f t="shared" si="7"/>
        <v>-</v>
      </c>
      <c r="Q21" s="118" t="str">
        <f t="shared" si="8"/>
        <v>-</v>
      </c>
      <c r="R21" s="118" t="str">
        <f t="shared" si="8"/>
        <v>-</v>
      </c>
      <c r="S21" s="119" t="str">
        <f t="shared" si="9"/>
        <v>-</v>
      </c>
      <c r="T21" s="120" t="str">
        <f t="shared" si="10"/>
        <v>-</v>
      </c>
      <c r="U21" s="117" t="str">
        <f t="shared" si="11"/>
        <v>-</v>
      </c>
      <c r="V21" s="162" t="str">
        <f t="shared" si="11"/>
        <v>-</v>
      </c>
      <c r="W21" s="28"/>
      <c r="X21" s="198" t="str">
        <f t="shared" si="12"/>
        <v>-</v>
      </c>
      <c r="Y21" s="199" t="str">
        <f t="shared" si="13"/>
        <v>-</v>
      </c>
      <c r="AA21" s="36"/>
    </row>
    <row r="22" spans="1:27" ht="20.25" customHeight="1">
      <c r="A22" s="12" t="str">
        <f t="shared" si="0"/>
        <v>TSX:F_2018_</v>
      </c>
      <c r="B22" s="12" t="s">
        <v>88</v>
      </c>
      <c r="C22" s="189" t="str">
        <f t="shared" si="1"/>
        <v>-</v>
      </c>
      <c r="D22" s="115" t="str">
        <f ca="1">_xll.ciqfunctions.udf.CIQ(B22, "IQ_MARKETCAP", $A$1,$A$2)</f>
        <v>#PEND</v>
      </c>
      <c r="E22" s="115" t="str">
        <f ca="1">_xll.ciqfunctions.udf.CIQ($B22, "IQ_TEV", $A$1,$A$2)</f>
        <v>#PEND</v>
      </c>
      <c r="F22" s="116" t="str">
        <f t="shared" si="2"/>
        <v>-</v>
      </c>
      <c r="G22" s="116" t="str">
        <f t="shared" si="2"/>
        <v>-</v>
      </c>
      <c r="H22" s="115" t="str">
        <f t="shared" si="3"/>
        <v>-</v>
      </c>
      <c r="I22" s="117" t="str">
        <f t="shared" si="3"/>
        <v>-</v>
      </c>
      <c r="J22" s="118" t="str">
        <f t="shared" si="4"/>
        <v>-</v>
      </c>
      <c r="K22" s="118" t="str">
        <f t="shared" si="4"/>
        <v>-</v>
      </c>
      <c r="L22" s="119" t="str">
        <f t="shared" si="5"/>
        <v>-</v>
      </c>
      <c r="M22" s="120" t="str">
        <f t="shared" si="6"/>
        <v>-</v>
      </c>
      <c r="N22" s="117" t="str">
        <f t="shared" si="7"/>
        <v>-</v>
      </c>
      <c r="O22" s="121" t="str">
        <f t="shared" si="7"/>
        <v>-</v>
      </c>
      <c r="P22" s="117" t="str">
        <f t="shared" si="7"/>
        <v>-</v>
      </c>
      <c r="Q22" s="118" t="str">
        <f t="shared" si="8"/>
        <v>-</v>
      </c>
      <c r="R22" s="118" t="str">
        <f t="shared" si="8"/>
        <v>-</v>
      </c>
      <c r="S22" s="119" t="str">
        <f t="shared" si="9"/>
        <v>-</v>
      </c>
      <c r="T22" s="120" t="str">
        <f t="shared" si="10"/>
        <v>-</v>
      </c>
      <c r="U22" s="117" t="str">
        <f t="shared" si="11"/>
        <v>-</v>
      </c>
      <c r="V22" s="162" t="str">
        <f t="shared" si="11"/>
        <v>-</v>
      </c>
      <c r="W22" s="28"/>
      <c r="X22" s="198" t="str">
        <f t="shared" si="12"/>
        <v>-</v>
      </c>
      <c r="Y22" s="199" t="str">
        <f t="shared" si="13"/>
        <v>-</v>
      </c>
      <c r="AA22" s="36"/>
    </row>
    <row r="23" spans="1:27" ht="20.25" customHeight="1">
      <c r="A23" s="12" t="str">
        <f t="shared" si="0"/>
        <v>TSX:E_2018_</v>
      </c>
      <c r="B23" s="12" t="s">
        <v>87</v>
      </c>
      <c r="C23" s="189" t="str">
        <f t="shared" si="1"/>
        <v>-</v>
      </c>
      <c r="D23" s="115" t="str">
        <f ca="1">_xll.ciqfunctions.udf.CIQ(B23, "IQ_MARKETCAP", $A$1,$A$2)</f>
        <v>#PEND</v>
      </c>
      <c r="E23" s="115" t="str">
        <f ca="1">_xll.ciqfunctions.udf.CIQ($B23, "IQ_TEV", $A$1,$A$2)</f>
        <v>#PEND</v>
      </c>
      <c r="F23" s="116" t="str">
        <f t="shared" si="2"/>
        <v>-</v>
      </c>
      <c r="G23" s="116" t="str">
        <f t="shared" si="2"/>
        <v>-</v>
      </c>
      <c r="H23" s="115" t="str">
        <f t="shared" si="3"/>
        <v>-</v>
      </c>
      <c r="I23" s="117" t="str">
        <f t="shared" si="3"/>
        <v>-</v>
      </c>
      <c r="J23" s="118" t="str">
        <f t="shared" si="4"/>
        <v>-</v>
      </c>
      <c r="K23" s="118" t="str">
        <f t="shared" si="4"/>
        <v>-</v>
      </c>
      <c r="L23" s="119" t="str">
        <f t="shared" si="5"/>
        <v>-</v>
      </c>
      <c r="M23" s="120" t="str">
        <f t="shared" si="6"/>
        <v>-</v>
      </c>
      <c r="N23" s="117" t="str">
        <f t="shared" si="7"/>
        <v>-</v>
      </c>
      <c r="O23" s="121" t="str">
        <f t="shared" si="7"/>
        <v>-</v>
      </c>
      <c r="P23" s="117" t="str">
        <f t="shared" si="7"/>
        <v>-</v>
      </c>
      <c r="Q23" s="118" t="str">
        <f t="shared" si="8"/>
        <v>-</v>
      </c>
      <c r="R23" s="118" t="str">
        <f t="shared" si="8"/>
        <v>-</v>
      </c>
      <c r="S23" s="119" t="str">
        <f t="shared" si="9"/>
        <v>-</v>
      </c>
      <c r="T23" s="120" t="str">
        <f t="shared" si="10"/>
        <v>-</v>
      </c>
      <c r="U23" s="117" t="str">
        <f t="shared" si="11"/>
        <v>-</v>
      </c>
      <c r="V23" s="162" t="str">
        <f t="shared" si="11"/>
        <v>-</v>
      </c>
      <c r="W23" s="28"/>
      <c r="X23" s="198" t="str">
        <f t="shared" si="12"/>
        <v>-</v>
      </c>
      <c r="Y23" s="199" t="str">
        <f t="shared" si="13"/>
        <v>-</v>
      </c>
      <c r="AA23" s="36"/>
    </row>
    <row r="24" spans="1:27" ht="20.25" customHeight="1">
      <c r="A24" s="12" t="str">
        <f t="shared" si="0"/>
        <v>TSX:D_2018_</v>
      </c>
      <c r="B24" s="12" t="s">
        <v>86</v>
      </c>
      <c r="C24" s="189" t="str">
        <f t="shared" si="1"/>
        <v>-</v>
      </c>
      <c r="D24" s="115" t="str">
        <f ca="1">_xll.ciqfunctions.udf.CIQ(B24, "IQ_MARKETCAP", $A$1,$A$2)</f>
        <v>#PEND</v>
      </c>
      <c r="E24" s="115" t="str">
        <f ca="1">_xll.ciqfunctions.udf.CIQ($B24, "IQ_TEV", $A$1,$A$2)</f>
        <v>#PEND</v>
      </c>
      <c r="F24" s="116" t="str">
        <f t="shared" si="2"/>
        <v>-</v>
      </c>
      <c r="G24" s="116" t="str">
        <f t="shared" si="2"/>
        <v>-</v>
      </c>
      <c r="H24" s="115" t="str">
        <f t="shared" si="3"/>
        <v>-</v>
      </c>
      <c r="I24" s="117" t="str">
        <f t="shared" si="3"/>
        <v>-</v>
      </c>
      <c r="J24" s="118" t="str">
        <f t="shared" si="4"/>
        <v>-</v>
      </c>
      <c r="K24" s="118" t="str">
        <f t="shared" si="4"/>
        <v>-</v>
      </c>
      <c r="L24" s="119" t="str">
        <f t="shared" si="5"/>
        <v>-</v>
      </c>
      <c r="M24" s="120" t="str">
        <f t="shared" si="6"/>
        <v>-</v>
      </c>
      <c r="N24" s="117" t="str">
        <f t="shared" si="7"/>
        <v>-</v>
      </c>
      <c r="O24" s="121" t="str">
        <f t="shared" si="7"/>
        <v>-</v>
      </c>
      <c r="P24" s="117" t="str">
        <f t="shared" si="7"/>
        <v>-</v>
      </c>
      <c r="Q24" s="118" t="str">
        <f t="shared" si="8"/>
        <v>-</v>
      </c>
      <c r="R24" s="118" t="str">
        <f t="shared" si="8"/>
        <v>-</v>
      </c>
      <c r="S24" s="119" t="str">
        <f t="shared" si="9"/>
        <v>-</v>
      </c>
      <c r="T24" s="120" t="str">
        <f t="shared" si="10"/>
        <v>-</v>
      </c>
      <c r="U24" s="117" t="str">
        <f t="shared" si="11"/>
        <v>-</v>
      </c>
      <c r="V24" s="162" t="str">
        <f t="shared" si="11"/>
        <v>-</v>
      </c>
      <c r="W24" s="28"/>
      <c r="X24" s="198" t="str">
        <f t="shared" si="12"/>
        <v>-</v>
      </c>
      <c r="Y24" s="199" t="str">
        <f t="shared" si="13"/>
        <v>-</v>
      </c>
      <c r="AA24" s="36"/>
    </row>
    <row r="25" spans="1:27" ht="20.25" customHeight="1">
      <c r="A25" s="12" t="str">
        <f t="shared" si="0"/>
        <v>TSX:C_2018_</v>
      </c>
      <c r="B25" s="12" t="s">
        <v>85</v>
      </c>
      <c r="C25" s="189" t="str">
        <f t="shared" si="1"/>
        <v>-</v>
      </c>
      <c r="D25" s="115" t="str">
        <f ca="1">_xll.ciqfunctions.udf.CIQ(B25, "IQ_MARKETCAP", $A$1,$A$2)</f>
        <v>#PEND</v>
      </c>
      <c r="E25" s="115" t="str">
        <f ca="1">_xll.ciqfunctions.udf.CIQ($B25, "IQ_TEV", $A$1,$A$2)</f>
        <v>#PEND</v>
      </c>
      <c r="F25" s="116" t="str">
        <f t="shared" si="2"/>
        <v>-</v>
      </c>
      <c r="G25" s="116" t="str">
        <f t="shared" si="2"/>
        <v>-</v>
      </c>
      <c r="H25" s="115" t="str">
        <f t="shared" si="3"/>
        <v>-</v>
      </c>
      <c r="I25" s="117" t="str">
        <f t="shared" si="3"/>
        <v>-</v>
      </c>
      <c r="J25" s="118" t="str">
        <f t="shared" si="4"/>
        <v>-</v>
      </c>
      <c r="K25" s="118" t="str">
        <f t="shared" si="4"/>
        <v>-</v>
      </c>
      <c r="L25" s="119" t="str">
        <f t="shared" si="5"/>
        <v>-</v>
      </c>
      <c r="M25" s="120" t="str">
        <f t="shared" si="6"/>
        <v>-</v>
      </c>
      <c r="N25" s="117" t="str">
        <f t="shared" si="7"/>
        <v>-</v>
      </c>
      <c r="O25" s="121" t="str">
        <f t="shared" si="7"/>
        <v>-</v>
      </c>
      <c r="P25" s="117" t="str">
        <f t="shared" si="7"/>
        <v>-</v>
      </c>
      <c r="Q25" s="118" t="str">
        <f t="shared" si="8"/>
        <v>-</v>
      </c>
      <c r="R25" s="118" t="str">
        <f t="shared" si="8"/>
        <v>-</v>
      </c>
      <c r="S25" s="119" t="str">
        <f t="shared" si="9"/>
        <v>-</v>
      </c>
      <c r="T25" s="120" t="str">
        <f t="shared" si="10"/>
        <v>-</v>
      </c>
      <c r="U25" s="117" t="str">
        <f t="shared" si="11"/>
        <v>-</v>
      </c>
      <c r="V25" s="162" t="str">
        <f t="shared" si="11"/>
        <v>-</v>
      </c>
      <c r="W25" s="28"/>
      <c r="X25" s="198" t="str">
        <f t="shared" si="12"/>
        <v>-</v>
      </c>
      <c r="Y25" s="199" t="str">
        <f t="shared" si="13"/>
        <v>-</v>
      </c>
      <c r="AA25" s="36"/>
    </row>
    <row r="26" spans="1:27" ht="20.25" customHeight="1">
      <c r="A26" s="12" t="str">
        <f t="shared" si="0"/>
        <v>TSX:B_2018_</v>
      </c>
      <c r="B26" s="12" t="s">
        <v>84</v>
      </c>
      <c r="C26" s="189" t="str">
        <f t="shared" si="1"/>
        <v>-</v>
      </c>
      <c r="D26" s="115" t="str">
        <f ca="1">_xll.ciqfunctions.udf.CIQ(B26, "IQ_MARKETCAP", $A$1,$A$2)</f>
        <v>#PEND</v>
      </c>
      <c r="E26" s="115" t="str">
        <f ca="1">_xll.ciqfunctions.udf.CIQ($B26, "IQ_TEV", $A$1,$A$2)</f>
        <v>#PEND</v>
      </c>
      <c r="F26" s="116" t="str">
        <f t="shared" si="2"/>
        <v>-</v>
      </c>
      <c r="G26" s="116" t="str">
        <f t="shared" si="2"/>
        <v>-</v>
      </c>
      <c r="H26" s="115" t="str">
        <f t="shared" si="3"/>
        <v>-</v>
      </c>
      <c r="I26" s="117" t="str">
        <f t="shared" si="3"/>
        <v>-</v>
      </c>
      <c r="J26" s="118" t="str">
        <f t="shared" si="4"/>
        <v>-</v>
      </c>
      <c r="K26" s="118" t="str">
        <f t="shared" si="4"/>
        <v>-</v>
      </c>
      <c r="L26" s="119" t="str">
        <f t="shared" si="5"/>
        <v>-</v>
      </c>
      <c r="M26" s="120" t="str">
        <f t="shared" si="6"/>
        <v>-</v>
      </c>
      <c r="N26" s="117" t="str">
        <f t="shared" si="7"/>
        <v>-</v>
      </c>
      <c r="O26" s="121" t="str">
        <f t="shared" si="7"/>
        <v>-</v>
      </c>
      <c r="P26" s="117" t="str">
        <f t="shared" si="7"/>
        <v>-</v>
      </c>
      <c r="Q26" s="118" t="str">
        <f t="shared" si="8"/>
        <v>-</v>
      </c>
      <c r="R26" s="118" t="str">
        <f t="shared" si="8"/>
        <v>-</v>
      </c>
      <c r="S26" s="119" t="str">
        <f t="shared" si="9"/>
        <v>-</v>
      </c>
      <c r="T26" s="120" t="str">
        <f t="shared" si="10"/>
        <v>-</v>
      </c>
      <c r="U26" s="117" t="str">
        <f t="shared" si="11"/>
        <v>-</v>
      </c>
      <c r="V26" s="162" t="str">
        <f t="shared" si="11"/>
        <v>-</v>
      </c>
      <c r="W26" s="28"/>
      <c r="X26" s="198" t="str">
        <f t="shared" si="12"/>
        <v>-</v>
      </c>
      <c r="Y26" s="199" t="str">
        <f t="shared" si="13"/>
        <v>-</v>
      </c>
      <c r="AA26" s="36"/>
    </row>
    <row r="27" spans="1:27" ht="20.25" customHeight="1">
      <c r="A27" s="17" t="str">
        <f t="shared" si="0"/>
        <v>TSX:A_2018_</v>
      </c>
      <c r="B27" s="17" t="s">
        <v>83</v>
      </c>
      <c r="C27" s="189" t="str">
        <f t="shared" si="1"/>
        <v>-</v>
      </c>
      <c r="D27" s="115" t="str">
        <f ca="1">_xll.ciqfunctions.udf.CIQ(B27, "IQ_MARKETCAP", $A$1,$A$2)</f>
        <v>#PEND</v>
      </c>
      <c r="E27" s="115" t="str">
        <f ca="1">_xll.ciqfunctions.udf.CIQ($B27, "IQ_TEV", $A$1,$A$2)</f>
        <v>#PEND</v>
      </c>
      <c r="F27" s="116" t="str">
        <f t="shared" si="2"/>
        <v>-</v>
      </c>
      <c r="G27" s="116" t="str">
        <f t="shared" si="2"/>
        <v>-</v>
      </c>
      <c r="H27" s="115" t="str">
        <f t="shared" si="3"/>
        <v>-</v>
      </c>
      <c r="I27" s="117" t="str">
        <f t="shared" si="3"/>
        <v>-</v>
      </c>
      <c r="J27" s="118" t="str">
        <f t="shared" si="4"/>
        <v>-</v>
      </c>
      <c r="K27" s="118" t="str">
        <f t="shared" si="4"/>
        <v>-</v>
      </c>
      <c r="L27" s="119" t="str">
        <f t="shared" si="5"/>
        <v>-</v>
      </c>
      <c r="M27" s="120" t="str">
        <f t="shared" si="6"/>
        <v>-</v>
      </c>
      <c r="N27" s="117" t="str">
        <f t="shared" si="7"/>
        <v>-</v>
      </c>
      <c r="O27" s="121" t="str">
        <f t="shared" si="7"/>
        <v>-</v>
      </c>
      <c r="P27" s="117" t="str">
        <f t="shared" si="7"/>
        <v>-</v>
      </c>
      <c r="Q27" s="118" t="str">
        <f t="shared" si="8"/>
        <v>-</v>
      </c>
      <c r="R27" s="118" t="str">
        <f t="shared" si="8"/>
        <v>-</v>
      </c>
      <c r="S27" s="119" t="str">
        <f t="shared" si="9"/>
        <v>-</v>
      </c>
      <c r="T27" s="120" t="str">
        <f t="shared" si="10"/>
        <v>-</v>
      </c>
      <c r="U27" s="117" t="str">
        <f t="shared" si="11"/>
        <v>-</v>
      </c>
      <c r="V27" s="162" t="str">
        <f t="shared" si="11"/>
        <v>-</v>
      </c>
      <c r="W27" s="28"/>
      <c r="X27" s="198" t="str">
        <f t="shared" si="12"/>
        <v>-</v>
      </c>
      <c r="Y27" s="199" t="str">
        <f t="shared" si="13"/>
        <v>-</v>
      </c>
      <c r="AA27" s="36"/>
    </row>
    <row r="28" spans="1:27" ht="15" customHeight="1">
      <c r="C28" s="193" t="s">
        <v>77</v>
      </c>
      <c r="D28" s="194"/>
      <c r="E28" s="194"/>
      <c r="F28" s="194"/>
      <c r="G28" s="194"/>
      <c r="H28" s="194"/>
      <c r="I28" s="195"/>
      <c r="J28" s="196"/>
      <c r="K28" s="196"/>
      <c r="L28" s="195"/>
      <c r="M28" s="196"/>
      <c r="N28" s="195"/>
      <c r="O28" s="195"/>
      <c r="P28" s="195"/>
      <c r="Q28" s="196"/>
      <c r="R28" s="196"/>
      <c r="S28" s="195"/>
      <c r="T28" s="196"/>
      <c r="U28" s="195"/>
      <c r="V28" s="197"/>
      <c r="W28" s="26"/>
      <c r="X28" s="183"/>
      <c r="Y28" s="184"/>
    </row>
    <row r="29" spans="1:27" s="17" customFormat="1" ht="18.75" customHeight="1">
      <c r="B29" s="17">
        <v>0.75</v>
      </c>
      <c r="C29" s="190" t="s">
        <v>9</v>
      </c>
      <c r="D29" s="92" t="e">
        <f t="shared" ref="D29:E31" ca="1" si="14">PERCENTILE(D$8:D$27,$B29)</f>
        <v>#NUM!</v>
      </c>
      <c r="E29" s="92" t="e">
        <f t="shared" ca="1" si="14"/>
        <v>#NUM!</v>
      </c>
      <c r="F29" s="91"/>
      <c r="G29" s="91"/>
      <c r="H29" s="92" t="e">
        <f t="shared" ref="H29:V31" si="15">PERCENTILE(H$8:H$27,$B29)</f>
        <v>#NUM!</v>
      </c>
      <c r="I29" s="97" t="e">
        <f t="shared" si="15"/>
        <v>#NUM!</v>
      </c>
      <c r="J29" s="98" t="e">
        <f t="shared" si="15"/>
        <v>#NUM!</v>
      </c>
      <c r="K29" s="98" t="e">
        <f t="shared" si="15"/>
        <v>#NUM!</v>
      </c>
      <c r="L29" s="99" t="e">
        <f t="shared" si="15"/>
        <v>#NUM!</v>
      </c>
      <c r="M29" s="100" t="e">
        <f t="shared" si="15"/>
        <v>#NUM!</v>
      </c>
      <c r="N29" s="97" t="e">
        <f t="shared" si="15"/>
        <v>#NUM!</v>
      </c>
      <c r="O29" s="102" t="e">
        <f t="shared" si="15"/>
        <v>#NUM!</v>
      </c>
      <c r="P29" s="107" t="e">
        <f t="shared" si="15"/>
        <v>#NUM!</v>
      </c>
      <c r="Q29" s="108" t="e">
        <f t="shared" si="15"/>
        <v>#NUM!</v>
      </c>
      <c r="R29" s="108" t="e">
        <f t="shared" si="15"/>
        <v>#NUM!</v>
      </c>
      <c r="S29" s="109" t="e">
        <f t="shared" si="15"/>
        <v>#NUM!</v>
      </c>
      <c r="T29" s="110" t="e">
        <f t="shared" si="15"/>
        <v>#NUM!</v>
      </c>
      <c r="U29" s="97" t="e">
        <f t="shared" si="15"/>
        <v>#NUM!</v>
      </c>
      <c r="V29" s="102" t="e">
        <f t="shared" si="15"/>
        <v>#NUM!</v>
      </c>
      <c r="W29" s="43"/>
      <c r="X29" s="200" t="e">
        <f t="shared" ref="X29:Y31" si="16">PERCENTILE(X$8:X$27,$B29)</f>
        <v>#NUM!</v>
      </c>
      <c r="Y29" s="100" t="e">
        <f t="shared" si="16"/>
        <v>#NUM!</v>
      </c>
      <c r="AA29" s="18"/>
    </row>
    <row r="30" spans="1:27" s="17" customFormat="1" ht="18.75" customHeight="1">
      <c r="B30" s="17">
        <v>0.5</v>
      </c>
      <c r="C30" s="142" t="s">
        <v>8</v>
      </c>
      <c r="D30" s="90" t="e">
        <f t="shared" ca="1" si="14"/>
        <v>#NUM!</v>
      </c>
      <c r="E30" s="90" t="e">
        <f t="shared" ca="1" si="14"/>
        <v>#NUM!</v>
      </c>
      <c r="F30" s="89"/>
      <c r="G30" s="89"/>
      <c r="H30" s="90" t="e">
        <f t="shared" si="15"/>
        <v>#NUM!</v>
      </c>
      <c r="I30" s="93" t="e">
        <f t="shared" si="15"/>
        <v>#NUM!</v>
      </c>
      <c r="J30" s="94" t="e">
        <f t="shared" si="15"/>
        <v>#NUM!</v>
      </c>
      <c r="K30" s="94" t="e">
        <f t="shared" si="15"/>
        <v>#NUM!</v>
      </c>
      <c r="L30" s="95" t="e">
        <f t="shared" si="15"/>
        <v>#NUM!</v>
      </c>
      <c r="M30" s="96" t="e">
        <f t="shared" si="15"/>
        <v>#NUM!</v>
      </c>
      <c r="N30" s="93" t="e">
        <f t="shared" si="15"/>
        <v>#NUM!</v>
      </c>
      <c r="O30" s="101" t="e">
        <f t="shared" si="15"/>
        <v>#NUM!</v>
      </c>
      <c r="P30" s="103" t="e">
        <f t="shared" si="15"/>
        <v>#NUM!</v>
      </c>
      <c r="Q30" s="104" t="e">
        <f t="shared" si="15"/>
        <v>#NUM!</v>
      </c>
      <c r="R30" s="104" t="e">
        <f t="shared" si="15"/>
        <v>#NUM!</v>
      </c>
      <c r="S30" s="105" t="e">
        <f t="shared" si="15"/>
        <v>#NUM!</v>
      </c>
      <c r="T30" s="106" t="e">
        <f t="shared" si="15"/>
        <v>#NUM!</v>
      </c>
      <c r="U30" s="93" t="e">
        <f t="shared" si="15"/>
        <v>#NUM!</v>
      </c>
      <c r="V30" s="101" t="e">
        <f t="shared" si="15"/>
        <v>#NUM!</v>
      </c>
      <c r="W30" s="20"/>
      <c r="X30" s="201" t="e">
        <f t="shared" si="16"/>
        <v>#NUM!</v>
      </c>
      <c r="Y30" s="96" t="e">
        <f t="shared" si="16"/>
        <v>#NUM!</v>
      </c>
      <c r="AA30" s="18"/>
    </row>
    <row r="31" spans="1:27" s="17" customFormat="1" ht="18.75" customHeight="1">
      <c r="B31" s="17">
        <v>0.25</v>
      </c>
      <c r="C31" s="190" t="s">
        <v>7</v>
      </c>
      <c r="D31" s="92" t="e">
        <f t="shared" ca="1" si="14"/>
        <v>#NUM!</v>
      </c>
      <c r="E31" s="92" t="e">
        <f t="shared" ca="1" si="14"/>
        <v>#NUM!</v>
      </c>
      <c r="F31" s="91"/>
      <c r="G31" s="91"/>
      <c r="H31" s="92" t="e">
        <f t="shared" si="15"/>
        <v>#NUM!</v>
      </c>
      <c r="I31" s="97" t="e">
        <f t="shared" si="15"/>
        <v>#NUM!</v>
      </c>
      <c r="J31" s="98" t="e">
        <f t="shared" si="15"/>
        <v>#NUM!</v>
      </c>
      <c r="K31" s="98" t="e">
        <f t="shared" si="15"/>
        <v>#NUM!</v>
      </c>
      <c r="L31" s="99" t="e">
        <f t="shared" si="15"/>
        <v>#NUM!</v>
      </c>
      <c r="M31" s="100" t="e">
        <f t="shared" si="15"/>
        <v>#NUM!</v>
      </c>
      <c r="N31" s="97" t="e">
        <f t="shared" si="15"/>
        <v>#NUM!</v>
      </c>
      <c r="O31" s="102" t="e">
        <f t="shared" si="15"/>
        <v>#NUM!</v>
      </c>
      <c r="P31" s="107" t="e">
        <f t="shared" si="15"/>
        <v>#NUM!</v>
      </c>
      <c r="Q31" s="108" t="e">
        <f t="shared" si="15"/>
        <v>#NUM!</v>
      </c>
      <c r="R31" s="108" t="e">
        <f t="shared" si="15"/>
        <v>#NUM!</v>
      </c>
      <c r="S31" s="109" t="e">
        <f t="shared" si="15"/>
        <v>#NUM!</v>
      </c>
      <c r="T31" s="110" t="e">
        <f t="shared" si="15"/>
        <v>#NUM!</v>
      </c>
      <c r="U31" s="97" t="e">
        <f t="shared" si="15"/>
        <v>#NUM!</v>
      </c>
      <c r="V31" s="102" t="e">
        <f t="shared" si="15"/>
        <v>#NUM!</v>
      </c>
      <c r="W31" s="43"/>
      <c r="X31" s="200" t="e">
        <f t="shared" si="16"/>
        <v>#NUM!</v>
      </c>
      <c r="Y31" s="100" t="e">
        <f t="shared" si="16"/>
        <v>#NUM!</v>
      </c>
      <c r="AA31" s="18"/>
    </row>
    <row r="32" spans="1:27" s="17" customFormat="1" ht="18.75" customHeight="1">
      <c r="A32" s="12"/>
      <c r="B32" s="12"/>
      <c r="C32" s="164" t="s">
        <v>6</v>
      </c>
      <c r="D32" s="163" t="e">
        <f ca="1">AVERAGE(D8:D27)</f>
        <v>#DIV/0!</v>
      </c>
      <c r="E32" s="163" t="e">
        <f ca="1">AVERAGE(E8:E27)</f>
        <v>#DIV/0!</v>
      </c>
      <c r="F32" s="164"/>
      <c r="G32" s="164"/>
      <c r="H32" s="163" t="e">
        <f t="shared" ref="H32:V32" si="17">AVERAGE(H8:H27)</f>
        <v>#DIV/0!</v>
      </c>
      <c r="I32" s="165" t="e">
        <f t="shared" si="17"/>
        <v>#DIV/0!</v>
      </c>
      <c r="J32" s="166" t="e">
        <f t="shared" si="17"/>
        <v>#DIV/0!</v>
      </c>
      <c r="K32" s="166" t="e">
        <f t="shared" si="17"/>
        <v>#DIV/0!</v>
      </c>
      <c r="L32" s="167" t="e">
        <f t="shared" si="17"/>
        <v>#DIV/0!</v>
      </c>
      <c r="M32" s="168" t="e">
        <f t="shared" si="17"/>
        <v>#DIV/0!</v>
      </c>
      <c r="N32" s="165" t="e">
        <f t="shared" si="17"/>
        <v>#DIV/0!</v>
      </c>
      <c r="O32" s="169" t="e">
        <f t="shared" si="17"/>
        <v>#DIV/0!</v>
      </c>
      <c r="P32" s="165" t="e">
        <f t="shared" si="17"/>
        <v>#DIV/0!</v>
      </c>
      <c r="Q32" s="166" t="e">
        <f t="shared" si="17"/>
        <v>#DIV/0!</v>
      </c>
      <c r="R32" s="166" t="e">
        <f t="shared" si="17"/>
        <v>#DIV/0!</v>
      </c>
      <c r="S32" s="167" t="e">
        <f t="shared" si="17"/>
        <v>#DIV/0!</v>
      </c>
      <c r="T32" s="168" t="e">
        <f t="shared" si="17"/>
        <v>#DIV/0!</v>
      </c>
      <c r="U32" s="165" t="e">
        <f t="shared" si="17"/>
        <v>#DIV/0!</v>
      </c>
      <c r="V32" s="169" t="e">
        <f t="shared" si="17"/>
        <v>#DIV/0!</v>
      </c>
      <c r="W32" s="42"/>
      <c r="X32" s="202" t="e">
        <f>AVERAGE(X8:X27)</f>
        <v>#DIV/0!</v>
      </c>
      <c r="Y32" s="168" t="e">
        <f>AVERAGE(Y8:Y27)</f>
        <v>#DIV/0!</v>
      </c>
      <c r="AA32" s="18"/>
    </row>
    <row r="33" spans="1:27" ht="5.15" customHeight="1">
      <c r="C33" s="28"/>
      <c r="D33" s="28"/>
      <c r="E33" s="28"/>
      <c r="F33" s="28"/>
      <c r="G33" s="28"/>
      <c r="H33" s="29"/>
      <c r="I33" s="39"/>
      <c r="J33" s="40"/>
      <c r="K33" s="40"/>
      <c r="L33" s="38"/>
      <c r="M33" s="41"/>
      <c r="N33" s="39"/>
      <c r="O33" s="38"/>
      <c r="P33" s="38"/>
      <c r="Q33" s="41"/>
      <c r="R33" s="41"/>
      <c r="S33" s="39"/>
      <c r="T33" s="40"/>
      <c r="U33" s="39"/>
      <c r="V33" s="38"/>
      <c r="W33" s="28"/>
      <c r="X33" s="28"/>
      <c r="Y33" s="28"/>
    </row>
    <row r="34" spans="1:27" s="35" customFormat="1" ht="22.5" customHeight="1">
      <c r="A34" s="35" t="str">
        <f>$B34&amp;"_"&amp;$C$3&amp;"_"&amp;$C$2</f>
        <v>TSX:RY_2018_</v>
      </c>
      <c r="B34" s="35" t="s">
        <v>103</v>
      </c>
      <c r="C34" s="191" t="str">
        <f>IFERROR(INDEX(Raw_Data,MATCH($A34,Look_Up,0),MATCH(C$4,Component,0)),"-")</f>
        <v>-</v>
      </c>
      <c r="D34" s="170" t="str">
        <f ca="1">_xll.ciqfunctions.udf.CIQ(B34, "IQ_MARKETCAP", $A$1,$A$2)</f>
        <v>#PEND</v>
      </c>
      <c r="E34" s="170" t="str">
        <f ca="1">_xll.ciqfunctions.udf.CIQ($B34, "IQ_TEV", $A$1,$A$2)</f>
        <v>#PEND</v>
      </c>
      <c r="F34" s="171" t="str">
        <f>IFERROR(INDEX(Raw_Data,MATCH($A34,Look_Up,0),MATCH(F$4,Component,0)),"-")</f>
        <v>-</v>
      </c>
      <c r="G34" s="171" t="str">
        <f>IFERROR(INDEX(Raw_Data,MATCH($A34,Look_Up,0),MATCH(G$4,Component,0)),"-")</f>
        <v>-</v>
      </c>
      <c r="H34" s="170" t="str">
        <f>IFERROR(INDEX(Raw_Data,MATCH($A34,Look_Up,0),MATCH(H$4,Component,0))/1000,"-")</f>
        <v>-</v>
      </c>
      <c r="I34" s="170" t="str">
        <f>IFERROR(INDEX(Raw_Data,MATCH($A34,Look_Up,0),MATCH(I$4,Component,0))/1000,"-")</f>
        <v>-</v>
      </c>
      <c r="J34" s="172" t="str">
        <f>IFERROR(INDEX(Raw_Data,MATCH($A34,Look_Up,0),MATCH(J$4,Component,0)),"-")</f>
        <v>-</v>
      </c>
      <c r="K34" s="172" t="str">
        <f>IFERROR(INDEX(Raw_Data,MATCH($A34,Look_Up,0),MATCH(K$4,Component,0)),"-")</f>
        <v>-</v>
      </c>
      <c r="L34" s="173" t="str">
        <f>IFERROR(INDEX(Raw_Data,MATCH($A34,Look_Up,0),MATCH(L$4,Component,0))/1000,"-")</f>
        <v>-</v>
      </c>
      <c r="M34" s="174" t="str">
        <f>IFERROR(INDEX(Raw_Data,MATCH($A34,Look_Up,0),MATCH(M$4,Component,0)),"-")</f>
        <v>-</v>
      </c>
      <c r="N34" s="170" t="str">
        <f>IFERROR(INDEX(Raw_Data,MATCH($A34,Look_Up,0),MATCH(N$4,Component,0))/1000,"-")</f>
        <v>-</v>
      </c>
      <c r="O34" s="173" t="str">
        <f>IFERROR(INDEX(Raw_Data,MATCH($A34,Look_Up,0),MATCH(O$4,Component,0))/1000,"-")</f>
        <v>-</v>
      </c>
      <c r="P34" s="170" t="str">
        <f>IFERROR(INDEX(Raw_Data,MATCH($A34,Look_Up,0),MATCH(P$4,Component,0))/1000,"-")</f>
        <v>-</v>
      </c>
      <c r="Q34" s="172" t="str">
        <f>IFERROR(INDEX(Raw_Data,MATCH($A34,Look_Up,0),MATCH(Q$4,Component,0)),"-")</f>
        <v>-</v>
      </c>
      <c r="R34" s="172" t="str">
        <f>IFERROR(INDEX(Raw_Data,MATCH($A34,Look_Up,0),MATCH(R$4,Component,0)),"-")</f>
        <v>-</v>
      </c>
      <c r="S34" s="170" t="str">
        <f>IFERROR(INDEX(Raw_Data,MATCH($A34,Look_Up,0),MATCH(S$4,Component,0))/1000,"-")</f>
        <v>-</v>
      </c>
      <c r="T34" s="172" t="str">
        <f>IFERROR(INDEX(Raw_Data,MATCH($A34,Look_Up,0),MATCH(T$4,Component,0)),"-")</f>
        <v>-</v>
      </c>
      <c r="U34" s="170" t="str">
        <f>IFERROR(INDEX(Raw_Data,MATCH($A34,Look_Up,0),MATCH(U$4,Component,0))/1000,"-")</f>
        <v>-</v>
      </c>
      <c r="V34" s="175" t="str">
        <f>IFERROR(INDEX(Raw_Data,MATCH($A34,Look_Up,0),MATCH(V$4,Component,0))/1000,"-")</f>
        <v>-</v>
      </c>
      <c r="W34" s="37"/>
      <c r="X34" s="185" t="str">
        <f>IFERROR(N34/U34,"-")</f>
        <v>-</v>
      </c>
      <c r="Y34" s="186" t="str">
        <f>IFERROR(P34/U34,"-")</f>
        <v>-</v>
      </c>
      <c r="AA34" s="36"/>
    </row>
    <row r="35" spans="1:27" ht="19.5" customHeight="1">
      <c r="B35" s="33"/>
      <c r="C35" s="192" t="s">
        <v>5</v>
      </c>
      <c r="D35" s="176" t="str">
        <f ca="1">IF(D$34&gt;=MAX(D$8:D$27),"max",IF(D$34&lt;=MIN(D$8:D$27),"min",PERCENTRANK(D$8:D$27,D$34)))</f>
        <v>max</v>
      </c>
      <c r="E35" s="176" t="str">
        <f ca="1">IF(E$34&gt;=MAX(E$8:E$27),"max",IF(E$34&lt;=MIN(E$8:E$27),"min",PERCENTRANK(E$8:E$27,E$34)))</f>
        <v>max</v>
      </c>
      <c r="F35" s="177"/>
      <c r="G35" s="177"/>
      <c r="H35" s="176" t="str">
        <f t="shared" ref="H35:V35" si="18">IF(H$34&gt;=MAX(H$8:H$27),"max",IF(H$34&lt;=MIN(H$8:H$27),"min",PERCENTRANK(H$8:H$27,H$34)))</f>
        <v>max</v>
      </c>
      <c r="I35" s="176" t="str">
        <f t="shared" si="18"/>
        <v>max</v>
      </c>
      <c r="J35" s="178" t="str">
        <f t="shared" si="18"/>
        <v>max</v>
      </c>
      <c r="K35" s="178" t="str">
        <f t="shared" si="18"/>
        <v>max</v>
      </c>
      <c r="L35" s="176" t="str">
        <f t="shared" si="18"/>
        <v>max</v>
      </c>
      <c r="M35" s="178" t="str">
        <f t="shared" si="18"/>
        <v>max</v>
      </c>
      <c r="N35" s="176" t="str">
        <f t="shared" si="18"/>
        <v>max</v>
      </c>
      <c r="O35" s="176" t="str">
        <f t="shared" si="18"/>
        <v>max</v>
      </c>
      <c r="P35" s="176" t="str">
        <f t="shared" si="18"/>
        <v>max</v>
      </c>
      <c r="Q35" s="178" t="str">
        <f t="shared" si="18"/>
        <v>max</v>
      </c>
      <c r="R35" s="178" t="str">
        <f t="shared" si="18"/>
        <v>max</v>
      </c>
      <c r="S35" s="176" t="str">
        <f t="shared" si="18"/>
        <v>max</v>
      </c>
      <c r="T35" s="178" t="str">
        <f t="shared" si="18"/>
        <v>max</v>
      </c>
      <c r="U35" s="176" t="str">
        <f t="shared" si="18"/>
        <v>max</v>
      </c>
      <c r="V35" s="179" t="str">
        <f t="shared" si="18"/>
        <v>max</v>
      </c>
      <c r="W35" s="34"/>
      <c r="X35" s="187" t="str">
        <f>IF(X$34&gt;=MAX(X$8:X27),"max",IF(X$34&lt;=MIN(X$8:X27),"min",PERCENTRANK(X$8:X27,X$34)))</f>
        <v>max</v>
      </c>
      <c r="Y35" s="188" t="str">
        <f>IF(Y$34&gt;=MAX(Y$8:Y27),"max",IF(Y$34&lt;=MIN(Y$8:Y27),"min",PERCENTRANK(Y$8:Y27,Y$34)))</f>
        <v>max</v>
      </c>
    </row>
    <row r="36" spans="1:27" ht="8.25" customHeight="1">
      <c r="B36" s="33"/>
      <c r="C36" s="32"/>
      <c r="D36" s="32"/>
      <c r="E36" s="28"/>
      <c r="F36" s="28"/>
      <c r="G36" s="28"/>
      <c r="H36" s="29"/>
      <c r="I36" s="29"/>
      <c r="J36" s="29"/>
      <c r="K36" s="29"/>
      <c r="L36" s="29"/>
      <c r="M36" s="29"/>
      <c r="N36" s="29"/>
      <c r="O36" s="29"/>
      <c r="P36" s="29"/>
      <c r="Q36" s="29"/>
      <c r="R36" s="29"/>
      <c r="S36" s="29"/>
      <c r="T36" s="29"/>
      <c r="U36" s="29"/>
      <c r="V36" s="29"/>
      <c r="W36" s="28"/>
      <c r="X36" s="28"/>
      <c r="Y36" s="28"/>
    </row>
    <row r="37" spans="1:27" ht="15" customHeight="1">
      <c r="B37" s="33"/>
      <c r="C37" s="32" t="str">
        <f>+"Sources: "&amp;C3&amp;" proxy data"</f>
        <v>Sources: 2018 proxy data</v>
      </c>
      <c r="D37" s="32"/>
      <c r="E37" s="28"/>
      <c r="F37" s="28"/>
      <c r="G37" s="28"/>
      <c r="H37" s="29"/>
      <c r="I37" s="29"/>
      <c r="J37" s="29"/>
      <c r="K37" s="29"/>
      <c r="L37" s="29"/>
      <c r="M37" s="29"/>
      <c r="N37" s="29"/>
      <c r="O37" s="29"/>
      <c r="P37" s="29"/>
      <c r="Q37" s="29"/>
      <c r="R37" s="29"/>
      <c r="S37" s="29"/>
      <c r="T37" s="29"/>
      <c r="U37" s="29"/>
      <c r="V37" s="29"/>
      <c r="W37" s="28"/>
      <c r="X37" s="28"/>
      <c r="Y37" s="28"/>
    </row>
    <row r="38" spans="1:27" ht="15" customHeight="1">
      <c r="B38" s="33"/>
      <c r="C38" s="143" t="s">
        <v>32</v>
      </c>
      <c r="D38" s="32"/>
      <c r="E38" s="28"/>
      <c r="F38" s="28"/>
      <c r="G38" s="28"/>
      <c r="H38" s="29"/>
      <c r="I38" s="31"/>
      <c r="J38" s="31"/>
      <c r="K38" s="31"/>
      <c r="L38" s="30"/>
      <c r="M38" s="29"/>
      <c r="N38" s="29"/>
      <c r="O38" s="29"/>
      <c r="P38" s="29"/>
      <c r="Q38" s="29"/>
      <c r="R38" s="29"/>
      <c r="S38" s="29"/>
      <c r="T38" s="29"/>
      <c r="U38" s="29"/>
      <c r="V38" s="29"/>
      <c r="W38" s="28"/>
      <c r="X38" s="28"/>
      <c r="Y38" s="28"/>
    </row>
    <row r="39" spans="1:27" ht="15" customHeight="1">
      <c r="B39" s="15"/>
      <c r="C39" s="27" t="str">
        <f>IFERROR(INDEX(Raw_Data,MATCH(#REF!,Look_Up,0),MATCH(C$38,Component,0)),"N/A")</f>
        <v>N/A</v>
      </c>
      <c r="D39" s="27"/>
      <c r="E39" s="27"/>
      <c r="F39" s="27"/>
      <c r="G39" s="27"/>
      <c r="H39" s="27"/>
      <c r="I39" s="27"/>
      <c r="J39" s="27"/>
      <c r="K39" s="27"/>
      <c r="L39" s="27"/>
      <c r="M39" s="27"/>
      <c r="N39" s="27"/>
      <c r="O39" s="27"/>
      <c r="P39" s="27"/>
      <c r="Q39" s="27"/>
      <c r="R39" s="27"/>
      <c r="S39" s="27"/>
      <c r="T39" s="27"/>
      <c r="U39" s="27"/>
      <c r="V39" s="27"/>
      <c r="W39" s="26"/>
      <c r="X39" s="26"/>
      <c r="Y39" s="26"/>
    </row>
    <row r="40" spans="1:27">
      <c r="B40" s="15"/>
      <c r="C40" s="14"/>
      <c r="D40" s="14"/>
      <c r="E40" s="14"/>
      <c r="F40" s="14"/>
      <c r="G40" s="14"/>
      <c r="H40" s="14"/>
      <c r="I40" s="14"/>
      <c r="J40" s="14"/>
      <c r="K40" s="14"/>
      <c r="L40" s="14"/>
      <c r="M40" s="14"/>
      <c r="N40" s="14"/>
      <c r="O40" s="14"/>
      <c r="P40" s="14"/>
      <c r="Q40" s="14"/>
      <c r="R40" s="14"/>
      <c r="S40" s="14"/>
      <c r="T40" s="14"/>
      <c r="U40" s="14"/>
      <c r="V40" s="14"/>
      <c r="W40" s="26"/>
      <c r="X40" s="26"/>
      <c r="Y40" s="26"/>
    </row>
    <row r="41" spans="1:27">
      <c r="B41" s="15"/>
      <c r="C41" s="14"/>
      <c r="D41" s="14"/>
      <c r="E41" s="14"/>
      <c r="F41" s="14"/>
      <c r="G41" s="14"/>
      <c r="H41" s="14"/>
      <c r="I41" s="14"/>
      <c r="J41" s="14"/>
      <c r="K41" s="14"/>
      <c r="L41" s="14"/>
      <c r="M41" s="14"/>
      <c r="N41" s="14"/>
      <c r="O41" s="14"/>
      <c r="P41" s="14"/>
      <c r="Q41" s="14"/>
      <c r="R41" s="14"/>
      <c r="S41" s="14"/>
      <c r="T41" s="14"/>
      <c r="U41" s="14"/>
      <c r="V41" s="14"/>
      <c r="W41" s="27"/>
      <c r="X41" s="27"/>
      <c r="Y41" s="27"/>
    </row>
    <row r="42" spans="1:27">
      <c r="B42" s="15"/>
      <c r="C42" s="14"/>
      <c r="D42" s="14"/>
      <c r="E42" s="14"/>
      <c r="F42" s="14"/>
      <c r="G42" s="14"/>
      <c r="H42" s="14"/>
      <c r="I42" s="14"/>
      <c r="J42" s="14"/>
      <c r="K42" s="14"/>
      <c r="L42" s="14"/>
      <c r="M42" s="14"/>
      <c r="N42" s="14"/>
      <c r="O42" s="14"/>
      <c r="P42" s="14"/>
      <c r="Q42" s="14"/>
      <c r="R42" s="14"/>
      <c r="S42" s="14"/>
      <c r="T42" s="14"/>
      <c r="U42" s="14"/>
      <c r="V42" s="14"/>
      <c r="W42" s="27"/>
      <c r="X42" s="27"/>
      <c r="Y42" s="27"/>
    </row>
    <row r="43" spans="1:27">
      <c r="B43" s="15"/>
      <c r="C43" s="14"/>
      <c r="D43" s="14"/>
      <c r="E43" s="14"/>
      <c r="F43" s="14"/>
      <c r="G43" s="14"/>
      <c r="H43" s="14"/>
      <c r="I43" s="14"/>
      <c r="J43" s="14"/>
      <c r="K43" s="14"/>
      <c r="L43" s="14"/>
      <c r="M43" s="14"/>
      <c r="N43" s="14"/>
      <c r="O43" s="14"/>
      <c r="P43" s="14"/>
      <c r="Q43" s="14"/>
      <c r="R43" s="14"/>
      <c r="S43" s="14"/>
      <c r="T43" s="14"/>
      <c r="U43" s="14"/>
      <c r="V43" s="14"/>
    </row>
    <row r="44" spans="1:27">
      <c r="B44" s="15"/>
      <c r="C44" s="14"/>
      <c r="D44" s="14"/>
      <c r="E44" s="14"/>
      <c r="F44" s="14"/>
      <c r="G44" s="14"/>
      <c r="H44" s="14"/>
      <c r="I44" s="14"/>
      <c r="J44" s="14"/>
      <c r="K44" s="14"/>
      <c r="L44" s="14"/>
      <c r="M44" s="14"/>
      <c r="N44" s="14"/>
      <c r="O44" s="14"/>
      <c r="P44" s="14"/>
      <c r="Q44" s="14"/>
      <c r="R44" s="14"/>
      <c r="S44" s="14"/>
      <c r="T44" s="14"/>
      <c r="U44" s="14"/>
      <c r="V44" s="14"/>
    </row>
    <row r="45" spans="1:27">
      <c r="B45" s="15"/>
      <c r="C45" s="14"/>
      <c r="D45" s="14"/>
      <c r="E45" s="14"/>
      <c r="F45" s="14"/>
      <c r="G45" s="14"/>
      <c r="H45" s="14"/>
      <c r="I45" s="14"/>
      <c r="J45" s="14"/>
      <c r="K45" s="14"/>
      <c r="L45" s="14"/>
      <c r="M45" s="14"/>
      <c r="N45" s="14"/>
      <c r="O45" s="14"/>
      <c r="P45" s="14"/>
      <c r="Q45" s="14"/>
      <c r="R45" s="14"/>
      <c r="S45" s="14"/>
      <c r="T45" s="14"/>
      <c r="U45" s="14"/>
      <c r="V45" s="14"/>
    </row>
    <row r="46" spans="1:27">
      <c r="B46" s="15"/>
      <c r="C46" s="14"/>
      <c r="D46" s="26"/>
    </row>
    <row r="47" spans="1:27">
      <c r="B47" s="15"/>
      <c r="C47" s="14"/>
      <c r="D47" s="26"/>
    </row>
    <row r="48" spans="1:27">
      <c r="C48" s="14"/>
    </row>
    <row r="49" spans="2:27">
      <c r="C49" s="14"/>
    </row>
    <row r="50" spans="2:27" s="17" customFormat="1" ht="16">
      <c r="B50" s="25"/>
      <c r="C50" s="14"/>
      <c r="D50" s="22"/>
      <c r="E50" s="22"/>
      <c r="F50" s="20"/>
      <c r="G50" s="20"/>
      <c r="H50" s="22"/>
      <c r="I50" s="22"/>
      <c r="J50" s="23"/>
      <c r="K50" s="23"/>
      <c r="L50" s="21"/>
      <c r="M50" s="24"/>
      <c r="N50" s="22"/>
      <c r="O50" s="21"/>
      <c r="P50" s="21"/>
      <c r="Q50" s="24"/>
      <c r="R50" s="24"/>
      <c r="S50" s="22"/>
      <c r="T50" s="23"/>
      <c r="U50" s="22"/>
      <c r="V50" s="21"/>
      <c r="W50" s="20"/>
      <c r="X50" s="19"/>
      <c r="Y50" s="19"/>
      <c r="AA50" s="18"/>
    </row>
    <row r="51" spans="2:27">
      <c r="C51" s="14"/>
      <c r="H51" s="16"/>
      <c r="I51" s="16"/>
      <c r="J51" s="16"/>
      <c r="K51" s="16"/>
      <c r="L51" s="16"/>
      <c r="M51" s="16"/>
      <c r="N51" s="16"/>
      <c r="O51" s="16"/>
      <c r="P51" s="16"/>
      <c r="Q51" s="16"/>
      <c r="R51" s="16"/>
      <c r="S51" s="16"/>
      <c r="T51" s="16"/>
      <c r="U51" s="16"/>
      <c r="V51" s="16"/>
    </row>
    <row r="52" spans="2:27">
      <c r="C52" s="14"/>
      <c r="AA52" s="12"/>
    </row>
    <row r="53" spans="2:27">
      <c r="C53" s="14"/>
      <c r="AA53" s="12"/>
    </row>
    <row r="54" spans="2:27">
      <c r="C54" s="14"/>
      <c r="AA54" s="12"/>
    </row>
    <row r="55" spans="2:27">
      <c r="C55" s="14"/>
      <c r="AA55" s="12"/>
    </row>
  </sheetData>
  <mergeCells count="6">
    <mergeCell ref="H6:H7"/>
    <mergeCell ref="C6:C7"/>
    <mergeCell ref="D6:D7"/>
    <mergeCell ref="E6:E7"/>
    <mergeCell ref="F6:F7"/>
    <mergeCell ref="G6:G7"/>
  </mergeCells>
  <conditionalFormatting sqref="C8:V27 X8:Y27 C29:V32 X29:Y32">
    <cfRule type="expression" dxfId="209" priority="9">
      <formula>MOD(ROW(),2)=0</formula>
    </cfRule>
  </conditionalFormatting>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pageSetUpPr autoPageBreaks="0"/>
  </sheetPr>
  <dimension ref="B3:E24"/>
  <sheetViews>
    <sheetView workbookViewId="0"/>
  </sheetViews>
  <sheetFormatPr defaultRowHeight="14.5"/>
  <cols>
    <col min="2" max="2" width="26.26953125" bestFit="1" customWidth="1"/>
    <col min="3" max="5" width="15.7265625" customWidth="1"/>
  </cols>
  <sheetData>
    <row r="3" spans="2:5" ht="15" customHeight="1">
      <c r="B3" s="76"/>
      <c r="C3" s="79" t="s">
        <v>75</v>
      </c>
      <c r="D3" s="78" t="s">
        <v>75</v>
      </c>
      <c r="E3" s="77" t="s">
        <v>75</v>
      </c>
    </row>
    <row r="4" spans="2:5" ht="15">
      <c r="B4" s="76"/>
      <c r="C4" s="75" t="s">
        <v>17</v>
      </c>
      <c r="D4" s="75" t="s">
        <v>59</v>
      </c>
      <c r="E4" s="75" t="s">
        <v>68</v>
      </c>
    </row>
    <row r="5" spans="2:5">
      <c r="B5" s="74" t="s">
        <v>67</v>
      </c>
      <c r="C5" s="73"/>
      <c r="D5" s="73"/>
      <c r="E5" s="73"/>
    </row>
    <row r="6" spans="2:5">
      <c r="B6" s="67" t="s">
        <v>9</v>
      </c>
      <c r="C6" s="72" t="e">
        <f>'Master - Summary'!H29</f>
        <v>#NUM!</v>
      </c>
      <c r="D6" s="72" t="e">
        <f>'Master - Summary'!O29</f>
        <v>#NUM!</v>
      </c>
      <c r="E6" s="72" t="e">
        <f>'Master - Summary'!V29</f>
        <v>#NUM!</v>
      </c>
    </row>
    <row r="7" spans="2:5">
      <c r="B7" s="65" t="s">
        <v>8</v>
      </c>
      <c r="C7" s="64" t="e">
        <f>'Master - Summary'!H30</f>
        <v>#NUM!</v>
      </c>
      <c r="D7" s="64" t="e">
        <f>'Master - Summary'!O30</f>
        <v>#NUM!</v>
      </c>
      <c r="E7" s="64" t="e">
        <f>'Master - Summary'!V30</f>
        <v>#NUM!</v>
      </c>
    </row>
    <row r="8" spans="2:5">
      <c r="B8" s="63" t="s">
        <v>7</v>
      </c>
      <c r="C8" s="64" t="e">
        <f>'Master - Summary'!H31</f>
        <v>#NUM!</v>
      </c>
      <c r="D8" s="64" t="e">
        <f>'Master - Summary'!O31</f>
        <v>#NUM!</v>
      </c>
      <c r="E8" s="64" t="e">
        <f>'Master - Summary'!V31</f>
        <v>#NUM!</v>
      </c>
    </row>
    <row r="9" spans="2:5">
      <c r="B9" s="61" t="s">
        <v>6</v>
      </c>
      <c r="C9" s="60" t="e">
        <f>'Master - Summary'!H32</f>
        <v>#DIV/0!</v>
      </c>
      <c r="D9" s="64" t="e">
        <f>'Master - Summary'!O32</f>
        <v>#DIV/0!</v>
      </c>
      <c r="E9" s="60" t="e">
        <f>'Master - Summary'!V32</f>
        <v>#DIV/0!</v>
      </c>
    </row>
    <row r="10" spans="2:5">
      <c r="B10" s="59" t="str">
        <f>'Master - Summary'!C34</f>
        <v>-</v>
      </c>
      <c r="C10" s="58" t="str">
        <f>'Master - Summary'!H34</f>
        <v>-</v>
      </c>
      <c r="D10" s="58" t="str">
        <f>'Master - Summary'!O34</f>
        <v>-</v>
      </c>
      <c r="E10" s="58" t="str">
        <f>'Master - Summary'!V34</f>
        <v>-</v>
      </c>
    </row>
    <row r="11" spans="2:5">
      <c r="B11" s="71"/>
      <c r="C11" s="70"/>
      <c r="D11" s="70"/>
      <c r="E11" s="70"/>
    </row>
    <row r="12" spans="2:5">
      <c r="B12" s="69" t="s">
        <v>66</v>
      </c>
      <c r="C12" s="68"/>
      <c r="D12" s="68"/>
      <c r="E12" s="68"/>
    </row>
    <row r="13" spans="2:5">
      <c r="B13" s="67" t="s">
        <v>65</v>
      </c>
      <c r="C13" s="66" t="e">
        <f>C8</f>
        <v>#NUM!</v>
      </c>
      <c r="D13" s="66" t="e">
        <f>D8</f>
        <v>#NUM!</v>
      </c>
      <c r="E13" s="66" t="e">
        <f>E8</f>
        <v>#NUM!</v>
      </c>
    </row>
    <row r="14" spans="2:5">
      <c r="B14" s="65" t="s">
        <v>64</v>
      </c>
      <c r="C14" s="64" t="e">
        <f>(C7-C8)</f>
        <v>#NUM!</v>
      </c>
      <c r="D14" s="64" t="e">
        <f>(D7-D8)</f>
        <v>#NUM!</v>
      </c>
      <c r="E14" s="64" t="e">
        <f>(E7-E8)</f>
        <v>#NUM!</v>
      </c>
    </row>
    <row r="15" spans="2:5">
      <c r="B15" s="63" t="s">
        <v>63</v>
      </c>
      <c r="C15" s="62" t="e">
        <f>(C6-C7)</f>
        <v>#NUM!</v>
      </c>
      <c r="D15" s="62" t="e">
        <f>(D6-D7)</f>
        <v>#NUM!</v>
      </c>
      <c r="E15" s="62" t="e">
        <f>(E6-E7)</f>
        <v>#NUM!</v>
      </c>
    </row>
    <row r="16" spans="2:5">
      <c r="B16" s="61" t="s">
        <v>6</v>
      </c>
      <c r="C16" s="60" t="e">
        <f t="shared" ref="C16:E17" si="0">C9</f>
        <v>#DIV/0!</v>
      </c>
      <c r="D16" s="60" t="e">
        <f t="shared" si="0"/>
        <v>#DIV/0!</v>
      </c>
      <c r="E16" s="60" t="e">
        <f t="shared" si="0"/>
        <v>#DIV/0!</v>
      </c>
    </row>
    <row r="17" spans="2:5">
      <c r="B17" s="59" t="str">
        <f>'Master - Summary'!C34</f>
        <v>-</v>
      </c>
      <c r="C17" s="58" t="str">
        <f t="shared" si="0"/>
        <v>-</v>
      </c>
      <c r="D17" s="58" t="str">
        <f t="shared" si="0"/>
        <v>-</v>
      </c>
      <c r="E17" s="58" t="str">
        <f t="shared" si="0"/>
        <v>-</v>
      </c>
    </row>
    <row r="19" spans="2:5">
      <c r="B19" s="57" t="s">
        <v>62</v>
      </c>
      <c r="C19" s="56" t="e">
        <f>C10-C7</f>
        <v>#VALUE!</v>
      </c>
      <c r="D19" s="56" t="e">
        <f>D10-D7</f>
        <v>#VALUE!</v>
      </c>
      <c r="E19" s="56" t="e">
        <f>E10-E7</f>
        <v>#VALUE!</v>
      </c>
    </row>
    <row r="23" spans="2:5">
      <c r="B23" s="55"/>
      <c r="C23" s="54"/>
      <c r="E23" s="54"/>
    </row>
    <row r="24" spans="2:5">
      <c r="B24" s="55"/>
      <c r="C24" s="54"/>
      <c r="E24" s="54"/>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7D234-4768-4B54-96B7-5AE8CD25BDC4}">
  <sheetPr>
    <tabColor theme="9"/>
    <pageSetUpPr autoPageBreaks="0"/>
  </sheetPr>
  <dimension ref="B2:Q71"/>
  <sheetViews>
    <sheetView showGridLines="0" zoomScaleNormal="100" workbookViewId="0">
      <selection activeCell="C32" sqref="C32"/>
    </sheetView>
  </sheetViews>
  <sheetFormatPr defaultRowHeight="14.5" outlineLevelRow="1"/>
  <cols>
    <col min="2" max="2" width="26.26953125" bestFit="1" customWidth="1"/>
    <col min="3" max="14" width="15.7265625" customWidth="1"/>
    <col min="15" max="15" width="16.81640625" customWidth="1"/>
    <col min="16" max="16" width="13.453125" customWidth="1"/>
  </cols>
  <sheetData>
    <row r="2" spans="2:14" outlineLevel="1">
      <c r="B2" s="475" t="s">
        <v>493</v>
      </c>
      <c r="C2" s="476" t="str">
        <f t="shared" ref="C2:N2" si="0">C24</f>
        <v>CEO</v>
      </c>
      <c r="D2" s="476" t="str">
        <f t="shared" si="0"/>
        <v>CEO</v>
      </c>
      <c r="E2" s="476" t="str">
        <f t="shared" si="0"/>
        <v>CFO</v>
      </c>
      <c r="F2" s="476" t="str">
        <f t="shared" si="0"/>
        <v>CFO</v>
      </c>
      <c r="G2" s="476" t="str">
        <f t="shared" si="0"/>
        <v>COO</v>
      </c>
      <c r="H2" s="476" t="str">
        <f t="shared" si="0"/>
        <v>COO</v>
      </c>
      <c r="I2" s="476" t="str">
        <f t="shared" si="0"/>
        <v>Legal</v>
      </c>
      <c r="J2" s="476" t="str">
        <f t="shared" si="0"/>
        <v>Legal</v>
      </c>
      <c r="K2" s="476" t="str">
        <f t="shared" si="0"/>
        <v>NEO4</v>
      </c>
      <c r="L2" s="476" t="str">
        <f t="shared" si="0"/>
        <v>NEO4</v>
      </c>
      <c r="M2" s="476" t="str">
        <f t="shared" si="0"/>
        <v>Tech</v>
      </c>
      <c r="N2" s="476" t="str">
        <f t="shared" si="0"/>
        <v>Tech</v>
      </c>
    </row>
    <row r="3" spans="2:14" outlineLevel="1">
      <c r="B3" s="474" t="s">
        <v>9</v>
      </c>
      <c r="C3" s="839">
        <v>29</v>
      </c>
      <c r="D3" s="839">
        <v>29</v>
      </c>
      <c r="E3" s="839">
        <v>29</v>
      </c>
      <c r="F3" s="839">
        <v>29</v>
      </c>
      <c r="G3" s="839">
        <v>23</v>
      </c>
      <c r="H3" s="839">
        <v>23</v>
      </c>
      <c r="I3" s="839">
        <v>20</v>
      </c>
      <c r="J3" s="839">
        <v>20</v>
      </c>
      <c r="K3" s="839">
        <v>29</v>
      </c>
      <c r="L3" s="839">
        <v>29</v>
      </c>
      <c r="M3" s="839">
        <v>19</v>
      </c>
      <c r="N3" s="839">
        <v>19</v>
      </c>
    </row>
    <row r="4" spans="2:14" outlineLevel="1">
      <c r="B4" s="474" t="s">
        <v>8</v>
      </c>
      <c r="C4" s="157">
        <f>C3+1</f>
        <v>30</v>
      </c>
      <c r="D4" s="157">
        <f>D3+1</f>
        <v>30</v>
      </c>
      <c r="E4" s="157">
        <f>E3+1</f>
        <v>30</v>
      </c>
      <c r="F4" s="157">
        <f t="shared" ref="D4:M6" si="1">F3+1</f>
        <v>30</v>
      </c>
      <c r="G4" s="157">
        <f t="shared" si="1"/>
        <v>24</v>
      </c>
      <c r="H4" s="157">
        <f>H3+1</f>
        <v>24</v>
      </c>
      <c r="I4" s="157">
        <f t="shared" si="1"/>
        <v>21</v>
      </c>
      <c r="J4" s="157">
        <f>J3+1</f>
        <v>21</v>
      </c>
      <c r="K4" s="157">
        <f t="shared" si="1"/>
        <v>30</v>
      </c>
      <c r="L4" s="157">
        <f>L3+1</f>
        <v>30</v>
      </c>
      <c r="M4" s="157">
        <f t="shared" si="1"/>
        <v>20</v>
      </c>
      <c r="N4" s="157">
        <f>N3+1</f>
        <v>20</v>
      </c>
    </row>
    <row r="5" spans="2:14" outlineLevel="1">
      <c r="B5" s="474" t="s">
        <v>7</v>
      </c>
      <c r="C5" s="157">
        <f>C4+1</f>
        <v>31</v>
      </c>
      <c r="D5" s="157">
        <f t="shared" si="1"/>
        <v>31</v>
      </c>
      <c r="E5" s="157">
        <f>E4+1</f>
        <v>31</v>
      </c>
      <c r="F5" s="157">
        <f t="shared" si="1"/>
        <v>31</v>
      </c>
      <c r="G5" s="157">
        <f t="shared" si="1"/>
        <v>25</v>
      </c>
      <c r="H5" s="157">
        <f>H4+1</f>
        <v>25</v>
      </c>
      <c r="I5" s="157">
        <f t="shared" si="1"/>
        <v>22</v>
      </c>
      <c r="J5" s="157">
        <f>J4+1</f>
        <v>22</v>
      </c>
      <c r="K5" s="157">
        <f t="shared" si="1"/>
        <v>31</v>
      </c>
      <c r="L5" s="157">
        <f>L4+1</f>
        <v>31</v>
      </c>
      <c r="M5" s="157">
        <f t="shared" si="1"/>
        <v>21</v>
      </c>
      <c r="N5" s="157">
        <f>N4+1</f>
        <v>21</v>
      </c>
    </row>
    <row r="6" spans="2:14" outlineLevel="1">
      <c r="B6" s="474" t="s">
        <v>6</v>
      </c>
      <c r="C6" s="157">
        <f>C5+1</f>
        <v>32</v>
      </c>
      <c r="D6" s="157">
        <f t="shared" si="1"/>
        <v>32</v>
      </c>
      <c r="E6" s="157">
        <f>E5+1</f>
        <v>32</v>
      </c>
      <c r="F6" s="157">
        <f t="shared" si="1"/>
        <v>32</v>
      </c>
      <c r="G6" s="157">
        <f t="shared" si="1"/>
        <v>26</v>
      </c>
      <c r="H6" s="157">
        <f>H5+1</f>
        <v>26</v>
      </c>
      <c r="I6" s="157">
        <f t="shared" si="1"/>
        <v>23</v>
      </c>
      <c r="J6" s="157">
        <f>J5+1</f>
        <v>23</v>
      </c>
      <c r="K6" s="157">
        <f t="shared" si="1"/>
        <v>32</v>
      </c>
      <c r="L6" s="157">
        <f>L5+1</f>
        <v>32</v>
      </c>
      <c r="M6" s="157">
        <f t="shared" si="1"/>
        <v>22</v>
      </c>
      <c r="N6" s="157">
        <f>N5+1</f>
        <v>22</v>
      </c>
    </row>
    <row r="7" spans="2:14" outlineLevel="1">
      <c r="B7" s="474" t="s">
        <v>413</v>
      </c>
      <c r="C7" s="839">
        <v>39</v>
      </c>
      <c r="D7" s="839">
        <v>39</v>
      </c>
      <c r="E7" s="839">
        <v>39</v>
      </c>
      <c r="F7" s="839">
        <v>39</v>
      </c>
      <c r="G7" s="839">
        <v>33</v>
      </c>
      <c r="H7" s="839">
        <v>33</v>
      </c>
      <c r="I7" s="839">
        <v>30</v>
      </c>
      <c r="J7" s="839">
        <v>30</v>
      </c>
      <c r="K7" s="839">
        <v>39</v>
      </c>
      <c r="L7" s="839">
        <v>39</v>
      </c>
      <c r="M7" s="839">
        <v>29</v>
      </c>
      <c r="N7" s="839">
        <v>29</v>
      </c>
    </row>
    <row r="8" spans="2:14" outlineLevel="1">
      <c r="B8" s="55" t="s">
        <v>499</v>
      </c>
      <c r="C8" s="1038"/>
      <c r="D8" s="840"/>
      <c r="E8" s="840"/>
      <c r="F8" s="840"/>
      <c r="G8" s="840"/>
      <c r="H8" s="840"/>
      <c r="I8" s="840"/>
      <c r="J8" s="840"/>
      <c r="K8" s="840"/>
      <c r="L8" s="840"/>
      <c r="M8" s="839">
        <f>M7+2</f>
        <v>31</v>
      </c>
      <c r="N8" s="839">
        <f>N7+2</f>
        <v>31</v>
      </c>
    </row>
    <row r="9" spans="2:14" outlineLevel="1">
      <c r="B9" s="55" t="s">
        <v>500</v>
      </c>
      <c r="C9" s="1038"/>
      <c r="D9" s="840"/>
      <c r="E9" s="840"/>
      <c r="F9" s="840"/>
      <c r="G9" s="840"/>
      <c r="H9" s="840"/>
      <c r="I9" s="840"/>
      <c r="J9" s="840"/>
      <c r="K9" s="840"/>
      <c r="L9" s="840"/>
      <c r="M9" s="839">
        <f>M8+2</f>
        <v>33</v>
      </c>
      <c r="N9" s="839">
        <f>N8+2</f>
        <v>33</v>
      </c>
    </row>
    <row r="10" spans="2:14" outlineLevel="1">
      <c r="B10" s="55" t="s">
        <v>495</v>
      </c>
      <c r="C10" s="1039">
        <f>C7+1</f>
        <v>40</v>
      </c>
      <c r="D10" s="839">
        <f t="shared" ref="D10:N10" si="2">D7+1</f>
        <v>40</v>
      </c>
      <c r="E10" s="839">
        <f t="shared" si="2"/>
        <v>40</v>
      </c>
      <c r="F10" s="839">
        <f t="shared" si="2"/>
        <v>40</v>
      </c>
      <c r="G10" s="839">
        <f t="shared" si="2"/>
        <v>34</v>
      </c>
      <c r="H10" s="839">
        <f t="shared" si="2"/>
        <v>34</v>
      </c>
      <c r="I10" s="839">
        <f t="shared" si="2"/>
        <v>31</v>
      </c>
      <c r="J10" s="839">
        <f t="shared" si="2"/>
        <v>31</v>
      </c>
      <c r="K10" s="839">
        <f t="shared" si="2"/>
        <v>40</v>
      </c>
      <c r="L10" s="839">
        <f t="shared" si="2"/>
        <v>40</v>
      </c>
      <c r="M10" s="839">
        <f t="shared" si="2"/>
        <v>30</v>
      </c>
      <c r="N10" s="839">
        <f t="shared" si="2"/>
        <v>30</v>
      </c>
    </row>
    <row r="11" spans="2:14" outlineLevel="1">
      <c r="C11" s="487"/>
    </row>
    <row r="12" spans="2:14" outlineLevel="1">
      <c r="B12" s="475" t="s">
        <v>399</v>
      </c>
      <c r="C12" s="476" t="s">
        <v>491</v>
      </c>
      <c r="D12" s="476" t="s">
        <v>492</v>
      </c>
      <c r="E12" s="476" t="str">
        <f>C12</f>
        <v>W</v>
      </c>
      <c r="F12" s="476" t="str">
        <f t="shared" ref="F12:N12" si="3">D12</f>
        <v>AA</v>
      </c>
      <c r="G12" s="476" t="str">
        <f t="shared" si="3"/>
        <v>W</v>
      </c>
      <c r="H12" s="476" t="str">
        <f t="shared" si="3"/>
        <v>AA</v>
      </c>
      <c r="I12" s="476" t="str">
        <f t="shared" si="3"/>
        <v>W</v>
      </c>
      <c r="J12" s="476" t="str">
        <f t="shared" si="3"/>
        <v>AA</v>
      </c>
      <c r="K12" s="476" t="str">
        <f t="shared" si="3"/>
        <v>W</v>
      </c>
      <c r="L12" s="476" t="str">
        <f t="shared" si="3"/>
        <v>AA</v>
      </c>
      <c r="M12" s="476" t="str">
        <f t="shared" si="3"/>
        <v>W</v>
      </c>
      <c r="N12" s="476" t="str">
        <f t="shared" si="3"/>
        <v>AA</v>
      </c>
    </row>
    <row r="13" spans="2:14" outlineLevel="1">
      <c r="B13" s="474" t="str">
        <f>B28</f>
        <v>75th Percentile</v>
      </c>
      <c r="C13" s="157" t="str">
        <f t="shared" ref="C13:N13" si="4">C$12&amp;C3</f>
        <v>W29</v>
      </c>
      <c r="D13" s="157" t="str">
        <f t="shared" si="4"/>
        <v>AA29</v>
      </c>
      <c r="E13" s="157" t="str">
        <f t="shared" si="4"/>
        <v>W29</v>
      </c>
      <c r="F13" s="157" t="str">
        <f t="shared" si="4"/>
        <v>AA29</v>
      </c>
      <c r="G13" s="157" t="str">
        <f t="shared" si="4"/>
        <v>W23</v>
      </c>
      <c r="H13" s="157" t="str">
        <f t="shared" si="4"/>
        <v>AA23</v>
      </c>
      <c r="I13" s="157" t="str">
        <f t="shared" si="4"/>
        <v>W20</v>
      </c>
      <c r="J13" s="157" t="str">
        <f t="shared" si="4"/>
        <v>AA20</v>
      </c>
      <c r="K13" s="157" t="str">
        <f t="shared" si="4"/>
        <v>W29</v>
      </c>
      <c r="L13" s="157" t="str">
        <f t="shared" si="4"/>
        <v>AA29</v>
      </c>
      <c r="M13" s="157" t="str">
        <f t="shared" si="4"/>
        <v>W19</v>
      </c>
      <c r="N13" s="157" t="str">
        <f t="shared" si="4"/>
        <v>AA19</v>
      </c>
    </row>
    <row r="14" spans="2:14" outlineLevel="1">
      <c r="B14" s="474" t="str">
        <f>B29</f>
        <v>Median</v>
      </c>
      <c r="C14" s="157" t="str">
        <f t="shared" ref="C14:N14" si="5">C$12&amp;C4</f>
        <v>W30</v>
      </c>
      <c r="D14" s="157" t="str">
        <f t="shared" si="5"/>
        <v>AA30</v>
      </c>
      <c r="E14" s="157" t="str">
        <f t="shared" si="5"/>
        <v>W30</v>
      </c>
      <c r="F14" s="157" t="str">
        <f t="shared" si="5"/>
        <v>AA30</v>
      </c>
      <c r="G14" s="157" t="str">
        <f t="shared" si="5"/>
        <v>W24</v>
      </c>
      <c r="H14" s="157" t="str">
        <f t="shared" si="5"/>
        <v>AA24</v>
      </c>
      <c r="I14" s="157" t="str">
        <f t="shared" si="5"/>
        <v>W21</v>
      </c>
      <c r="J14" s="157" t="str">
        <f t="shared" si="5"/>
        <v>AA21</v>
      </c>
      <c r="K14" s="157" t="str">
        <f t="shared" si="5"/>
        <v>W30</v>
      </c>
      <c r="L14" s="157" t="str">
        <f t="shared" si="5"/>
        <v>AA30</v>
      </c>
      <c r="M14" s="157" t="str">
        <f t="shared" si="5"/>
        <v>W20</v>
      </c>
      <c r="N14" s="157" t="str">
        <f t="shared" si="5"/>
        <v>AA20</v>
      </c>
    </row>
    <row r="15" spans="2:14" outlineLevel="1">
      <c r="B15" s="474" t="str">
        <f>B30</f>
        <v>25th Percentile</v>
      </c>
      <c r="C15" s="157" t="str">
        <f t="shared" ref="C15:N15" si="6">C$12&amp;C5</f>
        <v>W31</v>
      </c>
      <c r="D15" s="157" t="str">
        <f t="shared" si="6"/>
        <v>AA31</v>
      </c>
      <c r="E15" s="157" t="str">
        <f t="shared" si="6"/>
        <v>W31</v>
      </c>
      <c r="F15" s="157" t="str">
        <f t="shared" si="6"/>
        <v>AA31</v>
      </c>
      <c r="G15" s="157" t="str">
        <f t="shared" si="6"/>
        <v>W25</v>
      </c>
      <c r="H15" s="157" t="str">
        <f t="shared" si="6"/>
        <v>AA25</v>
      </c>
      <c r="I15" s="157" t="str">
        <f t="shared" si="6"/>
        <v>W22</v>
      </c>
      <c r="J15" s="157" t="str">
        <f t="shared" si="6"/>
        <v>AA22</v>
      </c>
      <c r="K15" s="157" t="str">
        <f t="shared" si="6"/>
        <v>W31</v>
      </c>
      <c r="L15" s="157" t="str">
        <f t="shared" si="6"/>
        <v>AA31</v>
      </c>
      <c r="M15" s="157" t="str">
        <f t="shared" si="6"/>
        <v>W21</v>
      </c>
      <c r="N15" s="157" t="str">
        <f t="shared" si="6"/>
        <v>AA21</v>
      </c>
    </row>
    <row r="16" spans="2:14" outlineLevel="1">
      <c r="B16" s="474" t="str">
        <f>B31</f>
        <v>Average</v>
      </c>
      <c r="C16" s="157" t="str">
        <f t="shared" ref="C16:N16" si="7">C$12&amp;C6</f>
        <v>W32</v>
      </c>
      <c r="D16" s="157" t="str">
        <f t="shared" si="7"/>
        <v>AA32</v>
      </c>
      <c r="E16" s="157" t="str">
        <f t="shared" si="7"/>
        <v>W32</v>
      </c>
      <c r="F16" s="157" t="str">
        <f t="shared" si="7"/>
        <v>AA32</v>
      </c>
      <c r="G16" s="157" t="str">
        <f t="shared" si="7"/>
        <v>W26</v>
      </c>
      <c r="H16" s="157" t="str">
        <f t="shared" si="7"/>
        <v>AA26</v>
      </c>
      <c r="I16" s="157" t="str">
        <f t="shared" si="7"/>
        <v>W23</v>
      </c>
      <c r="J16" s="157" t="str">
        <f t="shared" si="7"/>
        <v>AA23</v>
      </c>
      <c r="K16" s="157" t="str">
        <f t="shared" si="7"/>
        <v>W32</v>
      </c>
      <c r="L16" s="157" t="str">
        <f t="shared" si="7"/>
        <v>AA32</v>
      </c>
      <c r="M16" s="157" t="str">
        <f t="shared" si="7"/>
        <v>W22</v>
      </c>
      <c r="N16" s="157" t="str">
        <f t="shared" si="7"/>
        <v>AA22</v>
      </c>
    </row>
    <row r="17" spans="2:17" outlineLevel="1">
      <c r="B17" s="474" t="str">
        <f>B32</f>
        <v>Hudbay Minerals Inc.</v>
      </c>
      <c r="C17" s="157" t="str">
        <f t="shared" ref="C17:N17" si="8">C$12&amp;C7</f>
        <v>W39</v>
      </c>
      <c r="D17" s="157" t="str">
        <f t="shared" si="8"/>
        <v>AA39</v>
      </c>
      <c r="E17" s="157" t="str">
        <f t="shared" si="8"/>
        <v>W39</v>
      </c>
      <c r="F17" s="157" t="str">
        <f t="shared" si="8"/>
        <v>AA39</v>
      </c>
      <c r="G17" s="157" t="str">
        <f t="shared" si="8"/>
        <v>W33</v>
      </c>
      <c r="H17" s="157" t="str">
        <f t="shared" si="8"/>
        <v>AA33</v>
      </c>
      <c r="I17" s="157" t="str">
        <f t="shared" si="8"/>
        <v>W30</v>
      </c>
      <c r="J17" s="157" t="str">
        <f t="shared" si="8"/>
        <v>AA30</v>
      </c>
      <c r="K17" s="157" t="str">
        <f t="shared" si="8"/>
        <v>W39</v>
      </c>
      <c r="L17" s="157" t="str">
        <f t="shared" si="8"/>
        <v>AA39</v>
      </c>
      <c r="M17" s="157" t="str">
        <f t="shared" si="8"/>
        <v>W29</v>
      </c>
      <c r="N17" s="157" t="str">
        <f t="shared" si="8"/>
        <v>AA29</v>
      </c>
    </row>
    <row r="18" spans="2:17" outlineLevel="1">
      <c r="B18" s="474" t="str">
        <f>B8</f>
        <v>Hudbay2</v>
      </c>
      <c r="C18" s="157"/>
      <c r="D18" s="157"/>
      <c r="E18" s="157"/>
      <c r="F18" s="157"/>
      <c r="G18" s="157"/>
      <c r="H18" s="157"/>
      <c r="I18" s="157"/>
      <c r="J18" s="157"/>
      <c r="K18" s="157"/>
      <c r="L18" s="157"/>
      <c r="M18" s="157" t="str">
        <f t="shared" ref="M18:N20" si="9">M$12&amp;M8</f>
        <v>W31</v>
      </c>
      <c r="N18" s="157" t="str">
        <f t="shared" si="9"/>
        <v>AA31</v>
      </c>
    </row>
    <row r="19" spans="2:17" outlineLevel="1">
      <c r="B19" s="474" t="str">
        <f>B9</f>
        <v>Hudbay3</v>
      </c>
      <c r="C19" s="157"/>
      <c r="D19" s="157"/>
      <c r="E19" s="157"/>
      <c r="F19" s="157"/>
      <c r="G19" s="157"/>
      <c r="H19" s="157"/>
      <c r="I19" s="157"/>
      <c r="J19" s="157"/>
      <c r="K19" s="157"/>
      <c r="L19" s="157"/>
      <c r="M19" s="157" t="str">
        <f t="shared" si="9"/>
        <v>W33</v>
      </c>
      <c r="N19" s="157" t="str">
        <f t="shared" si="9"/>
        <v>AA33</v>
      </c>
    </row>
    <row r="20" spans="2:17" outlineLevel="1">
      <c r="B20" s="474" t="str">
        <f>B10</f>
        <v>Percentiles</v>
      </c>
      <c r="C20" s="157" t="str">
        <f t="shared" ref="C20:L20" si="10">C$12&amp;C10</f>
        <v>W40</v>
      </c>
      <c r="D20" s="157" t="str">
        <f t="shared" si="10"/>
        <v>AA40</v>
      </c>
      <c r="E20" s="157" t="str">
        <f t="shared" si="10"/>
        <v>W40</v>
      </c>
      <c r="F20" s="157" t="str">
        <f t="shared" si="10"/>
        <v>AA40</v>
      </c>
      <c r="G20" s="157" t="str">
        <f t="shared" si="10"/>
        <v>W34</v>
      </c>
      <c r="H20" s="157" t="str">
        <f t="shared" si="10"/>
        <v>AA34</v>
      </c>
      <c r="I20" s="157" t="str">
        <f t="shared" si="10"/>
        <v>W31</v>
      </c>
      <c r="J20" s="157" t="str">
        <f t="shared" si="10"/>
        <v>AA31</v>
      </c>
      <c r="K20" s="157" t="str">
        <f t="shared" si="10"/>
        <v>W40</v>
      </c>
      <c r="L20" s="157" t="str">
        <f t="shared" si="10"/>
        <v>AA40</v>
      </c>
      <c r="M20" s="157" t="str">
        <f t="shared" si="9"/>
        <v>W30</v>
      </c>
      <c r="N20" s="157" t="str">
        <f t="shared" si="9"/>
        <v>AA30</v>
      </c>
    </row>
    <row r="21" spans="2:17" outlineLevel="1">
      <c r="B21" s="55"/>
      <c r="C21" s="157"/>
      <c r="D21" s="157"/>
      <c r="E21" s="157"/>
      <c r="F21" s="157"/>
      <c r="G21" s="157"/>
      <c r="H21" s="157"/>
      <c r="I21" s="157"/>
      <c r="J21" s="157"/>
      <c r="K21" s="157"/>
      <c r="L21" s="157"/>
      <c r="M21" s="157" t="str">
        <f>M$12&amp;M$10+2</f>
        <v>W32</v>
      </c>
      <c r="N21" s="157" t="str">
        <f>N$12&amp;N$10+2</f>
        <v>AA32</v>
      </c>
    </row>
    <row r="22" spans="2:17" outlineLevel="1">
      <c r="M22" s="157" t="str">
        <f>M$12&amp;M$10+4</f>
        <v>W34</v>
      </c>
      <c r="N22" s="157" t="str">
        <f>N$12&amp;N$10+4</f>
        <v>AA34</v>
      </c>
    </row>
    <row r="24" spans="2:17">
      <c r="C24" s="825" t="s">
        <v>79</v>
      </c>
      <c r="D24" s="824" t="str">
        <f>C24</f>
        <v>CEO</v>
      </c>
      <c r="E24" s="824" t="s">
        <v>106</v>
      </c>
      <c r="F24" s="824" t="str">
        <f>E24</f>
        <v>CFO</v>
      </c>
      <c r="G24" s="824" t="s">
        <v>272</v>
      </c>
      <c r="H24" s="824" t="str">
        <f>G24</f>
        <v>COO</v>
      </c>
      <c r="I24" s="824" t="s">
        <v>360</v>
      </c>
      <c r="J24" s="824" t="str">
        <f>I24</f>
        <v>Legal</v>
      </c>
      <c r="K24" s="824" t="s">
        <v>351</v>
      </c>
      <c r="L24" s="824" t="str">
        <f>K24</f>
        <v>NEO4</v>
      </c>
      <c r="M24" s="824" t="s">
        <v>361</v>
      </c>
      <c r="N24" s="824" t="s">
        <v>361</v>
      </c>
    </row>
    <row r="25" spans="2:17" ht="15" customHeight="1">
      <c r="B25" s="76"/>
      <c r="C25" s="470" t="s">
        <v>505</v>
      </c>
      <c r="D25" s="823"/>
      <c r="E25" s="470" t="s">
        <v>506</v>
      </c>
      <c r="F25" s="823"/>
      <c r="G25" s="470" t="s">
        <v>507</v>
      </c>
      <c r="H25" s="823"/>
      <c r="I25" s="470" t="s">
        <v>508</v>
      </c>
      <c r="J25" s="823"/>
      <c r="K25" s="470" t="s">
        <v>752</v>
      </c>
      <c r="L25" s="823"/>
      <c r="M25" s="470" t="s">
        <v>753</v>
      </c>
      <c r="N25" s="823"/>
    </row>
    <row r="26" spans="2:17" ht="15">
      <c r="B26" s="76"/>
      <c r="C26" s="75" t="s">
        <v>118</v>
      </c>
      <c r="D26" s="75" t="s">
        <v>246</v>
      </c>
      <c r="E26" s="75" t="str">
        <f>C26</f>
        <v>TDC</v>
      </c>
      <c r="F26" s="75" t="str">
        <f t="shared" ref="F26:N26" si="11">D26</f>
        <v>TC</v>
      </c>
      <c r="G26" s="75" t="str">
        <f t="shared" si="11"/>
        <v>TDC</v>
      </c>
      <c r="H26" s="75" t="str">
        <f t="shared" si="11"/>
        <v>TC</v>
      </c>
      <c r="I26" s="75" t="str">
        <f t="shared" si="11"/>
        <v>TDC</v>
      </c>
      <c r="J26" s="75" t="str">
        <f t="shared" si="11"/>
        <v>TC</v>
      </c>
      <c r="K26" s="75" t="str">
        <f t="shared" si="11"/>
        <v>TDC</v>
      </c>
      <c r="L26" s="75" t="str">
        <f t="shared" si="11"/>
        <v>TC</v>
      </c>
      <c r="M26" s="75" t="str">
        <f t="shared" si="11"/>
        <v>TDC</v>
      </c>
      <c r="N26" s="75" t="str">
        <f t="shared" si="11"/>
        <v>TC</v>
      </c>
    </row>
    <row r="27" spans="2:17">
      <c r="B27" s="74" t="s">
        <v>67</v>
      </c>
      <c r="C27" s="73"/>
      <c r="D27" s="73"/>
      <c r="E27" s="73"/>
      <c r="F27" s="73"/>
      <c r="G27" s="73"/>
      <c r="H27" s="73"/>
      <c r="I27" s="73"/>
      <c r="J27" s="73"/>
      <c r="K27" s="73"/>
      <c r="L27" s="73"/>
      <c r="M27" s="73"/>
      <c r="N27" s="73"/>
    </row>
    <row r="28" spans="2:17">
      <c r="B28" s="67" t="s">
        <v>9</v>
      </c>
      <c r="C28" s="72" cm="1">
        <f t="array" aca="1" ref="C28" ca="1">INDIRECT("'"&amp;C$24&amp;"'!"&amp;C13)</f>
        <v>7438.8010312500001</v>
      </c>
      <c r="D28" s="72" cm="1">
        <f t="array" aca="1" ref="D28" ca="1">INDIRECT("'"&amp;D$24&amp;"'!"&amp;D13)</f>
        <v>7580.8871093625003</v>
      </c>
      <c r="E28" s="648" cm="1">
        <f t="array" aca="1" ref="E28" ca="1">INDIRECT("'"&amp;E$24&amp;"'!"&amp;E13)</f>
        <v>2877.8735937500001</v>
      </c>
      <c r="F28" s="648" cm="1">
        <f t="array" aca="1" ref="F28" ca="1">INDIRECT("'"&amp;F$24&amp;"'!"&amp;F13)</f>
        <v>3038.5028705890873</v>
      </c>
      <c r="G28" s="648" cm="1">
        <f t="array" aca="1" ref="G28" ca="1">INDIRECT("'"&amp;G$24&amp;"'!"&amp;G13)</f>
        <v>3071.3822217833335</v>
      </c>
      <c r="H28" s="648" cm="1">
        <f t="array" aca="1" ref="H28" ca="1">INDIRECT("'"&amp;H$24&amp;"'!"&amp;H13)</f>
        <v>3161.6295055180003</v>
      </c>
      <c r="I28" s="648" cm="1">
        <f t="array" aca="1" ref="I28" ca="1">INDIRECT("'"&amp;I$24&amp;"'!"&amp;I13)</f>
        <v>2334.9154037432081</v>
      </c>
      <c r="J28" s="648" cm="1">
        <f t="array" aca="1" ref="J28" ca="1">INDIRECT("'"&amp;J$24&amp;"'!"&amp;J13)</f>
        <v>2453.8132446432082</v>
      </c>
      <c r="K28" s="648" cm="1">
        <f t="array" aca="1" ref="K28" ca="1">INDIRECT("'"&amp;K$24&amp;"'!"&amp;K13)</f>
        <v>2741.9341921874998</v>
      </c>
      <c r="L28" s="648" cm="1">
        <f t="array" aca="1" ref="L28" ca="1">INDIRECT("'"&amp;L$24&amp;"'!"&amp;L13)</f>
        <v>2854.6567088125003</v>
      </c>
      <c r="M28" s="648" cm="1">
        <f t="array" aca="1" ref="M28" ca="1">INDIRECT("'"&amp;M$24&amp;"'!"&amp;M13)</f>
        <v>1498.7880796650566</v>
      </c>
      <c r="N28" s="648" cm="1">
        <f t="array" aca="1" ref="N28" ca="1">INDIRECT("'"&amp;N$24&amp;"'!"&amp;N13)</f>
        <v>1682.5808427550085</v>
      </c>
      <c r="Q28" s="645"/>
    </row>
    <row r="29" spans="2:17">
      <c r="B29" s="65" t="s">
        <v>8</v>
      </c>
      <c r="C29" s="649" cm="1">
        <f t="array" aca="1" ref="C29" ca="1">INDIRECT("'"&amp;C$24&amp;"'!"&amp;C14)</f>
        <v>5733.7981086956515</v>
      </c>
      <c r="D29" s="649" cm="1">
        <f t="array" aca="1" ref="D29" ca="1">INDIRECT("'"&amp;D$24&amp;"'!"&amp;D14)</f>
        <v>5886.8650453319224</v>
      </c>
      <c r="E29" s="649" cm="1">
        <f t="array" aca="1" ref="E29" ca="1">INDIRECT("'"&amp;E$24&amp;"'!"&amp;E14)</f>
        <v>2291.3652614520447</v>
      </c>
      <c r="F29" s="649" cm="1">
        <f t="array" aca="1" ref="F29" ca="1">INDIRECT("'"&amp;F$24&amp;"'!"&amp;F14)</f>
        <v>2307.5603095020447</v>
      </c>
      <c r="G29" s="649" cm="1">
        <f t="array" aca="1" ref="G29" ca="1">INDIRECT("'"&amp;G$24&amp;"'!"&amp;G14)</f>
        <v>2859.9885255680001</v>
      </c>
      <c r="H29" s="649" cm="1">
        <f t="array" aca="1" ref="H29" ca="1">INDIRECT("'"&amp;H$24&amp;"'!"&amp;H14)</f>
        <v>3021.2337969</v>
      </c>
      <c r="I29" s="649" cm="1">
        <f t="array" aca="1" ref="I29" ca="1">INDIRECT("'"&amp;I$24&amp;"'!"&amp;I14)</f>
        <v>1624.26</v>
      </c>
      <c r="J29" s="649" cm="1">
        <f t="array" aca="1" ref="J29" ca="1">INDIRECT("'"&amp;J$24&amp;"'!"&amp;J14)</f>
        <v>1892.7892349386523</v>
      </c>
      <c r="K29" s="649" cm="1">
        <f t="array" aca="1" ref="K29" ca="1">INDIRECT("'"&amp;K$24&amp;"'!"&amp;K14)</f>
        <v>2119.0434548421827</v>
      </c>
      <c r="L29" s="649" cm="1">
        <f t="array" aca="1" ref="L29" ca="1">INDIRECT("'"&amp;L$24&amp;"'!"&amp;L14)</f>
        <v>2153.9657303421827</v>
      </c>
      <c r="M29" s="649" cm="1">
        <f t="array" aca="1" ref="M29" ca="1">INDIRECT("'"&amp;M$24&amp;"'!"&amp;M14)</f>
        <v>1879.0632111479731</v>
      </c>
      <c r="N29" s="649" cm="1">
        <f t="array" aca="1" ref="N29" ca="1">INDIRECT("'"&amp;N$24&amp;"'!"&amp;N14)</f>
        <v>2004.7019491201936</v>
      </c>
      <c r="Q29" s="654"/>
    </row>
    <row r="30" spans="2:17">
      <c r="B30" s="63" t="s">
        <v>7</v>
      </c>
      <c r="C30" s="649" cm="1">
        <f t="array" aca="1" ref="C30" ca="1">INDIRECT("'"&amp;C$24&amp;"'!"&amp;C15)</f>
        <v>4956.1421462659609</v>
      </c>
      <c r="D30" s="649" cm="1">
        <f t="array" aca="1" ref="D30" ca="1">INDIRECT("'"&amp;D$24&amp;"'!"&amp;D15)</f>
        <v>5241.8386083500009</v>
      </c>
      <c r="E30" s="649" cm="1">
        <f t="array" aca="1" ref="E30" ca="1">INDIRECT("'"&amp;E$24&amp;"'!"&amp;E15)</f>
        <v>1941.3970102723999</v>
      </c>
      <c r="F30" s="649" cm="1">
        <f t="array" aca="1" ref="F30" ca="1">INDIRECT("'"&amp;F$24&amp;"'!"&amp;F15)</f>
        <v>2065.5736307724001</v>
      </c>
      <c r="G30" s="649" cm="1">
        <f t="array" aca="1" ref="G30" ca="1">INDIRECT("'"&amp;G$24&amp;"'!"&amp;G15)</f>
        <v>2378.0617531284747</v>
      </c>
      <c r="H30" s="649" cm="1">
        <f t="array" aca="1" ref="H30" ca="1">INDIRECT("'"&amp;H$24&amp;"'!"&amp;H15)</f>
        <v>2478.6460000000002</v>
      </c>
      <c r="I30" s="649" cm="1">
        <f t="array" aca="1" ref="I30" ca="1">INDIRECT("'"&amp;I$24&amp;"'!"&amp;I15)</f>
        <v>1523.875</v>
      </c>
      <c r="J30" s="649" cm="1">
        <f t="array" aca="1" ref="J30" ca="1">INDIRECT("'"&amp;J$24&amp;"'!"&amp;J15)</f>
        <v>1651.6320000000001</v>
      </c>
      <c r="K30" s="649" cm="1">
        <f t="array" aca="1" ref="K30" ca="1">INDIRECT("'"&amp;K$24&amp;"'!"&amp;K15)</f>
        <v>1542.8112500000002</v>
      </c>
      <c r="L30" s="649" cm="1">
        <f t="array" aca="1" ref="L30" ca="1">INDIRECT("'"&amp;L$24&amp;"'!"&amp;L15)</f>
        <v>1642.5171855100168</v>
      </c>
      <c r="M30" s="649" cm="1">
        <f t="array" aca="1" ref="M30" ca="1">INDIRECT("'"&amp;M$24&amp;"'!"&amp;M15)</f>
        <v>0</v>
      </c>
      <c r="N30" s="649" cm="1">
        <f t="array" aca="1" ref="N30" ca="1">INDIRECT("'"&amp;N$24&amp;"'!"&amp;N15)</f>
        <v>0</v>
      </c>
    </row>
    <row r="31" spans="2:17">
      <c r="B31" s="61" t="s">
        <v>6</v>
      </c>
      <c r="C31" s="650" cm="1">
        <f t="array" aca="1" ref="C31" ca="1">INDIRECT("'"&amp;C$24&amp;"'!"&amp;C16)</f>
        <v>6074.7685150935913</v>
      </c>
      <c r="D31" s="650" cm="1">
        <f t="array" aca="1" ref="D31" ca="1">INDIRECT("'"&amp;D$24&amp;"'!"&amp;D16)</f>
        <v>6401.6904658185904</v>
      </c>
      <c r="E31" s="649" cm="1">
        <f t="array" aca="1" ref="E31" ca="1">INDIRECT("'"&amp;E$24&amp;"'!"&amp;E16)</f>
        <v>2409.0228119974167</v>
      </c>
      <c r="F31" s="649" cm="1">
        <f t="array" aca="1" ref="F31" ca="1">INDIRECT("'"&amp;F$24&amp;"'!"&amp;F16)</f>
        <v>2521.0677364574167</v>
      </c>
      <c r="G31" s="649" cm="1">
        <f t="array" aca="1" ref="G31" ca="1">INDIRECT("'"&amp;G$24&amp;"'!"&amp;G16)</f>
        <v>2733.9997915670779</v>
      </c>
      <c r="H31" s="649" cm="1">
        <f t="array" aca="1" ref="H31" ca="1">INDIRECT("'"&amp;H$24&amp;"'!"&amp;H16)</f>
        <v>2872.1962434093857</v>
      </c>
      <c r="I31" s="649" cm="1">
        <f t="array" aca="1" ref="I31" ca="1">INDIRECT("'"&amp;I$24&amp;"'!"&amp;I16)</f>
        <v>1924.9596691144</v>
      </c>
      <c r="J31" s="649" cm="1">
        <f t="array" aca="1" ref="J31" ca="1">INDIRECT("'"&amp;J$24&amp;"'!"&amp;J16)</f>
        <v>2059.5029586628762</v>
      </c>
      <c r="K31" s="649" cm="1">
        <f t="array" aca="1" ref="K31" ca="1">INDIRECT("'"&amp;K$24&amp;"'!"&amp;K16)</f>
        <v>2095.3517551975506</v>
      </c>
      <c r="L31" s="649" cm="1">
        <f t="array" aca="1" ref="L31" ca="1">INDIRECT("'"&amp;L$24&amp;"'!"&amp;L16)</f>
        <v>2222.887028606433</v>
      </c>
      <c r="M31" s="649" cm="1">
        <f t="array" aca="1" ref="M31" ca="1">INDIRECT("'"&amp;M$24&amp;"'!"&amp;M16)</f>
        <v>2206.413979256637</v>
      </c>
      <c r="N31" s="649" cm="1">
        <f t="array" aca="1" ref="N31" ca="1">INDIRECT("'"&amp;N$24&amp;"'!"&amp;N16)</f>
        <v>0</v>
      </c>
    </row>
    <row r="32" spans="2:17">
      <c r="B32" s="59" t="str">
        <f>CEO!C39</f>
        <v>Hudbay Minerals Inc.</v>
      </c>
      <c r="C32" s="651" cm="1">
        <f t="array" aca="1" ref="C32" ca="1">INDIRECT("'"&amp;C$24&amp;"'!"&amp;C17)</f>
        <v>5334.5198499999997</v>
      </c>
      <c r="D32" s="651" cm="1">
        <f t="array" aca="1" ref="D32" ca="1">INDIRECT("'"&amp;D$24&amp;"'!"&amp;D17)</f>
        <v>5426.4128499999997</v>
      </c>
      <c r="E32" s="651" cm="1">
        <f t="array" aca="1" ref="E32" ca="1">INDIRECT("'"&amp;E$24&amp;"'!"&amp;E17)</f>
        <v>2313.6544000000004</v>
      </c>
      <c r="F32" s="651" cm="1">
        <f t="array" aca="1" ref="F32" ca="1">INDIRECT("'"&amp;F$24&amp;"'!"&amp;F17)</f>
        <v>2452.6354000000006</v>
      </c>
      <c r="G32" s="651" cm="1">
        <f t="array" aca="1" ref="G32" ca="1">INDIRECT("'"&amp;G$24&amp;"'!"&amp;G17)</f>
        <v>2577.3090000000002</v>
      </c>
      <c r="H32" s="651" cm="1">
        <f t="array" aca="1" ref="H32" ca="1">INDIRECT("'"&amp;H$24&amp;"'!"&amp;H17)</f>
        <v>2621.6190000000001</v>
      </c>
      <c r="I32" s="651" cm="1">
        <f t="array" aca="1" ref="I32" ca="1">INDIRECT("'"&amp;I$24&amp;"'!"&amp;I17)</f>
        <v>1711.9147499999999</v>
      </c>
      <c r="J32" s="651" cm="1">
        <f t="array" aca="1" ref="J32" ca="1">INDIRECT("'"&amp;J$24&amp;"'!"&amp;J17)</f>
        <v>1803.8497500000001</v>
      </c>
      <c r="K32" s="651" cm="1">
        <f t="array" aca="1" ref="K32" ca="1">INDIRECT("'"&amp;K$24&amp;"'!"&amp;K17)</f>
        <v>-0.15446094514685604</v>
      </c>
      <c r="L32" s="651" cm="1">
        <f t="array" aca="1" ref="L32" ca="1">INDIRECT("'"&amp;L$24&amp;"'!"&amp;L17)</f>
        <v>0</v>
      </c>
      <c r="M32" s="651" cm="1">
        <f t="array" aca="1" ref="M32" ca="1">INDIRECT("'"&amp;M$24&amp;"'!"&amp;M17)</f>
        <v>1356.5551999999998</v>
      </c>
      <c r="N32" s="651" cm="1">
        <f t="array" aca="1" ref="N32" ca="1">INDIRECT("'"&amp;N$24&amp;"'!"&amp;N17)</f>
        <v>0</v>
      </c>
    </row>
    <row r="33" spans="2:14">
      <c r="B33" s="71" t="str">
        <f>'NEO5'!G37</f>
        <v>-</v>
      </c>
      <c r="C33" s="826"/>
      <c r="D33" s="826"/>
      <c r="E33" s="826"/>
      <c r="F33" s="826"/>
      <c r="G33" s="826"/>
      <c r="H33" s="826"/>
      <c r="I33" s="826"/>
      <c r="J33" s="826"/>
      <c r="K33" s="826"/>
      <c r="L33" s="826"/>
    </row>
    <row r="34" spans="2:14">
      <c r="B34" s="71" t="str">
        <f>'NEO5'!G35</f>
        <v>SVP, Exploration &amp; Technical Services</v>
      </c>
      <c r="C34" s="826"/>
      <c r="D34" s="826"/>
      <c r="E34" s="826"/>
      <c r="F34" s="826"/>
      <c r="G34" s="826"/>
      <c r="H34" s="826"/>
      <c r="I34" s="826"/>
      <c r="J34" s="826"/>
      <c r="K34" s="826"/>
      <c r="L34" s="826"/>
    </row>
    <row r="35" spans="2:14">
      <c r="B35" s="71"/>
      <c r="C35" s="70"/>
      <c r="D35" s="70"/>
      <c r="E35" s="70"/>
      <c r="F35" s="70"/>
      <c r="G35" s="70"/>
      <c r="H35" s="70"/>
      <c r="I35" s="70"/>
      <c r="J35" s="70"/>
      <c r="K35" s="70"/>
      <c r="L35" s="70"/>
      <c r="M35" s="70"/>
      <c r="N35" s="70"/>
    </row>
    <row r="36" spans="2:14">
      <c r="B36" s="69" t="s">
        <v>66</v>
      </c>
      <c r="C36" s="68"/>
      <c r="D36" s="68"/>
      <c r="E36" s="68"/>
      <c r="F36" s="68"/>
      <c r="G36" s="68"/>
      <c r="H36" s="68"/>
      <c r="I36" s="68"/>
      <c r="J36" s="68"/>
      <c r="K36" s="68"/>
      <c r="L36" s="68"/>
      <c r="M36" s="68"/>
      <c r="N36" s="68"/>
    </row>
    <row r="37" spans="2:14">
      <c r="B37" s="67" t="s">
        <v>65</v>
      </c>
      <c r="C37" s="66">
        <f ca="1">C30</f>
        <v>4956.1421462659609</v>
      </c>
      <c r="D37" s="66">
        <f t="shared" ref="D37:N37" ca="1" si="12">D30</f>
        <v>5241.8386083500009</v>
      </c>
      <c r="E37" s="66">
        <f t="shared" ca="1" si="12"/>
        <v>1941.3970102723999</v>
      </c>
      <c r="F37" s="66">
        <f t="shared" ca="1" si="12"/>
        <v>2065.5736307724001</v>
      </c>
      <c r="G37" s="66">
        <f t="shared" ca="1" si="12"/>
        <v>2378.0617531284747</v>
      </c>
      <c r="H37" s="66">
        <f t="shared" ca="1" si="12"/>
        <v>2478.6460000000002</v>
      </c>
      <c r="I37" s="66">
        <f t="shared" ca="1" si="12"/>
        <v>1523.875</v>
      </c>
      <c r="J37" s="66">
        <f t="shared" ca="1" si="12"/>
        <v>1651.6320000000001</v>
      </c>
      <c r="K37" s="66">
        <f t="shared" ca="1" si="12"/>
        <v>1542.8112500000002</v>
      </c>
      <c r="L37" s="66">
        <f t="shared" ca="1" si="12"/>
        <v>1642.5171855100168</v>
      </c>
      <c r="M37" s="66">
        <f t="shared" ca="1" si="12"/>
        <v>0</v>
      </c>
      <c r="N37" s="66">
        <f t="shared" ca="1" si="12"/>
        <v>0</v>
      </c>
    </row>
    <row r="38" spans="2:14">
      <c r="B38" s="65" t="s">
        <v>64</v>
      </c>
      <c r="C38" s="64">
        <f ca="1">(C29-C30)</f>
        <v>777.65596242969059</v>
      </c>
      <c r="D38" s="64">
        <f t="shared" ref="D38:N38" ca="1" si="13">(D29-D30)</f>
        <v>645.02643698192151</v>
      </c>
      <c r="E38" s="64">
        <f t="shared" ca="1" si="13"/>
        <v>349.96825117964477</v>
      </c>
      <c r="F38" s="64">
        <f t="shared" ca="1" si="13"/>
        <v>241.98667872964461</v>
      </c>
      <c r="G38" s="64">
        <f t="shared" ca="1" si="13"/>
        <v>481.92677243952539</v>
      </c>
      <c r="H38" s="64">
        <f t="shared" ca="1" si="13"/>
        <v>542.58779689999983</v>
      </c>
      <c r="I38" s="64">
        <f t="shared" ca="1" si="13"/>
        <v>100.38499999999999</v>
      </c>
      <c r="J38" s="64">
        <f t="shared" ca="1" si="13"/>
        <v>241.15723493865221</v>
      </c>
      <c r="K38" s="64">
        <f t="shared" ca="1" si="13"/>
        <v>576.23220484218245</v>
      </c>
      <c r="L38" s="64">
        <f t="shared" ca="1" si="13"/>
        <v>511.44854483216591</v>
      </c>
      <c r="M38" s="64">
        <f t="shared" ca="1" si="13"/>
        <v>1879.0632111479731</v>
      </c>
      <c r="N38" s="64">
        <f t="shared" ca="1" si="13"/>
        <v>2004.7019491201936</v>
      </c>
    </row>
    <row r="39" spans="2:14">
      <c r="B39" s="63" t="s">
        <v>63</v>
      </c>
      <c r="C39" s="62">
        <f ca="1">(C28-C29)</f>
        <v>1705.0029225543485</v>
      </c>
      <c r="D39" s="62">
        <f t="shared" ref="D39:N39" ca="1" si="14">(D28-D29)</f>
        <v>1694.0220640305779</v>
      </c>
      <c r="E39" s="62">
        <f t="shared" ca="1" si="14"/>
        <v>586.50833229795535</v>
      </c>
      <c r="F39" s="62">
        <f t="shared" ca="1" si="14"/>
        <v>730.94256108704258</v>
      </c>
      <c r="G39" s="62">
        <f t="shared" ca="1" si="14"/>
        <v>211.39369621533342</v>
      </c>
      <c r="H39" s="62">
        <f t="shared" ca="1" si="14"/>
        <v>140.3957086180003</v>
      </c>
      <c r="I39" s="62">
        <f t="shared" ca="1" si="14"/>
        <v>710.65540374320813</v>
      </c>
      <c r="J39" s="62">
        <f t="shared" ca="1" si="14"/>
        <v>561.02400970455597</v>
      </c>
      <c r="K39" s="62">
        <f t="shared" ca="1" si="14"/>
        <v>622.89073734531712</v>
      </c>
      <c r="L39" s="62">
        <f t="shared" ca="1" si="14"/>
        <v>700.69097847031753</v>
      </c>
      <c r="M39" s="62">
        <f t="shared" ca="1" si="14"/>
        <v>-380.27513148291655</v>
      </c>
      <c r="N39" s="62">
        <f t="shared" ca="1" si="14"/>
        <v>-322.12110636518514</v>
      </c>
    </row>
    <row r="40" spans="2:14">
      <c r="B40" s="61" t="s">
        <v>6</v>
      </c>
      <c r="C40" s="60">
        <f ca="1">C31</f>
        <v>6074.7685150935913</v>
      </c>
      <c r="D40" s="60">
        <f t="shared" ref="D40:N40" ca="1" si="15">D31</f>
        <v>6401.6904658185904</v>
      </c>
      <c r="E40" s="60">
        <f t="shared" ca="1" si="15"/>
        <v>2409.0228119974167</v>
      </c>
      <c r="F40" s="60">
        <f t="shared" ca="1" si="15"/>
        <v>2521.0677364574167</v>
      </c>
      <c r="G40" s="60">
        <f t="shared" ca="1" si="15"/>
        <v>2733.9997915670779</v>
      </c>
      <c r="H40" s="60">
        <f t="shared" ca="1" si="15"/>
        <v>2872.1962434093857</v>
      </c>
      <c r="I40" s="60">
        <f t="shared" ca="1" si="15"/>
        <v>1924.9596691144</v>
      </c>
      <c r="J40" s="60">
        <f t="shared" ca="1" si="15"/>
        <v>2059.5029586628762</v>
      </c>
      <c r="K40" s="60">
        <f t="shared" ca="1" si="15"/>
        <v>2095.3517551975506</v>
      </c>
      <c r="L40" s="60">
        <f t="shared" ca="1" si="15"/>
        <v>2222.887028606433</v>
      </c>
      <c r="M40" s="60">
        <f t="shared" ca="1" si="15"/>
        <v>2206.413979256637</v>
      </c>
      <c r="N40" s="60">
        <f t="shared" ca="1" si="15"/>
        <v>0</v>
      </c>
    </row>
    <row r="41" spans="2:14">
      <c r="B41" s="59" t="str">
        <f>B32</f>
        <v>Hudbay Minerals Inc.</v>
      </c>
      <c r="C41" s="58">
        <f ca="1">C32</f>
        <v>5334.5198499999997</v>
      </c>
      <c r="D41" s="58">
        <f t="shared" ref="D41:N41" ca="1" si="16">D32</f>
        <v>5426.4128499999997</v>
      </c>
      <c r="E41" s="58">
        <f t="shared" ca="1" si="16"/>
        <v>2313.6544000000004</v>
      </c>
      <c r="F41" s="58">
        <f t="shared" ca="1" si="16"/>
        <v>2452.6354000000006</v>
      </c>
      <c r="G41" s="58">
        <f t="shared" ca="1" si="16"/>
        <v>2577.3090000000002</v>
      </c>
      <c r="H41" s="58">
        <f t="shared" ca="1" si="16"/>
        <v>2621.6190000000001</v>
      </c>
      <c r="I41" s="58">
        <f t="shared" ca="1" si="16"/>
        <v>1711.9147499999999</v>
      </c>
      <c r="J41" s="58">
        <f t="shared" ca="1" si="16"/>
        <v>1803.8497500000001</v>
      </c>
      <c r="K41" s="58">
        <f t="shared" ca="1" si="16"/>
        <v>-0.15446094514685604</v>
      </c>
      <c r="L41" s="58">
        <f t="shared" ca="1" si="16"/>
        <v>0</v>
      </c>
      <c r="M41" s="58">
        <f t="shared" ca="1" si="16"/>
        <v>1356.5551999999998</v>
      </c>
      <c r="N41" s="58">
        <f t="shared" ca="1" si="16"/>
        <v>0</v>
      </c>
    </row>
    <row r="42" spans="2:14">
      <c r="B42" s="827" t="s">
        <v>496</v>
      </c>
      <c r="C42" s="828" cm="1">
        <f t="array" aca="1" ref="C42" ca="1">INDIRECT("'"&amp;C$24&amp;"'!"&amp;C20)*100</f>
        <v>29.2</v>
      </c>
      <c r="D42" s="828" cm="1">
        <f t="array" aca="1" ref="D42" ca="1">INDIRECT("'"&amp;D$24&amp;"'!"&amp;D20)*100</f>
        <v>25.4</v>
      </c>
      <c r="E42" s="828" cm="1">
        <f t="array" aca="1" ref="E42" ca="1">INDIRECT("'"&amp;E$24&amp;"'!"&amp;E20)*100</f>
        <v>48.3</v>
      </c>
      <c r="F42" s="828" cm="1">
        <f t="array" aca="1" ref="F42" ca="1">INDIRECT("'"&amp;F$24&amp;"'!"&amp;F20)*100</f>
        <v>50.9</v>
      </c>
      <c r="G42" s="828" cm="1">
        <f t="array" aca="1" ref="G42" ca="1">INDIRECT("'"&amp;G$24&amp;"'!"&amp;G20)*100</f>
        <v>45.9</v>
      </c>
      <c r="H42" s="828" cm="1">
        <f t="array" aca="1" ref="H42" ca="1">INDIRECT("'"&amp;H$24&amp;"'!"&amp;H20)*100</f>
        <v>38.200000000000003</v>
      </c>
      <c r="I42" s="828" cm="1">
        <f t="array" aca="1" ref="I42" ca="1">INDIRECT("'"&amp;I$24&amp;"'!"&amp;I20)*100</f>
        <v>51.2</v>
      </c>
      <c r="J42" s="828" cm="1">
        <f t="array" aca="1" ref="J42" ca="1">INDIRECT("'"&amp;J$24&amp;"'!"&amp;J20)*100</f>
        <v>42.3</v>
      </c>
      <c r="K42" s="828" cm="1">
        <f t="array" aca="1" ref="K42" ca="1">INDIRECT("'"&amp;K$24&amp;"'!"&amp;K20)*100</f>
        <v>0</v>
      </c>
      <c r="L42" s="828" cm="1">
        <f t="array" aca="1" ref="L42" ca="1">INDIRECT("'"&amp;L$24&amp;"'!"&amp;L20)*100</f>
        <v>0</v>
      </c>
      <c r="M42" s="828" cm="1">
        <f t="array" aca="1" ref="M42" ca="1">INDIRECT("'"&amp;M$24&amp;"'!"&amp;M20)*100</f>
        <v>1.5</v>
      </c>
      <c r="N42" s="1042" cm="1">
        <f t="array" aca="1" ref="N42" ca="1">IF(INDIRECT("'"&amp;N$24&amp;"'!"&amp;N20)="min",0,IF(INDIRECT("'"&amp;N$24&amp;"'!"&amp;N20)="max",100,INDIRECT("'"&amp;N$24&amp;"'!"&amp;N20)*100))</f>
        <v>0</v>
      </c>
    </row>
    <row r="43" spans="2:14">
      <c r="M43" s="828" cm="1">
        <f t="array" aca="1" ref="M43" ca="1">IFERROR(INDIRECT("'"&amp;M$24&amp;"'!"&amp;M21)*100,"P00")</f>
        <v>-26.658120228108185</v>
      </c>
      <c r="N43" s="828" cm="1">
        <f t="array" aca="1" ref="N43" ca="1">IFERROR(INDIRECT("'"&amp;N$24&amp;"'!"&amp;N21)*100,"P00")</f>
        <v>0</v>
      </c>
    </row>
    <row r="44" spans="2:14">
      <c r="M44" s="828" t="str" cm="1">
        <f t="array" aca="1" ref="M44" ca="1">IFERROR(INDIRECT("'"&amp;M$24&amp;"'!"&amp;M22)*100,"P00")</f>
        <v>P00</v>
      </c>
      <c r="N44" s="828" t="str" cm="1">
        <f t="array" aca="1" ref="N44" ca="1">IFERROR(INDIRECT("'"&amp;N$24&amp;"'!"&amp;N22)*100,"P00")</f>
        <v>P00</v>
      </c>
    </row>
    <row r="45" spans="2:14">
      <c r="N45" s="828">
        <f>'NEO5'!AB34*100</f>
        <v>7.5</v>
      </c>
    </row>
    <row r="46" spans="2:14">
      <c r="B46" s="57" t="s">
        <v>62</v>
      </c>
      <c r="C46" s="56">
        <f ca="1">C32-C29</f>
        <v>-399.27825869565186</v>
      </c>
      <c r="D46" s="56">
        <f t="shared" ref="D46:N46" ca="1" si="17">D32-D29</f>
        <v>-460.45219533192267</v>
      </c>
      <c r="E46" s="56">
        <f t="shared" ca="1" si="17"/>
        <v>22.289138547955645</v>
      </c>
      <c r="F46" s="56">
        <f t="shared" ca="1" si="17"/>
        <v>145.0750904979559</v>
      </c>
      <c r="G46" s="56">
        <f t="shared" ca="1" si="17"/>
        <v>-282.67952556799992</v>
      </c>
      <c r="H46" s="56">
        <f t="shared" ca="1" si="17"/>
        <v>-399.61479689999987</v>
      </c>
      <c r="I46" s="56">
        <f t="shared" ca="1" si="17"/>
        <v>87.654749999999922</v>
      </c>
      <c r="J46" s="56">
        <f t="shared" ca="1" si="17"/>
        <v>-88.939484938652186</v>
      </c>
      <c r="K46" s="56">
        <f t="shared" ca="1" si="17"/>
        <v>-2119.1979157873293</v>
      </c>
      <c r="L46" s="56">
        <f t="shared" ca="1" si="17"/>
        <v>-2153.9657303421827</v>
      </c>
      <c r="M46" s="56">
        <f ca="1">M32-M29</f>
        <v>-522.50801114797332</v>
      </c>
      <c r="N46" s="56">
        <f t="shared" ca="1" si="17"/>
        <v>-2004.7019491201936</v>
      </c>
    </row>
    <row r="48" spans="2:14">
      <c r="B48" s="472" t="s">
        <v>421</v>
      </c>
      <c r="C48" s="473"/>
      <c r="D48" s="473"/>
      <c r="E48" s="473"/>
      <c r="F48" s="473"/>
      <c r="G48" s="473"/>
      <c r="H48" s="473"/>
      <c r="I48" s="473"/>
      <c r="J48" s="473"/>
      <c r="K48" s="473"/>
      <c r="L48" s="473"/>
      <c r="M48" s="473"/>
      <c r="N48" s="473"/>
    </row>
    <row r="49" spans="2:15">
      <c r="B49" t="str">
        <f>B33</f>
        <v>-</v>
      </c>
      <c r="M49" s="833">
        <v>10.8</v>
      </c>
      <c r="N49" s="833">
        <f>M49+1</f>
        <v>11.8</v>
      </c>
    </row>
    <row r="50" spans="2:15">
      <c r="B50" t="str">
        <f>B34</f>
        <v>SVP, Exploration &amp; Technical Services</v>
      </c>
      <c r="C50" s="54"/>
      <c r="D50" s="54"/>
      <c r="E50" s="54"/>
      <c r="F50" s="54"/>
      <c r="G50" s="54"/>
      <c r="H50" s="54"/>
      <c r="I50" s="54"/>
      <c r="J50" s="54"/>
      <c r="K50" s="54"/>
      <c r="L50" s="54"/>
      <c r="M50" s="832">
        <v>11.2</v>
      </c>
      <c r="N50" s="832">
        <f>M50+1</f>
        <v>12.2</v>
      </c>
    </row>
    <row r="51" spans="2:15">
      <c r="B51" t="s">
        <v>504</v>
      </c>
      <c r="C51" s="54"/>
      <c r="D51" s="54"/>
      <c r="E51" s="54"/>
      <c r="F51" s="54"/>
      <c r="G51" s="54"/>
      <c r="H51" s="54"/>
      <c r="I51" s="54"/>
      <c r="J51" s="54"/>
      <c r="K51" s="54"/>
      <c r="L51" s="54"/>
      <c r="M51" s="54"/>
      <c r="N51" s="54">
        <f>'NEO5'!AB33</f>
        <v>1382.1367500000001</v>
      </c>
    </row>
    <row r="52" spans="2:15">
      <c r="B52" t="s">
        <v>420</v>
      </c>
    </row>
    <row r="53" spans="2:15">
      <c r="C53" s="533"/>
      <c r="D53" s="533"/>
      <c r="E53" s="533"/>
      <c r="F53" s="533"/>
      <c r="G53" s="533"/>
      <c r="H53" s="533"/>
      <c r="I53" s="533"/>
      <c r="J53" s="533"/>
      <c r="K53" s="533"/>
      <c r="L53" s="533"/>
      <c r="M53" s="533"/>
      <c r="N53" s="533"/>
    </row>
    <row r="54" spans="2:15">
      <c r="B54" s="472" t="s">
        <v>494</v>
      </c>
      <c r="C54" s="473"/>
      <c r="D54" s="473"/>
      <c r="E54" s="473"/>
      <c r="F54" s="473"/>
      <c r="G54" s="473"/>
      <c r="H54" s="473"/>
      <c r="I54" s="473"/>
      <c r="J54" s="473"/>
      <c r="K54" s="473"/>
      <c r="L54" s="473"/>
      <c r="M54" s="473"/>
      <c r="N54" s="473"/>
      <c r="O54" t="s">
        <v>501</v>
      </c>
    </row>
    <row r="55" spans="2:15">
      <c r="B55" t="str">
        <f>B28</f>
        <v>75th Percentile</v>
      </c>
      <c r="D55" s="829">
        <f ca="1">D28/C28-1</f>
        <v>1.9100669249735747E-2</v>
      </c>
      <c r="F55" s="829">
        <f ca="1">F28/E28-1</f>
        <v>5.5815264849690571E-2</v>
      </c>
      <c r="H55" s="829">
        <f ca="1">H28/G28-1</f>
        <v>2.9383279975576215E-2</v>
      </c>
      <c r="J55" s="829">
        <f ca="1">J28/I28-1</f>
        <v>5.0921691085419996E-2</v>
      </c>
      <c r="L55" s="829">
        <f ca="1">L28/K28-1</f>
        <v>4.1110584253326365E-2</v>
      </c>
      <c r="N55" s="829">
        <f ca="1">N28/M28-1</f>
        <v>0.1226275853028036</v>
      </c>
      <c r="O55" s="835">
        <f ca="1">AVERAGE(C55:N55)</f>
        <v>5.3159845786092084E-2</v>
      </c>
    </row>
    <row r="56" spans="2:15">
      <c r="B56" t="str">
        <f>B29</f>
        <v>Median</v>
      </c>
      <c r="D56" s="829">
        <f t="shared" ref="D56:F59" ca="1" si="18">D29/C29-1</f>
        <v>2.6695557418412674E-2</v>
      </c>
      <c r="F56" s="829">
        <f t="shared" ca="1" si="18"/>
        <v>7.0678596391642312E-3</v>
      </c>
      <c r="H56" s="829">
        <f ca="1">H29/G29-1</f>
        <v>5.6379691698230205E-2</v>
      </c>
      <c r="J56" s="829">
        <f ca="1">J29/I29-1</f>
        <v>0.16532404598934414</v>
      </c>
      <c r="L56" s="829">
        <f ca="1">L29/K29-1</f>
        <v>1.6480207340816788E-2</v>
      </c>
      <c r="N56" s="829">
        <f ca="1">N29/M29-1</f>
        <v>6.6862432954271966E-2</v>
      </c>
      <c r="O56" s="835">
        <f ca="1">AVERAGE(C56:N56)</f>
        <v>5.6468299173373336E-2</v>
      </c>
    </row>
    <row r="57" spans="2:15">
      <c r="B57" t="str">
        <f>B30</f>
        <v>25th Percentile</v>
      </c>
      <c r="D57" s="829">
        <f t="shared" ca="1" si="18"/>
        <v>5.7644928989635247E-2</v>
      </c>
      <c r="F57" s="829">
        <f t="shared" ca="1" si="18"/>
        <v>6.396250733000608E-2</v>
      </c>
      <c r="H57" s="829">
        <f ca="1">H30/G30-1</f>
        <v>4.2296734615575593E-2</v>
      </c>
      <c r="J57" s="829">
        <f ca="1">J30/I30-1</f>
        <v>8.3836928881962036E-2</v>
      </c>
      <c r="L57" s="829">
        <f ca="1">L30/K30-1</f>
        <v>6.4626139788659609E-2</v>
      </c>
      <c r="N57" s="829" t="e">
        <f ca="1">N30/M30-1</f>
        <v>#DIV/0!</v>
      </c>
      <c r="O57" s="835" t="e">
        <f ca="1">AVERAGE(C57:N57)</f>
        <v>#DIV/0!</v>
      </c>
    </row>
    <row r="58" spans="2:15">
      <c r="B58" t="str">
        <f>B31</f>
        <v>Average</v>
      </c>
      <c r="D58" s="829">
        <f t="shared" ca="1" si="18"/>
        <v>5.38163635227773E-2</v>
      </c>
      <c r="F58" s="829">
        <f t="shared" ca="1" si="18"/>
        <v>4.6510528626791725E-2</v>
      </c>
      <c r="H58" s="829">
        <f ca="1">H31/G31-1</f>
        <v>5.0547352735201168E-2</v>
      </c>
      <c r="J58" s="829">
        <f ca="1">J31/I31-1</f>
        <v>6.9894082305825389E-2</v>
      </c>
      <c r="L58" s="829">
        <f ca="1">L31/K31-1</f>
        <v>6.0865805988197019E-2</v>
      </c>
      <c r="N58" s="829">
        <f ca="1">N31/M31-1</f>
        <v>-1</v>
      </c>
      <c r="O58" s="835">
        <f ca="1">AVERAGE(C58:N58)</f>
        <v>-0.11972764447020123</v>
      </c>
    </row>
    <row r="59" spans="2:15">
      <c r="B59" s="830" t="str">
        <f>B32</f>
        <v>Hudbay Minerals Inc.</v>
      </c>
      <c r="C59" s="830"/>
      <c r="D59" s="831">
        <f t="shared" ca="1" si="18"/>
        <v>1.7226105176082473E-2</v>
      </c>
      <c r="E59" s="830"/>
      <c r="F59" s="831">
        <f t="shared" ca="1" si="18"/>
        <v>6.0069904995318391E-2</v>
      </c>
      <c r="G59" s="830"/>
      <c r="H59" s="831">
        <f ca="1">H32/G32-1</f>
        <v>1.7192350626176411E-2</v>
      </c>
      <c r="I59" s="830"/>
      <c r="J59" s="831">
        <f ca="1">J32/I32-1</f>
        <v>5.3703024639515595E-2</v>
      </c>
      <c r="K59" s="830"/>
      <c r="L59" s="831">
        <f ca="1">L32/K32-1</f>
        <v>-1</v>
      </c>
      <c r="M59" s="830"/>
      <c r="N59" s="831">
        <f ca="1">N32/M32-1</f>
        <v>-1</v>
      </c>
      <c r="O59" s="835">
        <f ca="1">AVERAGE(C59:N59)</f>
        <v>-0.30863476909381787</v>
      </c>
    </row>
    <row r="60" spans="2:15">
      <c r="B60" t="s">
        <v>497</v>
      </c>
      <c r="D60" s="829" t="str">
        <f ca="1">IF(D59&gt;D56,"Yes","No")</f>
        <v>No</v>
      </c>
      <c r="F60" s="829" t="str">
        <f ca="1">IF(F59&gt;F56,"Yes","No")</f>
        <v>Yes</v>
      </c>
      <c r="G60" s="829"/>
      <c r="H60" s="829" t="str">
        <f ca="1">IF(H59&gt;H56,"Yes","No")</f>
        <v>No</v>
      </c>
      <c r="J60" s="829" t="str">
        <f ca="1">IF(J59&gt;J56,"Yes","No")</f>
        <v>No</v>
      </c>
      <c r="L60" s="829" t="str">
        <f ca="1">IF(L59&gt;L56,"Yes","No")</f>
        <v>No</v>
      </c>
      <c r="N60" s="829" t="str">
        <f ca="1">IF(N59&gt;N56,"Yes","No")</f>
        <v>No</v>
      </c>
      <c r="O60" s="829"/>
    </row>
    <row r="61" spans="2:15">
      <c r="B61" t="s">
        <v>498</v>
      </c>
      <c r="D61" s="829" t="str">
        <f ca="1">IF(D59&gt;D57,"Yes","No")</f>
        <v>No</v>
      </c>
      <c r="F61" s="829" t="str">
        <f ca="1">IF(F59&gt;F57,"Yes","No")</f>
        <v>No</v>
      </c>
      <c r="H61" s="829" t="str">
        <f ca="1">IF(H59&gt;H57,"Yes","No")</f>
        <v>No</v>
      </c>
      <c r="J61" s="829" t="str">
        <f ca="1">IF(J59&gt;J57,"Yes","No")</f>
        <v>No</v>
      </c>
      <c r="L61" s="829" t="str">
        <f ca="1">IF(L59&gt;L57,"Yes","No")</f>
        <v>No</v>
      </c>
      <c r="N61" s="829" t="e">
        <f ca="1">IF(N59&gt;N57,"Yes","No")</f>
        <v>#DIV/0!</v>
      </c>
    </row>
    <row r="66" spans="2:2">
      <c r="B66" t="s">
        <v>270</v>
      </c>
    </row>
    <row r="67" spans="2:2">
      <c r="B67" t="s">
        <v>274</v>
      </c>
    </row>
    <row r="68" spans="2:2">
      <c r="B68" t="s">
        <v>273</v>
      </c>
    </row>
    <row r="69" spans="2:2">
      <c r="B69" t="s">
        <v>276</v>
      </c>
    </row>
    <row r="70" spans="2:2">
      <c r="B70" t="s">
        <v>276</v>
      </c>
    </row>
    <row r="71" spans="2:2">
      <c r="B71" t="s">
        <v>279</v>
      </c>
    </row>
  </sheetData>
  <pageMargins left="0.7" right="0.7" top="0.75" bottom="0.75" header="0.3" footer="0.3"/>
  <pageSetup orientation="portrait" r:id="rId1"/>
  <customProperties>
    <customPr name="Guid" r:id="rId2"/>
  </customProperties>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15278-3763-4860-BB27-4FF317178294}">
  <sheetPr codeName="Sheet9">
    <tabColor theme="3"/>
    <pageSetUpPr fitToPage="1"/>
  </sheetPr>
  <dimension ref="A1:AZ72"/>
  <sheetViews>
    <sheetView tabSelected="1" topLeftCell="AH1" zoomScale="66" zoomScaleNormal="66" workbookViewId="0">
      <selection activeCell="AL6" sqref="AL6:AN33"/>
    </sheetView>
  </sheetViews>
  <sheetFormatPr defaultColWidth="9.1796875" defaultRowHeight="14" outlineLevelRow="1" outlineLevelCol="3"/>
  <cols>
    <col min="1" max="1" width="10.453125" style="12" bestFit="1" customWidth="1"/>
    <col min="2" max="2" width="8.1796875" style="12" customWidth="1"/>
    <col min="3" max="3" width="42.7265625" style="12" bestFit="1" customWidth="1"/>
    <col min="4" max="5" width="14.453125" style="12" hidden="1" customWidth="1" outlineLevel="1"/>
    <col min="6" max="6" width="21.26953125" style="12" bestFit="1" customWidth="1" outlineLevel="1"/>
    <col min="7" max="7" width="30.453125" style="12" bestFit="1" customWidth="1"/>
    <col min="8" max="8" width="15.81640625" style="12" hidden="1" customWidth="1" outlineLevel="1"/>
    <col min="9" max="9" width="10.81640625" style="12" bestFit="1" customWidth="1" collapsed="1"/>
    <col min="10" max="10" width="11.1796875" style="12" hidden="1" customWidth="1" outlineLevel="1"/>
    <col min="11" max="11" width="11.7265625" style="12" hidden="1" customWidth="1" outlineLevel="1"/>
    <col min="12" max="12" width="12.453125" style="12" hidden="1" customWidth="1" outlineLevel="1"/>
    <col min="13" max="13" width="11.1796875" style="12" bestFit="1" customWidth="1" collapsed="1"/>
    <col min="14" max="15" width="11.7265625" style="12" bestFit="1" customWidth="1"/>
    <col min="16" max="16" width="11.1796875" style="12" bestFit="1" customWidth="1"/>
    <col min="17" max="18" width="11.1796875" style="12" hidden="1" customWidth="1" outlineLevel="1"/>
    <col min="19" max="19" width="12.26953125" style="12" hidden="1" customWidth="1" outlineLevel="1"/>
    <col min="20" max="20" width="11.1796875" style="12" bestFit="1" customWidth="1" collapsed="1"/>
    <col min="21" max="21" width="11.7265625" style="12" bestFit="1" customWidth="1"/>
    <col min="22" max="23" width="11.1796875" style="12" bestFit="1" customWidth="1"/>
    <col min="24" max="25" width="9.54296875" style="12" customWidth="1" outlineLevel="3"/>
    <col min="26" max="27" width="13.26953125" style="12" customWidth="1" outlineLevel="3"/>
    <col min="28" max="28" width="9.1796875" style="12" customWidth="1" outlineLevel="2"/>
    <col min="29" max="30" width="13.26953125" style="12" customWidth="1" outlineLevel="2"/>
    <col min="31" max="31" width="8.7265625" style="12" customWidth="1" outlineLevel="1"/>
    <col min="32" max="32" width="2.7265625" style="12" customWidth="1"/>
    <col min="33" max="34" width="15.7265625" style="12" customWidth="1" outlineLevel="1"/>
    <col min="35" max="35" width="15.7265625" style="12" customWidth="1" outlineLevel="2"/>
    <col min="36" max="36" width="15.7265625" style="12" customWidth="1" outlineLevel="3"/>
    <col min="37" max="37" width="28.54296875" style="12" customWidth="1" outlineLevel="1"/>
    <col min="38" max="38" width="13.54296875" style="12" customWidth="1"/>
    <col min="39" max="39" width="12" style="12" customWidth="1"/>
    <col min="40" max="40" width="11.1796875" style="12" customWidth="1"/>
    <col min="41" max="41" width="16" style="12" bestFit="1" customWidth="1"/>
    <col min="42" max="42" width="14.453125" style="12" customWidth="1"/>
    <col min="43" max="43" width="18.54296875" style="12" customWidth="1"/>
    <col min="44" max="44" width="15.81640625" style="12" customWidth="1"/>
    <col min="45" max="45" width="10.7265625" style="12" bestFit="1" customWidth="1"/>
    <col min="46" max="46" width="9.1796875" style="12"/>
    <col min="47" max="47" width="12.26953125" style="12" bestFit="1" customWidth="1"/>
    <col min="48" max="48" width="11" style="12" bestFit="1" customWidth="1"/>
    <col min="49" max="49" width="11.453125" style="12" bestFit="1" customWidth="1"/>
    <col min="50" max="16384" width="9.1796875" style="12"/>
  </cols>
  <sheetData>
    <row r="1" spans="1:52" s="48" customFormat="1" ht="17.25" customHeight="1">
      <c r="A1" s="111">
        <v>45839</v>
      </c>
    </row>
    <row r="2" spans="1:52">
      <c r="A2" s="12" t="s">
        <v>2</v>
      </c>
      <c r="B2" s="49" t="s">
        <v>24</v>
      </c>
      <c r="C2" s="53" t="s">
        <v>79</v>
      </c>
    </row>
    <row r="3" spans="1:52">
      <c r="B3" s="49" t="s">
        <v>23</v>
      </c>
      <c r="C3" s="53">
        <f>'Raw Data'!$G$9</f>
        <v>2025</v>
      </c>
      <c r="H3" s="1063" t="s">
        <v>758</v>
      </c>
    </row>
    <row r="4" spans="1:52" s="157" customFormat="1" ht="35.15"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Data'!AR31</f>
        <v>Pension Converted</v>
      </c>
      <c r="Y4" s="157" t="str">
        <f>'Raw Data'!AU31</f>
        <v>Other Converted</v>
      </c>
      <c r="Z4" s="157" t="s">
        <v>247</v>
      </c>
      <c r="AA4" s="157" t="s">
        <v>248</v>
      </c>
      <c r="AC4" s="157" t="s">
        <v>11</v>
      </c>
      <c r="AD4" s="157" t="s">
        <v>10</v>
      </c>
    </row>
    <row r="5" spans="1:52" ht="21">
      <c r="B5" s="26"/>
      <c r="C5" s="256" t="str">
        <f>+C2&amp; " Benchmarking - "&amp;'Raw Data'!H5&amp;" $000s"</f>
        <v>CEO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370</v>
      </c>
      <c r="AM5" t="s">
        <v>68</v>
      </c>
      <c r="AN5"/>
      <c r="AO5"/>
    </row>
    <row r="6" spans="1:52" ht="40" customHeight="1">
      <c r="B6" s="45"/>
      <c r="C6" s="1260" t="s">
        <v>22</v>
      </c>
      <c r="D6" s="1262" t="s">
        <v>21</v>
      </c>
      <c r="E6" s="1262" t="s">
        <v>20</v>
      </c>
      <c r="F6" s="1262" t="s">
        <v>19</v>
      </c>
      <c r="G6" s="1262" t="s">
        <v>18</v>
      </c>
      <c r="H6" s="1258" t="s">
        <v>114</v>
      </c>
      <c r="I6" s="1258" t="s">
        <v>17</v>
      </c>
      <c r="J6" s="841" t="s">
        <v>16</v>
      </c>
      <c r="K6" s="841"/>
      <c r="L6" s="841"/>
      <c r="M6" s="841" t="s">
        <v>16</v>
      </c>
      <c r="N6" s="841"/>
      <c r="O6" s="841" t="s">
        <v>15</v>
      </c>
      <c r="P6" s="841"/>
      <c r="Q6" s="841" t="s">
        <v>14</v>
      </c>
      <c r="R6" s="841"/>
      <c r="S6" s="841"/>
      <c r="T6" s="841" t="s">
        <v>14</v>
      </c>
      <c r="U6" s="841"/>
      <c r="V6" s="841" t="s">
        <v>670</v>
      </c>
      <c r="W6" s="841"/>
      <c r="X6" s="1253" t="s">
        <v>31</v>
      </c>
      <c r="Y6" s="1255" t="s">
        <v>245</v>
      </c>
      <c r="Z6" s="1255" t="s">
        <v>244</v>
      </c>
      <c r="AA6" s="1257"/>
      <c r="AB6" s="623"/>
      <c r="AC6" s="610" t="s">
        <v>12</v>
      </c>
      <c r="AD6" s="540"/>
      <c r="AE6" s="623">
        <v>2024</v>
      </c>
      <c r="AF6" s="624"/>
      <c r="AG6" s="613" t="s">
        <v>393</v>
      </c>
      <c r="AH6" s="614"/>
      <c r="AI6" s="614"/>
      <c r="AJ6" s="614"/>
      <c r="AK6" s="1357"/>
      <c r="AL6" s="1112" t="s">
        <v>393</v>
      </c>
      <c r="AM6" s="1113"/>
      <c r="AN6" s="333"/>
      <c r="AO6" s="607"/>
      <c r="AP6" s="1251" t="s">
        <v>670</v>
      </c>
      <c r="AQ6" s="1252"/>
      <c r="AU6" s="642"/>
    </row>
    <row r="7" spans="1:52" ht="20.149999999999999" customHeight="1">
      <c r="A7" s="52" t="s">
        <v>54</v>
      </c>
      <c r="B7" s="52" t="s">
        <v>25</v>
      </c>
      <c r="C7" s="1261"/>
      <c r="D7" s="1263" t="s">
        <v>21</v>
      </c>
      <c r="E7" s="1263" t="s">
        <v>20</v>
      </c>
      <c r="F7" s="1263" t="s">
        <v>19</v>
      </c>
      <c r="G7" s="1263" t="s">
        <v>18</v>
      </c>
      <c r="H7" s="1259" t="s">
        <v>17</v>
      </c>
      <c r="I7" s="1259" t="s">
        <v>17</v>
      </c>
      <c r="J7" s="842" t="s">
        <v>40</v>
      </c>
      <c r="K7" s="843" t="s">
        <v>51</v>
      </c>
      <c r="L7" s="843" t="s">
        <v>104</v>
      </c>
      <c r="M7" s="843" t="s">
        <v>42</v>
      </c>
      <c r="N7" s="842" t="s">
        <v>41</v>
      </c>
      <c r="O7" s="842" t="s">
        <v>53</v>
      </c>
      <c r="P7" s="842" t="s">
        <v>42</v>
      </c>
      <c r="Q7" s="843" t="s">
        <v>40</v>
      </c>
      <c r="R7" s="844" t="s">
        <v>52</v>
      </c>
      <c r="S7" s="844" t="s">
        <v>105</v>
      </c>
      <c r="T7" s="843" t="s">
        <v>42</v>
      </c>
      <c r="U7" s="845" t="s">
        <v>41</v>
      </c>
      <c r="V7" s="842" t="s">
        <v>40</v>
      </c>
      <c r="W7" s="842" t="s">
        <v>42</v>
      </c>
      <c r="X7" s="1254"/>
      <c r="Y7" s="1256"/>
      <c r="Z7" s="842" t="s">
        <v>40</v>
      </c>
      <c r="AA7" s="846" t="s">
        <v>42</v>
      </c>
      <c r="AB7" s="623"/>
      <c r="AC7" s="611" t="s">
        <v>11</v>
      </c>
      <c r="AD7" s="612" t="s">
        <v>10</v>
      </c>
      <c r="AE7" s="624" t="str">
        <f>AE6&amp;" Lookup"</f>
        <v>2024 Lookup</v>
      </c>
      <c r="AF7" s="624"/>
      <c r="AG7" s="616" t="s">
        <v>22</v>
      </c>
      <c r="AH7" s="617" t="s">
        <v>19</v>
      </c>
      <c r="AI7" s="617" t="s">
        <v>397</v>
      </c>
      <c r="AJ7" s="618" t="s">
        <v>395</v>
      </c>
      <c r="AK7" s="1358" t="s">
        <v>18</v>
      </c>
      <c r="AL7" s="1141" t="s">
        <v>40</v>
      </c>
      <c r="AM7" s="1142" t="s">
        <v>42</v>
      </c>
      <c r="AN7" s="1364"/>
      <c r="AO7" s="995" t="s">
        <v>396</v>
      </c>
      <c r="AP7" s="619" t="s">
        <v>40</v>
      </c>
      <c r="AQ7" s="620" t="s">
        <v>42</v>
      </c>
      <c r="AT7" s="641"/>
      <c r="AU7" s="641"/>
      <c r="AV7" s="641"/>
      <c r="AW7" s="641"/>
    </row>
    <row r="8" spans="1:52" ht="20.25" customHeight="1">
      <c r="A8" s="12" t="str">
        <f t="shared" ref="A8:A21" si="0">$B8&amp;"_"&amp;$C$3&amp;"_"&amp;$C$2</f>
        <v>TSX:FM_2025_CEO</v>
      </c>
      <c r="B8" s="12" t="str">
        <f>'Peer Group'!A6</f>
        <v>TSX:FM</v>
      </c>
      <c r="C8" s="847" t="str">
        <f t="shared" ref="C8:C21" si="1">IFERROR(INDEX(Raw_Data,MATCH($A8,Look_Up,0),MATCH(C$4,Component,0)),"-")</f>
        <v>First Quantum Minerals Ltd.</v>
      </c>
      <c r="D8" s="848" t="str">
        <f>_xll.ciqfunctions.udf.CIQ(B8, "IQ_MARKETCAP", $A$1,$A$2)</f>
        <v>#PEND</v>
      </c>
      <c r="E8" s="848" t="str">
        <f>_xll.ciqfunctions.udf.CIQ($B8, "IQ_TEV", $A$1,$A$2)</f>
        <v>#PEND</v>
      </c>
      <c r="F8" s="849" t="str">
        <f t="shared" ref="F8:G21" si="2">IFERROR(INDEX(Raw_Data,MATCH($A8,Look_Up,0),MATCH(F$4,Component,0)),"-")</f>
        <v>Tristan Pascall</v>
      </c>
      <c r="G8" s="849" t="str">
        <f t="shared" si="2"/>
        <v>CEO</v>
      </c>
      <c r="H8" s="848">
        <f t="shared" ref="H8:J21" si="3">IFERROR(INDEX(Raw_Data,MATCH($A8,Look_Up,0),MATCH(H$4,Component,0))/1000,"-")</f>
        <v>1872.5830000000001</v>
      </c>
      <c r="I8" s="848">
        <f t="shared" si="3"/>
        <v>1816.6849999999999</v>
      </c>
      <c r="J8" s="850">
        <f t="shared" si="3"/>
        <v>1362.5137500000001</v>
      </c>
      <c r="K8" s="851">
        <f t="shared" ref="K8:L21" si="4">IFERROR(INDEX(Raw_Data,MATCH($A8,Look_Up,0),MATCH(K$4,Component,0)),"-")</f>
        <v>0.75</v>
      </c>
      <c r="L8" s="851">
        <f t="shared" si="4"/>
        <v>0.66978296228902134</v>
      </c>
      <c r="M8" s="852">
        <f t="shared" ref="M8:M21" si="5">IFERROR(INDEX(Raw_Data,MATCH($A8,Look_Up,0),MATCH(M$4,Component,0))/1000,"-")</f>
        <v>1816.6849999999999</v>
      </c>
      <c r="N8" s="853">
        <f t="shared" ref="N8:N21" si="6">IFERROR(IF(INDEX(Raw_Data,MATCH($A8,Look_Up,0),MATCH(N$4,Component,0))="-",L8,INDEX(Raw_Data,MATCH($A8,Look_Up,0),MATCH(N$4,Component,0))),"-")</f>
        <v>1</v>
      </c>
      <c r="O8" s="850">
        <f t="shared" ref="O8:Q21" si="7">IFERROR(INDEX(Raw_Data,MATCH($A8,Look_Up,0),MATCH(O$4,Component,0))/1000,"-")</f>
        <v>3179.19875</v>
      </c>
      <c r="P8" s="854">
        <f t="shared" si="7"/>
        <v>3633.37</v>
      </c>
      <c r="Q8" s="850">
        <f t="shared" si="7"/>
        <v>4087.5412500000007</v>
      </c>
      <c r="R8" s="851">
        <f t="shared" ref="R8:S21" si="8">IFERROR(INDEX(Raw_Data,MATCH($A8,Look_Up,0),MATCH(R$4,Component,0)),"-")</f>
        <v>2.2500000000000004</v>
      </c>
      <c r="S8" s="851">
        <f t="shared" si="8"/>
        <v>2.1586557204112649</v>
      </c>
      <c r="T8" s="852">
        <f t="shared" ref="T8:T21" si="9">IFERROR(INDEX(Raw_Data,MATCH($A8,Look_Up,0),MATCH(T$4,Component,0))/1000,"-")</f>
        <v>4087.5412500000002</v>
      </c>
      <c r="U8" s="853">
        <f t="shared" ref="U8:U21" si="10">IFERROR(IF(INDEX(Raw_Data,MATCH($A8,Look_Up,0),MATCH(U$4,Component,0))="-",S8,INDEX(Raw_Data,MATCH($A8,Look_Up,0),MATCH(U$4,Component,0))),"-")</f>
        <v>2.25</v>
      </c>
      <c r="V8" s="850">
        <f t="shared" ref="V8:W21" si="11">IFERROR(INDEX(Raw_Data,MATCH($A8,Look_Up,0),MATCH(V$4,Component,0))/1000,"-")</f>
        <v>7266.74</v>
      </c>
      <c r="W8" s="855">
        <f t="shared" si="11"/>
        <v>7720.9112500000001</v>
      </c>
      <c r="X8" s="850">
        <f t="shared" ref="X8:Y21" si="12">IFERROR((INDEX(Raw_Data,MATCH($A8,Look_Up,0),MATCH(X$4,Component,0))/1000),"-")</f>
        <v>11.443718050000001</v>
      </c>
      <c r="Y8" s="855">
        <f t="shared" si="12"/>
        <v>167.05257044999999</v>
      </c>
      <c r="Z8" s="850">
        <f t="shared" ref="Z8:AA21" si="13">IFERROR(INDEX(Raw_Data,MATCH($A8,Look_Up,0),MATCH(Z$4,Component,0))/1000,"-")</f>
        <v>7445.2362885000002</v>
      </c>
      <c r="AA8" s="855">
        <f t="shared" si="13"/>
        <v>7899.4075384999996</v>
      </c>
      <c r="AB8"/>
      <c r="AC8" s="676">
        <f t="shared" ref="AC8:AC21" si="14">IFERROR(P8/W8,0)</f>
        <v>0.47058823529411764</v>
      </c>
      <c r="AD8" s="677">
        <f t="shared" ref="AD8:AD21" si="15">IFERROR(T8/W8,0)</f>
        <v>0.52941176470588236</v>
      </c>
      <c r="AE8" s="678" t="str">
        <f t="shared" ref="AE8:AE21" si="16">B8&amp;"_"&amp;$AE$6&amp;"_"&amp;$C$2</f>
        <v>TSX:FM_2024_CEO</v>
      </c>
      <c r="AF8"/>
      <c r="AG8" s="682" t="str" cm="1">
        <f t="array" ref="AG8">IFERROR(INDEX('Import 2024 Data'!$E$4:$I$71,_xlfn.XMATCH(CEO!$AE8,'Import 2024 Data'!$C$4:$C$71),_xlfn.XMATCH(CEO!AG$5,'Import 2024 Data'!$E$3:$I$3)),"-")</f>
        <v>-</v>
      </c>
      <c r="AH8" s="1044" t="str" cm="1">
        <f t="array" ref="AH8">IFERROR(INDEX('Import 2024 Data'!$E$4:$I$71,_xlfn.XMATCH(CEO!$AE8,'Import 2024 Data'!$C$4:$C$71),_xlfn.XMATCH(CEO!AH$5,'Import 2024 Data'!$E$3:$I$3)),"-")</f>
        <v>-</v>
      </c>
      <c r="AI8" s="1043" t="str">
        <f>IF(ISNUMBER(_xlfn.XMATCH(C8,'Import 2024 Data'!$E$4:$E$71)),"N","Y")</f>
        <v>Y</v>
      </c>
      <c r="AJ8" s="1043" t="str">
        <f>IFERROR(IF(TRIM(LOWER(AH8))=TRIM(LOWER(F8)),"N","Y"),"-")</f>
        <v>Y</v>
      </c>
      <c r="AK8" s="682" t="str" cm="1">
        <f t="array" ref="AK8">IFERROR(INDEX('Import 2024 Data'!$E$4:$I$71,_xlfn.XMATCH(CEO!$AE8,'Import 2024 Data'!$C$4:$C$71),_xlfn.XMATCH(CEO!AK$5,'Import 2024 Data'!$E$3:$I$3)),"-")</f>
        <v>-</v>
      </c>
      <c r="AL8" s="1106" t="str" cm="1">
        <f t="array" ref="AL8">IFERROR(INDEX('Import 2024 Data'!$E$4:$I$71,_xlfn.XMATCH(CEO!$AE8,'Import 2024 Data'!$C$4:$C$71),_xlfn.XMATCH(CEO!AL$5,'Import 2024 Data'!$E$3:$I$3)),"-")</f>
        <v>-</v>
      </c>
      <c r="AM8" s="1107" t="str" cm="1">
        <f t="array" ref="AM8">IFERROR(INDEX('Import 2024 Data'!$E$4:$I$71,_xlfn.XMATCH(CEO!$AE8,'Import 2024 Data'!$C$4:$C$71),_xlfn.XMATCH(CEO!AM$5,'Import 2024 Data'!$E$3:$I$3)),"-")</f>
        <v>-</v>
      </c>
      <c r="AN8" s="333"/>
      <c r="AO8" s="998" t="str">
        <f>IFERROR(IF(AJ8="Y","New Incumbent",W8/AM8-1),"-")</f>
        <v>New Incumbent</v>
      </c>
      <c r="AP8" s="1074" t="str">
        <f>IF($AI8="N",$V8,"-")</f>
        <v>-</v>
      </c>
      <c r="AQ8" s="1077" t="str">
        <f>IF($AI8="N",$W8,"-")</f>
        <v>-</v>
      </c>
      <c r="AR8" s="12">
        <f>W8/W30 -1</f>
        <v>0.34656140722687301</v>
      </c>
      <c r="AS8" s="12" t="s">
        <v>787</v>
      </c>
      <c r="AU8" s="362"/>
      <c r="AV8" s="362"/>
      <c r="AW8" s="362"/>
      <c r="AX8" s="362"/>
      <c r="AY8" s="591"/>
      <c r="AZ8" s="591"/>
    </row>
    <row r="9" spans="1:52" ht="20.25" customHeight="1">
      <c r="A9" s="12" t="str">
        <f t="shared" si="0"/>
        <v>TSX:K_2025_CEO</v>
      </c>
      <c r="B9" s="12" t="str">
        <f>'Peer Group'!A7</f>
        <v>TSX:K</v>
      </c>
      <c r="C9" s="847" t="str">
        <f t="shared" si="1"/>
        <v>Kinross Gold Corporation</v>
      </c>
      <c r="D9" s="848" t="str">
        <f>_xll.ciqfunctions.udf.CIQ(B9, "IQ_MARKETCAP", $A$1,$A$2)</f>
        <v>#PEND</v>
      </c>
      <c r="E9" s="848" t="str">
        <f>_xll.ciqfunctions.udf.CIQ($B9, "IQ_TEV", $A$1,$A$2)</f>
        <v>#PEND</v>
      </c>
      <c r="F9" s="849" t="str">
        <f t="shared" si="2"/>
        <v>J. Paul Rollinson</v>
      </c>
      <c r="G9" s="849" t="str">
        <f t="shared" si="2"/>
        <v>CEO</v>
      </c>
      <c r="H9" s="848" t="str">
        <f t="shared" si="3"/>
        <v>-</v>
      </c>
      <c r="I9" s="848">
        <f t="shared" si="3"/>
        <v>1733.2851840000001</v>
      </c>
      <c r="J9" s="850">
        <f t="shared" si="3"/>
        <v>3217.4106228000001</v>
      </c>
      <c r="K9" s="851">
        <f t="shared" si="4"/>
        <v>1.85625</v>
      </c>
      <c r="L9" s="851">
        <f t="shared" si="4"/>
        <v>1.8375002056676657</v>
      </c>
      <c r="M9" s="852">
        <f t="shared" si="5"/>
        <v>2599.927776</v>
      </c>
      <c r="N9" s="853">
        <f t="shared" si="6"/>
        <v>1.5</v>
      </c>
      <c r="O9" s="850">
        <f t="shared" si="7"/>
        <v>4950.6958068000004</v>
      </c>
      <c r="P9" s="854">
        <f t="shared" si="7"/>
        <v>4333.2129599999998</v>
      </c>
      <c r="Q9" s="850">
        <f t="shared" si="7"/>
        <v>6413.1551808000004</v>
      </c>
      <c r="R9" s="851">
        <f t="shared" si="8"/>
        <v>3.6999999999999997</v>
      </c>
      <c r="S9" s="851">
        <f t="shared" si="8"/>
        <v>3.1533335298945784</v>
      </c>
      <c r="T9" s="852">
        <f t="shared" si="9"/>
        <v>5465.6262875766943</v>
      </c>
      <c r="U9" s="853">
        <f t="shared" si="10"/>
        <v>3.1533335298945784</v>
      </c>
      <c r="V9" s="850">
        <f t="shared" si="11"/>
        <v>11363.850987600001</v>
      </c>
      <c r="W9" s="855">
        <f t="shared" si="11"/>
        <v>9798.8392475766941</v>
      </c>
      <c r="X9" s="850">
        <f t="shared" si="12"/>
        <v>779.97833280000009</v>
      </c>
      <c r="Y9" s="855">
        <f t="shared" si="12"/>
        <v>420.58214180000004</v>
      </c>
      <c r="Z9" s="850">
        <f t="shared" si="13"/>
        <v>12564.411462200002</v>
      </c>
      <c r="AA9" s="855">
        <f t="shared" si="13"/>
        <v>10999.399722176695</v>
      </c>
      <c r="AB9" s="675"/>
      <c r="AC9" s="676">
        <f t="shared" si="14"/>
        <v>0.44221696575659475</v>
      </c>
      <c r="AD9" s="677">
        <f t="shared" si="15"/>
        <v>0.55778303424340525</v>
      </c>
      <c r="AE9" s="678" t="str">
        <f t="shared" si="16"/>
        <v>TSX:K_2024_CEO</v>
      </c>
      <c r="AF9" s="678"/>
      <c r="AG9" s="682" t="str" cm="1">
        <f t="array" ref="AG9">IFERROR(INDEX('Import 2024 Data'!$E$4:$I$71,_xlfn.XMATCH(CEO!$AE9,'Import 2024 Data'!$C$4:$C$71),_xlfn.XMATCH(CEO!AG$5,'Import 2024 Data'!$E$3:$I$3)),"-")</f>
        <v>Kinross Gold Corporation</v>
      </c>
      <c r="AH9" s="1006" t="str" cm="1">
        <f t="array" ref="AH9">IFERROR(INDEX('Import 2024 Data'!$E$4:$I$71,_xlfn.XMATCH(CEO!$AE9,'Import 2024 Data'!$C$4:$C$71),_xlfn.XMATCH(CEO!AH$5,'Import 2024 Data'!$E$3:$I$3)),"-")</f>
        <v>J. Paul Rollinson</v>
      </c>
      <c r="AI9" s="1008" t="str">
        <f>IF(ISNUMBER(_xlfn.XMATCH(C9,'Import 2024 Data'!$E$4:$E$71)),"N","Y")</f>
        <v>N</v>
      </c>
      <c r="AJ9" s="1008" t="str">
        <f t="shared" ref="AJ9:AJ21" si="17">IFERROR(IF(TRIM(LOWER(AH9))=TRIM(LOWER(F9)),"N","Y"),"-")</f>
        <v>N</v>
      </c>
      <c r="AK9" s="682" t="str" cm="1">
        <f t="array" ref="AK9">IFERROR(INDEX('Import 2024 Data'!$E$4:$I$71,_xlfn.XMATCH(CEO!$AE9,'Import 2024 Data'!$C$4:$C$71),_xlfn.XMATCH(CEO!AK$5,'Import 2024 Data'!$E$3:$I$3)),"-")</f>
        <v>CEO</v>
      </c>
      <c r="AL9" s="1107" cm="1">
        <f t="array" ref="AL9">IFERROR(INDEX('Import 2024 Data'!$E$4:$I$71,_xlfn.XMATCH(CEO!$AE9,'Import 2024 Data'!$C$4:$C$71),_xlfn.XMATCH(CEO!AL$5,'Import 2024 Data'!$E$3:$I$3)),"-")</f>
        <v>9344.8457655300008</v>
      </c>
      <c r="AM9" s="1107" cm="1">
        <f t="array" ref="AM9">IFERROR(INDEX('Import 2024 Data'!$E$4:$I$71,_xlfn.XMATCH(CEO!$AE9,'Import 2024 Data'!$C$4:$C$71),_xlfn.XMATCH(CEO!AM$5,'Import 2024 Data'!$E$3:$I$3)),"-")</f>
        <v>8698.6526040203098</v>
      </c>
      <c r="AN9" s="333"/>
      <c r="AO9" s="998">
        <f t="shared" ref="AO9:AO21" si="18">IFERROR(IF(AJ9="Y","New Incumbent",W9/AM9-1),"-")</f>
        <v>0.12647782290419363</v>
      </c>
      <c r="AP9" s="997">
        <f t="shared" ref="AP9:AP22" si="19">IF($AI9="N",$V9,"-")</f>
        <v>11363.850987600001</v>
      </c>
      <c r="AQ9" s="1078">
        <f t="shared" ref="AQ9:AQ22" si="20">IF($AI9="N",$W9,"-")</f>
        <v>9798.8392475766941</v>
      </c>
      <c r="AU9" s="362"/>
      <c r="AV9" s="362"/>
      <c r="AW9" s="362"/>
      <c r="AX9" s="362"/>
      <c r="AY9" s="591"/>
      <c r="AZ9" s="591"/>
    </row>
    <row r="10" spans="1:52" ht="20.25" customHeight="1">
      <c r="A10" s="12" t="str">
        <f t="shared" si="0"/>
        <v>TSX:LUN_2025_CEO</v>
      </c>
      <c r="B10" s="12" t="str">
        <f>'Peer Group'!A8</f>
        <v>TSX:LUN</v>
      </c>
      <c r="C10" s="847" t="str">
        <f t="shared" si="1"/>
        <v>Lundin Mining Corporation</v>
      </c>
      <c r="D10" s="848" t="str">
        <f>_xll.ciqfunctions.udf.CIQ(B10, "IQ_MARKETCAP", $A$1,$A$2)</f>
        <v>#PEND</v>
      </c>
      <c r="E10" s="848" t="str">
        <f>_xll.ciqfunctions.udf.CIQ($B10, "IQ_TEV", $A$1,$A$2)</f>
        <v>#PEND</v>
      </c>
      <c r="F10" s="849" t="str">
        <f t="shared" si="2"/>
        <v>Jack Lundin</v>
      </c>
      <c r="G10" s="849" t="str">
        <f t="shared" si="2"/>
        <v>CEO</v>
      </c>
      <c r="H10" s="848">
        <f t="shared" si="3"/>
        <v>900</v>
      </c>
      <c r="I10" s="848">
        <f t="shared" si="3"/>
        <v>850</v>
      </c>
      <c r="J10" s="850">
        <f t="shared" si="3"/>
        <v>1361.9645521500001</v>
      </c>
      <c r="K10" s="851">
        <f t="shared" si="4"/>
        <v>1.6023112378235296</v>
      </c>
      <c r="L10" s="851">
        <f t="shared" si="4"/>
        <v>1.9805665305807409</v>
      </c>
      <c r="M10" s="852">
        <f t="shared" si="5"/>
        <v>1020</v>
      </c>
      <c r="N10" s="853">
        <f t="shared" si="6"/>
        <v>1.2</v>
      </c>
      <c r="O10" s="850">
        <f t="shared" si="7"/>
        <v>2211.9645521499997</v>
      </c>
      <c r="P10" s="854">
        <f t="shared" si="7"/>
        <v>1870</v>
      </c>
      <c r="Q10" s="850">
        <f t="shared" si="7"/>
        <v>5179.9908002500006</v>
      </c>
      <c r="R10" s="851">
        <f t="shared" si="8"/>
        <v>6.0941068238235294</v>
      </c>
      <c r="S10" s="851">
        <f t="shared" si="8"/>
        <v>4.5233271381854907</v>
      </c>
      <c r="T10" s="852">
        <f t="shared" si="9"/>
        <v>3400</v>
      </c>
      <c r="U10" s="853">
        <f t="shared" si="10"/>
        <v>4</v>
      </c>
      <c r="V10" s="850">
        <f t="shared" si="11"/>
        <v>7391.9553524000003</v>
      </c>
      <c r="W10" s="855">
        <f t="shared" si="11"/>
        <v>5270</v>
      </c>
      <c r="X10" s="850" t="str">
        <f t="shared" si="12"/>
        <v>-</v>
      </c>
      <c r="Y10" s="855">
        <f t="shared" si="12"/>
        <v>42.946433400000004</v>
      </c>
      <c r="Z10" s="850">
        <f t="shared" si="13"/>
        <v>7434.9017858000007</v>
      </c>
      <c r="AA10" s="855">
        <f t="shared" si="13"/>
        <v>5312.9464334000004</v>
      </c>
      <c r="AB10" s="675"/>
      <c r="AC10" s="676">
        <f t="shared" si="14"/>
        <v>0.35483870967741937</v>
      </c>
      <c r="AD10" s="677">
        <f t="shared" si="15"/>
        <v>0.64516129032258063</v>
      </c>
      <c r="AE10" s="678" t="str">
        <f t="shared" si="16"/>
        <v>TSX:LUN_2024_CEO</v>
      </c>
      <c r="AF10" s="678"/>
      <c r="AG10" s="682" t="str" cm="1">
        <f t="array" ref="AG10">IFERROR(INDEX('Import 2024 Data'!$E$4:$I$71,_xlfn.XMATCH(CEO!$AE10,'Import 2024 Data'!$C$4:$C$71),_xlfn.XMATCH(CEO!AG$5,'Import 2024 Data'!$E$3:$I$3)),"-")</f>
        <v>Lundin Mining Corporation</v>
      </c>
      <c r="AH10" s="1006" t="str" cm="1">
        <f t="array" ref="AH10">IFERROR(INDEX('Import 2024 Data'!$E$4:$I$71,_xlfn.XMATCH(CEO!$AE10,'Import 2024 Data'!$C$4:$C$71),_xlfn.XMATCH(CEO!AH$5,'Import 2024 Data'!$E$3:$I$3)),"-")</f>
        <v>Jack Lundin</v>
      </c>
      <c r="AI10" s="1008" t="str">
        <f>IF(ISNUMBER(_xlfn.XMATCH(C10,'Import 2024 Data'!$E$4:$E$71)),"N","Y")</f>
        <v>N</v>
      </c>
      <c r="AJ10" s="1008" t="s">
        <v>442</v>
      </c>
      <c r="AK10" s="682" t="str" cm="1">
        <f t="array" ref="AK10">IFERROR(INDEX('Import 2024 Data'!$E$4:$I$71,_xlfn.XMATCH(CEO!$AE10,'Import 2024 Data'!$C$4:$C$71),_xlfn.XMATCH(CEO!AK$5,'Import 2024 Data'!$E$3:$I$3)),"-")</f>
        <v>President &amp; CEO</v>
      </c>
      <c r="AL10" s="1107" cm="1">
        <f t="array" ref="AL10">IFERROR(INDEX('Import 2024 Data'!$E$4:$I$71,_xlfn.XMATCH(CEO!$AE10,'Import 2024 Data'!$C$4:$C$71),_xlfn.XMATCH(CEO!AL$5,'Import 2024 Data'!$E$3:$I$3)),"-")</f>
        <v>5366.5489181399998</v>
      </c>
      <c r="AM10" s="1107" cm="1">
        <f t="array" ref="AM10">IFERROR(INDEX('Import 2024 Data'!$E$4:$I$71,_xlfn.XMATCH(CEO!$AE10,'Import 2024 Data'!$C$4:$C$71),_xlfn.XMATCH(CEO!AM$5,'Import 2024 Data'!$E$3:$I$3)),"-")</f>
        <v>4420</v>
      </c>
      <c r="AN10" s="333"/>
      <c r="AO10" s="998">
        <f t="shared" si="18"/>
        <v>0.19230769230769229</v>
      </c>
      <c r="AP10" s="997">
        <f t="shared" si="19"/>
        <v>7391.9553524000003</v>
      </c>
      <c r="AQ10" s="1078">
        <f t="shared" si="20"/>
        <v>5270</v>
      </c>
      <c r="AR10" s="12" t="s">
        <v>785</v>
      </c>
      <c r="AU10" s="362"/>
      <c r="AV10" s="362"/>
      <c r="AW10" s="362"/>
      <c r="AX10" s="362"/>
      <c r="AY10" s="591"/>
      <c r="AZ10" s="591"/>
    </row>
    <row r="11" spans="1:52" ht="20.25" customHeight="1">
      <c r="A11" s="12" t="str">
        <f t="shared" si="0"/>
        <v>TSX:PAAS_2025_CEO</v>
      </c>
      <c r="B11" s="12" t="str">
        <f>'Peer Group'!A9</f>
        <v>TSX:PAAS</v>
      </c>
      <c r="C11" s="847" t="str">
        <f t="shared" si="1"/>
        <v>Pan American Silver Corp.</v>
      </c>
      <c r="D11" s="848" t="str">
        <f>_xll.ciqfunctions.udf.CIQ(B11, "IQ_MARKETCAP", $A$1,$A$2)</f>
        <v>#PEND</v>
      </c>
      <c r="E11" s="848" t="str">
        <f>_xll.ciqfunctions.udf.CIQ($B11, "IQ_TEV", $A$1,$A$2)</f>
        <v>#PEND</v>
      </c>
      <c r="F11" s="849" t="str">
        <f t="shared" si="2"/>
        <v>Michael Steinmann</v>
      </c>
      <c r="G11" s="849" t="str">
        <f t="shared" si="2"/>
        <v>President &amp; CEO</v>
      </c>
      <c r="H11" s="848" t="str">
        <f t="shared" si="3"/>
        <v>-</v>
      </c>
      <c r="I11" s="848">
        <f t="shared" si="3"/>
        <v>1562.3</v>
      </c>
      <c r="J11" s="850">
        <f t="shared" si="3"/>
        <v>2856.08</v>
      </c>
      <c r="K11" s="851">
        <f t="shared" si="4"/>
        <v>1.8281252000256032</v>
      </c>
      <c r="L11" s="851">
        <f t="shared" si="4"/>
        <v>1.4841238271505344</v>
      </c>
      <c r="M11" s="852">
        <f t="shared" si="5"/>
        <v>1952.875</v>
      </c>
      <c r="N11" s="853">
        <f t="shared" si="6"/>
        <v>1.25</v>
      </c>
      <c r="O11" s="850">
        <f t="shared" si="7"/>
        <v>4418.38</v>
      </c>
      <c r="P11" s="854">
        <f t="shared" si="7"/>
        <v>3515.1750000000002</v>
      </c>
      <c r="Q11" s="850">
        <f t="shared" si="7"/>
        <v>4686.8999999999996</v>
      </c>
      <c r="R11" s="851">
        <f t="shared" si="8"/>
        <v>3</v>
      </c>
      <c r="S11" s="851">
        <f t="shared" si="8"/>
        <v>2.916711690377205</v>
      </c>
      <c r="T11" s="852">
        <f t="shared" si="9"/>
        <v>4686.8999999999996</v>
      </c>
      <c r="U11" s="853">
        <f t="shared" si="10"/>
        <v>3</v>
      </c>
      <c r="V11" s="850">
        <f t="shared" si="11"/>
        <v>9105.2800000000007</v>
      </c>
      <c r="W11" s="855">
        <f t="shared" si="11"/>
        <v>8202.0750000000007</v>
      </c>
      <c r="X11" s="850">
        <f t="shared" si="12"/>
        <v>703.03499999999997</v>
      </c>
      <c r="Y11" s="855" t="str">
        <f t="shared" si="12"/>
        <v>-</v>
      </c>
      <c r="Z11" s="850">
        <f t="shared" si="13"/>
        <v>9808.3150000000005</v>
      </c>
      <c r="AA11" s="855">
        <f t="shared" si="13"/>
        <v>8905.11</v>
      </c>
      <c r="AB11" s="675"/>
      <c r="AC11" s="676">
        <f t="shared" si="14"/>
        <v>0.42857142857142855</v>
      </c>
      <c r="AD11" s="677">
        <f t="shared" si="15"/>
        <v>0.57142857142857129</v>
      </c>
      <c r="AE11" s="678" t="str">
        <f t="shared" si="16"/>
        <v>TSX:PAAS_2024_CEO</v>
      </c>
      <c r="AF11" s="678"/>
      <c r="AG11" s="682" t="str" cm="1">
        <f t="array" ref="AG11">IFERROR(INDEX('Import 2024 Data'!$E$4:$I$71,_xlfn.XMATCH(CEO!$AE11,'Import 2024 Data'!$C$4:$C$71),_xlfn.XMATCH(CEO!AG$5,'Import 2024 Data'!$E$3:$I$3)),"-")</f>
        <v>Pan American Silver Corp.</v>
      </c>
      <c r="AH11" s="1006" t="str" cm="1">
        <f t="array" ref="AH11">IFERROR(INDEX('Import 2024 Data'!$E$4:$I$71,_xlfn.XMATCH(CEO!$AE11,'Import 2024 Data'!$C$4:$C$71),_xlfn.XMATCH(CEO!AH$5,'Import 2024 Data'!$E$3:$I$3)),"-")</f>
        <v>Michael Steinmann</v>
      </c>
      <c r="AI11" s="1008" t="str">
        <f>IF(ISNUMBER(_xlfn.XMATCH(C11,'Import 2024 Data'!$E$4:$E$71)),"N","Y")</f>
        <v>N</v>
      </c>
      <c r="AJ11" s="1008" t="str">
        <f t="shared" si="17"/>
        <v>N</v>
      </c>
      <c r="AK11" s="682" t="str" cm="1">
        <f t="array" ref="AK11">IFERROR(INDEX('Import 2024 Data'!$E$4:$I$71,_xlfn.XMATCH(CEO!$AE11,'Import 2024 Data'!$C$4:$C$71),_xlfn.XMATCH(CEO!AK$5,'Import 2024 Data'!$E$3:$I$3)),"-")</f>
        <v>CEO</v>
      </c>
      <c r="AL11" s="1107" cm="1">
        <f t="array" ref="AL11">IFERROR(INDEX('Import 2024 Data'!$E$4:$I$71,_xlfn.XMATCH(CEO!$AE11,'Import 2024 Data'!$C$4:$C$71),_xlfn.XMATCH(CEO!AL$5,'Import 2024 Data'!$E$3:$I$3)),"-")</f>
        <v>7737.93</v>
      </c>
      <c r="AM11" s="1107" cm="1">
        <f t="array" ref="AM11">IFERROR(INDEX('Import 2024 Data'!$E$4:$I$71,_xlfn.XMATCH(CEO!$AE11,'Import 2024 Data'!$C$4:$C$71),_xlfn.XMATCH(CEO!AM$5,'Import 2024 Data'!$E$3:$I$3)),"-")</f>
        <v>7690.8</v>
      </c>
      <c r="AN11" s="333"/>
      <c r="AO11" s="998">
        <f t="shared" si="18"/>
        <v>6.6478779840848823E-2</v>
      </c>
      <c r="AP11" s="997">
        <f t="shared" si="19"/>
        <v>9105.2800000000007</v>
      </c>
      <c r="AQ11" s="1078">
        <f t="shared" si="20"/>
        <v>8202.0750000000007</v>
      </c>
      <c r="AU11" s="362"/>
      <c r="AV11" s="362"/>
      <c r="AW11" s="362"/>
      <c r="AX11" s="362"/>
      <c r="AY11" s="591"/>
      <c r="AZ11" s="591"/>
    </row>
    <row r="12" spans="1:52" ht="20.25" customHeight="1">
      <c r="A12" s="12" t="str">
        <f t="shared" si="0"/>
        <v>TSX:CDE_2025_CEO</v>
      </c>
      <c r="B12" s="12" t="str">
        <f>'Peer Group'!A10</f>
        <v>TSX:CDE</v>
      </c>
      <c r="C12" s="847" t="str">
        <f t="shared" si="1"/>
        <v>Coeur Mining, Inc.</v>
      </c>
      <c r="D12" s="848" t="str">
        <f>_xll.ciqfunctions.udf.CIQ(B12, "IQ_MARKETCAP", $A$1,$A$2)</f>
        <v>#PEND</v>
      </c>
      <c r="E12" s="848" t="str">
        <f>_xll.ciqfunctions.udf.CIQ($B12, "IQ_TEV", $A$1,$A$2)</f>
        <v>#PEND</v>
      </c>
      <c r="F12" s="849" t="str">
        <f t="shared" si="2"/>
        <v>Mitchell J. Krebs</v>
      </c>
      <c r="G12" s="849" t="str">
        <f t="shared" si="2"/>
        <v>Chairman, President &amp; CEO</v>
      </c>
      <c r="H12" s="848" t="str">
        <f t="shared" si="3"/>
        <v>-</v>
      </c>
      <c r="I12" s="848">
        <f t="shared" si="3"/>
        <v>1187.8325</v>
      </c>
      <c r="J12" s="850">
        <f t="shared" si="3"/>
        <v>1974.77153125</v>
      </c>
      <c r="K12" s="851">
        <f t="shared" si="4"/>
        <v>1.6625000000000001</v>
      </c>
      <c r="L12" s="851">
        <f t="shared" si="4"/>
        <v>1.3166666666666667</v>
      </c>
      <c r="M12" s="852">
        <f t="shared" si="5"/>
        <v>1484.7906250000001</v>
      </c>
      <c r="N12" s="853">
        <f t="shared" si="6"/>
        <v>1.25</v>
      </c>
      <c r="O12" s="850">
        <f t="shared" si="7"/>
        <v>3162.6040312499999</v>
      </c>
      <c r="P12" s="854">
        <f t="shared" si="7"/>
        <v>2672.6231250000001</v>
      </c>
      <c r="Q12" s="850">
        <f t="shared" si="7"/>
        <v>5901.9008932000006</v>
      </c>
      <c r="R12" s="851">
        <f t="shared" si="8"/>
        <v>4.9686305882352944</v>
      </c>
      <c r="S12" s="851">
        <f t="shared" si="8"/>
        <v>3.4402976470588236</v>
      </c>
      <c r="T12" s="852">
        <f t="shared" si="9"/>
        <v>3919.8472499999998</v>
      </c>
      <c r="U12" s="853">
        <f t="shared" si="10"/>
        <v>3.3</v>
      </c>
      <c r="V12" s="850">
        <f t="shared" si="11"/>
        <v>9064.5049244500005</v>
      </c>
      <c r="W12" s="855">
        <f t="shared" si="11"/>
        <v>6592.4703749999999</v>
      </c>
      <c r="X12" s="850">
        <f t="shared" si="12"/>
        <v>29.346450000000001</v>
      </c>
      <c r="Y12" s="855">
        <f t="shared" si="12"/>
        <v>194.441193</v>
      </c>
      <c r="Z12" s="850">
        <f t="shared" si="13"/>
        <v>9288.2925674500002</v>
      </c>
      <c r="AA12" s="855">
        <f t="shared" si="13"/>
        <v>6816.2580180000004</v>
      </c>
      <c r="AB12" s="675"/>
      <c r="AC12" s="676">
        <f t="shared" si="14"/>
        <v>0.40540540540540543</v>
      </c>
      <c r="AD12" s="677">
        <f t="shared" si="15"/>
        <v>0.59459459459459463</v>
      </c>
      <c r="AE12" s="678" t="str">
        <f t="shared" si="16"/>
        <v>TSX:CDE_2024_CEO</v>
      </c>
      <c r="AF12" s="678"/>
      <c r="AG12" s="682" t="str" cm="1">
        <f t="array" ref="AG12">IFERROR(INDEX('Import 2024 Data'!$E$4:$I$71,_xlfn.XMATCH(CEO!$AE12,'Import 2024 Data'!$C$4:$C$71),_xlfn.XMATCH(CEO!AG$5,'Import 2024 Data'!$E$3:$I$3)),"-")</f>
        <v>-</v>
      </c>
      <c r="AH12" s="1006" t="str" cm="1">
        <f t="array" ref="AH12">IFERROR(INDEX('Import 2024 Data'!$E$4:$I$71,_xlfn.XMATCH(CEO!$AE12,'Import 2024 Data'!$C$4:$C$71),_xlfn.XMATCH(CEO!AH$5,'Import 2024 Data'!$E$3:$I$3)),"-")</f>
        <v>-</v>
      </c>
      <c r="AI12" s="1008" t="str">
        <f>IF(ISNUMBER(_xlfn.XMATCH(C12,'Import 2024 Data'!$E$4:$E$71)),"N","Y")</f>
        <v>Y</v>
      </c>
      <c r="AJ12" s="1008" t="str">
        <f t="shared" si="17"/>
        <v>Y</v>
      </c>
      <c r="AK12" s="682" t="str" cm="1">
        <f t="array" ref="AK12">IFERROR(INDEX('Import 2024 Data'!$E$4:$I$71,_xlfn.XMATCH(CEO!$AE12,'Import 2024 Data'!$C$4:$C$71),_xlfn.XMATCH(CEO!AK$5,'Import 2024 Data'!$E$3:$I$3)),"-")</f>
        <v>-</v>
      </c>
      <c r="AL12" s="1107" t="str" cm="1">
        <f t="array" ref="AL12">IFERROR(INDEX('Import 2024 Data'!$E$4:$I$71,_xlfn.XMATCH(CEO!$AE12,'Import 2024 Data'!$C$4:$C$71),_xlfn.XMATCH(CEO!AL$5,'Import 2024 Data'!$E$3:$I$3)),"-")</f>
        <v>-</v>
      </c>
      <c r="AM12" s="1107" t="str" cm="1">
        <f t="array" ref="AM12">IFERROR(INDEX('Import 2024 Data'!$E$4:$I$71,_xlfn.XMATCH(CEO!$AE12,'Import 2024 Data'!$C$4:$C$71),_xlfn.XMATCH(CEO!AM$5,'Import 2024 Data'!$E$3:$I$3)),"-")</f>
        <v>-</v>
      </c>
      <c r="AN12" s="333"/>
      <c r="AO12" s="998" t="str">
        <f t="shared" si="18"/>
        <v>New Incumbent</v>
      </c>
      <c r="AP12" s="997" t="str">
        <f t="shared" si="19"/>
        <v>-</v>
      </c>
      <c r="AQ12" s="1078" t="str">
        <f t="shared" si="20"/>
        <v>-</v>
      </c>
      <c r="AR12" s="12">
        <f>W12/W30-1</f>
        <v>0.14975627847833017</v>
      </c>
      <c r="AU12" s="362"/>
      <c r="AV12" s="362"/>
      <c r="AW12" s="362"/>
      <c r="AX12" s="362"/>
      <c r="AY12" s="591"/>
      <c r="AZ12" s="591"/>
    </row>
    <row r="13" spans="1:52" ht="20.25" customHeight="1">
      <c r="A13" s="12" t="str">
        <f t="shared" si="0"/>
        <v>TSX:AGI_2025_CEO</v>
      </c>
      <c r="B13" s="12" t="str">
        <f>'Peer Group'!A11</f>
        <v>TSX:AGI</v>
      </c>
      <c r="C13" s="847" t="str">
        <f>IFERROR(INDEX(Raw_Data,MATCH($A13,Look_Up,0),MATCH(C$4,Component,0)),"-")</f>
        <v>Alamos Gold Inc.</v>
      </c>
      <c r="D13" s="848" t="str">
        <f>_xll.ciqfunctions.udf.CIQ(B13, "IQ_MARKETCAP", $A$1,$A$2)</f>
        <v>#PEND</v>
      </c>
      <c r="E13" s="848" t="str">
        <f>_xll.ciqfunctions.udf.CIQ($B13, "IQ_TEV", $A$1,$A$2)</f>
        <v>#PEND</v>
      </c>
      <c r="F13" s="849" t="str">
        <f t="shared" si="2"/>
        <v>John A. McCluskey</v>
      </c>
      <c r="G13" s="849" t="str">
        <f t="shared" si="2"/>
        <v>President &amp; CEO</v>
      </c>
      <c r="H13" s="848" t="str">
        <f t="shared" si="3"/>
        <v>-</v>
      </c>
      <c r="I13" s="848">
        <f t="shared" si="3"/>
        <v>1149.6960895</v>
      </c>
      <c r="J13" s="850">
        <f t="shared" si="3"/>
        <v>1128.1404232499999</v>
      </c>
      <c r="K13" s="851">
        <f t="shared" si="4"/>
        <v>0.98125098758979468</v>
      </c>
      <c r="L13" s="851">
        <f t="shared" si="4"/>
        <v>1.3575005176338746</v>
      </c>
      <c r="M13" s="852">
        <f t="shared" si="5"/>
        <v>1437.120111875</v>
      </c>
      <c r="N13" s="853">
        <f t="shared" si="6"/>
        <v>1.25</v>
      </c>
      <c r="O13" s="850">
        <f t="shared" si="7"/>
        <v>2277.8365127499997</v>
      </c>
      <c r="P13" s="854">
        <f t="shared" si="7"/>
        <v>2586.8162013750002</v>
      </c>
      <c r="Q13" s="850">
        <f t="shared" si="7"/>
        <v>4023.9363132500002</v>
      </c>
      <c r="R13" s="851">
        <f t="shared" si="8"/>
        <v>3.5</v>
      </c>
      <c r="S13" s="851">
        <f t="shared" si="8"/>
        <v>3.0833331127925145</v>
      </c>
      <c r="T13" s="852">
        <f t="shared" si="9"/>
        <v>3544.8960224034163</v>
      </c>
      <c r="U13" s="853">
        <f t="shared" si="10"/>
        <v>3.0833331127925145</v>
      </c>
      <c r="V13" s="850">
        <f t="shared" si="11"/>
        <v>6301.7728259999994</v>
      </c>
      <c r="W13" s="855">
        <f t="shared" si="11"/>
        <v>6131.712223778416</v>
      </c>
      <c r="X13" s="850">
        <f t="shared" si="12"/>
        <v>273.33982255000006</v>
      </c>
      <c r="Y13" s="855">
        <f t="shared" si="12"/>
        <v>95.700170900000018</v>
      </c>
      <c r="Z13" s="850">
        <f t="shared" si="13"/>
        <v>6670.8128194499996</v>
      </c>
      <c r="AA13" s="855">
        <f t="shared" si="13"/>
        <v>6500.7522172284162</v>
      </c>
      <c r="AB13" s="675"/>
      <c r="AC13" s="676">
        <f t="shared" si="14"/>
        <v>0.42187501744512412</v>
      </c>
      <c r="AD13" s="677">
        <f t="shared" si="15"/>
        <v>0.57812498255487588</v>
      </c>
      <c r="AE13" s="678" t="str">
        <f t="shared" si="16"/>
        <v>TSX:AGI_2024_CEO</v>
      </c>
      <c r="AF13" s="678"/>
      <c r="AG13" s="682" t="str" cm="1">
        <f t="array" ref="AG13">IFERROR(INDEX('Import 2024 Data'!$E$4:$I$71,_xlfn.XMATCH(CEO!$AE13,'Import 2024 Data'!$C$4:$C$71),_xlfn.XMATCH(CEO!AG$5,'Import 2024 Data'!$E$3:$I$3)),"-")</f>
        <v>Alamos Gold Inc.</v>
      </c>
      <c r="AH13" s="1006" t="str" cm="1">
        <f t="array" ref="AH13">IFERROR(INDEX('Import 2024 Data'!$E$4:$I$71,_xlfn.XMATCH(CEO!$AE13,'Import 2024 Data'!$C$4:$C$71),_xlfn.XMATCH(CEO!AH$5,'Import 2024 Data'!$E$3:$I$3)),"-")</f>
        <v>John A. McCluskey</v>
      </c>
      <c r="AI13" s="1008" t="str">
        <f>IF(ISNUMBER(_xlfn.XMATCH(C13,'Import 2024 Data'!$E$4:$E$71)),"N","Y")</f>
        <v>N</v>
      </c>
      <c r="AJ13" s="1008" t="str">
        <f t="shared" si="17"/>
        <v>N</v>
      </c>
      <c r="AK13" s="682" t="str" cm="1">
        <f t="array" ref="AK13">IFERROR(INDEX('Import 2024 Data'!$E$4:$I$71,_xlfn.XMATCH(CEO!$AE13,'Import 2024 Data'!$C$4:$C$71),_xlfn.XMATCH(CEO!AK$5,'Import 2024 Data'!$E$3:$I$3)),"-")</f>
        <v>CEO</v>
      </c>
      <c r="AL13" s="1107" cm="1">
        <f t="array" ref="AL13">IFERROR(INDEX('Import 2024 Data'!$E$4:$I$71,_xlfn.XMATCH(CEO!$AE13,'Import 2024 Data'!$C$4:$C$71),_xlfn.XMATCH(CEO!AL$5,'Import 2024 Data'!$E$3:$I$3)),"-")</f>
        <v>6013.0529450700005</v>
      </c>
      <c r="AM13" s="1107" cm="1">
        <f t="array" ref="AM13">IFERROR(INDEX('Import 2024 Data'!$E$4:$I$71,_xlfn.XMATCH(CEO!$AE13,'Import 2024 Data'!$C$4:$C$71),_xlfn.XMATCH(CEO!AM$5,'Import 2024 Data'!$E$3:$I$3)),"-")</f>
        <v>5375</v>
      </c>
      <c r="AN13" s="333"/>
      <c r="AO13" s="998">
        <f t="shared" si="18"/>
        <v>0.14078366954017052</v>
      </c>
      <c r="AP13" s="997">
        <f t="shared" si="19"/>
        <v>6301.7728259999994</v>
      </c>
      <c r="AQ13" s="1078">
        <f t="shared" si="20"/>
        <v>6131.712223778416</v>
      </c>
      <c r="AR13" s="12" t="s">
        <v>786</v>
      </c>
      <c r="AS13" s="1093">
        <f>I13*1000/'Raw Data'!R189 -1</f>
        <v>6.8952252957030113E-2</v>
      </c>
      <c r="AT13" s="12">
        <f>308-275</f>
        <v>33</v>
      </c>
      <c r="AU13" s="362"/>
      <c r="AV13" s="362"/>
      <c r="AW13" s="362"/>
      <c r="AX13" s="362"/>
      <c r="AY13" s="591"/>
      <c r="AZ13" s="591"/>
    </row>
    <row r="14" spans="1:52" ht="20.25" customHeight="1">
      <c r="A14" s="12" t="str">
        <f t="shared" si="0"/>
        <v>NYSE:HL_2025_CEO</v>
      </c>
      <c r="B14" s="12" t="str">
        <f>'Peer Group'!A12</f>
        <v>NYSE:HL</v>
      </c>
      <c r="C14" s="847" t="str">
        <f t="shared" si="1"/>
        <v>Hecla Mining Company</v>
      </c>
      <c r="D14" s="848" t="str">
        <f>_xll.ciqfunctions.udf.CIQ(B14, "IQ_MARKETCAP", $A$1,$A$2)</f>
        <v>#PEND</v>
      </c>
      <c r="E14" s="848" t="str">
        <f>_xll.ciqfunctions.udf.CIQ($B14, "IQ_TEV", $A$1,$A$2)</f>
        <v>#PEND</v>
      </c>
      <c r="F14" s="849" t="str">
        <f t="shared" si="2"/>
        <v>Rob Krcmarov</v>
      </c>
      <c r="G14" s="849" t="str">
        <f t="shared" si="2"/>
        <v>President &amp; CEO</v>
      </c>
      <c r="H14" s="848">
        <f t="shared" si="3"/>
        <v>1187.8325</v>
      </c>
      <c r="I14" s="848">
        <f t="shared" si="3"/>
        <v>1187.8325</v>
      </c>
      <c r="J14" s="850">
        <f t="shared" si="3"/>
        <v>2234.3129325</v>
      </c>
      <c r="K14" s="851">
        <f t="shared" si="4"/>
        <v>1.881</v>
      </c>
      <c r="L14" s="851">
        <f t="shared" si="4"/>
        <v>1.881</v>
      </c>
      <c r="M14" s="852">
        <f t="shared" si="5"/>
        <v>1306.6157499999999</v>
      </c>
      <c r="N14" s="853">
        <f t="shared" si="6"/>
        <v>1.1000000000000001</v>
      </c>
      <c r="O14" s="850">
        <f t="shared" si="7"/>
        <v>3422.1454325</v>
      </c>
      <c r="P14" s="854">
        <f t="shared" si="7"/>
        <v>2494.4482499999999</v>
      </c>
      <c r="Q14" s="850">
        <f t="shared" si="7"/>
        <v>3913.6062383000003</v>
      </c>
      <c r="R14" s="851">
        <f t="shared" si="8"/>
        <v>3.2947458823529416</v>
      </c>
      <c r="S14" s="851">
        <f t="shared" si="8"/>
        <v>3.2947458823529416</v>
      </c>
      <c r="T14" s="852">
        <f t="shared" si="9"/>
        <v>3207.1477500000001</v>
      </c>
      <c r="U14" s="853">
        <f t="shared" si="10"/>
        <v>2.7</v>
      </c>
      <c r="V14" s="850">
        <f t="shared" si="11"/>
        <v>7335.7516708000003</v>
      </c>
      <c r="W14" s="855">
        <f t="shared" si="11"/>
        <v>5701.5959999999995</v>
      </c>
      <c r="X14" s="850" t="str">
        <f t="shared" si="12"/>
        <v>-</v>
      </c>
      <c r="Y14" s="855">
        <f t="shared" si="12"/>
        <v>284.77655335000003</v>
      </c>
      <c r="Z14" s="850">
        <f t="shared" si="13"/>
        <v>7620.5282241499999</v>
      </c>
      <c r="AA14" s="855">
        <f t="shared" si="13"/>
        <v>5986.3725533500001</v>
      </c>
      <c r="AB14" s="675"/>
      <c r="AC14" s="676">
        <f t="shared" si="14"/>
        <v>0.4375</v>
      </c>
      <c r="AD14" s="677">
        <f t="shared" si="15"/>
        <v>0.56250000000000011</v>
      </c>
      <c r="AE14" s="678" t="str">
        <f t="shared" si="16"/>
        <v>NYSE:HL_2024_CEO</v>
      </c>
      <c r="AF14" s="678"/>
      <c r="AG14" s="682" t="str" cm="1">
        <f t="array" ref="AG14">IFERROR(INDEX('Import 2024 Data'!$E$4:$I$71,_xlfn.XMATCH(CEO!$AE14,'Import 2024 Data'!$C$4:$C$71),_xlfn.XMATCH(CEO!AG$5,'Import 2024 Data'!$E$3:$I$3)),"-")</f>
        <v>Hecla Mining Company</v>
      </c>
      <c r="AH14" s="1006" t="str" cm="1">
        <f t="array" ref="AH14">IFERROR(INDEX('Import 2024 Data'!$E$4:$I$71,_xlfn.XMATCH(CEO!$AE14,'Import 2024 Data'!$C$4:$C$71),_xlfn.XMATCH(CEO!AH$5,'Import 2024 Data'!$E$3:$I$3)),"-")</f>
        <v>Rob Krcmarov</v>
      </c>
      <c r="AI14" s="1008" t="str">
        <f>IF(ISNUMBER(_xlfn.XMATCH(C14,'Import 2024 Data'!$E$4:$E$71)),"N","Y")</f>
        <v>N</v>
      </c>
      <c r="AJ14" s="1008" t="str">
        <f t="shared" si="17"/>
        <v>N</v>
      </c>
      <c r="AK14" s="682" t="str" cm="1">
        <f t="array" ref="AK14">IFERROR(INDEX('Import 2024 Data'!$E$4:$I$71,_xlfn.XMATCH(CEO!$AE14,'Import 2024 Data'!$C$4:$C$71),_xlfn.XMATCH(CEO!AK$5,'Import 2024 Data'!$E$3:$I$3)),"-")</f>
        <v>President &amp; CEO</v>
      </c>
      <c r="AL14" s="1107" cm="1">
        <f t="array" ref="AL14">IFERROR(INDEX('Import 2024 Data'!$E$4:$I$71,_xlfn.XMATCH(CEO!$AE14,'Import 2024 Data'!$C$4:$C$71),_xlfn.XMATCH(CEO!AL$5,'Import 2024 Data'!$E$3:$I$3)),"-")</f>
        <v>2391.3823133129631</v>
      </c>
      <c r="AM14" s="1107" cm="1">
        <f t="array" ref="AM14">IFERROR(INDEX('Import 2024 Data'!$E$4:$I$71,_xlfn.XMATCH(CEO!$AE14,'Import 2024 Data'!$C$4:$C$71),_xlfn.XMATCH(CEO!AM$5,'Import 2024 Data'!$E$3:$I$3)),"-")</f>
        <v>6823.4466000000002</v>
      </c>
      <c r="AN14" s="333"/>
      <c r="AO14" s="998">
        <f t="shared" si="18"/>
        <v>-0.16441113498272275</v>
      </c>
      <c r="AP14" s="997">
        <f t="shared" si="19"/>
        <v>7335.7516708000003</v>
      </c>
      <c r="AQ14" s="1078">
        <f t="shared" si="20"/>
        <v>5701.5959999999995</v>
      </c>
      <c r="AS14" s="12">
        <f>1150/1075 -1</f>
        <v>6.9767441860465018E-2</v>
      </c>
      <c r="AU14" s="362"/>
      <c r="AV14" s="362"/>
      <c r="AW14" s="362"/>
      <c r="AX14" s="362"/>
      <c r="AY14" s="591"/>
      <c r="AZ14" s="591"/>
    </row>
    <row r="15" spans="1:52" ht="20.25" customHeight="1">
      <c r="A15" s="12" t="str">
        <f t="shared" si="0"/>
        <v>TSX:IMG_2025_CEO</v>
      </c>
      <c r="B15" s="12" t="str">
        <f>'Peer Group'!A13</f>
        <v>TSX:IMG</v>
      </c>
      <c r="C15" s="847" t="str">
        <f t="shared" si="1"/>
        <v>IAMGOLD Corporation</v>
      </c>
      <c r="D15" s="848" t="str">
        <f>_xll.ciqfunctions.udf.CIQ(B15, "IQ_MARKETCAP", $A$1,$A$2)</f>
        <v>#PEND</v>
      </c>
      <c r="E15" s="848" t="str">
        <f>_xll.ciqfunctions.udf.CIQ($B15, "IQ_TEV", $A$1,$A$2)</f>
        <v>#PEND</v>
      </c>
      <c r="F15" s="849" t="str">
        <f t="shared" si="2"/>
        <v>Renaud Adams</v>
      </c>
      <c r="G15" s="849" t="str">
        <f t="shared" si="2"/>
        <v>CEO</v>
      </c>
      <c r="H15" s="848" t="str">
        <f t="shared" si="3"/>
        <v>-</v>
      </c>
      <c r="I15" s="848">
        <f t="shared" si="3"/>
        <v>933.44500000000005</v>
      </c>
      <c r="J15" s="850">
        <f t="shared" si="3"/>
        <v>1264.69</v>
      </c>
      <c r="K15" s="851">
        <f t="shared" si="4"/>
        <v>1.3548629003315675</v>
      </c>
      <c r="L15" s="851">
        <f t="shared" si="4"/>
        <v>1.425181242121401</v>
      </c>
      <c r="M15" s="852">
        <f t="shared" si="5"/>
        <v>1166.8062500000001</v>
      </c>
      <c r="N15" s="853">
        <f t="shared" si="6"/>
        <v>1.25</v>
      </c>
      <c r="O15" s="850">
        <f t="shared" si="7"/>
        <v>2198.1350000000002</v>
      </c>
      <c r="P15" s="854">
        <f t="shared" si="7"/>
        <v>2100.2512499999998</v>
      </c>
      <c r="Q15" s="850">
        <f t="shared" si="7"/>
        <v>2509.181</v>
      </c>
      <c r="R15" s="851">
        <f t="shared" si="8"/>
        <v>2.6880866039241735</v>
      </c>
      <c r="S15" s="851">
        <f t="shared" si="8"/>
        <v>2.575592261740173</v>
      </c>
      <c r="T15" s="852">
        <f t="shared" si="9"/>
        <v>2333.6125000000002</v>
      </c>
      <c r="U15" s="853">
        <f t="shared" si="10"/>
        <v>2.5</v>
      </c>
      <c r="V15" s="850">
        <f t="shared" si="11"/>
        <v>4707.3159999999998</v>
      </c>
      <c r="W15" s="855">
        <f t="shared" si="11"/>
        <v>4433.8637500000004</v>
      </c>
      <c r="X15" s="850">
        <f t="shared" si="12"/>
        <v>33.813000000000002</v>
      </c>
      <c r="Y15" s="855">
        <f t="shared" si="12"/>
        <v>163.46100000000001</v>
      </c>
      <c r="Z15" s="850">
        <f t="shared" si="13"/>
        <v>4904.59</v>
      </c>
      <c r="AA15" s="855">
        <f t="shared" si="13"/>
        <v>4631.1377499999999</v>
      </c>
      <c r="AB15" s="675"/>
      <c r="AC15" s="676">
        <f t="shared" si="14"/>
        <v>0.47368421052631571</v>
      </c>
      <c r="AD15" s="677">
        <f t="shared" si="15"/>
        <v>0.52631578947368418</v>
      </c>
      <c r="AE15" s="678" t="str">
        <f t="shared" si="16"/>
        <v>TSX:IMG_2024_CEO</v>
      </c>
      <c r="AF15" s="678"/>
      <c r="AG15" s="682" t="str" cm="1">
        <f t="array" ref="AG15">IFERROR(INDEX('Import 2024 Data'!$E$4:$I$71,_xlfn.XMATCH(CEO!$AE15,'Import 2024 Data'!$C$4:$C$71),_xlfn.XMATCH(CEO!AG$5,'Import 2024 Data'!$E$3:$I$3)),"-")</f>
        <v>IAMGOLD Corporation</v>
      </c>
      <c r="AH15" s="1006" t="str" cm="1">
        <f t="array" ref="AH15">IFERROR(INDEX('Import 2024 Data'!$E$4:$I$71,_xlfn.XMATCH(CEO!$AE15,'Import 2024 Data'!$C$4:$C$71),_xlfn.XMATCH(CEO!AH$5,'Import 2024 Data'!$E$3:$I$3)),"-")</f>
        <v>Renaud Adams</v>
      </c>
      <c r="AI15" s="1008" t="str">
        <f>IF(ISNUMBER(_xlfn.XMATCH(C15,'Import 2024 Data'!$E$4:$E$71)),"N","Y")</f>
        <v>N</v>
      </c>
      <c r="AJ15" s="1008" t="str">
        <f t="shared" si="17"/>
        <v>N</v>
      </c>
      <c r="AK15" s="682" t="str" cm="1">
        <f t="array" ref="AK15">IFERROR(INDEX('Import 2024 Data'!$E$4:$I$71,_xlfn.XMATCH(CEO!$AE15,'Import 2024 Data'!$C$4:$C$71),_xlfn.XMATCH(CEO!AK$5,'Import 2024 Data'!$E$3:$I$3)),"-")</f>
        <v>CEO</v>
      </c>
      <c r="AL15" s="1107" cm="1">
        <f t="array" ref="AL15">IFERROR(INDEX('Import 2024 Data'!$E$4:$I$71,_xlfn.XMATCH(CEO!$AE15,'Import 2024 Data'!$C$4:$C$71),_xlfn.XMATCH(CEO!AL$5,'Import 2024 Data'!$E$3:$I$3)),"-")</f>
        <v>4468.9359999999997</v>
      </c>
      <c r="AM15" s="1107" cm="1">
        <f t="array" ref="AM15">IFERROR(INDEX('Import 2024 Data'!$E$4:$I$71,_xlfn.XMATCH(CEO!$AE15,'Import 2024 Data'!$C$4:$C$71),_xlfn.XMATCH(CEO!AM$5,'Import 2024 Data'!$E$3:$I$3)),"-")</f>
        <v>4280.9375</v>
      </c>
      <c r="AN15" s="333"/>
      <c r="AO15" s="998">
        <f t="shared" si="18"/>
        <v>3.5722607489597991E-2</v>
      </c>
      <c r="AP15" s="997">
        <f t="shared" si="19"/>
        <v>4707.3159999999998</v>
      </c>
      <c r="AQ15" s="1078">
        <f t="shared" si="20"/>
        <v>4433.8637500000004</v>
      </c>
      <c r="AU15" s="362"/>
      <c r="AV15" s="362"/>
      <c r="AW15" s="362"/>
      <c r="AX15" s="362"/>
      <c r="AY15" s="591"/>
      <c r="AZ15" s="591"/>
    </row>
    <row r="16" spans="1:52" ht="20.25" customHeight="1">
      <c r="A16" s="12" t="str">
        <f t="shared" si="0"/>
        <v>TSX:CS_2025_CEO</v>
      </c>
      <c r="B16" s="12" t="str">
        <f>'Peer Group'!A14</f>
        <v>TSX:CS</v>
      </c>
      <c r="C16" s="847" t="str">
        <f t="shared" si="1"/>
        <v>Capstone Copper Corp.</v>
      </c>
      <c r="D16" s="848" t="str">
        <f>_xll.ciqfunctions.udf.CIQ(B16, "IQ_MARKETCAP", $A$1,$A$2)</f>
        <v>#PEND</v>
      </c>
      <c r="E16" s="848" t="str">
        <f>_xll.ciqfunctions.udf.CIQ($B16, "IQ_TEV", $A$1,$A$2)</f>
        <v>#PEND</v>
      </c>
      <c r="F16" s="849" t="str">
        <f t="shared" si="2"/>
        <v>Cashel Meagher</v>
      </c>
      <c r="G16" s="849" t="str">
        <f t="shared" si="2"/>
        <v>CEO</v>
      </c>
      <c r="H16" s="848" t="str">
        <f t="shared" si="3"/>
        <v>-</v>
      </c>
      <c r="I16" s="848">
        <f t="shared" si="3"/>
        <v>850</v>
      </c>
      <c r="J16" s="850">
        <f t="shared" si="3"/>
        <v>1051.075</v>
      </c>
      <c r="K16" s="851">
        <f t="shared" si="4"/>
        <v>1.2365588235294118</v>
      </c>
      <c r="L16" s="851">
        <f t="shared" si="4"/>
        <v>1.2365588235294118</v>
      </c>
      <c r="M16" s="852">
        <f t="shared" si="5"/>
        <v>935.00000000000011</v>
      </c>
      <c r="N16" s="853">
        <f t="shared" si="6"/>
        <v>1.1000000000000001</v>
      </c>
      <c r="O16" s="850">
        <f t="shared" si="7"/>
        <v>1901.075</v>
      </c>
      <c r="P16" s="854">
        <f t="shared" si="7"/>
        <v>1785</v>
      </c>
      <c r="Q16" s="850">
        <f t="shared" si="7"/>
        <v>1955</v>
      </c>
      <c r="R16" s="851">
        <f t="shared" si="8"/>
        <v>2.2999999999999998</v>
      </c>
      <c r="S16" s="851">
        <f t="shared" si="8"/>
        <v>2.2999999999999998</v>
      </c>
      <c r="T16" s="852">
        <f t="shared" si="9"/>
        <v>1954.9999999999998</v>
      </c>
      <c r="U16" s="853">
        <f t="shared" si="10"/>
        <v>2.2999999999999998</v>
      </c>
      <c r="V16" s="850">
        <f t="shared" si="11"/>
        <v>3856.0749999999998</v>
      </c>
      <c r="W16" s="855">
        <f t="shared" si="11"/>
        <v>3740</v>
      </c>
      <c r="X16" s="850" t="str">
        <f t="shared" si="12"/>
        <v>-</v>
      </c>
      <c r="Y16" s="855">
        <f t="shared" si="12"/>
        <v>100.411</v>
      </c>
      <c r="Z16" s="850">
        <f t="shared" si="13"/>
        <v>3956.4859999999999</v>
      </c>
      <c r="AA16" s="855">
        <f t="shared" si="13"/>
        <v>3840.4110000000001</v>
      </c>
      <c r="AB16" s="675"/>
      <c r="AC16" s="676">
        <f t="shared" si="14"/>
        <v>0.47727272727272729</v>
      </c>
      <c r="AD16" s="677">
        <f t="shared" si="15"/>
        <v>0.52272727272727271</v>
      </c>
      <c r="AE16" s="678" t="str">
        <f t="shared" si="16"/>
        <v>TSX:CS_2024_CEO</v>
      </c>
      <c r="AF16" s="678"/>
      <c r="AG16" s="682" t="str" cm="1">
        <f t="array" ref="AG16">IFERROR(INDEX('Import 2024 Data'!$E$4:$I$71,_xlfn.XMATCH(CEO!$AE16,'Import 2024 Data'!$C$4:$C$71),_xlfn.XMATCH(CEO!AG$5,'Import 2024 Data'!$E$3:$I$3)),"-")</f>
        <v>Capstone Copper Corp.</v>
      </c>
      <c r="AH16" s="1006" t="str" cm="1">
        <f t="array" ref="AH16">IFERROR(INDEX('Import 2024 Data'!$E$4:$I$71,_xlfn.XMATCH(CEO!$AE16,'Import 2024 Data'!$C$4:$C$71),_xlfn.XMATCH(CEO!AH$5,'Import 2024 Data'!$E$3:$I$3)),"-")</f>
        <v>John MacKenzie</v>
      </c>
      <c r="AI16" s="1008" t="str">
        <f>IF(ISNUMBER(_xlfn.XMATCH(C16,'Import 2024 Data'!$E$4:$E$71)),"N","Y")</f>
        <v>N</v>
      </c>
      <c r="AJ16" s="1008" t="str">
        <f t="shared" si="17"/>
        <v>Y</v>
      </c>
      <c r="AK16" s="682" t="str" cm="1">
        <f t="array" ref="AK16">IFERROR(INDEX('Import 2024 Data'!$E$4:$I$71,_xlfn.XMATCH(CEO!$AE16,'Import 2024 Data'!$C$4:$C$71),_xlfn.XMATCH(CEO!AK$5,'Import 2024 Data'!$E$3:$I$3)),"-")</f>
        <v>CEO</v>
      </c>
      <c r="AL16" s="1107" cm="1">
        <f t="array" ref="AL16">IFERROR(INDEX('Import 2024 Data'!$E$4:$I$71,_xlfn.XMATCH(CEO!$AE16,'Import 2024 Data'!$C$4:$C$71),_xlfn.XMATCH(CEO!AL$5,'Import 2024 Data'!$E$3:$I$3)),"-")</f>
        <v>4278.72</v>
      </c>
      <c r="AM16" s="1107" cm="1">
        <f t="array" ref="AM16">IFERROR(INDEX('Import 2024 Data'!$E$4:$I$71,_xlfn.XMATCH(CEO!$AE16,'Import 2024 Data'!$C$4:$C$71),_xlfn.XMATCH(CEO!AM$5,'Import 2024 Data'!$E$3:$I$3)),"-")</f>
        <v>4416</v>
      </c>
      <c r="AN16" s="333"/>
      <c r="AO16" s="998" t="str">
        <f t="shared" si="18"/>
        <v>New Incumbent</v>
      </c>
      <c r="AP16" s="997">
        <f t="shared" si="19"/>
        <v>3856.0749999999998</v>
      </c>
      <c r="AQ16" s="1078">
        <f t="shared" si="20"/>
        <v>3740</v>
      </c>
      <c r="AU16" s="362"/>
      <c r="AV16" s="362"/>
      <c r="AW16" s="362"/>
      <c r="AX16" s="362"/>
      <c r="AY16" s="591"/>
      <c r="AZ16" s="591"/>
    </row>
    <row r="17" spans="1:52" ht="20.25" customHeight="1">
      <c r="A17" s="12" t="str">
        <f t="shared" si="0"/>
        <v>TSX:ELD_2025_CEO</v>
      </c>
      <c r="B17" s="12" t="str">
        <f>'Peer Group'!A15</f>
        <v>TSX:ELD</v>
      </c>
      <c r="C17" s="847" t="str">
        <f t="shared" si="1"/>
        <v>Eldorado Gold Corporation</v>
      </c>
      <c r="D17" s="848" t="str">
        <f>_xll.ciqfunctions.udf.CIQ(B17, "IQ_MARKETCAP", $A$1,$A$2)</f>
        <v>#PEND</v>
      </c>
      <c r="E17" s="848" t="str">
        <f>_xll.ciqfunctions.udf.CIQ($B17, "IQ_TEV", $A$1,$A$2)</f>
        <v>#PEND</v>
      </c>
      <c r="F17" s="849" t="str">
        <f t="shared" si="2"/>
        <v>George Burns</v>
      </c>
      <c r="G17" s="849" t="str">
        <f t="shared" si="2"/>
        <v>CEO</v>
      </c>
      <c r="H17" s="848">
        <f t="shared" si="3"/>
        <v>1130.78</v>
      </c>
      <c r="I17" s="848">
        <f t="shared" si="3"/>
        <v>1103.2</v>
      </c>
      <c r="J17" s="850">
        <f t="shared" si="3"/>
        <v>1522.4159999999999</v>
      </c>
      <c r="K17" s="851">
        <f t="shared" si="4"/>
        <v>1.38</v>
      </c>
      <c r="L17" s="851">
        <f t="shared" si="4"/>
        <v>1.3838332704876821</v>
      </c>
      <c r="M17" s="852">
        <f t="shared" si="5"/>
        <v>1323.84</v>
      </c>
      <c r="N17" s="853">
        <f t="shared" si="6"/>
        <v>1.2</v>
      </c>
      <c r="O17" s="850">
        <f t="shared" si="7"/>
        <v>2625.616</v>
      </c>
      <c r="P17" s="854">
        <f t="shared" si="7"/>
        <v>2427.04</v>
      </c>
      <c r="Q17" s="850">
        <f t="shared" si="7"/>
        <v>2427.0309945391837</v>
      </c>
      <c r="R17" s="851">
        <f t="shared" si="8"/>
        <v>2.1999918369644522</v>
      </c>
      <c r="S17" s="851">
        <f t="shared" si="8"/>
        <v>2.1999875346122573</v>
      </c>
      <c r="T17" s="852">
        <f t="shared" si="9"/>
        <v>2427.04</v>
      </c>
      <c r="U17" s="853">
        <f t="shared" si="10"/>
        <v>2.2000000000000002</v>
      </c>
      <c r="V17" s="850">
        <f t="shared" si="11"/>
        <v>5052.6469945391837</v>
      </c>
      <c r="W17" s="855">
        <f t="shared" si="11"/>
        <v>4854.08</v>
      </c>
      <c r="X17" s="850">
        <f t="shared" si="12"/>
        <v>364.05599999999998</v>
      </c>
      <c r="Y17" s="855" t="str">
        <f t="shared" si="12"/>
        <v>-</v>
      </c>
      <c r="Z17" s="850">
        <f t="shared" si="13"/>
        <v>5416.7029945391832</v>
      </c>
      <c r="AA17" s="855">
        <f t="shared" si="13"/>
        <v>5218.1360000000004</v>
      </c>
      <c r="AB17" s="675"/>
      <c r="AC17" s="676">
        <f t="shared" si="14"/>
        <v>0.5</v>
      </c>
      <c r="AD17" s="677">
        <f t="shared" si="15"/>
        <v>0.5</v>
      </c>
      <c r="AE17" s="678" t="str">
        <f t="shared" si="16"/>
        <v>TSX:ELD_2024_CEO</v>
      </c>
      <c r="AF17" s="678"/>
      <c r="AG17" s="682" t="str" cm="1">
        <f t="array" ref="AG17">IFERROR(INDEX('Import 2024 Data'!$E$4:$I$71,_xlfn.XMATCH(CEO!$AE17,'Import 2024 Data'!$C$4:$C$71),_xlfn.XMATCH(CEO!AG$5,'Import 2024 Data'!$E$3:$I$3)),"-")</f>
        <v>Eldorado Gold Corporation</v>
      </c>
      <c r="AH17" s="1006" t="str" cm="1">
        <f t="array" ref="AH17">IFERROR(INDEX('Import 2024 Data'!$E$4:$I$71,_xlfn.XMATCH(CEO!$AE17,'Import 2024 Data'!$C$4:$C$71),_xlfn.XMATCH(CEO!AH$5,'Import 2024 Data'!$E$3:$I$3)),"-")</f>
        <v>George Burns</v>
      </c>
      <c r="AI17" s="1008" t="str">
        <f>IF(ISNUMBER(_xlfn.XMATCH(C17,'Import 2024 Data'!$E$4:$E$71)),"N","Y")</f>
        <v>N</v>
      </c>
      <c r="AJ17" s="1008" t="str">
        <f t="shared" si="17"/>
        <v>N</v>
      </c>
      <c r="AK17" s="682" t="str" cm="1">
        <f t="array" ref="AK17">IFERROR(INDEX('Import 2024 Data'!$E$4:$I$71,_xlfn.XMATCH(CEO!$AE17,'Import 2024 Data'!$C$4:$C$71),_xlfn.XMATCH(CEO!AK$5,'Import 2024 Data'!$E$3:$I$3)),"-")</f>
        <v>President &amp; CEO</v>
      </c>
      <c r="AL17" s="1107" cm="1">
        <f t="array" ref="AL17">IFERROR(INDEX('Import 2024 Data'!$E$4:$I$71,_xlfn.XMATCH(CEO!$AE17,'Import 2024 Data'!$C$4:$C$71),_xlfn.XMATCH(CEO!AL$5,'Import 2024 Data'!$E$3:$I$3)),"-")</f>
        <v>4858.4409999999998</v>
      </c>
      <c r="AM17" s="1107" cm="1">
        <f t="array" ref="AM17">IFERROR(INDEX('Import 2024 Data'!$E$4:$I$71,_xlfn.XMATCH(CEO!$AE17,'Import 2024 Data'!$C$4:$C$71),_xlfn.XMATCH(CEO!AM$5,'Import 2024 Data'!$E$3:$I$3)),"-")</f>
        <v>4667.5200000000004</v>
      </c>
      <c r="AN17" s="333"/>
      <c r="AO17" s="998">
        <f t="shared" si="18"/>
        <v>3.9969834087481004E-2</v>
      </c>
      <c r="AP17" s="997">
        <f t="shared" si="19"/>
        <v>5052.6469945391837</v>
      </c>
      <c r="AQ17" s="1078">
        <f t="shared" si="20"/>
        <v>4854.08</v>
      </c>
      <c r="AU17" s="362"/>
      <c r="AV17" s="362"/>
      <c r="AW17" s="362"/>
      <c r="AX17" s="362"/>
      <c r="AY17" s="591"/>
      <c r="AZ17" s="591"/>
    </row>
    <row r="18" spans="1:52" ht="20.25" customHeight="1">
      <c r="A18" s="12" t="str">
        <f t="shared" si="0"/>
        <v>TSX:EQX_2025_CEO</v>
      </c>
      <c r="B18" s="12" t="str">
        <f>'Peer Group'!A16</f>
        <v>TSX:EQX</v>
      </c>
      <c r="C18" s="847" t="str">
        <f t="shared" si="1"/>
        <v>Equinox Gold Corp.</v>
      </c>
      <c r="D18" s="848" t="str">
        <f>_xll.ciqfunctions.udf.CIQ(B18, "IQ_MARKETCAP", $A$1,$A$2)</f>
        <v>#PEND</v>
      </c>
      <c r="E18" s="848" t="str">
        <f>_xll.ciqfunctions.udf.CIQ($B18, "IQ_TEV", $A$1,$A$2)</f>
        <v>#PEND</v>
      </c>
      <c r="F18" s="849" t="str">
        <f t="shared" si="2"/>
        <v>Darren Hall</v>
      </c>
      <c r="G18" s="849" t="str">
        <f t="shared" si="2"/>
        <v>CEO</v>
      </c>
      <c r="H18" s="848" t="str">
        <f t="shared" si="3"/>
        <v>-</v>
      </c>
      <c r="I18" s="848">
        <f t="shared" si="3"/>
        <v>626.63900000000001</v>
      </c>
      <c r="J18" s="850">
        <f t="shared" si="3"/>
        <v>1658.9829999999999</v>
      </c>
      <c r="K18" s="851">
        <f t="shared" si="4"/>
        <v>2.6474301790983326</v>
      </c>
      <c r="L18" s="851">
        <f t="shared" si="4"/>
        <v>2.6474301790983326</v>
      </c>
      <c r="M18" s="852">
        <f t="shared" si="5"/>
        <v>1253.278</v>
      </c>
      <c r="N18" s="853">
        <f t="shared" si="6"/>
        <v>2</v>
      </c>
      <c r="O18" s="850">
        <f t="shared" si="7"/>
        <v>2285.6219999999998</v>
      </c>
      <c r="P18" s="854">
        <f t="shared" si="7"/>
        <v>1879.9169999999999</v>
      </c>
      <c r="Q18" s="850">
        <f t="shared" si="7"/>
        <v>1024.077</v>
      </c>
      <c r="R18" s="851">
        <f t="shared" si="8"/>
        <v>1.6342375753823175</v>
      </c>
      <c r="S18" s="851">
        <f t="shared" si="8"/>
        <v>1.6342375753823175</v>
      </c>
      <c r="T18" s="852">
        <f t="shared" si="9"/>
        <v>1024.0770000000002</v>
      </c>
      <c r="U18" s="853">
        <f t="shared" si="10"/>
        <v>1.6342375753823175</v>
      </c>
      <c r="V18" s="850">
        <f t="shared" si="11"/>
        <v>3309.6990000000001</v>
      </c>
      <c r="W18" s="855" t="str">
        <f t="shared" si="11"/>
        <v>-</v>
      </c>
      <c r="X18" s="850" t="str">
        <f t="shared" si="12"/>
        <v>-</v>
      </c>
      <c r="Y18" s="855">
        <f t="shared" si="12"/>
        <v>53.369</v>
      </c>
      <c r="Z18" s="850">
        <f t="shared" si="13"/>
        <v>3363.0680000000002</v>
      </c>
      <c r="AA18" s="855" t="str">
        <f t="shared" si="13"/>
        <v>-</v>
      </c>
      <c r="AB18" s="675"/>
      <c r="AC18" s="1215" t="s">
        <v>78</v>
      </c>
      <c r="AD18" s="1216" t="s">
        <v>78</v>
      </c>
      <c r="AE18" s="678" t="str">
        <f t="shared" si="16"/>
        <v>TSX:EQX_2024_CEO</v>
      </c>
      <c r="AF18" s="678"/>
      <c r="AG18" s="682" t="str" cm="1">
        <f t="array" ref="AG18">IFERROR(INDEX('Import 2024 Data'!$E$4:$I$71,_xlfn.XMATCH(CEO!$AE18,'Import 2024 Data'!$C$4:$C$71),_xlfn.XMATCH(CEO!AG$5,'Import 2024 Data'!$E$3:$I$3)),"-")</f>
        <v>-</v>
      </c>
      <c r="AH18" s="1006" t="str" cm="1">
        <f t="array" ref="AH18">IFERROR(INDEX('Import 2024 Data'!$E$4:$I$71,_xlfn.XMATCH(CEO!$AE18,'Import 2024 Data'!$C$4:$C$71),_xlfn.XMATCH(CEO!AH$5,'Import 2024 Data'!$E$3:$I$3)),"-")</f>
        <v>-</v>
      </c>
      <c r="AI18" s="1008" t="str">
        <f>IF(ISNUMBER(_xlfn.XMATCH(C18,'Import 2024 Data'!$E$4:$E$71)),"N","Y")</f>
        <v>Y</v>
      </c>
      <c r="AJ18" s="1008" t="s">
        <v>442</v>
      </c>
      <c r="AK18" s="682" t="str" cm="1">
        <f t="array" ref="AK18">IFERROR(INDEX('Import 2024 Data'!$E$4:$I$71,_xlfn.XMATCH(CEO!$AE18,'Import 2024 Data'!$C$4:$C$71),_xlfn.XMATCH(CEO!AK$5,'Import 2024 Data'!$E$3:$I$3)),"-")</f>
        <v>-</v>
      </c>
      <c r="AL18" s="1107" t="str" cm="1">
        <f t="array" ref="AL18">IFERROR(INDEX('Import 2024 Data'!$E$4:$I$71,_xlfn.XMATCH(CEO!$AE18,'Import 2024 Data'!$C$4:$C$71),_xlfn.XMATCH(CEO!AL$5,'Import 2024 Data'!$E$3:$I$3)),"-")</f>
        <v>-</v>
      </c>
      <c r="AM18" s="1107" t="str" cm="1">
        <f t="array" ref="AM18">IFERROR(INDEX('Import 2024 Data'!$E$4:$I$71,_xlfn.XMATCH(CEO!$AE18,'Import 2024 Data'!$C$4:$C$71),_xlfn.XMATCH(CEO!AM$5,'Import 2024 Data'!$E$3:$I$3)),"-")</f>
        <v>-</v>
      </c>
      <c r="AN18" s="333"/>
      <c r="AO18" s="998" t="str">
        <f t="shared" si="18"/>
        <v>-</v>
      </c>
      <c r="AP18" s="997" t="str">
        <f t="shared" si="19"/>
        <v>-</v>
      </c>
      <c r="AQ18" s="1078" t="str">
        <f t="shared" si="20"/>
        <v>-</v>
      </c>
      <c r="AU18" s="362"/>
      <c r="AV18" s="362"/>
      <c r="AW18" s="362"/>
      <c r="AX18" s="362"/>
      <c r="AY18" s="591"/>
      <c r="AZ18" s="591"/>
    </row>
    <row r="19" spans="1:52" ht="20.25" customHeight="1">
      <c r="A19" s="12" t="str">
        <f t="shared" si="0"/>
        <v>TSX:SSRM_2025_CEO</v>
      </c>
      <c r="B19" s="12" t="str">
        <f>'Peer Group'!A17</f>
        <v>TSX:SSRM</v>
      </c>
      <c r="C19" s="847" t="str">
        <f t="shared" si="1"/>
        <v>SSR Mining Inc.</v>
      </c>
      <c r="D19" s="848" t="str">
        <f>_xll.ciqfunctions.udf.CIQ(B19, "IQ_MARKETCAP", $A$1,$A$2)</f>
        <v>#PEND</v>
      </c>
      <c r="E19" s="848" t="str">
        <f>_xll.ciqfunctions.udf.CIQ($B19, "IQ_TEV", $A$1,$A$2)</f>
        <v>#PEND</v>
      </c>
      <c r="F19" s="849" t="str">
        <f t="shared" si="2"/>
        <v>Rodney Antal</v>
      </c>
      <c r="G19" s="849" t="str">
        <f t="shared" si="2"/>
        <v>Executive Chairman</v>
      </c>
      <c r="H19" s="848" t="str">
        <f t="shared" si="3"/>
        <v>-</v>
      </c>
      <c r="I19" s="848">
        <f t="shared" si="3"/>
        <v>1502.25875</v>
      </c>
      <c r="J19" s="850">
        <f t="shared" si="3"/>
        <v>2207.6970998000002</v>
      </c>
      <c r="K19" s="851">
        <f t="shared" si="4"/>
        <v>1.4695851162790698</v>
      </c>
      <c r="L19" s="851">
        <f t="shared" si="4"/>
        <v>1.0316648062015503</v>
      </c>
      <c r="M19" s="852">
        <f t="shared" si="5"/>
        <v>1727.5975624999999</v>
      </c>
      <c r="N19" s="853">
        <f t="shared" si="6"/>
        <v>1.1499999999999999</v>
      </c>
      <c r="O19" s="850">
        <f t="shared" si="7"/>
        <v>3709.9558498000001</v>
      </c>
      <c r="P19" s="854">
        <f t="shared" si="7"/>
        <v>3229.8563125000001</v>
      </c>
      <c r="Q19" s="850">
        <f t="shared" si="7"/>
        <v>4506.7762499999999</v>
      </c>
      <c r="R19" s="851">
        <f t="shared" si="8"/>
        <v>3</v>
      </c>
      <c r="S19" s="851">
        <f t="shared" si="8"/>
        <v>3</v>
      </c>
      <c r="T19" s="852">
        <f t="shared" si="9"/>
        <v>4506.7762499999999</v>
      </c>
      <c r="U19" s="853">
        <f t="shared" si="10"/>
        <v>3</v>
      </c>
      <c r="V19" s="850">
        <f t="shared" si="11"/>
        <v>8216.7320997999996</v>
      </c>
      <c r="W19" s="855">
        <f t="shared" si="11"/>
        <v>7736.6325624999999</v>
      </c>
      <c r="X19" s="850">
        <f t="shared" si="12"/>
        <v>39.128600000000006</v>
      </c>
      <c r="Y19" s="855">
        <f t="shared" si="12"/>
        <v>60.002310650000005</v>
      </c>
      <c r="Z19" s="850">
        <f t="shared" si="13"/>
        <v>8315.8630104500007</v>
      </c>
      <c r="AA19" s="855">
        <f t="shared" si="13"/>
        <v>7835.7634731500002</v>
      </c>
      <c r="AB19" s="675"/>
      <c r="AC19" s="676">
        <f t="shared" si="14"/>
        <v>0.41747572815533984</v>
      </c>
      <c r="AD19" s="677">
        <f t="shared" si="15"/>
        <v>0.58252427184466016</v>
      </c>
      <c r="AE19" s="678" t="str">
        <f t="shared" si="16"/>
        <v>TSX:SSRM_2024_CEO</v>
      </c>
      <c r="AF19" s="678"/>
      <c r="AG19" s="682" t="str" cm="1">
        <f t="array" ref="AG19">IFERROR(INDEX('Import 2024 Data'!$E$4:$I$71,_xlfn.XMATCH(CEO!$AE19,'Import 2024 Data'!$C$4:$C$71),_xlfn.XMATCH(CEO!AG$5,'Import 2024 Data'!$E$3:$I$3)),"-")</f>
        <v>SSR Mining Inc.</v>
      </c>
      <c r="AH19" s="1006" t="str" cm="1">
        <f t="array" ref="AH19">IFERROR(INDEX('Import 2024 Data'!$E$4:$I$71,_xlfn.XMATCH(CEO!$AE19,'Import 2024 Data'!$C$4:$C$71),_xlfn.XMATCH(CEO!AH$5,'Import 2024 Data'!$E$3:$I$3)),"-")</f>
        <v>Rodney Antal</v>
      </c>
      <c r="AI19" s="1008" t="str">
        <f>IF(ISNUMBER(_xlfn.XMATCH(C19,'Import 2024 Data'!$E$4:$E$71)),"N","Y")</f>
        <v>N</v>
      </c>
      <c r="AJ19" s="1008" t="str">
        <f t="shared" si="17"/>
        <v>N</v>
      </c>
      <c r="AK19" s="682" t="str" cm="1">
        <f t="array" ref="AK19">IFERROR(INDEX('Import 2024 Data'!$E$4:$I$71,_xlfn.XMATCH(CEO!$AE19,'Import 2024 Data'!$C$4:$C$71),_xlfn.XMATCH(CEO!AK$5,'Import 2024 Data'!$E$3:$I$3)),"-")</f>
        <v>Executive Chairman</v>
      </c>
      <c r="AL19" s="1107" cm="1">
        <f t="array" ref="AL19">IFERROR(INDEX('Import 2024 Data'!$E$4:$I$71,_xlfn.XMATCH(CEO!$AE19,'Import 2024 Data'!$C$4:$C$71),_xlfn.XMATCH(CEO!AL$5,'Import 2024 Data'!$E$3:$I$3)),"-")</f>
        <v>6971.5743085300001</v>
      </c>
      <c r="AM19" s="1107" cm="1">
        <f t="array" ref="AM19">IFERROR(INDEX('Import 2024 Data'!$E$4:$I$71,_xlfn.XMATCH(CEO!$AE19,'Import 2024 Data'!$C$4:$C$71),_xlfn.XMATCH(CEO!AM$5,'Import 2024 Data'!$E$3:$I$3)),"-")</f>
        <v>7585.6036625000015</v>
      </c>
      <c r="AN19" s="333"/>
      <c r="AO19" s="998">
        <f t="shared" si="18"/>
        <v>1.9909938182852915E-2</v>
      </c>
      <c r="AP19" s="997">
        <f t="shared" si="19"/>
        <v>8216.7320997999996</v>
      </c>
      <c r="AQ19" s="1078">
        <f t="shared" si="20"/>
        <v>7736.6325624999999</v>
      </c>
      <c r="AU19" s="362"/>
      <c r="AV19" s="362"/>
      <c r="AW19" s="362"/>
      <c r="AX19" s="362"/>
      <c r="AY19" s="591"/>
      <c r="AZ19" s="591"/>
    </row>
    <row r="20" spans="1:52" ht="20.25" customHeight="1">
      <c r="A20" s="12" t="str">
        <f t="shared" si="0"/>
        <v>TSX:BTO_2025_CEO</v>
      </c>
      <c r="B20" s="12" t="str">
        <f>'Peer Group'!A18</f>
        <v>TSX:BTO</v>
      </c>
      <c r="C20" s="847" t="str">
        <f t="shared" si="1"/>
        <v>B2Gold Corp.</v>
      </c>
      <c r="D20" s="848" t="str">
        <f>_xll.ciqfunctions.udf.CIQ(B20, "IQ_MARKETCAP", $A$1,$A$2)</f>
        <v>#PEND</v>
      </c>
      <c r="E20" s="848" t="str">
        <f>_xll.ciqfunctions.udf.CIQ($B20, "IQ_TEV", $A$1,$A$2)</f>
        <v>#PEND</v>
      </c>
      <c r="F20" s="849" t="str">
        <f t="shared" si="2"/>
        <v>Clive Johnson</v>
      </c>
      <c r="G20" s="849" t="str">
        <f t="shared" si="2"/>
        <v>Director, President, &amp; CEO</v>
      </c>
      <c r="H20" s="848" t="str">
        <f t="shared" si="3"/>
        <v>-</v>
      </c>
      <c r="I20" s="848">
        <f t="shared" si="3"/>
        <v>1326.1800499999999</v>
      </c>
      <c r="J20" s="850">
        <f t="shared" si="3"/>
        <v>1412.38175325</v>
      </c>
      <c r="K20" s="851">
        <f t="shared" si="4"/>
        <v>1.0649999999999999</v>
      </c>
      <c r="L20" s="851">
        <f t="shared" si="4"/>
        <v>0.72512820512820519</v>
      </c>
      <c r="M20" s="852">
        <f t="shared" si="5"/>
        <v>1326.1800499999999</v>
      </c>
      <c r="N20" s="853">
        <f t="shared" si="6"/>
        <v>1</v>
      </c>
      <c r="O20" s="850">
        <f t="shared" si="7"/>
        <v>2738.5618032499997</v>
      </c>
      <c r="P20" s="854">
        <f t="shared" si="7"/>
        <v>2652.3600999999999</v>
      </c>
      <c r="Q20" s="850">
        <f t="shared" si="7"/>
        <v>3814.80792075</v>
      </c>
      <c r="R20" s="851">
        <f t="shared" si="8"/>
        <v>2.8765384615384613</v>
      </c>
      <c r="S20" s="851">
        <f t="shared" si="8"/>
        <v>2.7537179487179486</v>
      </c>
      <c r="T20" s="852">
        <f t="shared" si="9"/>
        <v>3113.6401173913046</v>
      </c>
      <c r="U20" s="853">
        <f t="shared" si="10"/>
        <v>2.347826086956522</v>
      </c>
      <c r="V20" s="850">
        <f t="shared" si="11"/>
        <v>6553.3697239999992</v>
      </c>
      <c r="W20" s="855">
        <f t="shared" si="11"/>
        <v>5766.0002173913044</v>
      </c>
      <c r="X20" s="850" t="str">
        <f t="shared" si="12"/>
        <v>-</v>
      </c>
      <c r="Y20" s="855">
        <f t="shared" si="12"/>
        <v>7.3100609500000004</v>
      </c>
      <c r="Z20" s="850">
        <f t="shared" si="13"/>
        <v>6560.679784949999</v>
      </c>
      <c r="AA20" s="855">
        <f t="shared" si="13"/>
        <v>5773.3102783413042</v>
      </c>
      <c r="AB20" s="675"/>
      <c r="AC20" s="676">
        <f t="shared" si="14"/>
        <v>0.45999999999999996</v>
      </c>
      <c r="AD20" s="677">
        <f t="shared" si="15"/>
        <v>0.54</v>
      </c>
      <c r="AE20" s="678" t="str">
        <f t="shared" si="16"/>
        <v>TSX:BTO_2024_CEO</v>
      </c>
      <c r="AF20" s="678"/>
      <c r="AG20" s="682" t="str" cm="1">
        <f t="array" ref="AG20">IFERROR(INDEX('Import 2024 Data'!$E$4:$I$71,_xlfn.XMATCH(CEO!$AE20,'Import 2024 Data'!$C$4:$C$71),_xlfn.XMATCH(CEO!AG$5,'Import 2024 Data'!$E$3:$I$3)),"-")</f>
        <v>B2Gold Corp.</v>
      </c>
      <c r="AH20" s="1006" t="str" cm="1">
        <f t="array" ref="AH20">IFERROR(INDEX('Import 2024 Data'!$E$4:$I$71,_xlfn.XMATCH(CEO!$AE20,'Import 2024 Data'!$C$4:$C$71),_xlfn.XMATCH(CEO!AH$5,'Import 2024 Data'!$E$3:$I$3)),"-")</f>
        <v>Clive Johnson</v>
      </c>
      <c r="AI20" s="1008" t="str">
        <f>IF(ISNUMBER(_xlfn.XMATCH(C20,'Import 2024 Data'!$E$4:$E$71)),"N","Y")</f>
        <v>N</v>
      </c>
      <c r="AJ20" s="1008" t="str">
        <f t="shared" si="17"/>
        <v>N</v>
      </c>
      <c r="AK20" s="682" t="str" cm="1">
        <f t="array" ref="AK20">IFERROR(INDEX('Import 2024 Data'!$E$4:$I$71,_xlfn.XMATCH(CEO!$AE20,'Import 2024 Data'!$C$4:$C$71),_xlfn.XMATCH(CEO!AK$5,'Import 2024 Data'!$E$3:$I$3)),"-")</f>
        <v>President &amp; CEO</v>
      </c>
      <c r="AL20" s="1107" cm="1">
        <f t="array" ref="AL20">IFERROR(INDEX('Import 2024 Data'!$E$4:$I$71,_xlfn.XMATCH(CEO!$AE20,'Import 2024 Data'!$C$4:$C$71),_xlfn.XMATCH(CEO!AL$5,'Import 2024 Data'!$E$3:$I$3)),"-")</f>
        <v>5443.5</v>
      </c>
      <c r="AM20" s="1107" cm="1">
        <f t="array" ref="AM20">IFERROR(INDEX('Import 2024 Data'!$E$4:$I$71,_xlfn.XMATCH(CEO!$AE20,'Import 2024 Data'!$C$4:$C$71),_xlfn.XMATCH(CEO!AM$5,'Import 2024 Data'!$E$3:$I$3)),"-")</f>
        <v>7186.1111111111113</v>
      </c>
      <c r="AN20" s="333"/>
      <c r="AO20" s="998">
        <f t="shared" si="18"/>
        <v>-0.19761883329691943</v>
      </c>
      <c r="AP20" s="1075">
        <f t="shared" si="19"/>
        <v>6553.3697239999992</v>
      </c>
      <c r="AQ20" s="1079">
        <f t="shared" si="20"/>
        <v>5766.0002173913044</v>
      </c>
      <c r="AR20" s="591"/>
      <c r="AU20" s="362"/>
      <c r="AV20" s="362"/>
      <c r="AW20" s="362"/>
      <c r="AX20" s="362"/>
      <c r="AY20" s="591"/>
      <c r="AZ20" s="591"/>
    </row>
    <row r="21" spans="1:52" ht="20.25" customHeight="1">
      <c r="A21" s="12" t="str">
        <f t="shared" si="0"/>
        <v>TSX:OGC_2025_CEO</v>
      </c>
      <c r="B21" s="12" t="str">
        <f>'Peer Group'!A19</f>
        <v>TSX:OGC</v>
      </c>
      <c r="C21" s="847" t="str">
        <f t="shared" si="1"/>
        <v>OceanaGold Corporation</v>
      </c>
      <c r="D21" s="848" t="str">
        <f>_xll.ciqfunctions.udf.CIQ(B21, "IQ_MARKETCAP", $A$1,$A$2)</f>
        <v>#PEND</v>
      </c>
      <c r="E21" s="848" t="str">
        <f>_xll.ciqfunctions.udf.CIQ($B21, "IQ_TEV", $A$1,$A$2)</f>
        <v>#PEND</v>
      </c>
      <c r="F21" s="849" t="str">
        <f t="shared" si="2"/>
        <v>Gerard Bond</v>
      </c>
      <c r="G21" s="849" t="str">
        <f t="shared" si="2"/>
        <v>President &amp; CEO</v>
      </c>
      <c r="H21" s="848" t="str">
        <f t="shared" si="3"/>
        <v>-</v>
      </c>
      <c r="I21" s="848">
        <f t="shared" si="3"/>
        <v>960.54284730000006</v>
      </c>
      <c r="J21" s="850">
        <f t="shared" si="3"/>
        <v>1691.5265831000002</v>
      </c>
      <c r="K21" s="851">
        <f t="shared" si="4"/>
        <v>1.7610110656226632</v>
      </c>
      <c r="L21" s="851">
        <f t="shared" si="4"/>
        <v>1.039039842746811</v>
      </c>
      <c r="M21" s="852">
        <f t="shared" si="5"/>
        <v>960.54284730000006</v>
      </c>
      <c r="N21" s="853">
        <f t="shared" si="6"/>
        <v>1</v>
      </c>
      <c r="O21" s="850">
        <f t="shared" si="7"/>
        <v>2652.0694303999999</v>
      </c>
      <c r="P21" s="854">
        <f t="shared" si="7"/>
        <v>1921.0856946000001</v>
      </c>
      <c r="Q21" s="850">
        <f t="shared" si="7"/>
        <v>3028.7045646000001</v>
      </c>
      <c r="R21" s="851">
        <f t="shared" si="8"/>
        <v>3.1531176075210157</v>
      </c>
      <c r="S21" s="851">
        <f t="shared" si="8"/>
        <v>3.4784943741508045</v>
      </c>
      <c r="T21" s="852">
        <f t="shared" si="9"/>
        <v>3341.2428904638455</v>
      </c>
      <c r="U21" s="853">
        <f t="shared" si="10"/>
        <v>3.4784943741508045</v>
      </c>
      <c r="V21" s="850">
        <f t="shared" si="11"/>
        <v>5680.7739950000005</v>
      </c>
      <c r="W21" s="855">
        <f t="shared" si="11"/>
        <v>5262.3285850638449</v>
      </c>
      <c r="X21" s="850">
        <f t="shared" si="12"/>
        <v>16.435409449999998</v>
      </c>
      <c r="Y21" s="855">
        <f t="shared" si="12"/>
        <v>508.59354280000008</v>
      </c>
      <c r="Z21" s="850">
        <f t="shared" si="13"/>
        <v>6205.8029472500002</v>
      </c>
      <c r="AA21" s="855">
        <f t="shared" si="13"/>
        <v>5787.3575373138447</v>
      </c>
      <c r="AB21" s="675"/>
      <c r="AC21" s="676">
        <f t="shared" si="14"/>
        <v>0.36506380465344745</v>
      </c>
      <c r="AD21" s="677">
        <f t="shared" si="15"/>
        <v>0.63493619534655266</v>
      </c>
      <c r="AE21" s="678" t="str">
        <f t="shared" si="16"/>
        <v>TSX:OGC_2024_CEO</v>
      </c>
      <c r="AF21" s="678"/>
      <c r="AG21" s="682" t="str" cm="1">
        <f t="array" ref="AG21">IFERROR(INDEX('Import 2024 Data'!$E$4:$I$71,_xlfn.XMATCH(CEO!$AE21,'Import 2024 Data'!$C$4:$C$71),_xlfn.XMATCH(CEO!AG$5,'Import 2024 Data'!$E$3:$I$3)),"-")</f>
        <v>OceanaGold Corporation</v>
      </c>
      <c r="AH21" s="1006" t="str" cm="1">
        <f t="array" ref="AH21">IFERROR(INDEX('Import 2024 Data'!$E$4:$I$71,_xlfn.XMATCH(CEO!$AE21,'Import 2024 Data'!$C$4:$C$71),_xlfn.XMATCH(CEO!AH$5,'Import 2024 Data'!$E$3:$I$3)),"-")</f>
        <v>Gerard Bond</v>
      </c>
      <c r="AI21" s="1008" t="str">
        <f>IF(ISNUMBER(_xlfn.XMATCH(C21,'Import 2024 Data'!$E$4:$E$71)),"N","Y")</f>
        <v>N</v>
      </c>
      <c r="AJ21" s="1008" t="str">
        <f t="shared" si="17"/>
        <v>N</v>
      </c>
      <c r="AK21" s="682" t="str" cm="1">
        <f t="array" ref="AK21">IFERROR(INDEX('Import 2024 Data'!$E$4:$I$71,_xlfn.XMATCH(CEO!$AE21,'Import 2024 Data'!$C$4:$C$71),_xlfn.XMATCH(CEO!AK$5,'Import 2024 Data'!$E$3:$I$3)),"-")</f>
        <v>President &amp; CEO</v>
      </c>
      <c r="AL21" s="1107" cm="1">
        <f t="array" ref="AL21">IFERROR(INDEX('Import 2024 Data'!$E$4:$I$71,_xlfn.XMATCH(CEO!$AE21,'Import 2024 Data'!$C$4:$C$71),_xlfn.XMATCH(CEO!AL$5,'Import 2024 Data'!$E$3:$I$3)),"-")</f>
        <v>5305.9531812600007</v>
      </c>
      <c r="AM21" s="1107" cm="1">
        <f t="array" ref="AM21">IFERROR(INDEX('Import 2024 Data'!$E$4:$I$71,_xlfn.XMATCH(CEO!$AE21,'Import 2024 Data'!$C$4:$C$71),_xlfn.XMATCH(CEO!AM$5,'Import 2024 Data'!$E$3:$I$3)),"-")</f>
        <v>5432.6585256088119</v>
      </c>
      <c r="AN21" s="333"/>
      <c r="AO21" s="998">
        <f t="shared" si="18"/>
        <v>-3.1352962779098825E-2</v>
      </c>
      <c r="AP21" s="1075">
        <f t="shared" si="19"/>
        <v>5680.7739950000005</v>
      </c>
      <c r="AQ21" s="1079">
        <f t="shared" si="20"/>
        <v>5262.3285850638449</v>
      </c>
      <c r="AR21" s="591"/>
      <c r="AU21" s="362"/>
      <c r="AV21" s="362"/>
      <c r="AW21" s="362"/>
      <c r="AX21" s="362"/>
      <c r="AY21" s="591"/>
      <c r="AZ21" s="591"/>
    </row>
    <row r="22" spans="1:52" ht="20.25" customHeight="1">
      <c r="A22" s="12" t="str">
        <f t="shared" ref="A22:A27" si="21">$B22&amp;"_"&amp;$C$3&amp;"_"&amp;$C$2</f>
        <v>TSX:CG_2025_CEO</v>
      </c>
      <c r="B22" s="12" t="str">
        <f>'Peer Group'!A20</f>
        <v>TSX:CG</v>
      </c>
      <c r="C22" s="847" t="str">
        <f t="shared" ref="C22:C27" si="22">IFERROR(INDEX(Raw_Data,MATCH($A22,Look_Up,0),MATCH(C$4,Component,0)),"-")</f>
        <v>Centerra Gold Inc.</v>
      </c>
      <c r="D22" s="848" t="str">
        <f>_xll.ciqfunctions.udf.CIQ(B22, "IQ_MARKETCAP", $A$1,$A$2)</f>
        <v>#PEND</v>
      </c>
      <c r="E22" s="848" t="str">
        <f>_xll.ciqfunctions.udf.CIQ($B22, "IQ_TEV", $A$1,$A$2)</f>
        <v>#PEND</v>
      </c>
      <c r="F22" s="849" t="str">
        <f t="shared" ref="F22:G27" si="23">IFERROR(INDEX(Raw_Data,MATCH($A22,Look_Up,0),MATCH(F$4,Component,0)),"-")</f>
        <v>Paul Tomory</v>
      </c>
      <c r="G22" s="849" t="str">
        <f t="shared" si="23"/>
        <v>President &amp; CEO</v>
      </c>
      <c r="H22" s="848" t="str">
        <f t="shared" ref="H22:J27" si="24">IFERROR(INDEX(Raw_Data,MATCH($A22,Look_Up,0),MATCH(H$4,Component,0))/1000,"-")</f>
        <v>-</v>
      </c>
      <c r="I22" s="848">
        <f t="shared" si="24"/>
        <v>825</v>
      </c>
      <c r="J22" s="850">
        <f t="shared" si="24"/>
        <v>1043.625</v>
      </c>
      <c r="K22" s="851">
        <f t="shared" ref="K22:L27" si="25">IFERROR(INDEX(Raw_Data,MATCH($A22,Look_Up,0),MATCH(K$4,Component,0)),"-")</f>
        <v>1.2649999999999999</v>
      </c>
      <c r="L22" s="851">
        <f t="shared" si="25"/>
        <v>1.2362500000000001</v>
      </c>
      <c r="M22" s="852">
        <f t="shared" ref="M22:M27" si="26">IFERROR(INDEX(Raw_Data,MATCH($A22,Look_Up,0),MATCH(M$4,Component,0))/1000,"-")</f>
        <v>948.74999999999989</v>
      </c>
      <c r="N22" s="853">
        <f t="shared" ref="N22:N27" si="27">IFERROR(IF(INDEX(Raw_Data,MATCH($A22,Look_Up,0),MATCH(N$4,Component,0))="-",L22,INDEX(Raw_Data,MATCH($A22,Look_Up,0),MATCH(N$4,Component,0))),"-")</f>
        <v>1.1499999999999999</v>
      </c>
      <c r="O22" s="850">
        <f t="shared" ref="O22:Q27" si="28">IFERROR(INDEX(Raw_Data,MATCH($A22,Look_Up,0),MATCH(O$4,Component,0))/1000,"-")</f>
        <v>1868.625</v>
      </c>
      <c r="P22" s="854">
        <f t="shared" si="28"/>
        <v>1773.75</v>
      </c>
      <c r="Q22" s="850">
        <f t="shared" si="28"/>
        <v>2062.5</v>
      </c>
      <c r="R22" s="851">
        <f t="shared" ref="R22:S27" si="29">IFERROR(INDEX(Raw_Data,MATCH($A22,Look_Up,0),MATCH(R$4,Component,0)),"-")</f>
        <v>2.5</v>
      </c>
      <c r="S22" s="851">
        <f t="shared" si="29"/>
        <v>2.5</v>
      </c>
      <c r="T22" s="852">
        <f t="shared" ref="T22:T27" si="30">IFERROR(INDEX(Raw_Data,MATCH($A22,Look_Up,0),MATCH(T$4,Component,0))/1000,"-")</f>
        <v>2062.5</v>
      </c>
      <c r="U22" s="853">
        <f t="shared" ref="U22:U27" si="31">IFERROR(IF(INDEX(Raw_Data,MATCH($A22,Look_Up,0),MATCH(U$4,Component,0))="-",S22,INDEX(Raw_Data,MATCH($A22,Look_Up,0),MATCH(U$4,Component,0))),"-")</f>
        <v>2.5</v>
      </c>
      <c r="V22" s="850">
        <f t="shared" ref="V22:AA27" si="32">IFERROR(INDEX(Raw_Data,MATCH($A22,Look_Up,0),MATCH(V$4,Component,0))/1000,"-")</f>
        <v>3931.125</v>
      </c>
      <c r="W22" s="1061">
        <f t="shared" si="32"/>
        <v>3836.25</v>
      </c>
      <c r="X22" s="850" t="str">
        <f t="shared" ref="X22:Y27" si="33">IFERROR((INDEX(Raw_Data,MATCH($A22,Look_Up,0),MATCH(X$4,Component,0))/1000),"-")</f>
        <v>-</v>
      </c>
      <c r="Y22" s="855">
        <f t="shared" si="33"/>
        <v>281.05399999999997</v>
      </c>
      <c r="Z22" s="850">
        <f t="shared" si="32"/>
        <v>4212.1790000000001</v>
      </c>
      <c r="AA22" s="855">
        <f t="shared" si="32"/>
        <v>4117.3040000000001</v>
      </c>
      <c r="AB22" s="675"/>
      <c r="AC22" s="676"/>
      <c r="AD22" s="677"/>
      <c r="AE22" s="678" t="str">
        <f t="shared" ref="AE22:AE27" si="34">B22&amp;"_"&amp;$AE$6&amp;"_"&amp;$C$2</f>
        <v>TSX:CG_2024_CEO</v>
      </c>
      <c r="AF22" s="678"/>
      <c r="AG22" s="684" t="str" cm="1">
        <f t="array" ref="AG22">IFERROR(INDEX('Import 2024 Data'!$E$4:$I$71,_xlfn.XMATCH(CEO!$AE22,'Import 2024 Data'!$C$4:$C$71),_xlfn.XMATCH(CEO!AG$5,'Import 2024 Data'!$E$3:$I$3)),"-")</f>
        <v>Centerra Gold Inc.</v>
      </c>
      <c r="AH22" s="1009" t="str" cm="1">
        <f t="array" ref="AH22">IFERROR(INDEX('Import 2024 Data'!$E$4:$I$71,_xlfn.XMATCH(CEO!$AE22,'Import 2024 Data'!$C$4:$C$71),_xlfn.XMATCH(CEO!AH$5,'Import 2024 Data'!$E$3:$I$3)),"-")</f>
        <v>Paul Tomory</v>
      </c>
      <c r="AI22" s="1011" t="str">
        <f>IF(ISNUMBER(_xlfn.XMATCH(C22,'Import 2024 Data'!$E$4:$E$71)),"N","Y")</f>
        <v>N</v>
      </c>
      <c r="AJ22" s="1011" t="str">
        <f t="shared" ref="AJ22:AJ27" si="35">IFERROR(IF(TRIM(LOWER(AH22))=TRIM(LOWER(F22)),"N","Y"),"-")</f>
        <v>N</v>
      </c>
      <c r="AK22" s="684" t="str" cm="1">
        <f t="array" ref="AK22">IFERROR(INDEX('Import 2024 Data'!$E$4:$I$71,_xlfn.XMATCH(CEO!$AE22,'Import 2024 Data'!$C$4:$C$71),_xlfn.XMATCH(CEO!AK$5,'Import 2024 Data'!$E$3:$I$3)),"-")</f>
        <v>President &amp; CEO</v>
      </c>
      <c r="AL22" s="1107" cm="1">
        <f t="array" ref="AL22">IFERROR(INDEX('Import 2024 Data'!$E$4:$I$71,_xlfn.XMATCH(CEO!$AE22,'Import 2024 Data'!$C$4:$C$71),_xlfn.XMATCH(CEO!AL$5,'Import 2024 Data'!$E$3:$I$3)),"-")</f>
        <v>3530.6250000000005</v>
      </c>
      <c r="AM22" s="1107" cm="1">
        <f t="array" ref="AM22">IFERROR(INDEX('Import 2024 Data'!$E$4:$I$71,_xlfn.XMATCH(CEO!$AE22,'Import 2024 Data'!$C$4:$C$71),_xlfn.XMATCH(CEO!AM$5,'Import 2024 Data'!$E$3:$I$3)),"-")</f>
        <v>3487.5</v>
      </c>
      <c r="AN22" s="333"/>
      <c r="AO22" s="1001">
        <f t="shared" ref="AO22:AO27" si="36">IFERROR(IF(AJ22="Y","New Incumbent",W22/AM22-1),"-")</f>
        <v>0.10000000000000009</v>
      </c>
      <c r="AP22" s="1076">
        <f t="shared" si="19"/>
        <v>3931.125</v>
      </c>
      <c r="AQ22" s="1080">
        <f t="shared" si="20"/>
        <v>3836.25</v>
      </c>
      <c r="AU22" s="362"/>
      <c r="AV22" s="362"/>
      <c r="AW22" s="362"/>
    </row>
    <row r="23" spans="1:52" ht="20.25" hidden="1" customHeight="1" outlineLevel="1">
      <c r="A23" s="12" t="str">
        <f t="shared" si="21"/>
        <v>0_2025_CEO</v>
      </c>
      <c r="B23" s="12">
        <f>'Raw Data'!E20</f>
        <v>0</v>
      </c>
      <c r="C23" s="847" t="str">
        <f t="shared" si="22"/>
        <v>(Invalid Identifier)</v>
      </c>
      <c r="D23" s="848" t="str">
        <f>_xll.ciqfunctions.udf.CIQ(B23, "IQ_MARKETCAP", $A$1,$A$2)</f>
        <v>#PEND</v>
      </c>
      <c r="E23" s="848" t="str">
        <f>_xll.ciqfunctions.udf.CIQ($B23, "IQ_TEV", $A$1,$A$2)</f>
        <v>#PEND</v>
      </c>
      <c r="F23" s="849" t="str">
        <f t="shared" si="23"/>
        <v>-</v>
      </c>
      <c r="G23" s="849" t="str">
        <f t="shared" si="23"/>
        <v>-</v>
      </c>
      <c r="H23" s="848" t="str">
        <f t="shared" si="24"/>
        <v>-</v>
      </c>
      <c r="I23" s="848" t="str">
        <f t="shared" si="24"/>
        <v>-</v>
      </c>
      <c r="J23" s="850" t="str">
        <f t="shared" si="24"/>
        <v>-</v>
      </c>
      <c r="K23" s="851" t="str">
        <f t="shared" si="25"/>
        <v>-</v>
      </c>
      <c r="L23" s="851" t="str">
        <f t="shared" si="25"/>
        <v>N/A</v>
      </c>
      <c r="M23" s="852" t="str">
        <f t="shared" si="26"/>
        <v>-</v>
      </c>
      <c r="N23" s="853" t="str">
        <f t="shared" si="27"/>
        <v>N/A</v>
      </c>
      <c r="O23" s="850" t="str">
        <f t="shared" si="28"/>
        <v>-</v>
      </c>
      <c r="P23" s="854" t="str">
        <f t="shared" si="28"/>
        <v>-</v>
      </c>
      <c r="Q23" s="850" t="str">
        <f t="shared" si="28"/>
        <v>-</v>
      </c>
      <c r="R23" s="851" t="str">
        <f t="shared" si="29"/>
        <v>-</v>
      </c>
      <c r="S23" s="851" t="str">
        <f t="shared" si="29"/>
        <v>N/A</v>
      </c>
      <c r="T23" s="852" t="str">
        <f t="shared" si="30"/>
        <v>-</v>
      </c>
      <c r="U23" s="853" t="str">
        <f t="shared" si="31"/>
        <v>N/A</v>
      </c>
      <c r="V23" s="850" t="str">
        <f t="shared" si="32"/>
        <v>-</v>
      </c>
      <c r="W23" s="855" t="str">
        <f t="shared" si="32"/>
        <v>-</v>
      </c>
      <c r="X23" s="850" t="str">
        <f t="shared" si="33"/>
        <v>-</v>
      </c>
      <c r="Y23" s="855" t="str">
        <f t="shared" si="33"/>
        <v>-</v>
      </c>
      <c r="Z23" s="850" t="str">
        <f t="shared" si="32"/>
        <v>-</v>
      </c>
      <c r="AA23" s="855" t="str">
        <f t="shared" si="32"/>
        <v>-</v>
      </c>
      <c r="AB23" s="675"/>
      <c r="AC23" s="676"/>
      <c r="AD23" s="677"/>
      <c r="AE23" s="678" t="str">
        <f t="shared" si="34"/>
        <v>0_2024_CEO</v>
      </c>
      <c r="AF23" s="678"/>
      <c r="AG23" s="682" t="str" cm="1">
        <f t="array" ref="AG23">IFERROR(INDEX(#REF!,_xlfn.XMATCH(CEO!$AE23,#REF!),_xlfn.XMATCH(CEO!AG$5,#REF!)),"-")</f>
        <v>-</v>
      </c>
      <c r="AH23" s="678" t="str" cm="1">
        <f t="array" ref="AH23">IFERROR(INDEX(#REF!,_xlfn.XMATCH(CEO!$AE23,#REF!),_xlfn.XMATCH(CEO!AH$5,#REF!)),"-")</f>
        <v>-</v>
      </c>
      <c r="AI23" s="678"/>
      <c r="AJ23" s="683" t="str">
        <f t="shared" si="35"/>
        <v>N</v>
      </c>
      <c r="AK23" s="678" t="str" cm="1">
        <f t="array" ref="AK23">IFERROR(INDEX(#REF!,_xlfn.XMATCH(CEO!$AE23,#REF!),_xlfn.XMATCH(CEO!AK$5,#REF!)),"-")</f>
        <v>-</v>
      </c>
      <c r="AL23" s="1360" t="str" cm="1">
        <f t="array" ref="AL23">IFERROR(INDEX(#REF!,_xlfn.XMATCH(CEO!$AE23,#REF!),_xlfn.XMATCH(CEO!AL$5,#REF!)),"-")</f>
        <v>-</v>
      </c>
      <c r="AM23" s="1361" t="str" cm="1">
        <f t="array" ref="AM23">IFERROR(INDEX(#REF!,_xlfn.XMATCH(CEO!$AE23,#REF!),_xlfn.XMATCH(CEO!AM$5,#REF!)),"-")</f>
        <v>-</v>
      </c>
      <c r="AN23" s="333"/>
      <c r="AO23" s="460" t="str">
        <f t="shared" si="36"/>
        <v>-</v>
      </c>
      <c r="AU23" s="362"/>
      <c r="AV23" s="362"/>
      <c r="AW23" s="362"/>
    </row>
    <row r="24" spans="1:52" ht="20.25" hidden="1" customHeight="1" outlineLevel="1">
      <c r="A24" s="12" t="str">
        <f t="shared" si="21"/>
        <v>0_2025_CEO</v>
      </c>
      <c r="B24" s="12">
        <f>'Raw Data'!E21</f>
        <v>0</v>
      </c>
      <c r="C24" s="847" t="str">
        <f t="shared" si="22"/>
        <v>(Invalid Identifier)</v>
      </c>
      <c r="D24" s="848" t="str">
        <f>_xll.ciqfunctions.udf.CIQ(B24, "IQ_MARKETCAP", $A$1,$A$2)</f>
        <v>#PEND</v>
      </c>
      <c r="E24" s="848" t="str">
        <f>_xll.ciqfunctions.udf.CIQ($B24, "IQ_TEV", $A$1,$A$2)</f>
        <v>#PEND</v>
      </c>
      <c r="F24" s="849" t="str">
        <f t="shared" si="23"/>
        <v>-</v>
      </c>
      <c r="G24" s="849" t="str">
        <f t="shared" si="23"/>
        <v>-</v>
      </c>
      <c r="H24" s="848" t="str">
        <f t="shared" si="24"/>
        <v>-</v>
      </c>
      <c r="I24" s="848" t="str">
        <f t="shared" si="24"/>
        <v>-</v>
      </c>
      <c r="J24" s="850" t="str">
        <f t="shared" si="24"/>
        <v>-</v>
      </c>
      <c r="K24" s="851" t="str">
        <f t="shared" si="25"/>
        <v>-</v>
      </c>
      <c r="L24" s="851" t="str">
        <f t="shared" si="25"/>
        <v>N/A</v>
      </c>
      <c r="M24" s="852" t="str">
        <f t="shared" si="26"/>
        <v>-</v>
      </c>
      <c r="N24" s="853" t="str">
        <f t="shared" si="27"/>
        <v>N/A</v>
      </c>
      <c r="O24" s="850" t="str">
        <f t="shared" si="28"/>
        <v>-</v>
      </c>
      <c r="P24" s="854" t="str">
        <f t="shared" si="28"/>
        <v>-</v>
      </c>
      <c r="Q24" s="850" t="str">
        <f t="shared" si="28"/>
        <v>-</v>
      </c>
      <c r="R24" s="851" t="str">
        <f t="shared" si="29"/>
        <v>-</v>
      </c>
      <c r="S24" s="851" t="str">
        <f t="shared" si="29"/>
        <v>N/A</v>
      </c>
      <c r="T24" s="852" t="str">
        <f t="shared" si="30"/>
        <v>-</v>
      </c>
      <c r="U24" s="853" t="str">
        <f t="shared" si="31"/>
        <v>N/A</v>
      </c>
      <c r="V24" s="850" t="str">
        <f t="shared" si="32"/>
        <v>-</v>
      </c>
      <c r="W24" s="855" t="str">
        <f t="shared" si="32"/>
        <v>-</v>
      </c>
      <c r="X24" s="850" t="str">
        <f t="shared" si="33"/>
        <v>-</v>
      </c>
      <c r="Y24" s="855" t="str">
        <f t="shared" si="33"/>
        <v>-</v>
      </c>
      <c r="Z24" s="850" t="str">
        <f t="shared" si="32"/>
        <v>-</v>
      </c>
      <c r="AA24" s="855" t="str">
        <f t="shared" si="32"/>
        <v>-</v>
      </c>
      <c r="AB24" s="675"/>
      <c r="AC24" s="676"/>
      <c r="AD24" s="677"/>
      <c r="AE24" s="678" t="str">
        <f t="shared" si="34"/>
        <v>0_2024_CEO</v>
      </c>
      <c r="AF24" s="678"/>
      <c r="AG24" s="682" t="str" cm="1">
        <f t="array" ref="AG24">IFERROR(INDEX(#REF!,_xlfn.XMATCH(CEO!$AE24,#REF!),_xlfn.XMATCH(CEO!AG$5,#REF!)),"-")</f>
        <v>-</v>
      </c>
      <c r="AH24" s="678" t="str" cm="1">
        <f t="array" ref="AH24">IFERROR(INDEX(#REF!,_xlfn.XMATCH(CEO!$AE24,#REF!),_xlfn.XMATCH(CEO!AH$5,#REF!)),"-")</f>
        <v>-</v>
      </c>
      <c r="AI24" s="678"/>
      <c r="AJ24" s="683" t="str">
        <f t="shared" si="35"/>
        <v>N</v>
      </c>
      <c r="AK24" s="678" t="str" cm="1">
        <f t="array" ref="AK24">IFERROR(INDEX(#REF!,_xlfn.XMATCH(CEO!$AE24,#REF!),_xlfn.XMATCH(CEO!AK$5,#REF!)),"-")</f>
        <v>-</v>
      </c>
      <c r="AL24" s="1360" t="str" cm="1">
        <f t="array" ref="AL24">IFERROR(INDEX(#REF!,_xlfn.XMATCH(CEO!$AE24,#REF!),_xlfn.XMATCH(CEO!AL$5,#REF!)),"-")</f>
        <v>-</v>
      </c>
      <c r="AM24" s="1361" t="str" cm="1">
        <f t="array" ref="AM24">IFERROR(INDEX(#REF!,_xlfn.XMATCH(CEO!$AE24,#REF!),_xlfn.XMATCH(CEO!AM$5,#REF!)),"-")</f>
        <v>-</v>
      </c>
      <c r="AN24" s="333"/>
      <c r="AO24" s="460" t="str">
        <f t="shared" si="36"/>
        <v>-</v>
      </c>
      <c r="AU24" s="362"/>
      <c r="AV24" s="362"/>
      <c r="AW24" s="362"/>
    </row>
    <row r="25" spans="1:52" ht="20.25" hidden="1" customHeight="1" outlineLevel="1">
      <c r="A25" s="12" t="str">
        <f t="shared" si="21"/>
        <v>0_2025_CEO</v>
      </c>
      <c r="B25" s="12">
        <f>'Raw Data'!E22</f>
        <v>0</v>
      </c>
      <c r="C25" s="847" t="str">
        <f t="shared" si="22"/>
        <v>(Invalid Identifier)</v>
      </c>
      <c r="D25" s="848" t="str">
        <f>_xll.ciqfunctions.udf.CIQ(B25, "IQ_MARKETCAP", $A$1,$A$2)</f>
        <v>#PEND</v>
      </c>
      <c r="E25" s="848" t="str">
        <f>_xll.ciqfunctions.udf.CIQ($B25, "IQ_TEV", $A$1,$A$2)</f>
        <v>#PEND</v>
      </c>
      <c r="F25" s="849" t="str">
        <f t="shared" si="23"/>
        <v>-</v>
      </c>
      <c r="G25" s="849" t="str">
        <f t="shared" si="23"/>
        <v>-</v>
      </c>
      <c r="H25" s="848" t="str">
        <f t="shared" si="24"/>
        <v>-</v>
      </c>
      <c r="I25" s="848" t="str">
        <f t="shared" si="24"/>
        <v>-</v>
      </c>
      <c r="J25" s="850" t="str">
        <f t="shared" si="24"/>
        <v>-</v>
      </c>
      <c r="K25" s="851" t="str">
        <f t="shared" si="25"/>
        <v>-</v>
      </c>
      <c r="L25" s="851" t="str">
        <f t="shared" si="25"/>
        <v>N/A</v>
      </c>
      <c r="M25" s="852" t="str">
        <f t="shared" si="26"/>
        <v>-</v>
      </c>
      <c r="N25" s="853" t="str">
        <f t="shared" si="27"/>
        <v>N/A</v>
      </c>
      <c r="O25" s="850" t="str">
        <f t="shared" si="28"/>
        <v>-</v>
      </c>
      <c r="P25" s="854" t="str">
        <f t="shared" si="28"/>
        <v>-</v>
      </c>
      <c r="Q25" s="850" t="str">
        <f t="shared" si="28"/>
        <v>-</v>
      </c>
      <c r="R25" s="851" t="str">
        <f t="shared" si="29"/>
        <v>-</v>
      </c>
      <c r="S25" s="851" t="str">
        <f t="shared" si="29"/>
        <v>N/A</v>
      </c>
      <c r="T25" s="852" t="str">
        <f t="shared" si="30"/>
        <v>-</v>
      </c>
      <c r="U25" s="853" t="str">
        <f t="shared" si="31"/>
        <v>N/A</v>
      </c>
      <c r="V25" s="850" t="str">
        <f t="shared" si="32"/>
        <v>-</v>
      </c>
      <c r="W25" s="855" t="str">
        <f t="shared" si="32"/>
        <v>-</v>
      </c>
      <c r="X25" s="850" t="str">
        <f t="shared" si="33"/>
        <v>-</v>
      </c>
      <c r="Y25" s="855" t="str">
        <f t="shared" si="33"/>
        <v>-</v>
      </c>
      <c r="Z25" s="850" t="str">
        <f t="shared" si="32"/>
        <v>-</v>
      </c>
      <c r="AA25" s="855" t="str">
        <f t="shared" si="32"/>
        <v>-</v>
      </c>
      <c r="AB25" s="675"/>
      <c r="AC25" s="676"/>
      <c r="AD25" s="677"/>
      <c r="AE25" s="678" t="str">
        <f t="shared" si="34"/>
        <v>0_2024_CEO</v>
      </c>
      <c r="AF25" s="678"/>
      <c r="AG25" s="682" t="str" cm="1">
        <f t="array" ref="AG25">IFERROR(INDEX(#REF!,_xlfn.XMATCH(CEO!$AE25,#REF!),_xlfn.XMATCH(CEO!AG$5,#REF!)),"-")</f>
        <v>-</v>
      </c>
      <c r="AH25" s="678" t="str" cm="1">
        <f t="array" ref="AH25">IFERROR(INDEX(#REF!,_xlfn.XMATCH(CEO!$AE25,#REF!),_xlfn.XMATCH(CEO!AH$5,#REF!)),"-")</f>
        <v>-</v>
      </c>
      <c r="AI25" s="678"/>
      <c r="AJ25" s="683" t="str">
        <f t="shared" si="35"/>
        <v>N</v>
      </c>
      <c r="AK25" s="678" t="str" cm="1">
        <f t="array" ref="AK25">IFERROR(INDEX(#REF!,_xlfn.XMATCH(CEO!$AE25,#REF!),_xlfn.XMATCH(CEO!AK$5,#REF!)),"-")</f>
        <v>-</v>
      </c>
      <c r="AL25" s="1360" t="str" cm="1">
        <f t="array" ref="AL25">IFERROR(INDEX(#REF!,_xlfn.XMATCH(CEO!$AE25,#REF!),_xlfn.XMATCH(CEO!AL$5,#REF!)),"-")</f>
        <v>-</v>
      </c>
      <c r="AM25" s="1361" t="str" cm="1">
        <f t="array" ref="AM25">IFERROR(INDEX(#REF!,_xlfn.XMATCH(CEO!$AE25,#REF!),_xlfn.XMATCH(CEO!AM$5,#REF!)),"-")</f>
        <v>-</v>
      </c>
      <c r="AN25" s="333"/>
      <c r="AO25" s="460" t="str">
        <f t="shared" si="36"/>
        <v>-</v>
      </c>
      <c r="AU25" s="362"/>
      <c r="AV25" s="362"/>
      <c r="AW25" s="362"/>
    </row>
    <row r="26" spans="1:52" ht="20.25" hidden="1" customHeight="1" outlineLevel="1">
      <c r="A26" s="12" t="str">
        <f t="shared" si="21"/>
        <v>0_2025_CEO</v>
      </c>
      <c r="B26" s="12">
        <f>'Raw Data'!E23</f>
        <v>0</v>
      </c>
      <c r="C26" s="847" t="str">
        <f t="shared" si="22"/>
        <v>(Invalid Identifier)</v>
      </c>
      <c r="D26" s="848" t="str">
        <f>_xll.ciqfunctions.udf.CIQ(B26, "IQ_MARKETCAP", $A$1,$A$2)</f>
        <v>#PEND</v>
      </c>
      <c r="E26" s="848" t="str">
        <f>_xll.ciqfunctions.udf.CIQ($B26, "IQ_TEV", $A$1,$A$2)</f>
        <v>#PEND</v>
      </c>
      <c r="F26" s="849" t="str">
        <f t="shared" si="23"/>
        <v>-</v>
      </c>
      <c r="G26" s="849" t="str">
        <f t="shared" si="23"/>
        <v>-</v>
      </c>
      <c r="H26" s="848" t="str">
        <f t="shared" si="24"/>
        <v>-</v>
      </c>
      <c r="I26" s="848" t="str">
        <f t="shared" si="24"/>
        <v>-</v>
      </c>
      <c r="J26" s="850" t="str">
        <f t="shared" si="24"/>
        <v>-</v>
      </c>
      <c r="K26" s="851" t="str">
        <f t="shared" si="25"/>
        <v>-</v>
      </c>
      <c r="L26" s="851" t="str">
        <f t="shared" si="25"/>
        <v>N/A</v>
      </c>
      <c r="M26" s="852" t="str">
        <f t="shared" si="26"/>
        <v>-</v>
      </c>
      <c r="N26" s="853" t="str">
        <f t="shared" si="27"/>
        <v>N/A</v>
      </c>
      <c r="O26" s="850" t="str">
        <f t="shared" si="28"/>
        <v>-</v>
      </c>
      <c r="P26" s="854" t="str">
        <f t="shared" si="28"/>
        <v>-</v>
      </c>
      <c r="Q26" s="850" t="str">
        <f t="shared" si="28"/>
        <v>-</v>
      </c>
      <c r="R26" s="851" t="str">
        <f t="shared" si="29"/>
        <v>-</v>
      </c>
      <c r="S26" s="851" t="str">
        <f t="shared" si="29"/>
        <v>N/A</v>
      </c>
      <c r="T26" s="852" t="str">
        <f t="shared" si="30"/>
        <v>-</v>
      </c>
      <c r="U26" s="853" t="str">
        <f t="shared" si="31"/>
        <v>N/A</v>
      </c>
      <c r="V26" s="850" t="str">
        <f t="shared" si="32"/>
        <v>-</v>
      </c>
      <c r="W26" s="855" t="str">
        <f t="shared" si="32"/>
        <v>-</v>
      </c>
      <c r="X26" s="850" t="str">
        <f t="shared" si="33"/>
        <v>-</v>
      </c>
      <c r="Y26" s="855" t="str">
        <f t="shared" si="33"/>
        <v>-</v>
      </c>
      <c r="Z26" s="850" t="str">
        <f t="shared" si="32"/>
        <v>-</v>
      </c>
      <c r="AA26" s="855" t="str">
        <f t="shared" si="32"/>
        <v>-</v>
      </c>
      <c r="AB26" s="675"/>
      <c r="AC26" s="676"/>
      <c r="AD26" s="677"/>
      <c r="AE26" s="678" t="str">
        <f t="shared" si="34"/>
        <v>0_2024_CEO</v>
      </c>
      <c r="AF26" s="678"/>
      <c r="AG26" s="682" t="str" cm="1">
        <f t="array" ref="AG26">IFERROR(INDEX(#REF!,_xlfn.XMATCH(CEO!$AE26,#REF!),_xlfn.XMATCH(CEO!AG$5,#REF!)),"-")</f>
        <v>-</v>
      </c>
      <c r="AH26" s="678" t="str" cm="1">
        <f t="array" ref="AH26">IFERROR(INDEX(#REF!,_xlfn.XMATCH(CEO!$AE26,#REF!),_xlfn.XMATCH(CEO!AH$5,#REF!)),"-")</f>
        <v>-</v>
      </c>
      <c r="AI26" s="678"/>
      <c r="AJ26" s="683" t="str">
        <f t="shared" si="35"/>
        <v>N</v>
      </c>
      <c r="AK26" s="678" t="str" cm="1">
        <f t="array" ref="AK26">IFERROR(INDEX(#REF!,_xlfn.XMATCH(CEO!$AE26,#REF!),_xlfn.XMATCH(CEO!AK$5,#REF!)),"-")</f>
        <v>-</v>
      </c>
      <c r="AL26" s="1360" t="str" cm="1">
        <f t="array" ref="AL26">IFERROR(INDEX(#REF!,_xlfn.XMATCH(CEO!$AE26,#REF!),_xlfn.XMATCH(CEO!AL$5,#REF!)),"-")</f>
        <v>-</v>
      </c>
      <c r="AM26" s="1361" t="str" cm="1">
        <f t="array" ref="AM26">IFERROR(INDEX(#REF!,_xlfn.XMATCH(CEO!$AE26,#REF!),_xlfn.XMATCH(CEO!AM$5,#REF!)),"-")</f>
        <v>-</v>
      </c>
      <c r="AN26" s="333"/>
      <c r="AO26" s="460" t="str">
        <f t="shared" si="36"/>
        <v>-</v>
      </c>
      <c r="AU26" s="362"/>
      <c r="AV26" s="362"/>
      <c r="AW26" s="362"/>
    </row>
    <row r="27" spans="1:52" ht="20.25" hidden="1" customHeight="1" outlineLevel="1">
      <c r="A27" s="12" t="str">
        <f t="shared" si="21"/>
        <v>0_2025_CEO</v>
      </c>
      <c r="B27" s="12">
        <f>'Raw Data'!E24</f>
        <v>0</v>
      </c>
      <c r="C27" s="847" t="str">
        <f t="shared" si="22"/>
        <v>(Invalid Identifier)</v>
      </c>
      <c r="D27" s="848" t="str">
        <f>_xll.ciqfunctions.udf.CIQ(B27, "IQ_MARKETCAP", $A$1,$A$2)</f>
        <v>#PEND</v>
      </c>
      <c r="E27" s="848" t="str">
        <f>_xll.ciqfunctions.udf.CIQ($B27, "IQ_TEV", $A$1,$A$2)</f>
        <v>#PEND</v>
      </c>
      <c r="F27" s="849" t="str">
        <f t="shared" si="23"/>
        <v>-</v>
      </c>
      <c r="G27" s="849" t="str">
        <f t="shared" si="23"/>
        <v>-</v>
      </c>
      <c r="H27" s="848" t="str">
        <f t="shared" si="24"/>
        <v>-</v>
      </c>
      <c r="I27" s="848" t="str">
        <f t="shared" si="24"/>
        <v>-</v>
      </c>
      <c r="J27" s="850" t="str">
        <f t="shared" si="24"/>
        <v>-</v>
      </c>
      <c r="K27" s="851" t="str">
        <f t="shared" si="25"/>
        <v>-</v>
      </c>
      <c r="L27" s="851" t="str">
        <f t="shared" si="25"/>
        <v>N/A</v>
      </c>
      <c r="M27" s="852" t="str">
        <f t="shared" si="26"/>
        <v>-</v>
      </c>
      <c r="N27" s="853" t="str">
        <f t="shared" si="27"/>
        <v>N/A</v>
      </c>
      <c r="O27" s="850" t="str">
        <f t="shared" si="28"/>
        <v>-</v>
      </c>
      <c r="P27" s="854" t="str">
        <f t="shared" si="28"/>
        <v>-</v>
      </c>
      <c r="Q27" s="850" t="str">
        <f t="shared" si="28"/>
        <v>-</v>
      </c>
      <c r="R27" s="851" t="str">
        <f t="shared" si="29"/>
        <v>-</v>
      </c>
      <c r="S27" s="851" t="str">
        <f t="shared" si="29"/>
        <v>N/A</v>
      </c>
      <c r="T27" s="852" t="str">
        <f t="shared" si="30"/>
        <v>-</v>
      </c>
      <c r="U27" s="853" t="str">
        <f t="shared" si="31"/>
        <v>N/A</v>
      </c>
      <c r="V27" s="850" t="str">
        <f t="shared" si="32"/>
        <v>-</v>
      </c>
      <c r="W27" s="855" t="str">
        <f t="shared" si="32"/>
        <v>-</v>
      </c>
      <c r="X27" s="850" t="str">
        <f t="shared" si="33"/>
        <v>-</v>
      </c>
      <c r="Y27" s="855" t="str">
        <f t="shared" si="33"/>
        <v>-</v>
      </c>
      <c r="Z27" s="850" t="str">
        <f t="shared" si="32"/>
        <v>-</v>
      </c>
      <c r="AA27" s="855" t="str">
        <f t="shared" si="32"/>
        <v>-</v>
      </c>
      <c r="AB27" s="675"/>
      <c r="AC27" s="676"/>
      <c r="AD27" s="677"/>
      <c r="AE27" s="678" t="str">
        <f t="shared" si="34"/>
        <v>0_2024_CEO</v>
      </c>
      <c r="AF27" s="678"/>
      <c r="AG27" s="684" t="str" cm="1">
        <f t="array" ref="AG27">IFERROR(INDEX(#REF!,_xlfn.XMATCH(CEO!$AE27,#REF!),_xlfn.XMATCH(CEO!AG$5,#REF!)),"-")</f>
        <v>-</v>
      </c>
      <c r="AH27" s="685" t="str" cm="1">
        <f t="array" ref="AH27">IFERROR(INDEX(#REF!,_xlfn.XMATCH(CEO!$AE27,#REF!),_xlfn.XMATCH(CEO!AH$5,#REF!)),"-")</f>
        <v>-</v>
      </c>
      <c r="AI27" s="685"/>
      <c r="AJ27" s="686" t="str">
        <f t="shared" si="35"/>
        <v>N</v>
      </c>
      <c r="AK27" s="685" t="str" cm="1">
        <f t="array" ref="AK27">IFERROR(INDEX(#REF!,_xlfn.XMATCH(CEO!$AE27,#REF!),_xlfn.XMATCH(CEO!AK$5,#REF!)),"-")</f>
        <v>-</v>
      </c>
      <c r="AL27" s="1362" t="str" cm="1">
        <f t="array" ref="AL27">IFERROR(INDEX(#REF!,_xlfn.XMATCH(CEO!$AE27,#REF!),_xlfn.XMATCH(CEO!AL$5,#REF!)),"-")</f>
        <v>-</v>
      </c>
      <c r="AM27" s="1363" t="str" cm="1">
        <f t="array" ref="AM27">IFERROR(INDEX(#REF!,_xlfn.XMATCH(CEO!$AE27,#REF!),_xlfn.XMATCH(CEO!AM$5,#REF!)),"-")</f>
        <v>-</v>
      </c>
      <c r="AN27" s="333"/>
      <c r="AO27" s="464" t="str">
        <f t="shared" si="36"/>
        <v>-</v>
      </c>
      <c r="AU27" s="362"/>
      <c r="AV27" s="362"/>
      <c r="AW27" s="362"/>
    </row>
    <row r="28" spans="1:52" ht="20.25" customHeight="1" collapsed="1">
      <c r="C28" s="856" t="str">
        <f>$C$3&amp;" Summary Statistics"</f>
        <v>2025 Summary Statistics</v>
      </c>
      <c r="D28" s="857"/>
      <c r="E28" s="857"/>
      <c r="F28" s="857"/>
      <c r="G28" s="857"/>
      <c r="H28" s="857"/>
      <c r="I28" s="857"/>
      <c r="J28" s="857"/>
      <c r="K28" s="858"/>
      <c r="L28" s="858"/>
      <c r="M28" s="857"/>
      <c r="N28" s="858"/>
      <c r="O28" s="857"/>
      <c r="P28" s="857"/>
      <c r="Q28" s="857"/>
      <c r="R28" s="858"/>
      <c r="S28" s="858"/>
      <c r="T28" s="857"/>
      <c r="U28" s="858"/>
      <c r="V28" s="857"/>
      <c r="W28" s="859"/>
      <c r="X28" s="857"/>
      <c r="Y28" s="859"/>
      <c r="Z28" s="857"/>
      <c r="AA28" s="859"/>
      <c r="AB28" s="675"/>
      <c r="AC28" s="692"/>
      <c r="AD28" s="693"/>
      <c r="AE28" s="678"/>
      <c r="AF28" s="678"/>
      <c r="AG28" s="678"/>
      <c r="AH28" s="678"/>
      <c r="AI28" s="678"/>
      <c r="AJ28" s="678"/>
      <c r="AK28" s="678"/>
      <c r="AL28" s="1366" t="s">
        <v>773</v>
      </c>
      <c r="AM28" s="1367"/>
      <c r="AN28" s="333"/>
      <c r="AP28" s="1081" t="s">
        <v>774</v>
      </c>
      <c r="AQ28" s="695"/>
      <c r="AU28" s="362"/>
      <c r="AV28" s="362"/>
      <c r="AW28" s="362"/>
    </row>
    <row r="29" spans="1:52" s="17" customFormat="1" ht="20.25" customHeight="1">
      <c r="B29" s="17">
        <v>0.75</v>
      </c>
      <c r="C29" s="860" t="s">
        <v>9</v>
      </c>
      <c r="D29" s="861" t="e">
        <f t="shared" ref="D29:E31" si="37">PERCENTILE(D$8:D$27,$B29)</f>
        <v>#NUM!</v>
      </c>
      <c r="E29" s="861" t="e">
        <f t="shared" si="37"/>
        <v>#NUM!</v>
      </c>
      <c r="F29" s="862"/>
      <c r="G29" s="862"/>
      <c r="H29" s="862"/>
      <c r="I29" s="861">
        <f t="shared" ref="I29:W31" si="38">PERCENTILE(I$8:I$27,$B29)</f>
        <v>1414.2194</v>
      </c>
      <c r="J29" s="863">
        <f t="shared" si="38"/>
        <v>2091.2343155250001</v>
      </c>
      <c r="K29" s="864">
        <f t="shared" si="38"/>
        <v>1.7945681328241332</v>
      </c>
      <c r="L29" s="864">
        <f t="shared" si="38"/>
        <v>1.6608120164091</v>
      </c>
      <c r="M29" s="865">
        <f t="shared" si="38"/>
        <v>1606.1940937499999</v>
      </c>
      <c r="N29" s="866">
        <f t="shared" si="38"/>
        <v>1.25</v>
      </c>
      <c r="O29" s="863">
        <f>PERCENTILE(O$8:O$27,$B29)</f>
        <v>3300.67209125</v>
      </c>
      <c r="P29" s="867">
        <f t="shared" si="38"/>
        <v>2951.2397187500001</v>
      </c>
      <c r="Q29" s="863">
        <f t="shared" si="38"/>
        <v>4596.8381250000002</v>
      </c>
      <c r="R29" s="864">
        <f t="shared" si="38"/>
        <v>3.3973729411764708</v>
      </c>
      <c r="S29" s="864">
        <f t="shared" si="38"/>
        <v>3.2240397061237598</v>
      </c>
      <c r="T29" s="865">
        <f t="shared" si="38"/>
        <v>4003.69425</v>
      </c>
      <c r="U29" s="866">
        <f t="shared" si="38"/>
        <v>3.1183333213435462</v>
      </c>
      <c r="V29" s="863">
        <f t="shared" si="38"/>
        <v>7804.3437260999999</v>
      </c>
      <c r="W29" s="867">
        <f t="shared" si="38"/>
        <v>7438.8010312500001</v>
      </c>
      <c r="X29" s="863">
        <f t="shared" ref="X29:AA31" si="39">PERCENTILE(X$8:X$27,$B29)</f>
        <v>364.05599999999998</v>
      </c>
      <c r="Y29" s="867">
        <f t="shared" si="39"/>
        <v>281.05399999999997</v>
      </c>
      <c r="Z29" s="863">
        <f t="shared" si="39"/>
        <v>7968.1956172999999</v>
      </c>
      <c r="AA29" s="867">
        <f t="shared" si="39"/>
        <v>7580.8871093625003</v>
      </c>
      <c r="AB29" s="703"/>
      <c r="AC29" s="676">
        <f t="shared" ref="AC29:AD31" si="40">PERCENTILE(AC$8:AC$27,$B29)</f>
        <v>0.47058823529411764</v>
      </c>
      <c r="AD29" s="677">
        <f t="shared" si="40"/>
        <v>0.58252427184466016</v>
      </c>
      <c r="AE29" s="678"/>
      <c r="AF29" s="678"/>
      <c r="AG29" s="678"/>
      <c r="AH29" s="678"/>
      <c r="AI29" s="678"/>
      <c r="AJ29" s="678"/>
      <c r="AK29" s="1359"/>
      <c r="AL29" s="1355">
        <f>PERCENTILE(AL$8:AL$22,$B29)</f>
        <v>6252.6832859350006</v>
      </c>
      <c r="AM29" s="1356">
        <f t="shared" ref="AM29:AM31" si="41">PERCENTILE(AM$8:AM$22,$B29)</f>
        <v>7285.9842489583334</v>
      </c>
      <c r="AN29" s="333"/>
      <c r="AO29" s="783"/>
      <c r="AP29" s="863">
        <f>PERCENTILE(AP$8:AP$22,$B29)</f>
        <v>7598.1495392500001</v>
      </c>
      <c r="AQ29" s="863">
        <f t="shared" ref="AP29:AQ31" si="42">PERCENTILE(AQ$8:AQ$22,$B29)</f>
        <v>6532.9423084588125</v>
      </c>
      <c r="AS29" s="12"/>
      <c r="AU29" s="364"/>
      <c r="AV29" s="364"/>
      <c r="AW29" s="364"/>
    </row>
    <row r="30" spans="1:52" s="17" customFormat="1" ht="20.25" customHeight="1">
      <c r="B30" s="17">
        <v>0.5</v>
      </c>
      <c r="C30" s="868" t="s">
        <v>8</v>
      </c>
      <c r="D30" s="869" t="e">
        <f t="shared" si="37"/>
        <v>#NUM!</v>
      </c>
      <c r="E30" s="869" t="e">
        <f t="shared" si="37"/>
        <v>#NUM!</v>
      </c>
      <c r="F30" s="870"/>
      <c r="G30" s="870"/>
      <c r="H30" s="870"/>
      <c r="I30" s="869">
        <f t="shared" si="38"/>
        <v>1149.6960895</v>
      </c>
      <c r="J30" s="871">
        <f t="shared" si="38"/>
        <v>1522.4159999999999</v>
      </c>
      <c r="K30" s="872">
        <f t="shared" si="38"/>
        <v>1.4695851162790698</v>
      </c>
      <c r="L30" s="872">
        <f t="shared" si="38"/>
        <v>1.3575005176338746</v>
      </c>
      <c r="M30" s="873">
        <f t="shared" si="38"/>
        <v>1323.84</v>
      </c>
      <c r="N30" s="874">
        <f t="shared" si="38"/>
        <v>1.2</v>
      </c>
      <c r="O30" s="871">
        <f>PERCENTILE(O$8:O$27,$B30)</f>
        <v>2652.0694303999999</v>
      </c>
      <c r="P30" s="875">
        <f t="shared" si="38"/>
        <v>2494.4482499999999</v>
      </c>
      <c r="Q30" s="871">
        <f t="shared" si="38"/>
        <v>3913.6062383000003</v>
      </c>
      <c r="R30" s="872">
        <f t="shared" si="38"/>
        <v>3</v>
      </c>
      <c r="S30" s="872">
        <f t="shared" si="38"/>
        <v>2.916711690377205</v>
      </c>
      <c r="T30" s="873">
        <f t="shared" si="38"/>
        <v>3341.2428904638455</v>
      </c>
      <c r="U30" s="874">
        <f t="shared" si="38"/>
        <v>2.7</v>
      </c>
      <c r="V30" s="871">
        <f t="shared" si="38"/>
        <v>6553.3697239999992</v>
      </c>
      <c r="W30" s="875">
        <f t="shared" si="38"/>
        <v>5733.7981086956515</v>
      </c>
      <c r="X30" s="871">
        <f t="shared" si="39"/>
        <v>39.128600000000006</v>
      </c>
      <c r="Y30" s="875">
        <f t="shared" si="39"/>
        <v>163.46100000000001</v>
      </c>
      <c r="Z30" s="871">
        <f t="shared" si="39"/>
        <v>6670.8128194499996</v>
      </c>
      <c r="AA30" s="875">
        <f t="shared" si="39"/>
        <v>5886.8650453319224</v>
      </c>
      <c r="AB30" s="703"/>
      <c r="AC30" s="714">
        <f t="shared" si="40"/>
        <v>0.4375</v>
      </c>
      <c r="AD30" s="712">
        <f t="shared" si="40"/>
        <v>0.56250000000000011</v>
      </c>
      <c r="AE30" s="678"/>
      <c r="AF30" s="678"/>
      <c r="AG30" s="678"/>
      <c r="AH30" s="678"/>
      <c r="AI30" s="678"/>
      <c r="AJ30" s="678"/>
      <c r="AK30" s="678"/>
      <c r="AL30" s="863">
        <f t="shared" ref="AL30:AL31" si="43">PERCENTILE(AL$8:AL$22,$B30)</f>
        <v>5336.2510497000003</v>
      </c>
      <c r="AM30" s="861">
        <f t="shared" si="41"/>
        <v>5403.8292628044055</v>
      </c>
      <c r="AN30" s="333"/>
      <c r="AO30" s="1352"/>
      <c r="AP30" s="863">
        <f t="shared" si="42"/>
        <v>6427.5712749999993</v>
      </c>
      <c r="AQ30" s="863">
        <f t="shared" si="42"/>
        <v>5485.7979999999998</v>
      </c>
      <c r="AS30" s="12"/>
      <c r="AU30" s="364"/>
      <c r="AV30" s="364"/>
      <c r="AW30" s="364"/>
    </row>
    <row r="31" spans="1:52" s="17" customFormat="1" ht="20.25" customHeight="1">
      <c r="B31" s="17">
        <v>0.25</v>
      </c>
      <c r="C31" s="860" t="s">
        <v>7</v>
      </c>
      <c r="D31" s="861" t="e">
        <f t="shared" si="37"/>
        <v>#NUM!</v>
      </c>
      <c r="E31" s="861" t="e">
        <f t="shared" si="37"/>
        <v>#NUM!</v>
      </c>
      <c r="F31" s="862"/>
      <c r="G31" s="862"/>
      <c r="H31" s="862"/>
      <c r="I31" s="861">
        <f t="shared" si="38"/>
        <v>891.72250000000008</v>
      </c>
      <c r="J31" s="863">
        <f t="shared" si="38"/>
        <v>1313.3272760750001</v>
      </c>
      <c r="K31" s="864">
        <f t="shared" si="38"/>
        <v>1.250779411764706</v>
      </c>
      <c r="L31" s="864">
        <f t="shared" si="38"/>
        <v>1.1376449213734054</v>
      </c>
      <c r="M31" s="865">
        <f t="shared" si="38"/>
        <v>1093.403125</v>
      </c>
      <c r="N31" s="866">
        <f t="shared" si="38"/>
        <v>1.1000000000000001</v>
      </c>
      <c r="O31" s="863">
        <f>PERCENTILE(O$8:O$27,$B31)</f>
        <v>2244.9005324499994</v>
      </c>
      <c r="P31" s="867">
        <f t="shared" si="38"/>
        <v>1900.5013472999999</v>
      </c>
      <c r="Q31" s="863">
        <f t="shared" si="38"/>
        <v>2468.1059972695921</v>
      </c>
      <c r="R31" s="864">
        <f t="shared" si="38"/>
        <v>2.4</v>
      </c>
      <c r="S31" s="864">
        <f t="shared" si="38"/>
        <v>2.4</v>
      </c>
      <c r="T31" s="865">
        <f t="shared" si="38"/>
        <v>2380.3262500000001</v>
      </c>
      <c r="U31" s="866">
        <f t="shared" si="38"/>
        <v>2.3239130434782611</v>
      </c>
      <c r="V31" s="863">
        <f t="shared" si="38"/>
        <v>4879.9814972695913</v>
      </c>
      <c r="W31" s="867">
        <f t="shared" si="38"/>
        <v>4956.1421462659609</v>
      </c>
      <c r="X31" s="863">
        <f t="shared" si="39"/>
        <v>29.346450000000001</v>
      </c>
      <c r="Y31" s="867">
        <f t="shared" si="39"/>
        <v>60.002310650000005</v>
      </c>
      <c r="Z31" s="863">
        <f t="shared" si="39"/>
        <v>5160.6464972695921</v>
      </c>
      <c r="AA31" s="867">
        <f t="shared" si="39"/>
        <v>5241.8386083500009</v>
      </c>
      <c r="AB31" s="703"/>
      <c r="AC31" s="676">
        <f t="shared" si="40"/>
        <v>0.41747572815533984</v>
      </c>
      <c r="AD31" s="677">
        <f t="shared" si="40"/>
        <v>0.52941176470588236</v>
      </c>
      <c r="AE31" s="678"/>
      <c r="AF31" s="678"/>
      <c r="AG31" s="678"/>
      <c r="AH31" s="678"/>
      <c r="AI31" s="678"/>
      <c r="AJ31" s="678"/>
      <c r="AK31" s="678"/>
      <c r="AL31" s="863">
        <f t="shared" si="43"/>
        <v>4421.3819999999996</v>
      </c>
      <c r="AM31" s="861">
        <f t="shared" si="41"/>
        <v>4419</v>
      </c>
      <c r="AN31" s="333"/>
      <c r="AO31" s="1353"/>
      <c r="AP31" s="863">
        <f t="shared" si="42"/>
        <v>4966.3142459043875</v>
      </c>
      <c r="AQ31" s="863">
        <f t="shared" si="42"/>
        <v>4749.0259375000005</v>
      </c>
      <c r="AS31" s="12"/>
      <c r="AU31" s="364"/>
      <c r="AV31" s="364"/>
      <c r="AW31" s="364"/>
    </row>
    <row r="32" spans="1:52" s="17" customFormat="1" ht="20.25" customHeight="1">
      <c r="A32" s="12"/>
      <c r="B32" s="12"/>
      <c r="C32" s="876" t="s">
        <v>6</v>
      </c>
      <c r="D32" s="877" t="e">
        <f>AVERAGE(D8:D27)</f>
        <v>#DIV/0!</v>
      </c>
      <c r="E32" s="877" t="e">
        <f>AVERAGE(E8:E27)</f>
        <v>#DIV/0!</v>
      </c>
      <c r="F32" s="876"/>
      <c r="G32" s="876"/>
      <c r="H32" s="876"/>
      <c r="I32" s="877">
        <f t="shared" ref="I32:N32" si="44">AVERAGE(I8:I27)</f>
        <v>1174.3264613866666</v>
      </c>
      <c r="J32" s="878">
        <f t="shared" si="44"/>
        <v>1732.5058832066668</v>
      </c>
      <c r="K32" s="879">
        <f t="shared" si="44"/>
        <v>1.5160590340199984</v>
      </c>
      <c r="L32" s="879">
        <f t="shared" si="44"/>
        <v>1.4168151386201264</v>
      </c>
      <c r="M32" s="880">
        <f t="shared" si="44"/>
        <v>1417.3339315116666</v>
      </c>
      <c r="N32" s="881">
        <f t="shared" si="44"/>
        <v>1.2266666666666666</v>
      </c>
      <c r="O32" s="878">
        <f>AVERAGE(O8:O27)</f>
        <v>2906.8323445933333</v>
      </c>
      <c r="P32" s="882">
        <f t="shared" ref="P32:W32" si="45">AVERAGE(P8:P27)</f>
        <v>2591.6603928983332</v>
      </c>
      <c r="Q32" s="878">
        <f t="shared" si="45"/>
        <v>3702.3405603792785</v>
      </c>
      <c r="R32" s="879">
        <f t="shared" si="45"/>
        <v>3.1439636919828122</v>
      </c>
      <c r="S32" s="879">
        <f t="shared" si="45"/>
        <v>2.8674956277117549</v>
      </c>
      <c r="T32" s="880">
        <f t="shared" si="45"/>
        <v>3271.7231545223503</v>
      </c>
      <c r="U32" s="881">
        <f t="shared" si="45"/>
        <v>2.7631483119451161</v>
      </c>
      <c r="V32" s="878">
        <f t="shared" si="45"/>
        <v>6609.1729049726127</v>
      </c>
      <c r="W32" s="882">
        <f t="shared" si="45"/>
        <v>6074.7685150935913</v>
      </c>
      <c r="X32" s="878">
        <f>AVERAGE(X8:X27)</f>
        <v>250.06403698333335</v>
      </c>
      <c r="Y32" s="882">
        <f>AVERAGE(Y8:Y27)</f>
        <v>183.05384440769234</v>
      </c>
      <c r="Z32" s="878">
        <f>AVERAGE(Z8:Z27)</f>
        <v>6917.8579923159468</v>
      </c>
      <c r="AA32" s="882">
        <f>AVERAGE(AA8:AA27)</f>
        <v>6401.6904658185904</v>
      </c>
      <c r="AB32" s="703"/>
      <c r="AC32" s="722">
        <f>AVERAGE(AC8:AC27)</f>
        <v>0.43496094098137844</v>
      </c>
      <c r="AD32" s="720">
        <f>AVERAGE(AD8:AD27)</f>
        <v>0.5650390590186215</v>
      </c>
      <c r="AE32" s="678"/>
      <c r="AF32" s="678"/>
      <c r="AG32" s="678"/>
      <c r="AH32" s="678"/>
      <c r="AI32" s="678"/>
      <c r="AJ32" s="678"/>
      <c r="AK32" s="745"/>
      <c r="AL32" s="1082">
        <f>AVERAGE(AL8:AL22)</f>
        <v>5475.9591193202477</v>
      </c>
      <c r="AM32" s="1351">
        <f>AVERAGE(AM8:AM22)</f>
        <v>5838.685833603352</v>
      </c>
      <c r="AN32" s="333"/>
      <c r="AO32" s="1354"/>
      <c r="AP32" s="1082">
        <f>AVERAGE(AP8:AP22)</f>
        <v>6624.7208041782642</v>
      </c>
      <c r="AQ32" s="1082">
        <f>AVERAGE(AQ8:AQ22)</f>
        <v>5894.4481321925223</v>
      </c>
      <c r="AS32" s="12"/>
      <c r="AU32" s="364"/>
      <c r="AV32" s="364"/>
      <c r="AW32" s="364"/>
    </row>
    <row r="33" spans="1:51" s="17" customFormat="1" ht="20.25" customHeight="1" outlineLevel="1">
      <c r="A33" s="12"/>
      <c r="B33" s="12"/>
      <c r="C33" s="856" t="str">
        <f>$C$3+1&amp;" Estimated Summary Statistics "</f>
        <v xml:space="preserve">2026 Estimated Summary Statistics </v>
      </c>
      <c r="D33" s="856"/>
      <c r="E33" s="856"/>
      <c r="F33" s="856"/>
      <c r="G33" s="856"/>
      <c r="H33" s="856"/>
      <c r="I33" s="856"/>
      <c r="J33" s="856"/>
      <c r="K33" s="856"/>
      <c r="L33" s="856"/>
      <c r="M33" s="856"/>
      <c r="N33" s="856"/>
      <c r="O33" s="856"/>
      <c r="P33" s="856"/>
      <c r="Q33" s="856"/>
      <c r="R33" s="856"/>
      <c r="S33" s="856"/>
      <c r="T33" s="856"/>
      <c r="U33" s="856"/>
      <c r="V33" s="856"/>
      <c r="W33" s="856"/>
      <c r="X33" s="856"/>
      <c r="Y33" s="856"/>
      <c r="Z33" s="856"/>
      <c r="AA33" s="856"/>
      <c r="AB33" s="703"/>
      <c r="AC33" s="724"/>
      <c r="AD33" s="724"/>
      <c r="AE33" s="678"/>
      <c r="AF33" s="678"/>
      <c r="AG33" s="678"/>
      <c r="AH33" s="678"/>
      <c r="AI33" s="678"/>
      <c r="AJ33" s="678"/>
      <c r="AK33" s="678"/>
      <c r="AL33" s="1364"/>
      <c r="AM33" s="1364"/>
      <c r="AN33" s="1365"/>
      <c r="AP33" s="364"/>
      <c r="AS33" s="12"/>
      <c r="AU33" s="364"/>
      <c r="AV33" s="364"/>
      <c r="AW33" s="364"/>
    </row>
    <row r="34" spans="1:51" s="17" customFormat="1" ht="20.25" customHeight="1" outlineLevel="1">
      <c r="A34" s="12"/>
      <c r="B34" s="17">
        <v>0.75</v>
      </c>
      <c r="C34" s="860" t="s">
        <v>9</v>
      </c>
      <c r="D34" s="861" t="e">
        <f t="shared" ref="D34:E36" si="46">PERCENTILE(D$8:D$27,$B34)</f>
        <v>#NUM!</v>
      </c>
      <c r="E34" s="861" t="e">
        <f t="shared" si="46"/>
        <v>#NUM!</v>
      </c>
      <c r="F34" s="862"/>
      <c r="G34" s="862"/>
      <c r="H34" s="862"/>
      <c r="I34" s="861">
        <f t="shared" ref="I34:M37" si="47">I68</f>
        <v>1456.645982</v>
      </c>
      <c r="J34" s="863">
        <f t="shared" si="47"/>
        <v>0</v>
      </c>
      <c r="K34" s="864">
        <f t="shared" si="47"/>
        <v>0</v>
      </c>
      <c r="L34" s="864">
        <f t="shared" si="47"/>
        <v>0</v>
      </c>
      <c r="M34" s="865">
        <f t="shared" si="47"/>
        <v>1654.3799165624998</v>
      </c>
      <c r="N34" s="866">
        <f>PERCENTILE(N$8:N$27,$B34)</f>
        <v>1.25</v>
      </c>
      <c r="O34" s="863" t="s">
        <v>78</v>
      </c>
      <c r="P34" s="861">
        <f t="shared" ref="P34:T37" si="48">P68</f>
        <v>3039.7769103125001</v>
      </c>
      <c r="Q34" s="863" t="s">
        <v>78</v>
      </c>
      <c r="R34" s="863" t="s">
        <v>78</v>
      </c>
      <c r="S34" s="863" t="s">
        <v>78</v>
      </c>
      <c r="T34" s="865">
        <f t="shared" si="48"/>
        <v>4125.3772087500001</v>
      </c>
      <c r="U34" s="866">
        <f>PERCENTILE(U$8:U$27,$B34)</f>
        <v>3.1183333213435462</v>
      </c>
      <c r="V34" s="863" t="s">
        <v>78</v>
      </c>
      <c r="W34" s="867">
        <f>W68</f>
        <v>7666.4194340624999</v>
      </c>
      <c r="X34" s="863">
        <f>X29</f>
        <v>364.05599999999998</v>
      </c>
      <c r="Y34" s="867">
        <f>Y29</f>
        <v>281.05399999999997</v>
      </c>
      <c r="Z34" s="863" t="s">
        <v>78</v>
      </c>
      <c r="AA34" s="867">
        <f>AA68</f>
        <v>7804.4048698312508</v>
      </c>
      <c r="AB34" s="703"/>
      <c r="AC34" s="724"/>
      <c r="AD34" s="724"/>
      <c r="AE34" s="678"/>
      <c r="AF34" s="678"/>
      <c r="AG34" s="703"/>
      <c r="AH34" s="678"/>
      <c r="AI34" s="678"/>
      <c r="AJ34" s="678"/>
      <c r="AK34" s="678"/>
      <c r="AL34" s="639"/>
      <c r="AM34" s="639"/>
      <c r="AN34" s="639"/>
      <c r="AS34" s="12"/>
      <c r="AU34" s="364"/>
      <c r="AV34" s="364"/>
      <c r="AW34" s="364"/>
    </row>
    <row r="35" spans="1:51" s="17" customFormat="1" ht="20.25" customHeight="1" outlineLevel="1">
      <c r="A35" s="12"/>
      <c r="B35" s="17">
        <v>0.5</v>
      </c>
      <c r="C35" s="868" t="s">
        <v>8</v>
      </c>
      <c r="D35" s="869" t="e">
        <f t="shared" si="46"/>
        <v>#NUM!</v>
      </c>
      <c r="E35" s="869" t="e">
        <f t="shared" si="46"/>
        <v>#NUM!</v>
      </c>
      <c r="F35" s="870"/>
      <c r="G35" s="870"/>
      <c r="H35" s="870"/>
      <c r="I35" s="869">
        <f t="shared" si="47"/>
        <v>1184.1869721850001</v>
      </c>
      <c r="J35" s="871">
        <f t="shared" si="47"/>
        <v>0</v>
      </c>
      <c r="K35" s="872">
        <f t="shared" si="47"/>
        <v>0</v>
      </c>
      <c r="L35" s="872">
        <f t="shared" si="47"/>
        <v>0</v>
      </c>
      <c r="M35" s="873">
        <f t="shared" si="47"/>
        <v>1356.9359999999999</v>
      </c>
      <c r="N35" s="874">
        <f>PERCENTILE(N$8:N$27,$B35)</f>
        <v>1.2</v>
      </c>
      <c r="O35" s="871" t="s">
        <v>78</v>
      </c>
      <c r="P35" s="869">
        <f t="shared" si="48"/>
        <v>2494.4482500000004</v>
      </c>
      <c r="Q35" s="863" t="s">
        <v>78</v>
      </c>
      <c r="R35" s="863" t="s">
        <v>78</v>
      </c>
      <c r="S35" s="863" t="s">
        <v>78</v>
      </c>
      <c r="T35" s="873">
        <f t="shared" si="48"/>
        <v>3441.4801771777607</v>
      </c>
      <c r="U35" s="874">
        <f>PERCENTILE(U$8:U$27,$B35)</f>
        <v>2.7</v>
      </c>
      <c r="V35" s="871" t="s">
        <v>78</v>
      </c>
      <c r="W35" s="875">
        <f>W69</f>
        <v>5820.2881119565227</v>
      </c>
      <c r="X35" s="871">
        <f t="shared" ref="X35:Y37" si="49">X30</f>
        <v>39.128600000000006</v>
      </c>
      <c r="Y35" s="875">
        <f t="shared" si="49"/>
        <v>163.46100000000001</v>
      </c>
      <c r="Z35" s="871" t="s">
        <v>78</v>
      </c>
      <c r="AA35" s="875">
        <f>AA69</f>
        <v>5966.3314191065219</v>
      </c>
      <c r="AB35" s="703"/>
      <c r="AC35" s="724"/>
      <c r="AD35" s="724"/>
      <c r="AE35" s="678"/>
      <c r="AF35" s="678"/>
      <c r="AG35" s="703"/>
      <c r="AH35" s="678"/>
      <c r="AI35" s="678"/>
      <c r="AJ35" s="678"/>
      <c r="AK35" s="678"/>
      <c r="AL35" s="639"/>
      <c r="AM35" s="639"/>
      <c r="AN35" s="639"/>
      <c r="AS35" s="12"/>
      <c r="AU35" s="364"/>
      <c r="AV35" s="364"/>
      <c r="AW35" s="364"/>
    </row>
    <row r="36" spans="1:51" s="17" customFormat="1" ht="20.25" customHeight="1" outlineLevel="1">
      <c r="A36" s="12"/>
      <c r="B36" s="17">
        <v>0.25</v>
      </c>
      <c r="C36" s="860" t="s">
        <v>7</v>
      </c>
      <c r="D36" s="861" t="e">
        <f t="shared" si="46"/>
        <v>#NUM!</v>
      </c>
      <c r="E36" s="861" t="e">
        <f t="shared" si="46"/>
        <v>#NUM!</v>
      </c>
      <c r="F36" s="862"/>
      <c r="G36" s="862"/>
      <c r="H36" s="862"/>
      <c r="I36" s="861">
        <f t="shared" si="47"/>
        <v>930.72417500000006</v>
      </c>
      <c r="J36" s="863">
        <f t="shared" si="47"/>
        <v>0</v>
      </c>
      <c r="K36" s="864">
        <f t="shared" si="47"/>
        <v>0</v>
      </c>
      <c r="L36" s="864">
        <f t="shared" si="47"/>
        <v>0</v>
      </c>
      <c r="M36" s="865">
        <f t="shared" si="47"/>
        <v>1140.9052187500001</v>
      </c>
      <c r="N36" s="866">
        <f>PERCENTILE(N$8:N$27,$B36)</f>
        <v>1.1000000000000001</v>
      </c>
      <c r="O36" s="863" t="s">
        <v>78</v>
      </c>
      <c r="P36" s="861">
        <f t="shared" si="48"/>
        <v>1979.3591327190002</v>
      </c>
      <c r="Q36" s="863" t="s">
        <v>78</v>
      </c>
      <c r="R36" s="863" t="s">
        <v>78</v>
      </c>
      <c r="S36" s="863" t="s">
        <v>78</v>
      </c>
      <c r="T36" s="865">
        <f t="shared" si="48"/>
        <v>2445.6684375000004</v>
      </c>
      <c r="U36" s="866">
        <f>PERCENTILE(U$8:U$27,$B36)</f>
        <v>2.3239130434782611</v>
      </c>
      <c r="V36" s="863" t="s">
        <v>78</v>
      </c>
      <c r="W36" s="867">
        <f>W70</f>
        <v>5086.6236106539409</v>
      </c>
      <c r="X36" s="863">
        <f t="shared" si="49"/>
        <v>29.346450000000001</v>
      </c>
      <c r="Y36" s="867">
        <f t="shared" si="49"/>
        <v>60.002310650000005</v>
      </c>
      <c r="Z36" s="863" t="s">
        <v>78</v>
      </c>
      <c r="AA36" s="867">
        <f>AA70</f>
        <v>5410.3526083500001</v>
      </c>
      <c r="AB36" s="703"/>
      <c r="AC36" s="724"/>
      <c r="AD36" s="724"/>
      <c r="AE36" s="678"/>
      <c r="AF36" s="678"/>
      <c r="AG36" s="678"/>
      <c r="AH36" s="678"/>
      <c r="AI36" s="678"/>
      <c r="AJ36" s="678"/>
      <c r="AK36" s="678"/>
      <c r="AL36" s="639"/>
      <c r="AM36" s="639"/>
      <c r="AN36" s="639"/>
      <c r="AS36" s="12"/>
      <c r="AU36" s="364"/>
      <c r="AV36" s="364"/>
      <c r="AW36" s="364"/>
    </row>
    <row r="37" spans="1:51" s="17" customFormat="1" ht="20.25" customHeight="1" outlineLevel="1">
      <c r="A37" s="12"/>
      <c r="B37" s="12"/>
      <c r="C37" s="876" t="s">
        <v>6</v>
      </c>
      <c r="D37" s="877" t="e">
        <f>AVERAGE(D13:D32)</f>
        <v>#NUM!</v>
      </c>
      <c r="E37" s="877" t="e">
        <f>AVERAGE(E13:E32)</f>
        <v>#NUM!</v>
      </c>
      <c r="F37" s="876"/>
      <c r="G37" s="876"/>
      <c r="H37" s="876"/>
      <c r="I37" s="877">
        <f t="shared" si="47"/>
        <v>1208.5393535615999</v>
      </c>
      <c r="J37" s="878">
        <f t="shared" si="47"/>
        <v>0</v>
      </c>
      <c r="K37" s="879">
        <f t="shared" si="47"/>
        <v>0</v>
      </c>
      <c r="L37" s="879">
        <f t="shared" si="47"/>
        <v>0</v>
      </c>
      <c r="M37" s="880">
        <f t="shared" si="47"/>
        <v>1458.8526012903501</v>
      </c>
      <c r="N37" s="881">
        <f>AVERAGE(N13:N32)</f>
        <v>1.2126190476190477</v>
      </c>
      <c r="O37" s="878" t="s">
        <v>78</v>
      </c>
      <c r="P37" s="877">
        <f t="shared" si="48"/>
        <v>2667.3919548519502</v>
      </c>
      <c r="Q37" s="863" t="s">
        <v>78</v>
      </c>
      <c r="R37" s="863" t="s">
        <v>78</v>
      </c>
      <c r="S37" s="863" t="s">
        <v>78</v>
      </c>
      <c r="T37" s="880">
        <f t="shared" si="48"/>
        <v>3369.3944911580215</v>
      </c>
      <c r="U37" s="881">
        <f>AVERAGE(U13:U32)</f>
        <v>2.6178061304320779</v>
      </c>
      <c r="V37" s="878" t="s">
        <v>78</v>
      </c>
      <c r="W37" s="882">
        <f>W71</f>
        <v>6185.7470850106838</v>
      </c>
      <c r="X37" s="878">
        <f t="shared" si="49"/>
        <v>250.06403698333335</v>
      </c>
      <c r="Y37" s="882">
        <f t="shared" si="49"/>
        <v>183.05384440769234</v>
      </c>
      <c r="Z37" s="878" t="s">
        <v>78</v>
      </c>
      <c r="AA37" s="882">
        <f>AA71</f>
        <v>6496.4058214499701</v>
      </c>
      <c r="AB37" s="703"/>
      <c r="AC37" s="724"/>
      <c r="AD37" s="724"/>
      <c r="AE37" s="678"/>
      <c r="AF37" s="678"/>
      <c r="AG37" s="678"/>
      <c r="AH37" s="678"/>
      <c r="AI37" s="678"/>
      <c r="AJ37" s="678"/>
      <c r="AK37" s="678"/>
      <c r="AL37" s="639"/>
      <c r="AM37" s="639"/>
      <c r="AN37" s="639"/>
      <c r="AS37" s="12"/>
      <c r="AU37" s="364"/>
      <c r="AV37" s="364"/>
      <c r="AW37" s="364"/>
    </row>
    <row r="38" spans="1:51" ht="7.5" customHeight="1">
      <c r="C38" s="883"/>
      <c r="D38" s="883"/>
      <c r="E38" s="883"/>
      <c r="F38" s="883"/>
      <c r="G38" s="883"/>
      <c r="H38" s="883"/>
      <c r="I38" s="884"/>
      <c r="J38" s="885"/>
      <c r="K38" s="886"/>
      <c r="L38" s="886"/>
      <c r="M38" s="884"/>
      <c r="N38" s="887"/>
      <c r="O38" s="885"/>
      <c r="P38" s="884"/>
      <c r="Q38" s="884"/>
      <c r="R38" s="887"/>
      <c r="S38" s="887"/>
      <c r="T38" s="885"/>
      <c r="U38" s="886"/>
      <c r="V38" s="885"/>
      <c r="W38" s="884"/>
      <c r="X38" s="886"/>
      <c r="Y38" s="885"/>
      <c r="Z38" s="884"/>
      <c r="AA38" s="884"/>
      <c r="AB38" s="675"/>
      <c r="AC38" s="725"/>
      <c r="AD38" s="725"/>
      <c r="AE38" s="678"/>
      <c r="AF38" s="678"/>
      <c r="AG38" s="678"/>
      <c r="AH38" s="678"/>
      <c r="AI38" s="678"/>
      <c r="AJ38" s="678"/>
      <c r="AK38" s="678"/>
      <c r="AL38" s="639"/>
      <c r="AM38" s="639"/>
      <c r="AN38" s="639"/>
      <c r="AU38" s="362"/>
      <c r="AV38" s="362"/>
      <c r="AW38" s="362"/>
    </row>
    <row r="39" spans="1:51" s="35" customFormat="1" ht="20.25" customHeight="1">
      <c r="A39" s="35" t="str">
        <f>$B39&amp;"_"&amp;$C$3&amp;"_"&amp;$C$2</f>
        <v>TSX:HBM_2025_CEO</v>
      </c>
      <c r="B39" s="35" t="str">
        <f>'Raw Data'!H6</f>
        <v>TSX:HBM</v>
      </c>
      <c r="C39" s="888" t="str">
        <f>IFERROR(INDEX(Raw_Data,MATCH($A39,Look_Up,0),MATCH(C$4,Component,0)),"-")</f>
        <v>Hudbay Minerals Inc.</v>
      </c>
      <c r="D39" s="889" t="str">
        <f>_xll.ciqfunctions.udf.CIQ(B39, "IQ_MARKETCAP", $A$1,$A$2)</f>
        <v>#PEND</v>
      </c>
      <c r="E39" s="889" t="str">
        <f>_xll.ciqfunctions.udf.CIQ($B39, "IQ_TEV", $A$1,$A$2)</f>
        <v>#PEND</v>
      </c>
      <c r="F39" s="890" t="str">
        <f>IFERROR(INDEX(Raw_Data,MATCH($A39,Look_Up,0),MATCH(F$4,Component,0)),"-")</f>
        <v>Peter Kukielski</v>
      </c>
      <c r="G39" s="890" t="str">
        <f>IFERROR(INDEX(Raw_Data,MATCH($A39,Look_Up,0),MATCH(G$4,Component,0)),"-")</f>
        <v>President &amp; CEO</v>
      </c>
      <c r="H39" s="890">
        <f>IFERROR(INDEX(Raw_Data,MATCH($A39,Look_Up,0),MATCH(H$4,Component,0))/1000,"-")</f>
        <v>1099.9010000000001</v>
      </c>
      <c r="I39" s="889">
        <f>IFERROR(INDEX(Raw_Data,MATCH($A39,Look_Up,0),MATCH(I$4,Component,0))/1000,"-")</f>
        <v>1099.9010000000001</v>
      </c>
      <c r="J39" s="889">
        <f>IFERROR(INDEX(Raw_Data,MATCH($A39,Look_Up,0),MATCH(J$4,Component,0))/1000,"-")</f>
        <v>1615.2840000000001</v>
      </c>
      <c r="K39" s="891">
        <f>IFERROR(INDEX(Raw_Data,MATCH($A39,Look_Up,0),MATCH(K$4,Component,0)),"-")</f>
        <v>1.4685721714954345</v>
      </c>
      <c r="L39" s="891">
        <f>IFERROR(INDEX(Raw_Data,MATCH($A39,Look_Up,0),MATCH(L$4,Component,0)),"-")</f>
        <v>1.5031237442913505</v>
      </c>
      <c r="M39" s="889">
        <f>IFERROR(INDEX(Raw_Data,MATCH($A39,Look_Up,0),MATCH(M$4,Component,0))/1000,"-")</f>
        <v>1319.8812</v>
      </c>
      <c r="N39" s="891">
        <f>IFERROR(IF(INDEX(Raw_Data,MATCH($A39,Look_Up,0),MATCH(N$4,Component,0))="-",L39,INDEX(Raw_Data,MATCH($A39,Look_Up,0),MATCH(N$4,Component,0))),"-")</f>
        <v>1.2</v>
      </c>
      <c r="O39" s="889" t="s">
        <v>78</v>
      </c>
      <c r="P39" s="889">
        <f>IFERROR(INDEX(Raw_Data,MATCH($A39,Look_Up,0),MATCH(P$4,Component,0))/1000,"-")</f>
        <v>2419.7822000000001</v>
      </c>
      <c r="Q39" s="889">
        <f>IFERROR(INDEX(Raw_Data,MATCH($A39,Look_Up,0),MATCH(Q$4,Component,0))/1000,"-")</f>
        <v>2775.9409999999998</v>
      </c>
      <c r="R39" s="891" t="str">
        <f>IFERROR(INDEX(Raw_Data,MATCH($A39,Look_Up,0),MATCH(R$4,Component,0)),"-")</f>
        <v>-</v>
      </c>
      <c r="S39" s="891" t="s">
        <v>78</v>
      </c>
      <c r="T39" s="889">
        <f>IFERROR(INDEX(Raw_Data,MATCH($A39,Look_Up,0),MATCH(T$4,Component,0))/1000,"-")</f>
        <v>2914.73765</v>
      </c>
      <c r="U39" s="891">
        <f>IFERROR(IF(INDEX(Raw_Data,MATCH($A39,Look_Up,0),MATCH(U$4,Component,0))="-",S39,INDEX(Raw_Data,MATCH($A39,Look_Up,0),MATCH(U$4,Component,0))),"-")</f>
        <v>2.65</v>
      </c>
      <c r="V39" s="889" t="s">
        <v>78</v>
      </c>
      <c r="W39" s="889">
        <f>IFERROR(INDEX(Raw_Data,MATCH($A39,Look_Up,0),MATCH(W$4,Component,0))/1000,"-")</f>
        <v>5334.5198499999997</v>
      </c>
      <c r="X39" s="892">
        <f>IFERROR((INDEX(Raw_Data,MATCH($A39,Look_Up,0),MATCH(X$4,Component,0))/1000),"-")</f>
        <v>91.893000000000001</v>
      </c>
      <c r="Y39" s="889" t="str">
        <f>IFERROR((INDEX(Raw_Data,MATCH($A39,Look_Up,0),MATCH(Y$4,Component,0))/1000),"-")</f>
        <v>-</v>
      </c>
      <c r="Z39" s="889">
        <f>IFERROR(INDEX(Raw_Data,MATCH($A39,Look_Up,0),MATCH(Z$4,Component,0))/1000,"-")</f>
        <v>5583.0190000000002</v>
      </c>
      <c r="AA39" s="893">
        <f>IFERROR(INDEX(Raw_Data,MATCH($A39,Look_Up,0),MATCH(AA$4,Component,0))/1000,"-")</f>
        <v>5426.4128499999997</v>
      </c>
      <c r="AB39" s="736"/>
      <c r="AC39" s="737">
        <f>IFERROR(P39/W39,0)</f>
        <v>0.45360824742268047</v>
      </c>
      <c r="AD39" s="738">
        <f>IFERROR(T39/W39,0)</f>
        <v>0.54639175257731964</v>
      </c>
      <c r="AE39" s="678" t="str">
        <f>B39&amp;"_"&amp;$AE$6&amp;"_"&amp;$C$2</f>
        <v>TSX:HBM_2024_CEO</v>
      </c>
      <c r="AF39" s="678"/>
      <c r="AG39" s="678"/>
      <c r="AH39" s="678"/>
      <c r="AI39" s="678"/>
      <c r="AJ39" s="678"/>
      <c r="AK39" s="678"/>
      <c r="AL39" s="639"/>
      <c r="AM39" s="639"/>
      <c r="AN39" s="639"/>
      <c r="AS39" s="12" t="str">
        <f>C39</f>
        <v>Hudbay Minerals Inc.</v>
      </c>
      <c r="AT39" s="12" t="s">
        <v>454</v>
      </c>
      <c r="AU39" s="362" t="e">
        <f>_xll.ciqfunctions.udf.CIQ(B39,"IQ_TOTAL_ASSETS",IQ_LTM,$AU$6,,,"CAD")/1000</f>
        <v>#VALUE!</v>
      </c>
      <c r="AV39" s="362">
        <f>(1017015+1906903+635634+1632919)/1000000</f>
        <v>5.1924710000000003</v>
      </c>
      <c r="AW39" s="362">
        <f>4779971/1000000</f>
        <v>4.7799709999999997</v>
      </c>
    </row>
    <row r="40" spans="1:51" ht="20.25" customHeight="1">
      <c r="B40" s="33"/>
      <c r="C40" s="894" t="s">
        <v>5</v>
      </c>
      <c r="D40" s="895" t="str">
        <f>IF(D$39&gt;=MAX(D$8:D$27),"max",IF(D$39&lt;=MIN(D$8:D$27),"min",PERCENTRANK(D$8:D$27,D$39)))</f>
        <v>max</v>
      </c>
      <c r="E40" s="895" t="str">
        <f>IF(E$39&gt;=MAX(E$8:E$27),"max",IF(E$39&lt;=MIN(E$8:E$27),"min",PERCENTRANK(E$8:E$27,E$39)))</f>
        <v>max</v>
      </c>
      <c r="F40" s="896"/>
      <c r="G40" s="896"/>
      <c r="H40" s="896"/>
      <c r="I40" s="895">
        <f>IF(I$39&gt;=MAX(I$47:I$66),"max",IF(I$39&lt;=MIN(I$47:I$66),"min",PERCENTRANK(I$47:I$66,I$39)))</f>
        <v>0.41199999999999998</v>
      </c>
      <c r="J40" s="895">
        <f>IF(J$39&gt;=MAX(J$8:J$27),"max",IF(J$39&lt;=MIN(J$8:J$27),"min",PERCENTRANK(J$8:J$27,J$39)))</f>
        <v>0.54800000000000004</v>
      </c>
      <c r="K40" s="895">
        <f>IF(K$39&gt;=MAX(K$8:K$27),"max",IF(K$39&lt;=MIN(K$8:K$27),"min",PERCENTRANK(K$8:K$27,K$39)))</f>
        <v>0.499</v>
      </c>
      <c r="L40" s="895">
        <f>IF(L$39&gt;=MAX(L$8:L$27),"max",IF(L$39&lt;=MIN(L$8:L$27),"min",PERCENTRANK(L$8:L$27,L$39)))</f>
        <v>0.71799999999999997</v>
      </c>
      <c r="M40" s="895">
        <f>IF(M$39&gt;=MAX(M$47:M$66),"max",IF(M$39&lt;=MIN(M$47:M$66),"min",PERCENTRANK(M$47:M$66,M$39)))</f>
        <v>0.44700000000000001</v>
      </c>
      <c r="N40" s="895">
        <f>IF(N$39&gt;=MAX(N$8:N$27),"max",IF(N$39&lt;=MIN(N$8:N$27),"min",PERCENTRANK(N$8:N$27,N$39)))</f>
        <v>0.5</v>
      </c>
      <c r="O40" s="895" t="s">
        <v>78</v>
      </c>
      <c r="P40" s="895">
        <f>IF(P$39&gt;=MAX(P$47:P$66),"max",IF(P$39&lt;=MIN(P$47:P$66),"min",PERCENTRANK(P$47:P$66,P$39)))</f>
        <v>0.41299999999999998</v>
      </c>
      <c r="Q40" s="895">
        <f>IF(Q$39&gt;=MAX(Q$8:Q$27),"max",IF(Q$39&lt;=MIN(Q$8:Q$27),"min",PERCENTRANK(Q$8:Q$27,Q$39)))</f>
        <v>0.32200000000000001</v>
      </c>
      <c r="R40" s="895" t="str">
        <f>IF(R$39&gt;=MAX(R$8:R$27),"max",IF(R$39&lt;=MIN(R$8:R$27),"min",PERCENTRANK(R$8:R$27,R$39)))</f>
        <v>max</v>
      </c>
      <c r="S40" s="895" t="str">
        <f>IF(S$39&gt;=MAX(S$8:S$27),"max",IF(S$39&lt;=MIN(S$8:S$27),"min",PERCENTRANK(S$8:S$27,S$39)))</f>
        <v>max</v>
      </c>
      <c r="T40" s="895">
        <f>IF(T$39&gt;=MAX(T$47:T$66),"max",IF(T$39&lt;=MIN(T$47:T$66),"min",PERCENTRANK(T$47:T$66,T$39)))</f>
        <v>0.32800000000000001</v>
      </c>
      <c r="U40" s="895">
        <f>IF(U$39&gt;=MAX(U$8:U$27),"max",IF(U$39&lt;=MIN(U$8:U$27),"min",PERCENTRANK(U$8:U$27,U$39)))</f>
        <v>0.48199999999999998</v>
      </c>
      <c r="V40" s="895" t="s">
        <v>78</v>
      </c>
      <c r="W40" s="895">
        <f>IF(W$39&gt;=MAX(W$47:W$66),"max",IF(W$39&lt;=MIN(W$47:W$66),"min",PERCENTRANK(W$47:W$66,W$39)))</f>
        <v>0.29199999999999998</v>
      </c>
      <c r="X40" s="895">
        <f>IF(X$39&gt;=MAX(X$8:X$27),"max",IF(X$39&lt;=MIN(X$8:X$27),"min",PERCENTRANK(X$8:X$27,X$39)))</f>
        <v>0.52800000000000002</v>
      </c>
      <c r="Y40" s="895" t="str">
        <f>IF(Y$39&gt;=MAX(Y$8:Y$27),"max",IF(Y$39&lt;=MIN(Y$8:Y$27),"min",PERCENTRANK(Y$8:Y$27,Y$39)))</f>
        <v>max</v>
      </c>
      <c r="Z40" s="895">
        <f>IF(Z$39&gt;=MAX(Z$8:Z$27),"max",IF(Z$39&lt;=MIN(Z$8:Z$27),"min",PERCENTRANK(Z$8:Z$27,Z$39)))</f>
        <v>0.3</v>
      </c>
      <c r="AA40" s="897">
        <f>IF(AA$39&gt;=MAX(AA$47:AA$66),"max",IF(AA$39&lt;=MIN(AA$47:AA$66),"min",PERCENTRANK(AA$47:AA$66,AA$39)))</f>
        <v>0.254</v>
      </c>
      <c r="AB40" s="675"/>
      <c r="AC40" s="1217">
        <f>IF(AC$39&gt;=MAX(AC$8:AC27),"max",IF(AC$39&lt;=MIN(AC$8:AC27),"min",PERCENTRANK(AC$8:AC27,AC$39)))</f>
        <v>0.63600000000000001</v>
      </c>
      <c r="AD40" s="1218">
        <f>IF(AD$39&gt;=MAX(AD$8:AD27),"max",IF(AD$39&lt;=MIN(AD$8:AD27),"min",PERCENTRANK(AD$8:AD27,AD$39)))</f>
        <v>0.36299999999999999</v>
      </c>
      <c r="AE40" s="678"/>
      <c r="AF40" s="678"/>
      <c r="AG40" s="678"/>
      <c r="AH40" s="678"/>
      <c r="AI40" s="678"/>
      <c r="AJ40" s="678"/>
      <c r="AK40" s="678"/>
      <c r="AL40" s="639"/>
      <c r="AM40" s="639"/>
      <c r="AN40" s="639"/>
      <c r="AV40" s="643" t="s">
        <v>456</v>
      </c>
      <c r="AW40" s="643" t="s">
        <v>455</v>
      </c>
    </row>
    <row r="41" spans="1:51" ht="17.25" customHeight="1">
      <c r="B41" s="33"/>
      <c r="C41" s="286"/>
      <c r="D41" s="286"/>
      <c r="E41" s="259"/>
      <c r="F41" s="259"/>
      <c r="G41" s="259"/>
      <c r="H41" s="259"/>
      <c r="I41" s="275"/>
      <c r="J41" s="275"/>
      <c r="K41" s="275"/>
      <c r="L41" s="275"/>
      <c r="M41" s="275"/>
      <c r="N41" s="275"/>
      <c r="O41" s="275"/>
      <c r="P41" s="275"/>
      <c r="Q41" s="275"/>
      <c r="R41" s="275"/>
      <c r="S41" s="275"/>
      <c r="T41" s="275"/>
      <c r="U41" s="275"/>
      <c r="V41" s="1085" t="s">
        <v>779</v>
      </c>
      <c r="W41" s="1101">
        <f>W39</f>
        <v>5334.5198499999997</v>
      </c>
      <c r="X41" s="275"/>
      <c r="Y41" s="275" t="s">
        <v>783</v>
      </c>
      <c r="Z41" s="1091">
        <f>'Raw Data'!S32/'Raw Data'!Q32 -1</f>
        <v>4.9999761342211402E-2</v>
      </c>
      <c r="AA41" s="275"/>
      <c r="AC41" s="259"/>
      <c r="AD41" s="259"/>
      <c r="AE41" s="316"/>
      <c r="AF41" s="316"/>
      <c r="AG41" s="316"/>
      <c r="AH41" s="316"/>
      <c r="AI41" s="316"/>
      <c r="AJ41" s="316"/>
      <c r="AK41" s="316"/>
    </row>
    <row r="42" spans="1:51" ht="15" customHeight="1">
      <c r="B42" s="33"/>
      <c r="C42" s="286" t="s">
        <v>243</v>
      </c>
      <c r="D42" s="286"/>
      <c r="E42" s="259"/>
      <c r="F42" s="259"/>
      <c r="G42" s="259"/>
      <c r="H42" s="259"/>
      <c r="I42" s="275"/>
      <c r="J42" s="275"/>
      <c r="K42" s="275"/>
      <c r="L42" s="275"/>
      <c r="M42" s="275"/>
      <c r="N42" s="275"/>
      <c r="O42" s="275"/>
      <c r="P42" s="275"/>
      <c r="Q42" s="275"/>
      <c r="R42" s="275"/>
      <c r="S42" s="275"/>
      <c r="T42" s="316"/>
      <c r="U42" s="275"/>
      <c r="V42" s="1085" t="s">
        <v>780</v>
      </c>
      <c r="W42" s="1086">
        <f>PERCENTRANK(W47:W66,W41)</f>
        <v>0.29199999999999998</v>
      </c>
      <c r="X42" s="275"/>
      <c r="Y42" s="275"/>
      <c r="Z42" s="275"/>
      <c r="AA42" s="275"/>
      <c r="AC42" s="259"/>
      <c r="AD42" s="259"/>
      <c r="AE42" s="316"/>
      <c r="AF42" s="316"/>
      <c r="AG42" s="259"/>
      <c r="AH42" s="537"/>
      <c r="AI42" s="316"/>
      <c r="AJ42" s="316"/>
      <c r="AK42" s="316"/>
      <c r="AT42" s="12" t="s">
        <v>458</v>
      </c>
    </row>
    <row r="43" spans="1:51" ht="25">
      <c r="B43" s="15"/>
      <c r="C43" s="284"/>
      <c r="D43" s="284"/>
      <c r="E43" s="284"/>
      <c r="F43" s="284"/>
      <c r="G43" s="284"/>
      <c r="H43" s="284"/>
      <c r="I43" s="284"/>
      <c r="J43" s="284"/>
      <c r="K43" s="284"/>
      <c r="L43" s="284"/>
      <c r="M43" s="284"/>
      <c r="N43" s="284"/>
      <c r="O43" s="284"/>
      <c r="P43" s="284"/>
      <c r="Q43" s="284"/>
      <c r="R43" s="284"/>
      <c r="S43" s="284"/>
      <c r="T43" s="532"/>
      <c r="U43" s="284"/>
      <c r="V43" s="1087" t="s">
        <v>781</v>
      </c>
      <c r="W43" s="1088">
        <f>W35-W39</f>
        <v>485.76826195652302</v>
      </c>
      <c r="X43" s="284"/>
      <c r="Y43" s="284"/>
      <c r="Z43" s="284"/>
      <c r="AA43" s="284"/>
      <c r="AC43" s="258"/>
      <c r="AD43" s="258"/>
      <c r="AH43" s="538"/>
      <c r="AT43" s="12" t="s">
        <v>457</v>
      </c>
      <c r="AV43" s="644">
        <f>MIN(AV$9,AV$12,AV$20)</f>
        <v>0</v>
      </c>
      <c r="AW43" s="644">
        <f>MIN(AW$9,AW$12,AW$20)</f>
        <v>0</v>
      </c>
    </row>
    <row r="44" spans="1:51">
      <c r="B44" s="15"/>
      <c r="C44" s="14"/>
      <c r="D44" s="14"/>
      <c r="E44" s="14"/>
      <c r="F44" s="14"/>
      <c r="G44" s="14"/>
      <c r="H44" s="14"/>
      <c r="I44" s="14"/>
      <c r="J44" s="14"/>
      <c r="K44" s="14"/>
      <c r="L44" s="14"/>
      <c r="M44" s="14"/>
      <c r="N44" s="14"/>
      <c r="O44" s="14"/>
      <c r="P44" s="14"/>
      <c r="Q44" s="14"/>
      <c r="R44" s="14"/>
      <c r="S44" s="14"/>
      <c r="T44" s="14"/>
      <c r="U44" s="14"/>
      <c r="V44" s="1089" t="s">
        <v>782</v>
      </c>
      <c r="W44" s="1090">
        <f>W39/W35 -1</f>
        <v>-8.3461205461395793E-2</v>
      </c>
      <c r="X44" s="14"/>
      <c r="Y44" s="14"/>
      <c r="Z44" s="14"/>
      <c r="AA44" s="14"/>
      <c r="AC44" s="27"/>
      <c r="AD44" s="27"/>
      <c r="AT44" s="12" t="s">
        <v>459</v>
      </c>
      <c r="AV44" s="644">
        <f>MAX(AV$9,AV$12,AV$20)</f>
        <v>0</v>
      </c>
      <c r="AW44" s="644">
        <f>MAX(AW$9,AW$12,AW$20)</f>
        <v>0</v>
      </c>
    </row>
    <row r="45" spans="1:51">
      <c r="B45" s="15"/>
      <c r="C45" s="305" t="s">
        <v>110</v>
      </c>
      <c r="D45" s="313"/>
      <c r="E45" s="306"/>
      <c r="F45" s="306"/>
      <c r="G45" s="306"/>
      <c r="H45" s="306"/>
      <c r="I45" s="306"/>
      <c r="J45" s="306"/>
      <c r="K45" s="306"/>
      <c r="L45" s="306"/>
      <c r="M45" s="306"/>
      <c r="N45" s="306"/>
      <c r="O45" s="306"/>
      <c r="P45" s="306"/>
      <c r="Q45" s="306"/>
      <c r="R45" s="306"/>
      <c r="S45" s="306"/>
      <c r="T45" s="306"/>
      <c r="U45" s="306"/>
      <c r="V45" s="306"/>
      <c r="W45" s="306"/>
      <c r="X45" s="306"/>
      <c r="Y45" s="306"/>
      <c r="Z45" s="306"/>
      <c r="AA45" s="306"/>
      <c r="AC45" s="307"/>
      <c r="AD45" s="307"/>
      <c r="AE45" s="308"/>
      <c r="AF45" s="308"/>
      <c r="AG45" s="308"/>
      <c r="AH45" s="308"/>
      <c r="AI45" s="308"/>
      <c r="AJ45" s="308"/>
      <c r="AK45" s="308"/>
      <c r="AT45" s="12" t="s">
        <v>460</v>
      </c>
      <c r="AX45" s="591"/>
      <c r="AY45" s="591" t="e">
        <f>AVERAGE(AY$9,AY$12,AY$20)</f>
        <v>#DIV/0!</v>
      </c>
    </row>
    <row r="46" spans="1:51">
      <c r="B46" s="15"/>
      <c r="C46" s="297" t="s">
        <v>111</v>
      </c>
      <c r="E46" s="14"/>
      <c r="F46" s="14"/>
      <c r="G46" s="315" t="s">
        <v>119</v>
      </c>
      <c r="H46" s="314" t="s">
        <v>115</v>
      </c>
      <c r="I46" s="314" t="s">
        <v>116</v>
      </c>
      <c r="J46" s="314"/>
      <c r="K46" s="314"/>
      <c r="L46" s="314"/>
      <c r="M46" s="314" t="s">
        <v>16</v>
      </c>
      <c r="O46" s="314"/>
      <c r="P46" s="314" t="s">
        <v>117</v>
      </c>
      <c r="Q46" s="314"/>
      <c r="R46" s="314"/>
      <c r="S46" s="314"/>
      <c r="T46" s="314" t="s">
        <v>14</v>
      </c>
      <c r="V46" s="314"/>
      <c r="W46" s="314" t="s">
        <v>118</v>
      </c>
      <c r="Y46" s="314"/>
      <c r="Z46" s="314"/>
      <c r="AA46" s="314" t="s">
        <v>246</v>
      </c>
      <c r="AC46" s="27"/>
      <c r="AD46" s="27"/>
      <c r="AT46" s="12" t="s">
        <v>453</v>
      </c>
      <c r="AX46" s="591"/>
      <c r="AY46" s="591"/>
    </row>
    <row r="47" spans="1:51" ht="14.5">
      <c r="A47" s="295" t="str">
        <f t="shared" ref="A47:B66" si="50">A8</f>
        <v>TSX:FM_2025_CEO</v>
      </c>
      <c r="B47" s="295" t="str">
        <f t="shared" si="50"/>
        <v>TSX:FM</v>
      </c>
      <c r="C47" s="296" t="str">
        <f>_xll.ciqfunctions.udf.CIQ(B47,"IQ_COMPANY_NAME")</f>
        <v>#PEND</v>
      </c>
      <c r="E47" s="14"/>
      <c r="F47" s="14"/>
      <c r="G47" s="294" t="s">
        <v>398</v>
      </c>
      <c r="H47" s="303">
        <f t="shared" ref="H47:H66" si="51">IFERROR(INDEX(Raw_Data,MATCH($A47,Look_Up,0),MATCH(H$4,Component,0))/1000,"-")</f>
        <v>1872.5830000000001</v>
      </c>
      <c r="I47" s="303">
        <f>IFERROR(IF(G47="y",IF(H47&lt;&gt;"-",H47,INDEX(Raw_Data,MATCH($A47,Look_Up,0),MATCH(I$4,Component,0))/1000*(1+'Raw Data'!$H$13)),(INDEX(Raw_Data,MATCH($A47,Look_Up,0),MATCH(I$4,Component,0))/1000)),"-")</f>
        <v>1872.5830000000001</v>
      </c>
      <c r="J47" s="361"/>
      <c r="K47" s="361"/>
      <c r="L47" s="361"/>
      <c r="M47" s="303">
        <f t="shared" ref="M47:M66" si="52">IFERROR(I47*N8,"-")</f>
        <v>1872.5830000000001</v>
      </c>
      <c r="N47" s="362"/>
      <c r="O47" s="361"/>
      <c r="P47" s="303">
        <f>IFERROR(IF(SUM(M47,I47)=0,"-",SUM(M47,I47)),"-")</f>
        <v>3745.1660000000002</v>
      </c>
      <c r="Q47" s="361"/>
      <c r="R47" s="361"/>
      <c r="S47" s="361"/>
      <c r="T47" s="303">
        <f t="shared" ref="T47:T66" si="53">IFERROR(I47*U8,"-")</f>
        <v>4213.3117499999998</v>
      </c>
      <c r="U47" s="362"/>
      <c r="V47" s="361"/>
      <c r="W47" s="303">
        <f>IFERROR(IF(SUM(T47,P47)=0,"-",SUM(T47,P47)),"-")</f>
        <v>7958.47775</v>
      </c>
      <c r="X47" s="362"/>
      <c r="Y47" s="361"/>
      <c r="Z47" s="361"/>
      <c r="AA47" s="303">
        <f t="shared" ref="AA47:AA60" si="54">IFERROR(IF(SUM(W47,X8,Y8)=0,"-",SUM(W47,X8,Y8)),"-")</f>
        <v>8136.9740384999996</v>
      </c>
      <c r="AB47" s="591">
        <f t="shared" ref="AB47:AB60" si="55">AA47/AA8-1</f>
        <v>3.0073964261516206E-2</v>
      </c>
      <c r="AT47" s="12" t="s">
        <v>457</v>
      </c>
      <c r="AV47" s="644">
        <f>MIN(AV$8,AV$10:AV$11,AV$13:AV$19,AV$21)</f>
        <v>0</v>
      </c>
      <c r="AW47" s="644">
        <f>MIN(AW$8,AW$10:AW$11,AW$13:AW$19,AW$21)</f>
        <v>0</v>
      </c>
      <c r="AX47" s="591"/>
      <c r="AY47" s="591"/>
    </row>
    <row r="48" spans="1:51" ht="14.5">
      <c r="A48" s="295" t="str">
        <f t="shared" si="50"/>
        <v>TSX:K_2025_CEO</v>
      </c>
      <c r="B48" s="295" t="str">
        <f t="shared" si="50"/>
        <v>TSX:K</v>
      </c>
      <c r="C48" s="296" t="str">
        <f>_xll.ciqfunctions.udf.CIQ(B48,"IQ_COMPANY_NAME")</f>
        <v>#PEND</v>
      </c>
      <c r="E48" s="14"/>
      <c r="F48" s="14"/>
      <c r="G48" s="294" t="s">
        <v>398</v>
      </c>
      <c r="H48" s="262" t="str">
        <f t="shared" si="51"/>
        <v>-</v>
      </c>
      <c r="I48" s="262">
        <f>IFERROR(IF(G48="y",IF(H48&lt;&gt;"-",H48,INDEX(Raw_Data,MATCH($A48,Look_Up,0),MATCH(I$4,Component,0))/1000*(1+'Raw Data'!$H$13)),(INDEX(Raw_Data,MATCH($A48,Look_Up,0),MATCH(I$4,Component,0))/1000)),"-")</f>
        <v>1785.2837395200002</v>
      </c>
      <c r="J48" s="361"/>
      <c r="K48" s="361"/>
      <c r="L48" s="361"/>
      <c r="M48" s="262">
        <f t="shared" si="52"/>
        <v>2677.9256092800001</v>
      </c>
      <c r="N48" s="362"/>
      <c r="O48" s="361"/>
      <c r="P48" s="262">
        <f t="shared" ref="P48:P66" si="56">IFERROR(IF(SUM(M48,I48)=0,"-",SUM(M48,I48)),"-")</f>
        <v>4463.2093488</v>
      </c>
      <c r="Q48" s="361"/>
      <c r="R48" s="361"/>
      <c r="S48" s="361"/>
      <c r="T48" s="262">
        <f t="shared" si="53"/>
        <v>5629.5950762039947</v>
      </c>
      <c r="U48" s="362"/>
      <c r="V48" s="361"/>
      <c r="W48" s="262">
        <f t="shared" ref="W48:W66" si="57">IFERROR(IF(SUM(T48,P48)=0,"-",SUM(T48,P48)),"-")</f>
        <v>10092.804425003995</v>
      </c>
      <c r="X48" s="362"/>
      <c r="Y48" s="361"/>
      <c r="Z48" s="361"/>
      <c r="AA48" s="262">
        <f t="shared" si="54"/>
        <v>11293.364899603994</v>
      </c>
      <c r="AB48" s="591">
        <f t="shared" si="55"/>
        <v>2.6725565471960699E-2</v>
      </c>
      <c r="AT48" s="12" t="s">
        <v>459</v>
      </c>
      <c r="AV48" s="644">
        <f>MAX(AV$8,AV$10:AV$11,AV$13:AV$19,AV$21)</f>
        <v>0</v>
      </c>
      <c r="AW48" s="644">
        <f>MAX(AW$8,AW$10:AW$11,AW$13:AW$19,AW$21)</f>
        <v>0</v>
      </c>
      <c r="AX48" s="591"/>
      <c r="AY48" s="591"/>
    </row>
    <row r="49" spans="1:51" ht="14.5">
      <c r="A49" s="295" t="str">
        <f t="shared" si="50"/>
        <v>TSX:LUN_2025_CEO</v>
      </c>
      <c r="B49" s="295" t="str">
        <f t="shared" si="50"/>
        <v>TSX:LUN</v>
      </c>
      <c r="C49" s="296" t="str">
        <f>_xll.ciqfunctions.udf.CIQ(B49,"IQ_COMPANY_NAME")</f>
        <v>#PEND</v>
      </c>
      <c r="E49" s="14"/>
      <c r="F49" s="14"/>
      <c r="G49" s="294" t="s">
        <v>398</v>
      </c>
      <c r="H49" s="262">
        <f t="shared" si="51"/>
        <v>900</v>
      </c>
      <c r="I49" s="262">
        <f>IFERROR(IF(G49="y",IF(H49&lt;&gt;"-",H49,INDEX(Raw_Data,MATCH($A49,Look_Up,0),MATCH(I$4,Component,0))/1000*(1+'Raw Data'!$H$13)),(INDEX(Raw_Data,MATCH($A49,Look_Up,0),MATCH(I$4,Component,0))/1000)),"-")</f>
        <v>900</v>
      </c>
      <c r="J49" s="361"/>
      <c r="K49" s="361"/>
      <c r="L49" s="361"/>
      <c r="M49" s="262">
        <f t="shared" si="52"/>
        <v>1080</v>
      </c>
      <c r="N49" s="362"/>
      <c r="O49" s="361"/>
      <c r="P49" s="262">
        <f t="shared" si="56"/>
        <v>1980</v>
      </c>
      <c r="Q49" s="361"/>
      <c r="R49" s="361"/>
      <c r="S49" s="361"/>
      <c r="T49" s="262">
        <f t="shared" si="53"/>
        <v>3600</v>
      </c>
      <c r="U49" s="362"/>
      <c r="V49" s="361"/>
      <c r="W49" s="262">
        <f t="shared" si="57"/>
        <v>5580</v>
      </c>
      <c r="X49" s="362"/>
      <c r="Y49" s="361"/>
      <c r="Z49" s="361"/>
      <c r="AA49" s="262">
        <f t="shared" si="54"/>
        <v>5622.9464334000004</v>
      </c>
      <c r="AB49" s="591">
        <f t="shared" si="55"/>
        <v>5.8348037926973184E-2</v>
      </c>
      <c r="AT49" s="12" t="s">
        <v>460</v>
      </c>
      <c r="AX49" s="591"/>
      <c r="AY49" s="591" t="e">
        <f>AVERAGE(AY$8,AY$10:AY$11,AY$13:AY$19,AY$21)</f>
        <v>#DIV/0!</v>
      </c>
    </row>
    <row r="50" spans="1:51" ht="14.5">
      <c r="A50" s="295" t="str">
        <f t="shared" si="50"/>
        <v>TSX:PAAS_2025_CEO</v>
      </c>
      <c r="B50" s="295" t="str">
        <f t="shared" si="50"/>
        <v>TSX:PAAS</v>
      </c>
      <c r="C50" s="296" t="str">
        <f>_xll.ciqfunctions.udf.CIQ(B50,"IQ_COMPANY_NAME")</f>
        <v>#PEND</v>
      </c>
      <c r="G50" s="294" t="s">
        <v>398</v>
      </c>
      <c r="H50" s="262" t="str">
        <f t="shared" si="51"/>
        <v>-</v>
      </c>
      <c r="I50" s="262">
        <f>IFERROR(IF(G50="y",IF(H50&lt;&gt;"-",H50,INDEX(Raw_Data,MATCH($A50,Look_Up,0),MATCH(I$4,Component,0))/1000*(1+'Raw Data'!$H$13)),(INDEX(Raw_Data,MATCH($A50,Look_Up,0),MATCH(I$4,Component,0))/1000)),"-")</f>
        <v>1609.1690000000001</v>
      </c>
      <c r="J50" s="362"/>
      <c r="K50" s="362"/>
      <c r="L50" s="362"/>
      <c r="M50" s="262">
        <f t="shared" si="52"/>
        <v>2011.4612500000001</v>
      </c>
      <c r="N50" s="362"/>
      <c r="O50" s="362"/>
      <c r="P50" s="262">
        <f t="shared" si="56"/>
        <v>3620.6302500000002</v>
      </c>
      <c r="Q50" s="362"/>
      <c r="R50" s="362"/>
      <c r="S50" s="362"/>
      <c r="T50" s="262">
        <f t="shared" si="53"/>
        <v>4827.5070000000005</v>
      </c>
      <c r="U50" s="362"/>
      <c r="V50" s="362"/>
      <c r="W50" s="262">
        <f t="shared" si="57"/>
        <v>8448.1372499999998</v>
      </c>
      <c r="X50" s="362"/>
      <c r="Y50" s="362"/>
      <c r="Z50" s="362"/>
      <c r="AA50" s="262">
        <f t="shared" si="54"/>
        <v>9151.1722499999996</v>
      </c>
      <c r="AB50" s="591">
        <f t="shared" si="55"/>
        <v>2.7631578947368229E-2</v>
      </c>
    </row>
    <row r="51" spans="1:51" ht="14.5">
      <c r="A51" s="295" t="str">
        <f t="shared" si="50"/>
        <v>TSX:CDE_2025_CEO</v>
      </c>
      <c r="B51" s="295" t="str">
        <f t="shared" si="50"/>
        <v>TSX:CDE</v>
      </c>
      <c r="C51" s="296" t="str">
        <f>_xll.ciqfunctions.udf.CIQ(B51,"IQ_COMPANY_NAME")</f>
        <v>#PEND</v>
      </c>
      <c r="G51" s="294" t="s">
        <v>398</v>
      </c>
      <c r="H51" s="262" t="str">
        <f t="shared" si="51"/>
        <v>-</v>
      </c>
      <c r="I51" s="262">
        <f>IFERROR(IF(G51="y",IF(H51&lt;&gt;"-",H51,INDEX(Raw_Data,MATCH($A51,Look_Up,0),MATCH(I$4,Component,0))/1000*(1+'Raw Data'!$H$13)),(INDEX(Raw_Data,MATCH($A51,Look_Up,0),MATCH(I$4,Component,0))/1000)),"-")</f>
        <v>1223.4674749999999</v>
      </c>
      <c r="J51" s="362"/>
      <c r="K51" s="362"/>
      <c r="L51" s="362"/>
      <c r="M51" s="262">
        <f t="shared" si="52"/>
        <v>1529.3343437499998</v>
      </c>
      <c r="N51" s="362"/>
      <c r="O51" s="362"/>
      <c r="P51" s="262">
        <f t="shared" si="56"/>
        <v>2752.8018187499997</v>
      </c>
      <c r="Q51" s="362"/>
      <c r="R51" s="362"/>
      <c r="S51" s="362"/>
      <c r="T51" s="262">
        <f t="shared" si="53"/>
        <v>4037.4426674999995</v>
      </c>
      <c r="U51" s="362"/>
      <c r="V51" s="362"/>
      <c r="W51" s="262">
        <f t="shared" si="57"/>
        <v>6790.2444862499997</v>
      </c>
      <c r="X51" s="362"/>
      <c r="Y51" s="362"/>
      <c r="Z51" s="362"/>
      <c r="AA51" s="262">
        <f t="shared" si="54"/>
        <v>7014.0321292499993</v>
      </c>
      <c r="AB51" s="591">
        <f t="shared" si="55"/>
        <v>2.9015056461731303E-2</v>
      </c>
    </row>
    <row r="52" spans="1:51" ht="14.5">
      <c r="A52" s="295" t="str">
        <f t="shared" si="50"/>
        <v>TSX:AGI_2025_CEO</v>
      </c>
      <c r="B52" s="295" t="str">
        <f t="shared" si="50"/>
        <v>TSX:AGI</v>
      </c>
      <c r="C52" s="296" t="str">
        <f>_xll.ciqfunctions.udf.CIQ(B52,"IQ_COMPANY_NAME")</f>
        <v>#PEND</v>
      </c>
      <c r="G52" s="294" t="s">
        <v>398</v>
      </c>
      <c r="H52" s="262" t="str">
        <f t="shared" si="51"/>
        <v>-</v>
      </c>
      <c r="I52" s="262">
        <f>IFERROR(IF(G52="y",IF(H52&lt;&gt;"-",H52,INDEX(Raw_Data,MATCH($A52,Look_Up,0),MATCH(I$4,Component,0))/1000*(1+'Raw Data'!$H$13)),(INDEX(Raw_Data,MATCH($A52,Look_Up,0),MATCH(I$4,Component,0))/1000)),"-")</f>
        <v>1184.1869721850001</v>
      </c>
      <c r="J52" s="362"/>
      <c r="K52" s="362"/>
      <c r="L52" s="362"/>
      <c r="M52" s="262">
        <f t="shared" si="52"/>
        <v>1480.23371523125</v>
      </c>
      <c r="N52" s="362"/>
      <c r="O52" s="362"/>
      <c r="P52" s="262">
        <f t="shared" si="56"/>
        <v>2664.4206874162501</v>
      </c>
      <c r="Q52" s="362"/>
      <c r="R52" s="362"/>
      <c r="S52" s="362"/>
      <c r="T52" s="262">
        <f t="shared" si="53"/>
        <v>3651.2429030755193</v>
      </c>
      <c r="U52" s="362"/>
      <c r="V52" s="362"/>
      <c r="W52" s="262">
        <f t="shared" si="57"/>
        <v>6315.6635904917694</v>
      </c>
      <c r="X52" s="362"/>
      <c r="Y52" s="362"/>
      <c r="Z52" s="362"/>
      <c r="AA52" s="262">
        <f t="shared" si="54"/>
        <v>6684.7035839417695</v>
      </c>
      <c r="AB52" s="591">
        <f t="shared" si="55"/>
        <v>2.8296935580138127E-2</v>
      </c>
    </row>
    <row r="53" spans="1:51" ht="14.5">
      <c r="A53" s="295" t="str">
        <f t="shared" si="50"/>
        <v>NYSE:HL_2025_CEO</v>
      </c>
      <c r="B53" s="295" t="str">
        <f t="shared" si="50"/>
        <v>NYSE:HL</v>
      </c>
      <c r="C53" s="296" t="str">
        <f>_xll.ciqfunctions.udf.CIQ(B53,"IQ_COMPANY_NAME")</f>
        <v>#PEND</v>
      </c>
      <c r="G53" s="294" t="s">
        <v>398</v>
      </c>
      <c r="H53" s="262">
        <f t="shared" si="51"/>
        <v>1187.8325</v>
      </c>
      <c r="I53" s="262">
        <f>IFERROR(IF(G53="y",IF(H53&lt;&gt;"-",H53,INDEX(Raw_Data,MATCH($A53,Look_Up,0),MATCH(I$4,Component,0))/1000*(1+'Raw Data'!$H$13)),(INDEX(Raw_Data,MATCH($A53,Look_Up,0),MATCH(I$4,Component,0))/1000)),"-")</f>
        <v>1187.8325</v>
      </c>
      <c r="J53" s="362"/>
      <c r="K53" s="362"/>
      <c r="L53" s="362"/>
      <c r="M53" s="262">
        <f t="shared" si="52"/>
        <v>1306.6157500000002</v>
      </c>
      <c r="N53" s="362"/>
      <c r="O53" s="362"/>
      <c r="P53" s="262">
        <f t="shared" si="56"/>
        <v>2494.4482500000004</v>
      </c>
      <c r="Q53" s="362"/>
      <c r="R53" s="362"/>
      <c r="S53" s="362"/>
      <c r="T53" s="262">
        <f t="shared" si="53"/>
        <v>3207.1477500000001</v>
      </c>
      <c r="U53" s="362"/>
      <c r="V53" s="362"/>
      <c r="W53" s="262">
        <f t="shared" si="57"/>
        <v>5701.5960000000005</v>
      </c>
      <c r="X53" s="362"/>
      <c r="Y53" s="362"/>
      <c r="Z53" s="362"/>
      <c r="AA53" s="262">
        <f t="shared" si="54"/>
        <v>5986.3725533500001</v>
      </c>
      <c r="AB53" s="591">
        <f t="shared" si="55"/>
        <v>0</v>
      </c>
    </row>
    <row r="54" spans="1:51" s="17" customFormat="1" ht="14.5">
      <c r="A54" s="295" t="str">
        <f t="shared" si="50"/>
        <v>TSX:IMG_2025_CEO</v>
      </c>
      <c r="B54" s="295" t="str">
        <f t="shared" si="50"/>
        <v>TSX:IMG</v>
      </c>
      <c r="C54" s="296" t="str">
        <f>_xll.ciqfunctions.udf.CIQ(B54,"IQ_COMPANY_NAME")</f>
        <v>#PEND</v>
      </c>
      <c r="E54" s="22"/>
      <c r="F54" s="20"/>
      <c r="G54" s="294" t="s">
        <v>398</v>
      </c>
      <c r="H54" s="262" t="str">
        <f t="shared" si="51"/>
        <v>-</v>
      </c>
      <c r="I54" s="262">
        <f>IFERROR(IF(G54="y",IF(H54&lt;&gt;"-",H54,INDEX(Raw_Data,MATCH($A54,Look_Up,0),MATCH(I$4,Component,0))/1000*(1+'Raw Data'!$H$13)),(INDEX(Raw_Data,MATCH($A54,Look_Up,0),MATCH(I$4,Component,0))/1000)),"-")</f>
        <v>961.44835000000012</v>
      </c>
      <c r="J54" s="22"/>
      <c r="K54" s="363"/>
      <c r="L54" s="363"/>
      <c r="M54" s="262">
        <f t="shared" si="52"/>
        <v>1201.8104375000003</v>
      </c>
      <c r="N54" s="364"/>
      <c r="O54" s="22"/>
      <c r="P54" s="262">
        <f t="shared" si="56"/>
        <v>2163.2587875000004</v>
      </c>
      <c r="Q54" s="21"/>
      <c r="R54" s="365"/>
      <c r="S54" s="365"/>
      <c r="T54" s="262">
        <f t="shared" si="53"/>
        <v>2403.6208750000005</v>
      </c>
      <c r="U54" s="364"/>
      <c r="V54" s="22"/>
      <c r="W54" s="262">
        <f t="shared" si="57"/>
        <v>4566.8796625000014</v>
      </c>
      <c r="X54" s="364"/>
      <c r="Y54" s="22"/>
      <c r="Z54" s="22"/>
      <c r="AA54" s="262">
        <f t="shared" si="54"/>
        <v>4764.1536625000017</v>
      </c>
      <c r="AB54" s="591">
        <f t="shared" si="55"/>
        <v>2.8722080767302094E-2</v>
      </c>
      <c r="AC54" s="19"/>
      <c r="AD54" s="19"/>
    </row>
    <row r="55" spans="1:51" ht="14.5">
      <c r="A55" s="295" t="str">
        <f t="shared" si="50"/>
        <v>TSX:CS_2025_CEO</v>
      </c>
      <c r="B55" s="295" t="str">
        <f t="shared" si="50"/>
        <v>TSX:CS</v>
      </c>
      <c r="C55" s="296" t="str">
        <f>_xll.ciqfunctions.udf.CIQ(B55,"IQ_COMPANY_NAME")</f>
        <v>#PEND</v>
      </c>
      <c r="G55" s="294" t="s">
        <v>398</v>
      </c>
      <c r="H55" s="262" t="str">
        <f t="shared" si="51"/>
        <v>-</v>
      </c>
      <c r="I55" s="262">
        <f>IFERROR(IF(G55="y",IF(H55&lt;&gt;"-",H55,INDEX(Raw_Data,MATCH($A55,Look_Up,0),MATCH(I$4,Component,0))/1000*(1+'Raw Data'!$H$13)),(INDEX(Raw_Data,MATCH($A55,Look_Up,0),MATCH(I$4,Component,0))/1000)),"-")</f>
        <v>875.5</v>
      </c>
      <c r="J55" s="366"/>
      <c r="K55" s="366"/>
      <c r="L55" s="366"/>
      <c r="M55" s="262">
        <f t="shared" si="52"/>
        <v>963.05000000000007</v>
      </c>
      <c r="N55" s="362"/>
      <c r="O55" s="366"/>
      <c r="P55" s="262">
        <f t="shared" si="56"/>
        <v>1838.5500000000002</v>
      </c>
      <c r="Q55" s="366"/>
      <c r="R55" s="366"/>
      <c r="S55" s="366"/>
      <c r="T55" s="262">
        <f t="shared" si="53"/>
        <v>2013.6499999999999</v>
      </c>
      <c r="U55" s="362"/>
      <c r="V55" s="366"/>
      <c r="W55" s="262">
        <f t="shared" si="57"/>
        <v>3852.2</v>
      </c>
      <c r="X55" s="362"/>
      <c r="Y55" s="366"/>
      <c r="Z55" s="366"/>
      <c r="AA55" s="262">
        <f t="shared" si="54"/>
        <v>3952.6109999999999</v>
      </c>
      <c r="AB55" s="591">
        <f t="shared" si="55"/>
        <v>2.9215623015349079E-2</v>
      </c>
    </row>
    <row r="56" spans="1:51" ht="14.5">
      <c r="A56" s="295" t="str">
        <f t="shared" si="50"/>
        <v>TSX:ELD_2025_CEO</v>
      </c>
      <c r="B56" s="295" t="str">
        <f t="shared" si="50"/>
        <v>TSX:ELD</v>
      </c>
      <c r="C56" s="296" t="str">
        <f>_xll.ciqfunctions.udf.CIQ(B56,"IQ_COMPANY_NAME")</f>
        <v>#PEND</v>
      </c>
      <c r="G56" s="294" t="s">
        <v>398</v>
      </c>
      <c r="H56" s="262">
        <f t="shared" si="51"/>
        <v>1130.78</v>
      </c>
      <c r="I56" s="262">
        <f>IFERROR(IF(G56="y",IF(H56&lt;&gt;"-",H56,INDEX(Raw_Data,MATCH($A56,Look_Up,0),MATCH(I$4,Component,0))/1000*(1+'Raw Data'!$H$13)),(INDEX(Raw_Data,MATCH($A56,Look_Up,0),MATCH(I$4,Component,0))/1000)),"-")</f>
        <v>1130.78</v>
      </c>
      <c r="J56" s="362"/>
      <c r="K56" s="362"/>
      <c r="L56" s="362"/>
      <c r="M56" s="262">
        <f t="shared" si="52"/>
        <v>1356.9359999999999</v>
      </c>
      <c r="N56" s="362"/>
      <c r="O56" s="362"/>
      <c r="P56" s="262">
        <f t="shared" si="56"/>
        <v>2487.7159999999999</v>
      </c>
      <c r="Q56" s="362"/>
      <c r="R56" s="362"/>
      <c r="S56" s="362"/>
      <c r="T56" s="262">
        <f t="shared" si="53"/>
        <v>2487.7160000000003</v>
      </c>
      <c r="U56" s="362"/>
      <c r="V56" s="362"/>
      <c r="W56" s="262">
        <f t="shared" si="57"/>
        <v>4975.4320000000007</v>
      </c>
      <c r="X56" s="362"/>
      <c r="Y56" s="362"/>
      <c r="Z56" s="362"/>
      <c r="AA56" s="262">
        <f t="shared" si="54"/>
        <v>5339.4880000000003</v>
      </c>
      <c r="AB56" s="591">
        <f t="shared" si="55"/>
        <v>2.3255813953488413E-2</v>
      </c>
    </row>
    <row r="57" spans="1:51" ht="14.5">
      <c r="A57" s="295" t="str">
        <f t="shared" si="50"/>
        <v>TSX:EQX_2025_CEO</v>
      </c>
      <c r="B57" s="295" t="str">
        <f t="shared" si="50"/>
        <v>TSX:EQX</v>
      </c>
      <c r="C57" s="296" t="str">
        <f>_xll.ciqfunctions.udf.CIQ(B57,"IQ_COMPANY_NAME")</f>
        <v>#PEND</v>
      </c>
      <c r="G57" s="294" t="s">
        <v>398</v>
      </c>
      <c r="H57" s="262" t="str">
        <f t="shared" si="51"/>
        <v>-</v>
      </c>
      <c r="I57" s="262">
        <f>IFERROR(IF(G57="y",IF(H57&lt;&gt;"-",H57,INDEX(Raw_Data,MATCH($A57,Look_Up,0),MATCH(I$4,Component,0))/1000*(1+'Raw Data'!$H$13)),(INDEX(Raw_Data,MATCH($A57,Look_Up,0),MATCH(I$4,Component,0))/1000)),"-")</f>
        <v>645.43817000000001</v>
      </c>
      <c r="J57" s="362"/>
      <c r="K57" s="362"/>
      <c r="L57" s="362"/>
      <c r="M57" s="262">
        <f t="shared" si="52"/>
        <v>1290.87634</v>
      </c>
      <c r="N57" s="362"/>
      <c r="O57" s="362"/>
      <c r="P57" s="262">
        <f t="shared" si="56"/>
        <v>1936.3145100000002</v>
      </c>
      <c r="Q57" s="362"/>
      <c r="R57" s="362"/>
      <c r="S57" s="362"/>
      <c r="T57" s="262">
        <f t="shared" si="53"/>
        <v>1054.7993100000001</v>
      </c>
      <c r="U57" s="362"/>
      <c r="V57" s="362"/>
      <c r="W57" s="262">
        <f t="shared" si="57"/>
        <v>2991.1138200000005</v>
      </c>
      <c r="X57" s="362"/>
      <c r="Y57" s="362"/>
      <c r="Z57" s="362"/>
      <c r="AA57" s="262">
        <f t="shared" si="54"/>
        <v>3044.4828200000006</v>
      </c>
      <c r="AB57" s="591" t="e">
        <f t="shared" si="55"/>
        <v>#VALUE!</v>
      </c>
    </row>
    <row r="58" spans="1:51" ht="14.5">
      <c r="A58" s="295" t="str">
        <f t="shared" si="50"/>
        <v>TSX:SSRM_2025_CEO</v>
      </c>
      <c r="B58" s="295" t="str">
        <f t="shared" si="50"/>
        <v>TSX:SSRM</v>
      </c>
      <c r="C58" s="296" t="str">
        <f>_xll.ciqfunctions.udf.CIQ(B58,"IQ_COMPANY_NAME")</f>
        <v>#PEND</v>
      </c>
      <c r="G58" s="294" t="s">
        <v>398</v>
      </c>
      <c r="H58" s="262" t="str">
        <f t="shared" si="51"/>
        <v>-</v>
      </c>
      <c r="I58" s="262">
        <f>IFERROR(IF(G58="y",IF(H58&lt;&gt;"-",H58,INDEX(Raw_Data,MATCH($A58,Look_Up,0),MATCH(I$4,Component,0))/1000*(1+'Raw Data'!$H$13)),(INDEX(Raw_Data,MATCH($A58,Look_Up,0),MATCH(I$4,Component,0))/1000)),"-")</f>
        <v>1547.3265125</v>
      </c>
      <c r="J58" s="362"/>
      <c r="K58" s="362"/>
      <c r="L58" s="362"/>
      <c r="M58" s="262">
        <f t="shared" si="52"/>
        <v>1779.4254893749999</v>
      </c>
      <c r="N58" s="362"/>
      <c r="O58" s="362"/>
      <c r="P58" s="262">
        <f t="shared" si="56"/>
        <v>3326.7520018750001</v>
      </c>
      <c r="Q58" s="362"/>
      <c r="R58" s="362"/>
      <c r="S58" s="362"/>
      <c r="T58" s="262">
        <f t="shared" si="53"/>
        <v>4641.9795375000003</v>
      </c>
      <c r="U58" s="362"/>
      <c r="V58" s="362"/>
      <c r="W58" s="262">
        <f t="shared" si="57"/>
        <v>7968.7315393750005</v>
      </c>
      <c r="X58" s="362"/>
      <c r="Y58" s="362"/>
      <c r="Z58" s="362"/>
      <c r="AA58" s="262">
        <f t="shared" si="54"/>
        <v>8067.8624500250007</v>
      </c>
      <c r="AB58" s="591">
        <f t="shared" si="55"/>
        <v>2.9620467446511034E-2</v>
      </c>
    </row>
    <row r="59" spans="1:51" ht="14.5">
      <c r="A59" s="295" t="str">
        <f t="shared" si="50"/>
        <v>TSX:BTO_2025_CEO</v>
      </c>
      <c r="B59" s="295" t="str">
        <f t="shared" si="50"/>
        <v>TSX:BTO</v>
      </c>
      <c r="C59" s="296" t="str">
        <f>_xll.ciqfunctions.udf.CIQ(B59,"IQ_COMPANY_NAME")</f>
        <v>#PEND</v>
      </c>
      <c r="G59" s="294" t="s">
        <v>398</v>
      </c>
      <c r="H59" s="262" t="str">
        <f t="shared" si="51"/>
        <v>-</v>
      </c>
      <c r="I59" s="262">
        <f>IFERROR(IF(G59="y",IF(H59&lt;&gt;"-",H59,INDEX(Raw_Data,MATCH($A59,Look_Up,0),MATCH(I$4,Component,0))/1000*(1+'Raw Data'!$H$13)),(INDEX(Raw_Data,MATCH($A59,Look_Up,0),MATCH(I$4,Component,0))/1000)),"-")</f>
        <v>1365.9654515</v>
      </c>
      <c r="J59" s="362"/>
      <c r="K59" s="362"/>
      <c r="L59" s="362"/>
      <c r="M59" s="262">
        <f t="shared" si="52"/>
        <v>1365.9654515</v>
      </c>
      <c r="N59" s="362"/>
      <c r="O59" s="362"/>
      <c r="P59" s="262">
        <f t="shared" si="56"/>
        <v>2731.9309029999999</v>
      </c>
      <c r="Q59" s="362"/>
      <c r="R59" s="362"/>
      <c r="S59" s="362"/>
      <c r="T59" s="262">
        <f t="shared" si="53"/>
        <v>3207.0493209130436</v>
      </c>
      <c r="U59" s="362"/>
      <c r="V59" s="362"/>
      <c r="W59" s="262">
        <f t="shared" si="57"/>
        <v>5938.980223913044</v>
      </c>
      <c r="X59" s="362"/>
      <c r="Y59" s="362"/>
      <c r="Z59" s="362"/>
      <c r="AA59" s="262">
        <f t="shared" si="54"/>
        <v>5946.2902848630438</v>
      </c>
      <c r="AB59" s="591">
        <f t="shared" si="55"/>
        <v>2.9962014543143178E-2</v>
      </c>
    </row>
    <row r="60" spans="1:51" ht="14.5">
      <c r="A60" s="295" t="str">
        <f t="shared" si="50"/>
        <v>TSX:OGC_2025_CEO</v>
      </c>
      <c r="B60" s="295" t="str">
        <f t="shared" si="50"/>
        <v>TSX:OGC</v>
      </c>
      <c r="C60" s="296" t="str">
        <f>_xll.ciqfunctions.udf.CIQ(B60,"IQ_COMPANY_NAME")</f>
        <v>#PEND</v>
      </c>
      <c r="G60" s="294" t="s">
        <v>398</v>
      </c>
      <c r="H60" s="262" t="str">
        <f t="shared" si="51"/>
        <v>-</v>
      </c>
      <c r="I60" s="262">
        <f>IFERROR(IF(G60="y",IF(H60&lt;&gt;"-",H60,INDEX(Raw_Data,MATCH($A60,Look_Up,0),MATCH(I$4,Component,0))/1000*(1+'Raw Data'!$H$13)),(INDEX(Raw_Data,MATCH($A60,Look_Up,0),MATCH(I$4,Component,0))/1000)),"-")</f>
        <v>989.35913271900006</v>
      </c>
      <c r="J60" s="362"/>
      <c r="K60" s="362"/>
      <c r="L60" s="362"/>
      <c r="M60" s="262">
        <f t="shared" si="52"/>
        <v>989.35913271900006</v>
      </c>
      <c r="N60" s="362"/>
      <c r="O60" s="362"/>
      <c r="P60" s="262">
        <f t="shared" si="56"/>
        <v>1978.7182654380001</v>
      </c>
      <c r="Q60" s="362"/>
      <c r="R60" s="362"/>
      <c r="S60" s="362"/>
      <c r="T60" s="262">
        <f t="shared" si="53"/>
        <v>3441.4801771777607</v>
      </c>
      <c r="U60" s="362"/>
      <c r="V60" s="362"/>
      <c r="W60" s="262">
        <f t="shared" si="57"/>
        <v>5420.1984426157605</v>
      </c>
      <c r="X60" s="362"/>
      <c r="Y60" s="362"/>
      <c r="Z60" s="362"/>
      <c r="AA60" s="262">
        <f t="shared" si="54"/>
        <v>5945.2273948657612</v>
      </c>
      <c r="AB60" s="591">
        <f t="shared" si="55"/>
        <v>2.7278400640370792E-2</v>
      </c>
    </row>
    <row r="61" spans="1:51" ht="14.5">
      <c r="A61" s="295" t="str">
        <f t="shared" si="50"/>
        <v>TSX:CG_2025_CEO</v>
      </c>
      <c r="B61" s="295" t="str">
        <f t="shared" si="50"/>
        <v>TSX:CG</v>
      </c>
      <c r="C61" s="296" t="str">
        <f>_xll.ciqfunctions.udf.CIQ(B61,"IQ_COMPANY_NAME")</f>
        <v>#PEND</v>
      </c>
      <c r="G61" s="294" t="s">
        <v>398</v>
      </c>
      <c r="H61" s="262" t="str">
        <f t="shared" si="51"/>
        <v>-</v>
      </c>
      <c r="I61" s="262">
        <f>IFERROR(IF(G61="y",IF(H61&lt;&gt;"-",H61,INDEX(Raw_Data,MATCH($A61,Look_Up,0),MATCH(I$4,Component,0))/1000*(1+'Raw Data'!$H$13)),(INDEX(Raw_Data,MATCH($A61,Look_Up,0),MATCH(I$4,Component,0))/1000)),"-")</f>
        <v>849.75</v>
      </c>
      <c r="J61" s="362"/>
      <c r="K61" s="362"/>
      <c r="L61" s="362"/>
      <c r="M61" s="262">
        <f t="shared" si="52"/>
        <v>977.21249999999998</v>
      </c>
      <c r="N61" s="362"/>
      <c r="O61" s="362"/>
      <c r="P61" s="262">
        <f t="shared" si="56"/>
        <v>1826.9625000000001</v>
      </c>
      <c r="Q61" s="362"/>
      <c r="R61" s="362"/>
      <c r="S61" s="362"/>
      <c r="T61" s="262">
        <f t="shared" si="53"/>
        <v>2124.375</v>
      </c>
      <c r="U61" s="362"/>
      <c r="V61" s="362"/>
      <c r="W61" s="262" t="s">
        <v>78</v>
      </c>
      <c r="X61" s="362"/>
      <c r="Y61" s="362"/>
      <c r="Z61" s="362"/>
      <c r="AA61" s="262" t="s">
        <v>78</v>
      </c>
      <c r="AB61" s="362"/>
    </row>
    <row r="62" spans="1:51" ht="14.5">
      <c r="A62" s="295" t="str">
        <f t="shared" si="50"/>
        <v>0_2025_CEO</v>
      </c>
      <c r="B62" s="295">
        <f t="shared" si="50"/>
        <v>0</v>
      </c>
      <c r="C62" s="296" t="str">
        <f>_xll.ciqfunctions.udf.CIQ(B62,"IQ_COMPANY_NAME")</f>
        <v>#PEND</v>
      </c>
      <c r="G62" s="294" t="s">
        <v>398</v>
      </c>
      <c r="H62" s="262" t="str">
        <f t="shared" si="51"/>
        <v>-</v>
      </c>
      <c r="I62" s="262" t="str">
        <f>IFERROR(IF(G62="y",IF(H62&lt;&gt;"-",H62,INDEX(Raw_Data,MATCH($A62,Look_Up,0),MATCH(I$4,Component,0))/1000*(1+'Raw Data'!$H$13)),(INDEX(Raw_Data,MATCH($A62,Look_Up,0),MATCH(I$4,Component,0))/1000)),"-")</f>
        <v>-</v>
      </c>
      <c r="J62" s="362"/>
      <c r="K62" s="362"/>
      <c r="L62" s="362"/>
      <c r="M62" s="262" t="str">
        <f t="shared" si="52"/>
        <v>-</v>
      </c>
      <c r="N62" s="362"/>
      <c r="O62" s="362"/>
      <c r="P62" s="262" t="str">
        <f t="shared" si="56"/>
        <v>-</v>
      </c>
      <c r="Q62" s="362"/>
      <c r="R62" s="362"/>
      <c r="S62" s="362"/>
      <c r="T62" s="262" t="str">
        <f t="shared" si="53"/>
        <v>-</v>
      </c>
      <c r="U62" s="362"/>
      <c r="V62" s="362"/>
      <c r="W62" s="262" t="str">
        <f t="shared" si="57"/>
        <v>-</v>
      </c>
      <c r="X62" s="362"/>
      <c r="Y62" s="362"/>
      <c r="Z62" s="362"/>
      <c r="AA62" s="262" t="str">
        <f>IFERROR(IF(SUM(W62,X23,Y23)=0,"-",SUM(W62,X23,Y23)),"-")</f>
        <v>-</v>
      </c>
      <c r="AB62" s="362"/>
    </row>
    <row r="63" spans="1:51" ht="14.5">
      <c r="A63" s="295" t="str">
        <f t="shared" si="50"/>
        <v>0_2025_CEO</v>
      </c>
      <c r="B63" s="295">
        <f t="shared" si="50"/>
        <v>0</v>
      </c>
      <c r="C63" s="296" t="str">
        <f>_xll.ciqfunctions.udf.CIQ(B63,"IQ_COMPANY_NAME")</f>
        <v>#PEND</v>
      </c>
      <c r="G63" s="294" t="s">
        <v>398</v>
      </c>
      <c r="H63" s="262" t="str">
        <f t="shared" si="51"/>
        <v>-</v>
      </c>
      <c r="I63" s="262" t="str">
        <f>IFERROR(IF(G63="y",IF(H63&lt;&gt;"-",H63,INDEX(Raw_Data,MATCH($A63,Look_Up,0),MATCH(I$4,Component,0))/1000*(1+'Raw Data'!$H$13)),(INDEX(Raw_Data,MATCH($A63,Look_Up,0),MATCH(I$4,Component,0))/1000)),"-")</f>
        <v>-</v>
      </c>
      <c r="J63" s="362"/>
      <c r="K63" s="362"/>
      <c r="L63" s="362"/>
      <c r="M63" s="262" t="str">
        <f t="shared" si="52"/>
        <v>-</v>
      </c>
      <c r="N63" s="362"/>
      <c r="O63" s="362"/>
      <c r="P63" s="262" t="str">
        <f t="shared" si="56"/>
        <v>-</v>
      </c>
      <c r="Q63" s="362"/>
      <c r="R63" s="362"/>
      <c r="S63" s="362"/>
      <c r="T63" s="262" t="str">
        <f t="shared" si="53"/>
        <v>-</v>
      </c>
      <c r="U63" s="362"/>
      <c r="V63" s="362"/>
      <c r="W63" s="262" t="str">
        <f t="shared" si="57"/>
        <v>-</v>
      </c>
      <c r="X63" s="362"/>
      <c r="Y63" s="362"/>
      <c r="Z63" s="362"/>
      <c r="AA63" s="262" t="str">
        <f>IFERROR(IF(SUM(W63,X24,Y24)=0,"-",SUM(W63,X24,Y24)),"-")</f>
        <v>-</v>
      </c>
      <c r="AB63" s="362"/>
    </row>
    <row r="64" spans="1:51" ht="14.5">
      <c r="A64" s="295" t="str">
        <f t="shared" si="50"/>
        <v>0_2025_CEO</v>
      </c>
      <c r="B64" s="295">
        <f t="shared" si="50"/>
        <v>0</v>
      </c>
      <c r="C64" s="296" t="str">
        <f>_xll.ciqfunctions.udf.CIQ(B64,"IQ_COMPANY_NAME")</f>
        <v>#PEND</v>
      </c>
      <c r="G64" s="294" t="s">
        <v>398</v>
      </c>
      <c r="H64" s="262" t="str">
        <f t="shared" si="51"/>
        <v>-</v>
      </c>
      <c r="I64" s="262" t="str">
        <f>IFERROR(IF(G64="y",IF(H64&lt;&gt;"-",H64,INDEX(Raw_Data,MATCH($A64,Look_Up,0),MATCH(I$4,Component,0))/1000*(1+'Raw Data'!$H$13)),(INDEX(Raw_Data,MATCH($A64,Look_Up,0),MATCH(I$4,Component,0))/1000)),"-")</f>
        <v>-</v>
      </c>
      <c r="J64" s="362"/>
      <c r="K64" s="362"/>
      <c r="L64" s="362"/>
      <c r="M64" s="262" t="str">
        <f t="shared" si="52"/>
        <v>-</v>
      </c>
      <c r="N64" s="362"/>
      <c r="O64" s="362"/>
      <c r="P64" s="262" t="str">
        <f t="shared" si="56"/>
        <v>-</v>
      </c>
      <c r="Q64" s="362"/>
      <c r="R64" s="362"/>
      <c r="S64" s="362"/>
      <c r="T64" s="262" t="str">
        <f t="shared" si="53"/>
        <v>-</v>
      </c>
      <c r="U64" s="362"/>
      <c r="V64" s="362"/>
      <c r="W64" s="262" t="str">
        <f t="shared" si="57"/>
        <v>-</v>
      </c>
      <c r="X64" s="362"/>
      <c r="Y64" s="362"/>
      <c r="Z64" s="362"/>
      <c r="AA64" s="262" t="str">
        <f>IFERROR(IF(SUM(W64,X25,Y25)=0,"-",SUM(W64,X25,Y25)),"-")</f>
        <v>-</v>
      </c>
      <c r="AB64" s="362"/>
    </row>
    <row r="65" spans="1:28" ht="14.5">
      <c r="A65" s="295" t="str">
        <f t="shared" si="50"/>
        <v>0_2025_CEO</v>
      </c>
      <c r="B65" s="295">
        <f t="shared" si="50"/>
        <v>0</v>
      </c>
      <c r="C65" s="296" t="str">
        <f>_xll.ciqfunctions.udf.CIQ(B65,"IQ_COMPANY_NAME")</f>
        <v>#PEND</v>
      </c>
      <c r="G65" s="294" t="s">
        <v>398</v>
      </c>
      <c r="H65" s="262" t="str">
        <f t="shared" si="51"/>
        <v>-</v>
      </c>
      <c r="I65" s="262" t="str">
        <f>IFERROR(IF(G65="y",IF(H65&lt;&gt;"-",H65,INDEX(Raw_Data,MATCH($A65,Look_Up,0),MATCH(I$4,Component,0))/1000*(1+'Raw Data'!$H$13)),(INDEX(Raw_Data,MATCH($A65,Look_Up,0),MATCH(I$4,Component,0))/1000)),"-")</f>
        <v>-</v>
      </c>
      <c r="J65" s="362"/>
      <c r="K65" s="362"/>
      <c r="L65" s="362"/>
      <c r="M65" s="262" t="str">
        <f t="shared" si="52"/>
        <v>-</v>
      </c>
      <c r="N65" s="362"/>
      <c r="O65" s="362"/>
      <c r="P65" s="262" t="str">
        <f t="shared" si="56"/>
        <v>-</v>
      </c>
      <c r="Q65" s="362"/>
      <c r="R65" s="362"/>
      <c r="S65" s="362"/>
      <c r="T65" s="262" t="str">
        <f t="shared" si="53"/>
        <v>-</v>
      </c>
      <c r="U65" s="362"/>
      <c r="V65" s="362"/>
      <c r="W65" s="262" t="str">
        <f t="shared" si="57"/>
        <v>-</v>
      </c>
      <c r="X65" s="362"/>
      <c r="Y65" s="362"/>
      <c r="Z65" s="362"/>
      <c r="AA65" s="262" t="str">
        <f>IFERROR(IF(SUM(W65,X26,Y26)=0,"-",SUM(W65,X26,Y26)),"-")</f>
        <v>-</v>
      </c>
      <c r="AB65" s="362"/>
    </row>
    <row r="66" spans="1:28" ht="14.5">
      <c r="A66" s="295" t="str">
        <f t="shared" si="50"/>
        <v>0_2025_CEO</v>
      </c>
      <c r="B66" s="295">
        <f t="shared" si="50"/>
        <v>0</v>
      </c>
      <c r="C66" s="296" t="str">
        <f>_xll.ciqfunctions.udf.CIQ(B66,"IQ_COMPANY_NAME")</f>
        <v>#PEND</v>
      </c>
      <c r="G66" s="294" t="s">
        <v>398</v>
      </c>
      <c r="H66" s="304" t="str">
        <f t="shared" si="51"/>
        <v>-</v>
      </c>
      <c r="I66" s="262" t="str">
        <f>IFERROR(IF(G66="y",IF(H66&lt;&gt;"-",H66,INDEX(Raw_Data,MATCH($A66,Look_Up,0),MATCH(I$4,Component,0))/1000*(1+'Raw Data'!$H$13)),(INDEX(Raw_Data,MATCH($A66,Look_Up,0),MATCH(I$4,Component,0))/1000)),"-")</f>
        <v>-</v>
      </c>
      <c r="J66" s="362"/>
      <c r="K66" s="362"/>
      <c r="L66" s="362"/>
      <c r="M66" s="262" t="str">
        <f t="shared" si="52"/>
        <v>-</v>
      </c>
      <c r="N66" s="362"/>
      <c r="O66" s="362"/>
      <c r="P66" s="304" t="str">
        <f t="shared" si="56"/>
        <v>-</v>
      </c>
      <c r="Q66" s="362"/>
      <c r="R66" s="362"/>
      <c r="S66" s="362"/>
      <c r="T66" s="262" t="str">
        <f t="shared" si="53"/>
        <v>-</v>
      </c>
      <c r="U66" s="362"/>
      <c r="V66" s="362"/>
      <c r="W66" s="304" t="str">
        <f t="shared" si="57"/>
        <v>-</v>
      </c>
      <c r="X66" s="362"/>
      <c r="Y66" s="362"/>
      <c r="Z66" s="362"/>
      <c r="AA66" s="304" t="str">
        <f>IFERROR(IF(SUM(W66,X27,Y27)=0,"-",SUM(W66,X27,Y27)),"-")</f>
        <v>-</v>
      </c>
      <c r="AB66" s="362"/>
    </row>
    <row r="67" spans="1:28" ht="14.5">
      <c r="A67" s="15"/>
      <c r="B67" s="15"/>
      <c r="I67" s="288"/>
      <c r="M67" s="288"/>
      <c r="P67" s="288"/>
      <c r="T67" s="288"/>
      <c r="W67" s="288"/>
      <c r="AA67" s="288"/>
    </row>
    <row r="68" spans="1:28" ht="14.5">
      <c r="A68" s="15"/>
      <c r="B68" s="15"/>
      <c r="I68" s="262">
        <f>PERCENTILE(I$47:I$66,$B29)</f>
        <v>1456.645982</v>
      </c>
      <c r="M68" s="262">
        <f>PERCENTILE(M$47:M$66,$B29)</f>
        <v>1654.3799165624998</v>
      </c>
      <c r="P68" s="262">
        <f>PERCENTILE(P$47:P$66,$B29)</f>
        <v>3039.7769103125001</v>
      </c>
      <c r="T68" s="262">
        <f>PERCENTILE(T$47:T$66,$B29)</f>
        <v>4125.3772087500001</v>
      </c>
      <c r="W68" s="262">
        <f>PERCENTILE(W$47:W$66,$B29)</f>
        <v>7666.4194340624999</v>
      </c>
      <c r="AA68" s="262">
        <f>PERCENTILE(AA$47:AA$66,$B29)</f>
        <v>7804.4048698312508</v>
      </c>
    </row>
    <row r="69" spans="1:28" ht="14.5">
      <c r="A69" s="15"/>
      <c r="B69" s="15"/>
      <c r="I69" s="266">
        <f>PERCENTILE(I$47:I$66,$B30)</f>
        <v>1184.1869721850001</v>
      </c>
      <c r="M69" s="266">
        <f>PERCENTILE(M$47:M$66,$B30)</f>
        <v>1356.9359999999999</v>
      </c>
      <c r="P69" s="266">
        <f>PERCENTILE(P$47:P$66,$B30)</f>
        <v>2494.4482500000004</v>
      </c>
      <c r="T69" s="266">
        <f>PERCENTILE(T$47:T$66,$B30)</f>
        <v>3441.4801771777607</v>
      </c>
      <c r="W69" s="266">
        <f>PERCENTILE(W$47:W$66,$B30)</f>
        <v>5820.2881119565227</v>
      </c>
      <c r="AA69" s="266">
        <f>PERCENTILE(AA$47:AA$66,$B30)</f>
        <v>5966.3314191065219</v>
      </c>
    </row>
    <row r="70" spans="1:28" ht="14.5">
      <c r="A70" s="15"/>
      <c r="B70" s="15"/>
      <c r="I70" s="262">
        <f>PERCENTILE(I$47:I$66,$B31)</f>
        <v>930.72417500000006</v>
      </c>
      <c r="M70" s="262">
        <f>PERCENTILE(M$47:M$66,$B31)</f>
        <v>1140.9052187500001</v>
      </c>
      <c r="P70" s="262">
        <f>PERCENTILE(P$47:P$66,$B31)</f>
        <v>1979.3591327190002</v>
      </c>
      <c r="T70" s="262">
        <f>PERCENTILE(T$47:T$66,$B31)</f>
        <v>2445.6684375000004</v>
      </c>
      <c r="W70" s="262">
        <f>PERCENTILE(W$47:W$66,$B31)</f>
        <v>5086.6236106539409</v>
      </c>
      <c r="AA70" s="262">
        <f>PERCENTILE(AA$47:AA$66,$B31)</f>
        <v>5410.3526083500001</v>
      </c>
    </row>
    <row r="71" spans="1:28" ht="14.5">
      <c r="A71" s="15"/>
      <c r="B71" s="15"/>
      <c r="I71" s="270">
        <f>AVERAGE(I47:I66)</f>
        <v>1208.5393535615999</v>
      </c>
      <c r="M71" s="270">
        <f>AVERAGE(M47:M66)</f>
        <v>1458.8526012903501</v>
      </c>
      <c r="P71" s="270">
        <f>AVERAGE(P47:P66)</f>
        <v>2667.3919548519502</v>
      </c>
      <c r="T71" s="270">
        <f>AVERAGE(T47:T66)</f>
        <v>3369.3944911580215</v>
      </c>
      <c r="W71" s="270">
        <f>AVERAGE(W47:W66)</f>
        <v>6185.7470850106838</v>
      </c>
      <c r="AA71" s="270">
        <f>AVERAGE(AA47:AA66)</f>
        <v>6496.4058214499701</v>
      </c>
    </row>
    <row r="72" spans="1:28">
      <c r="A72" s="15"/>
      <c r="B72" s="15"/>
    </row>
  </sheetData>
  <sortState xmlns:xlrd2="http://schemas.microsoft.com/office/spreadsheetml/2017/richdata2" ref="A8:AZ21">
    <sortCondition descending="1" ref="E8:E21"/>
  </sortState>
  <mergeCells count="12">
    <mergeCell ref="AL28:AM28"/>
    <mergeCell ref="H6:H7"/>
    <mergeCell ref="C6:C7"/>
    <mergeCell ref="D6:D7"/>
    <mergeCell ref="E6:E7"/>
    <mergeCell ref="F6:F7"/>
    <mergeCell ref="G6:G7"/>
    <mergeCell ref="AP6:AQ6"/>
    <mergeCell ref="X6:X7"/>
    <mergeCell ref="Y6:Y7"/>
    <mergeCell ref="Z6:AA6"/>
    <mergeCell ref="I6:I7"/>
  </mergeCells>
  <conditionalFormatting sqref="C8:AA27">
    <cfRule type="expression" dxfId="208" priority="15">
      <formula>MOD(ROW(),2)=0</formula>
    </cfRule>
  </conditionalFormatting>
  <conditionalFormatting sqref="C29:AA32">
    <cfRule type="expression" dxfId="207" priority="12">
      <formula>MOD(ROW(),2)=0</formula>
    </cfRule>
  </conditionalFormatting>
  <conditionalFormatting sqref="C34:AA37">
    <cfRule type="expression" dxfId="206" priority="11">
      <formula>MOD(ROW(),2)=0</formula>
    </cfRule>
  </conditionalFormatting>
  <conditionalFormatting sqref="H47:I66">
    <cfRule type="expression" dxfId="205" priority="178">
      <formula>MOD(ROW(),2)=0</formula>
    </cfRule>
  </conditionalFormatting>
  <conditionalFormatting sqref="I68:I71">
    <cfRule type="expression" dxfId="204" priority="183">
      <formula>MOD(ROW(),2)=0</formula>
    </cfRule>
  </conditionalFormatting>
  <conditionalFormatting sqref="M47:M66">
    <cfRule type="expression" dxfId="203" priority="188">
      <formula>MOD(ROW(),2)=0</formula>
    </cfRule>
  </conditionalFormatting>
  <conditionalFormatting sqref="M68:M71">
    <cfRule type="expression" dxfId="202" priority="182">
      <formula>MOD(ROW(),2)=0</formula>
    </cfRule>
  </conditionalFormatting>
  <conditionalFormatting sqref="P47:P66">
    <cfRule type="expression" dxfId="201" priority="187">
      <formula>MOD(ROW(),2)=0</formula>
    </cfRule>
  </conditionalFormatting>
  <conditionalFormatting sqref="P68:P71">
    <cfRule type="expression" dxfId="200" priority="181">
      <formula>MOD(ROW(),2)=0</formula>
    </cfRule>
  </conditionalFormatting>
  <conditionalFormatting sqref="T47:T66">
    <cfRule type="expression" dxfId="199" priority="184">
      <formula>MOD(ROW(),2)=0</formula>
    </cfRule>
  </conditionalFormatting>
  <conditionalFormatting sqref="T68:T71">
    <cfRule type="expression" dxfId="198" priority="180">
      <formula>MOD(ROW(),2)=0</formula>
    </cfRule>
  </conditionalFormatting>
  <conditionalFormatting sqref="W47:W66">
    <cfRule type="expression" dxfId="197" priority="171">
      <formula>MOD(ROW(),2)=0</formula>
    </cfRule>
  </conditionalFormatting>
  <conditionalFormatting sqref="W68:W71">
    <cfRule type="expression" dxfId="196" priority="179">
      <formula>MOD(ROW(),2)=0</formula>
    </cfRule>
  </conditionalFormatting>
  <conditionalFormatting sqref="AA47:AA66">
    <cfRule type="expression" dxfId="195" priority="164">
      <formula>MOD(ROW(),2)=0</formula>
    </cfRule>
  </conditionalFormatting>
  <conditionalFormatting sqref="AA68:AA71">
    <cfRule type="expression" dxfId="194" priority="166">
      <formula>MOD(ROW(),2)=0</formula>
    </cfRule>
  </conditionalFormatting>
  <conditionalFormatting sqref="AC8:AD27">
    <cfRule type="expression" dxfId="193" priority="64">
      <formula>MOD(ROW(),2)=0</formula>
    </cfRule>
  </conditionalFormatting>
  <conditionalFormatting sqref="AC29:AD37">
    <cfRule type="expression" dxfId="192" priority="96">
      <formula>MOD(ROW(),2)=0</formula>
    </cfRule>
  </conditionalFormatting>
  <conditionalFormatting sqref="AK29">
    <cfRule type="expression" dxfId="191" priority="71">
      <formula>MOD(ROW(),2)=0</formula>
    </cfRule>
  </conditionalFormatting>
  <conditionalFormatting sqref="AL8:AM22">
    <cfRule type="expression" dxfId="190" priority="4">
      <formula>TRIM(AL8)="-"</formula>
    </cfRule>
    <cfRule type="expression" dxfId="189" priority="5">
      <formula>MOD(ROW(),2)=0</formula>
    </cfRule>
  </conditionalFormatting>
  <conditionalFormatting sqref="AL29:AM32">
    <cfRule type="expression" dxfId="188" priority="1">
      <formula>MOD(ROW(),2)=0</formula>
    </cfRule>
  </conditionalFormatting>
  <conditionalFormatting sqref="AP29:AQ32">
    <cfRule type="expression" dxfId="187" priority="66">
      <formula>MOD(ROW(),2)=0</formula>
    </cfRule>
  </conditionalFormatting>
  <dataValidations disablePrompts="1" count="1">
    <dataValidation type="list" allowBlank="1" showInputMessage="1" showErrorMessage="1" sqref="G47:G66" xr:uid="{7D8C31F1-39FD-42D7-ADE6-410D00B96486}">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E6EEC-8851-43FF-A0DC-314DC040B883}">
  <sheetPr>
    <tabColor theme="3"/>
    <pageSetUpPr fitToPage="1"/>
  </sheetPr>
  <dimension ref="A1:AS72"/>
  <sheetViews>
    <sheetView topLeftCell="AC14" zoomScale="70" zoomScaleNormal="70" workbookViewId="0">
      <selection activeCell="AL29" sqref="AL29:AM32"/>
    </sheetView>
  </sheetViews>
  <sheetFormatPr defaultColWidth="9.1796875" defaultRowHeight="14" outlineLevelRow="1" outlineLevelCol="3"/>
  <cols>
    <col min="1" max="1" width="10.453125" style="12" bestFit="1" customWidth="1"/>
    <col min="2" max="2" width="8.1796875" style="12" customWidth="1"/>
    <col min="3" max="3" width="28.7265625" style="12" customWidth="1"/>
    <col min="4" max="5" width="14.453125" style="12" hidden="1" customWidth="1" outlineLevel="1"/>
    <col min="6" max="6" width="23.81640625" style="12" bestFit="1" customWidth="1" outlineLevel="1"/>
    <col min="7" max="7" width="28.7265625" style="12" bestFit="1" customWidth="1"/>
    <col min="8" max="8" width="5.7265625" style="12" hidden="1" customWidth="1" outlineLevel="1"/>
    <col min="9" max="9" width="10.54296875" style="12" customWidth="1" collapsed="1"/>
    <col min="10" max="10" width="11.1796875" style="12" hidden="1" customWidth="1" outlineLevel="1"/>
    <col min="11" max="11" width="11.7265625" style="12" hidden="1" customWidth="1" outlineLevel="1"/>
    <col min="12" max="12" width="12.453125" style="12" hidden="1" customWidth="1" outlineLevel="1"/>
    <col min="13" max="13" width="10.54296875" style="12" customWidth="1" collapsed="1"/>
    <col min="14" max="16" width="10.54296875" style="12" customWidth="1"/>
    <col min="17" max="18" width="11.1796875" style="12" hidden="1" customWidth="1" outlineLevel="1"/>
    <col min="19" max="19" width="12.26953125" style="12" hidden="1" customWidth="1" outlineLevel="1"/>
    <col min="20" max="20" width="10.54296875" style="12" customWidth="1" collapsed="1"/>
    <col min="21" max="23" width="10.54296875" style="12" customWidth="1"/>
    <col min="24" max="27" width="13.26953125" style="12" customWidth="1" outlineLevel="3"/>
    <col min="28" max="28" width="9.1796875" style="12" customWidth="1" outlineLevel="2"/>
    <col min="29" max="30" width="13.26953125" style="12" customWidth="1" outlineLevel="2"/>
    <col min="31" max="31" width="8.7265625" style="12" customWidth="1" outlineLevel="1"/>
    <col min="32" max="32" width="2.7265625" style="12" customWidth="1"/>
    <col min="33" max="33" width="31" style="12" customWidth="1" outlineLevel="1"/>
    <col min="34" max="34" width="15.7265625" style="12" customWidth="1" outlineLevel="1"/>
    <col min="35" max="35" width="15.7265625" style="12" customWidth="1" outlineLevel="2"/>
    <col min="36" max="36" width="15.7265625" style="12" customWidth="1" outlineLevel="3"/>
    <col min="37" max="37" width="28.54296875" style="12" customWidth="1" outlineLevel="1"/>
    <col min="38" max="39" width="11.1796875" style="12" bestFit="1" customWidth="1"/>
    <col min="40" max="40" width="16" style="12" bestFit="1" customWidth="1"/>
    <col min="41" max="41" width="9.1796875" style="12"/>
    <col min="42" max="42" width="12.54296875" style="12" customWidth="1"/>
    <col min="43" max="44" width="9.1796875" style="12"/>
    <col min="45" max="45" width="10" style="12" bestFit="1" customWidth="1"/>
    <col min="46" max="16384" width="9.1796875" style="12"/>
  </cols>
  <sheetData>
    <row r="1" spans="1:45" s="48" customFormat="1" ht="17.25" customHeight="1">
      <c r="A1" s="111">
        <v>45852</v>
      </c>
    </row>
    <row r="2" spans="1:45">
      <c r="A2" s="12" t="s">
        <v>2</v>
      </c>
      <c r="B2" s="49" t="s">
        <v>24</v>
      </c>
      <c r="C2" s="53" t="s">
        <v>106</v>
      </c>
    </row>
    <row r="3" spans="1:45">
      <c r="B3" s="49" t="s">
        <v>23</v>
      </c>
      <c r="C3" s="53">
        <f>'Raw Data'!$G$9</f>
        <v>2025</v>
      </c>
    </row>
    <row r="4" spans="1:45" s="157" customFormat="1" ht="35.15"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Data'!AR31</f>
        <v>Pension Converted</v>
      </c>
      <c r="Y4" s="157" t="str">
        <f>'Raw Data'!AU31</f>
        <v>Other Converted</v>
      </c>
      <c r="Z4" s="157" t="s">
        <v>247</v>
      </c>
      <c r="AA4" s="157" t="s">
        <v>248</v>
      </c>
      <c r="AC4" s="157" t="s">
        <v>11</v>
      </c>
      <c r="AD4" s="157" t="s">
        <v>10</v>
      </c>
    </row>
    <row r="5" spans="1:45" ht="21">
      <c r="B5" s="26"/>
      <c r="C5" s="256" t="str">
        <f>+C2&amp; " Benchmarking - "&amp;'Raw Data'!H5&amp;" $000s"</f>
        <v>CFO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370</v>
      </c>
      <c r="AM5" t="s">
        <v>68</v>
      </c>
      <c r="AN5"/>
    </row>
    <row r="6" spans="1:45" ht="40" customHeight="1">
      <c r="B6" s="45"/>
      <c r="C6" s="1264" t="s">
        <v>22</v>
      </c>
      <c r="D6" s="1266" t="s">
        <v>21</v>
      </c>
      <c r="E6" s="1266" t="s">
        <v>20</v>
      </c>
      <c r="F6" s="1266" t="s">
        <v>19</v>
      </c>
      <c r="G6" s="1266" t="s">
        <v>18</v>
      </c>
      <c r="H6" s="1268" t="s">
        <v>114</v>
      </c>
      <c r="I6" s="1268" t="s">
        <v>17</v>
      </c>
      <c r="J6" s="794" t="s">
        <v>16</v>
      </c>
      <c r="K6" s="794"/>
      <c r="L6" s="794"/>
      <c r="M6" s="794" t="s">
        <v>16</v>
      </c>
      <c r="N6" s="794"/>
      <c r="O6" s="794" t="s">
        <v>15</v>
      </c>
      <c r="P6" s="794"/>
      <c r="Q6" s="794" t="s">
        <v>14</v>
      </c>
      <c r="R6" s="794"/>
      <c r="S6" s="794"/>
      <c r="T6" s="794" t="s">
        <v>14</v>
      </c>
      <c r="U6" s="794"/>
      <c r="V6" s="794" t="s">
        <v>670</v>
      </c>
      <c r="W6" s="794"/>
      <c r="X6" s="1270" t="s">
        <v>31</v>
      </c>
      <c r="Y6" s="1272" t="s">
        <v>245</v>
      </c>
      <c r="Z6" s="1272" t="s">
        <v>244</v>
      </c>
      <c r="AA6" s="1274"/>
      <c r="AB6" s="623"/>
      <c r="AC6" s="610" t="s">
        <v>12</v>
      </c>
      <c r="AD6" s="540"/>
      <c r="AE6" s="623">
        <v>2024</v>
      </c>
      <c r="AF6" s="624"/>
      <c r="AG6" s="613" t="s">
        <v>393</v>
      </c>
      <c r="AH6" s="614"/>
      <c r="AI6" s="614"/>
      <c r="AJ6" s="614"/>
      <c r="AK6" s="614"/>
      <c r="AL6" s="1112" t="s">
        <v>393</v>
      </c>
      <c r="AM6" s="1113"/>
      <c r="AN6" s="607"/>
      <c r="AO6" s="1251" t="s">
        <v>670</v>
      </c>
      <c r="AP6" s="1252"/>
    </row>
    <row r="7" spans="1:45" ht="20.149999999999999" customHeight="1">
      <c r="A7" s="52" t="s">
        <v>54</v>
      </c>
      <c r="B7" s="52" t="s">
        <v>25</v>
      </c>
      <c r="C7" s="1265"/>
      <c r="D7" s="1267" t="s">
        <v>21</v>
      </c>
      <c r="E7" s="1267" t="s">
        <v>20</v>
      </c>
      <c r="F7" s="1267" t="s">
        <v>19</v>
      </c>
      <c r="G7" s="1267" t="s">
        <v>18</v>
      </c>
      <c r="H7" s="1269" t="s">
        <v>17</v>
      </c>
      <c r="I7" s="1269" t="s">
        <v>17</v>
      </c>
      <c r="J7" s="796" t="s">
        <v>40</v>
      </c>
      <c r="K7" s="797" t="s">
        <v>51</v>
      </c>
      <c r="L7" s="797" t="s">
        <v>104</v>
      </c>
      <c r="M7" s="797" t="s">
        <v>42</v>
      </c>
      <c r="N7" s="796" t="s">
        <v>41</v>
      </c>
      <c r="O7" s="796" t="s">
        <v>53</v>
      </c>
      <c r="P7" s="796" t="s">
        <v>42</v>
      </c>
      <c r="Q7" s="797" t="s">
        <v>40</v>
      </c>
      <c r="R7" s="798" t="s">
        <v>52</v>
      </c>
      <c r="S7" s="798" t="s">
        <v>105</v>
      </c>
      <c r="T7" s="797" t="s">
        <v>42</v>
      </c>
      <c r="U7" s="799" t="s">
        <v>41</v>
      </c>
      <c r="V7" s="796" t="s">
        <v>40</v>
      </c>
      <c r="W7" s="796" t="s">
        <v>42</v>
      </c>
      <c r="X7" s="1271"/>
      <c r="Y7" s="1273"/>
      <c r="Z7" s="541" t="s">
        <v>40</v>
      </c>
      <c r="AA7" s="542" t="s">
        <v>42</v>
      </c>
      <c r="AB7" s="623"/>
      <c r="AC7" s="611" t="s">
        <v>11</v>
      </c>
      <c r="AD7" s="1004" t="s">
        <v>10</v>
      </c>
      <c r="AE7" s="1005" t="str">
        <f>AE6&amp;" Lookup"</f>
        <v>2024 Lookup</v>
      </c>
      <c r="AF7" s="627"/>
      <c r="AG7" s="990" t="s">
        <v>22</v>
      </c>
      <c r="AH7" s="991" t="s">
        <v>19</v>
      </c>
      <c r="AI7" s="991" t="s">
        <v>397</v>
      </c>
      <c r="AJ7" s="992" t="s">
        <v>395</v>
      </c>
      <c r="AK7" s="991" t="s">
        <v>18</v>
      </c>
      <c r="AL7" s="1114" t="s">
        <v>40</v>
      </c>
      <c r="AM7" s="1115" t="s">
        <v>42</v>
      </c>
      <c r="AN7" s="995" t="s">
        <v>396</v>
      </c>
      <c r="AO7" s="619" t="s">
        <v>40</v>
      </c>
      <c r="AP7" s="620" t="s">
        <v>42</v>
      </c>
    </row>
    <row r="8" spans="1:45" ht="20.25" customHeight="1">
      <c r="A8" s="12" t="str">
        <f t="shared" ref="A8:A21" si="0">$B8&amp;"_"&amp;$C$3&amp;"_"&amp;$C$2</f>
        <v>TSX:FM_2025_CFO</v>
      </c>
      <c r="B8" s="12" t="str">
        <f>'Peer Group'!A6</f>
        <v>TSX:FM</v>
      </c>
      <c r="C8" s="666" t="str">
        <f t="shared" ref="C8:C21" si="1">IFERROR(INDEX(Raw_Data,MATCH($A8,Look_Up,0),MATCH(C$4,Component,0)),"-")</f>
        <v>First Quantum Minerals Ltd.</v>
      </c>
      <c r="D8" s="667">
        <f>_xll.ciqfunctions.udf.CIQ(B8, "IQ_MARKETCAP", $A$1,$A$2)</f>
        <v>19243.768960000001</v>
      </c>
      <c r="E8" s="667">
        <f>_xll.ciqfunctions.udf.CIQ($B8, "IQ_TEV", $A$1,$A$2)</f>
        <v>30184.87716</v>
      </c>
      <c r="F8" s="668" t="str">
        <f t="shared" ref="F8:G21" si="2">IFERROR(INDEX(Raw_Data,MATCH($A8,Look_Up,0),MATCH(F$4,Component,0)),"-")</f>
        <v>Ryan MacWilliam</v>
      </c>
      <c r="G8" s="668" t="str">
        <f t="shared" si="2"/>
        <v>CFO</v>
      </c>
      <c r="H8" s="667">
        <f t="shared" ref="H8:J21" si="3">IFERROR(INDEX(Raw_Data,MATCH($A8,Look_Up,0),MATCH(H$4,Component,0))/1000,"-")</f>
        <v>1152.89625</v>
      </c>
      <c r="I8" s="667">
        <f t="shared" si="3"/>
        <v>1152.89625</v>
      </c>
      <c r="J8" s="669">
        <f t="shared" si="3"/>
        <v>551.99275</v>
      </c>
      <c r="K8" s="670">
        <f t="shared" ref="K8:L21" si="4">IFERROR(INDEX(Raw_Data,MATCH($A8,Look_Up,0),MATCH(K$4,Component,0)),"-")</f>
        <v>0.47878787878787876</v>
      </c>
      <c r="L8" s="670">
        <f t="shared" si="4"/>
        <v>0.47021324019611344</v>
      </c>
      <c r="M8" s="671">
        <f t="shared" ref="M8:M21" si="5">IFERROR(INDEX(Raw_Data,MATCH($A8,Look_Up,0),MATCH(M$4,Component,0))/1000,"-")</f>
        <v>576.448125</v>
      </c>
      <c r="N8" s="672">
        <f t="shared" ref="N8:N21" si="6">IFERROR(IF(INDEX(Raw_Data,MATCH($A8,Look_Up,0),MATCH(N$4,Component,0))="-",L8,INDEX(Raw_Data,MATCH($A8,Look_Up,0),MATCH(N$4,Component,0))),"-")</f>
        <v>0.5</v>
      </c>
      <c r="O8" s="669">
        <f t="shared" ref="O8:Q21" si="7">IFERROR(INDEX(Raw_Data,MATCH($A8,Look_Up,0),MATCH(O$4,Component,0))/1000,"-")</f>
        <v>1704.8889999999999</v>
      </c>
      <c r="P8" s="673">
        <f t="shared" si="7"/>
        <v>1729.3443749999999</v>
      </c>
      <c r="Q8" s="669">
        <f t="shared" si="7"/>
        <v>1572.1312499999999</v>
      </c>
      <c r="R8" s="670">
        <f t="shared" ref="R8:S21" si="8">IFERROR(INDEX(Raw_Data,MATCH($A8,Look_Up,0),MATCH(R$4,Component,0)),"-")</f>
        <v>1.3636363636363635</v>
      </c>
      <c r="S8" s="670">
        <f t="shared" si="8"/>
        <v>1.4319809094252474</v>
      </c>
      <c r="T8" s="671">
        <f t="shared" ref="T8:T21" si="9">IFERROR(INDEX(Raw_Data,MATCH($A8,Look_Up,0),MATCH(T$4,Component,0))/1000,"-")</f>
        <v>1729.3443749999999</v>
      </c>
      <c r="U8" s="672">
        <f t="shared" ref="U8:U21" si="10">IFERROR(IF(INDEX(Raw_Data,MATCH($A8,Look_Up,0),MATCH(U$4,Component,0))="-",S8,INDEX(Raw_Data,MATCH($A8,Look_Up,0),MATCH(U$4,Component,0))),"-")</f>
        <v>1.5</v>
      </c>
      <c r="V8" s="669">
        <f t="shared" ref="V8:W21" si="11">IFERROR(INDEX(Raw_Data,MATCH($A8,Look_Up,0),MATCH(V$4,Component,0))/1000,"-")</f>
        <v>3277.02025</v>
      </c>
      <c r="W8" s="674">
        <f t="shared" si="11"/>
        <v>3458.6887499999998</v>
      </c>
      <c r="X8" s="669">
        <f t="shared" ref="X8:Y21" si="12">IFERROR((INDEX(Raw_Data,MATCH($A8,Look_Up,0),MATCH(X$4,Component,0))/1000),"-")</f>
        <v>11.443718050000001</v>
      </c>
      <c r="Y8" s="674">
        <f t="shared" si="12"/>
        <v>87.573999150000006</v>
      </c>
      <c r="Z8" s="669">
        <f t="shared" ref="Z8:AA21" si="13">IFERROR(INDEX(Raw_Data,MATCH($A8,Look_Up,0),MATCH(Z$4,Component,0))/1000,"-")</f>
        <v>3376.0379671999999</v>
      </c>
      <c r="AA8" s="674">
        <f t="shared" si="13"/>
        <v>3557.7064671999997</v>
      </c>
      <c r="AB8" s="675"/>
      <c r="AC8" s="676">
        <f t="shared" ref="AC8:AC21" si="14">IFERROR(P8/W8,0)</f>
        <v>0.5</v>
      </c>
      <c r="AD8" s="1002">
        <f t="shared" ref="AD8:AD21" si="15">IFERROR(T8/W8,0)</f>
        <v>0.5</v>
      </c>
      <c r="AE8" s="1006" t="str">
        <f t="shared" ref="AE8:AE21" si="16">B8&amp;"_"&amp;$AE$6&amp;"_"&amp;$C$2</f>
        <v>TSX:FM_2024_CFO</v>
      </c>
      <c r="AF8" s="682"/>
      <c r="AG8" s="1006" t="str" cm="1">
        <f t="array" ref="AG8">IFERROR(INDEX('Import 2024 Data'!$E$4:$I$71,_xlfn.XMATCH(CFO!$AE8,'Import 2024 Data'!$C$4:$C$71),_xlfn.XMATCH(CFO!AG$5,'Import 2024 Data'!$E$3:$I$3)),"-")</f>
        <v>-</v>
      </c>
      <c r="AH8" s="1006" t="str" cm="1">
        <f t="array" ref="AH8">IFERROR(INDEX('Import 2024 Data'!$E$4:$I$71,_xlfn.XMATCH(CFO!$AE8,'Import 2024 Data'!$C$4:$C$71),_xlfn.XMATCH(CFO!AH$5,'Import 2024 Data'!$E$3:$I$3)),"-")</f>
        <v>-</v>
      </c>
      <c r="AI8" s="1008" t="str">
        <f>IF(ISNUMBER(_xlfn.XMATCH(C8,'Import 2024 Data'!$E$4:$E$71)),"N","Y")</f>
        <v>Y</v>
      </c>
      <c r="AJ8" s="1008" t="str">
        <f t="shared" ref="AJ8:AJ21" si="17">IFERROR(IF(TRIM(LOWER(AH8))=TRIM(LOWER(F8)),"N","Y"),"-")</f>
        <v>Y</v>
      </c>
      <c r="AK8" s="1006" t="str" cm="1">
        <f t="array" ref="AK8">IFERROR(INDEX('Import 2024 Data'!$E$4:$I$71,_xlfn.XMATCH(CFO!$AE8,'Import 2024 Data'!$C$4:$C$71),_xlfn.XMATCH(CFO!AK$5,'Import 2024 Data'!$E$3:$I$3)),"-")</f>
        <v>-</v>
      </c>
      <c r="AL8" s="1116" t="str" cm="1">
        <f t="array" ref="AL8">IFERROR(INDEX('Import 2024 Data'!$E$4:$I$71,_xlfn.XMATCH(CFO!$AE8,'Import 2024 Data'!$C$4:$C$71),_xlfn.XMATCH(CFO!AL$5,'Import 2024 Data'!$E$3:$I$3)),"-")</f>
        <v>-</v>
      </c>
      <c r="AM8" s="1116" t="str" cm="1">
        <f t="array" ref="AM8">IFERROR(INDEX('Import 2024 Data'!$E$4:$I$71,_xlfn.XMATCH(CFO!$AE8,'Import 2024 Data'!$C$4:$C$71),_xlfn.XMATCH(CFO!AM$5,'Import 2024 Data'!$E$3:$I$3)),"-")</f>
        <v>-</v>
      </c>
      <c r="AN8" s="998" t="str">
        <f t="shared" ref="AN8:AN21" si="18">IFERROR(IF(AJ8="Y","New Incumbent",W8/AM8-1),"-")</f>
        <v>New Incumbent</v>
      </c>
      <c r="AO8" s="1074" t="str">
        <f>IF($AI8="N",$V8,"-")</f>
        <v>-</v>
      </c>
      <c r="AP8" s="1077" t="str">
        <f>IF($AI8="N",$W8,"-")</f>
        <v>-</v>
      </c>
      <c r="AQ8" s="12">
        <f>W8/$W$30-1</f>
        <v>0.5094445255787019</v>
      </c>
    </row>
    <row r="9" spans="1:45" ht="20.25" customHeight="1">
      <c r="A9" s="12" t="str">
        <f t="shared" si="0"/>
        <v>TSX:K_2025_CFO</v>
      </c>
      <c r="B9" s="12" t="str">
        <f>'Peer Group'!A7</f>
        <v>TSX:K</v>
      </c>
      <c r="C9" s="666" t="str">
        <f t="shared" si="1"/>
        <v>Kinross Gold Corporation</v>
      </c>
      <c r="D9" s="667">
        <f>_xll.ciqfunctions.udf.CIQ(B9, "IQ_MARKETCAP", $A$1,$A$2)</f>
        <v>26179.912</v>
      </c>
      <c r="E9" s="667">
        <f>_xll.ciqfunctions.udf.CIQ($B9, "IQ_TEV", $A$1,$A$2)</f>
        <v>27159.32229</v>
      </c>
      <c r="F9" s="668" t="str">
        <f t="shared" si="2"/>
        <v>Andrea S. Freeborough</v>
      </c>
      <c r="G9" s="668" t="str">
        <f t="shared" si="2"/>
        <v>CFO</v>
      </c>
      <c r="H9" s="667" t="str">
        <f t="shared" si="3"/>
        <v>-</v>
      </c>
      <c r="I9" s="667">
        <f t="shared" si="3"/>
        <v>683.11827840000012</v>
      </c>
      <c r="J9" s="669">
        <f t="shared" si="3"/>
        <v>768.50806320000004</v>
      </c>
      <c r="K9" s="670">
        <f t="shared" si="4"/>
        <v>1.125</v>
      </c>
      <c r="L9" s="670">
        <f t="shared" si="4"/>
        <v>1.0852237958236215</v>
      </c>
      <c r="M9" s="671">
        <f t="shared" si="5"/>
        <v>614.80645056000003</v>
      </c>
      <c r="N9" s="672">
        <f t="shared" si="6"/>
        <v>0.9</v>
      </c>
      <c r="O9" s="669">
        <f t="shared" si="7"/>
        <v>1451.6263416000002</v>
      </c>
      <c r="P9" s="673">
        <f t="shared" si="7"/>
        <v>1297.92472896</v>
      </c>
      <c r="Q9" s="669">
        <f t="shared" si="7"/>
        <v>1598.4969391499999</v>
      </c>
      <c r="R9" s="670">
        <f t="shared" si="8"/>
        <v>2.3400002454831106</v>
      </c>
      <c r="S9" s="670">
        <f t="shared" si="8"/>
        <v>2.1443587574231944</v>
      </c>
      <c r="T9" s="671">
        <f t="shared" si="9"/>
        <v>1464.8506626428959</v>
      </c>
      <c r="U9" s="672">
        <f t="shared" si="10"/>
        <v>2.1443587574231944</v>
      </c>
      <c r="V9" s="669">
        <f t="shared" si="11"/>
        <v>3050.12328075</v>
      </c>
      <c r="W9" s="674">
        <f t="shared" si="11"/>
        <v>2762.775391602896</v>
      </c>
      <c r="X9" s="669">
        <f t="shared" si="12"/>
        <v>233.62708845</v>
      </c>
      <c r="Y9" s="674">
        <f t="shared" si="12"/>
        <v>90.649786600000013</v>
      </c>
      <c r="Z9" s="669">
        <f t="shared" si="13"/>
        <v>3374.4001558000004</v>
      </c>
      <c r="AA9" s="674">
        <f t="shared" si="13"/>
        <v>3087.0522666528964</v>
      </c>
      <c r="AB9" s="675"/>
      <c r="AC9" s="676">
        <f t="shared" si="14"/>
        <v>0.46979017291991126</v>
      </c>
      <c r="AD9" s="1002">
        <f t="shared" si="15"/>
        <v>0.53020982708008879</v>
      </c>
      <c r="AE9" s="1006" t="str">
        <f t="shared" si="16"/>
        <v>TSX:K_2024_CFO</v>
      </c>
      <c r="AF9" s="682"/>
      <c r="AG9" s="1006" t="str" cm="1">
        <f t="array" ref="AG9">IFERROR(INDEX('Import 2024 Data'!$E$4:$I$71,_xlfn.XMATCH(CFO!$AE9,'Import 2024 Data'!$C$4:$C$71),_xlfn.XMATCH(CFO!AG$5,'Import 2024 Data'!$E$3:$I$3)),"-")</f>
        <v>Kinross Gold Corporation</v>
      </c>
      <c r="AH9" s="1006" t="str" cm="1">
        <f t="array" ref="AH9">IFERROR(INDEX('Import 2024 Data'!$E$4:$I$71,_xlfn.XMATCH(CFO!$AE9,'Import 2024 Data'!$C$4:$C$71),_xlfn.XMATCH(CFO!AH$5,'Import 2024 Data'!$E$3:$I$3)),"-")</f>
        <v>Andrea S. Freeborough</v>
      </c>
      <c r="AI9" s="1008" t="str">
        <f>IF(ISNUMBER(_xlfn.XMATCH(C9,'Import 2024 Data'!$E$4:$E$71)),"N","Y")</f>
        <v>N</v>
      </c>
      <c r="AJ9" s="1008" t="str">
        <f t="shared" si="17"/>
        <v>N</v>
      </c>
      <c r="AK9" s="1006" t="str" cm="1">
        <f t="array" ref="AK9">IFERROR(INDEX('Import 2024 Data'!$E$4:$I$71,_xlfn.XMATCH(CFO!$AE9,'Import 2024 Data'!$C$4:$C$71),_xlfn.XMATCH(CFO!AK$5,'Import 2024 Data'!$E$3:$I$3)),"-")</f>
        <v>EVP &amp; CFO</v>
      </c>
      <c r="AL9" s="1116" cm="1">
        <f t="array" ref="AL9">IFERROR(INDEX('Import 2024 Data'!$E$4:$I$71,_xlfn.XMATCH(CFO!$AE9,'Import 2024 Data'!$C$4:$C$71),_xlfn.XMATCH(CFO!AL$5,'Import 2024 Data'!$E$3:$I$3)),"-")</f>
        <v>2579.5752135600001</v>
      </c>
      <c r="AM9" s="1116" cm="1">
        <f t="array" ref="AM9">IFERROR(INDEX('Import 2024 Data'!$E$4:$I$71,_xlfn.XMATCH(CFO!$AE9,'Import 2024 Data'!$C$4:$C$71),_xlfn.XMATCH(CFO!AM$5,'Import 2024 Data'!$E$3:$I$3)),"-")</f>
        <v>2420.8247457463776</v>
      </c>
      <c r="AN9" s="998">
        <f t="shared" si="18"/>
        <v>0.1412537799183351</v>
      </c>
      <c r="AO9" s="997">
        <f t="shared" ref="AO9:AO22" si="19">IF($AI9="N",$V9,"-")</f>
        <v>3050.12328075</v>
      </c>
      <c r="AP9" s="1078">
        <f t="shared" ref="AP9:AP22" si="20">IF($AI9="N",$W9,"-")</f>
        <v>2762.775391602896</v>
      </c>
    </row>
    <row r="10" spans="1:45" ht="20.25" customHeight="1">
      <c r="A10" s="12" t="str">
        <f t="shared" si="0"/>
        <v>TSX:LUN_2025_CFO</v>
      </c>
      <c r="B10" s="12" t="str">
        <f>'Peer Group'!A8</f>
        <v>TSX:LUN</v>
      </c>
      <c r="C10" s="666" t="str">
        <f t="shared" si="1"/>
        <v>Lundin Mining Corporation</v>
      </c>
      <c r="D10" s="667">
        <f>_xll.ciqfunctions.udf.CIQ(B10, "IQ_MARKETCAP", $A$1,$A$2)</f>
        <v>11855.56763</v>
      </c>
      <c r="E10" s="667">
        <f>_xll.ciqfunctions.udf.CIQ($B10, "IQ_TEV", $A$1,$A$2)</f>
        <v>16005.2402</v>
      </c>
      <c r="F10" s="668" t="str">
        <f t="shared" si="2"/>
        <v>Teitur Poulsen</v>
      </c>
      <c r="G10" s="668" t="str">
        <f t="shared" si="2"/>
        <v>CFO</v>
      </c>
      <c r="H10" s="667">
        <f t="shared" si="3"/>
        <v>838</v>
      </c>
      <c r="I10" s="667">
        <f t="shared" si="3"/>
        <v>758</v>
      </c>
      <c r="J10" s="669">
        <f t="shared" si="3"/>
        <v>809.97878939999998</v>
      </c>
      <c r="K10" s="670">
        <f t="shared" si="4"/>
        <v>1.0685736007915567</v>
      </c>
      <c r="L10" s="670">
        <f t="shared" si="4"/>
        <v>1.2892132249813932</v>
      </c>
      <c r="M10" s="671">
        <f t="shared" si="5"/>
        <v>606.4</v>
      </c>
      <c r="N10" s="672">
        <f t="shared" si="6"/>
        <v>0.8</v>
      </c>
      <c r="O10" s="669">
        <f t="shared" si="7"/>
        <v>1567.9787894000001</v>
      </c>
      <c r="P10" s="673">
        <f t="shared" si="7"/>
        <v>1364.4</v>
      </c>
      <c r="Q10" s="669">
        <f t="shared" si="7"/>
        <v>2411.4704639000001</v>
      </c>
      <c r="R10" s="670">
        <f t="shared" si="8"/>
        <v>3.1813594510554095</v>
      </c>
      <c r="S10" s="670">
        <f t="shared" si="8"/>
        <v>2.1400920640873013</v>
      </c>
      <c r="T10" s="671">
        <f t="shared" si="9"/>
        <v>1622.1897845781743</v>
      </c>
      <c r="U10" s="672">
        <f t="shared" si="10"/>
        <v>2.1400920640873013</v>
      </c>
      <c r="V10" s="669">
        <f t="shared" si="11"/>
        <v>3979.4492533000002</v>
      </c>
      <c r="W10" s="674">
        <f t="shared" si="11"/>
        <v>2986.5897845781742</v>
      </c>
      <c r="X10" s="669" t="str">
        <f t="shared" si="12"/>
        <v>-</v>
      </c>
      <c r="Y10" s="674">
        <f t="shared" si="12"/>
        <v>40.073276200000002</v>
      </c>
      <c r="Z10" s="669">
        <f t="shared" si="13"/>
        <v>4019.5225295000005</v>
      </c>
      <c r="AA10" s="674">
        <f t="shared" si="13"/>
        <v>3026.6630607781744</v>
      </c>
      <c r="AB10" s="675"/>
      <c r="AC10" s="676">
        <f t="shared" si="14"/>
        <v>0.45684211706788114</v>
      </c>
      <c r="AD10" s="1002">
        <f t="shared" si="15"/>
        <v>0.54315788293211897</v>
      </c>
      <c r="AE10" s="1006" t="str">
        <f t="shared" si="16"/>
        <v>TSX:LUN_2024_CFO</v>
      </c>
      <c r="AF10" s="682"/>
      <c r="AG10" s="1006" t="str" cm="1">
        <f t="array" ref="AG10">IFERROR(INDEX('Import 2024 Data'!$E$4:$I$71,_xlfn.XMATCH(CFO!$AE10,'Import 2024 Data'!$C$4:$C$71),_xlfn.XMATCH(CFO!AG$5,'Import 2024 Data'!$E$3:$I$3)),"-")</f>
        <v>Lundin Mining Corporation</v>
      </c>
      <c r="AH10" s="1006" t="str" cm="1">
        <f t="array" ref="AH10">IFERROR(INDEX('Import 2024 Data'!$E$4:$I$71,_xlfn.XMATCH(CFO!$AE10,'Import 2024 Data'!$C$4:$C$71),_xlfn.XMATCH(CFO!AH$5,'Import 2024 Data'!$E$3:$I$3)),"-")</f>
        <v>Teitur Poulsen</v>
      </c>
      <c r="AI10" s="1008" t="str">
        <f>IF(ISNUMBER(_xlfn.XMATCH(C10,'Import 2024 Data'!$E$4:$E$71)),"N","Y")</f>
        <v>N</v>
      </c>
      <c r="AJ10" s="1008" t="str">
        <f t="shared" si="17"/>
        <v>N</v>
      </c>
      <c r="AK10" s="1006" t="str" cm="1">
        <f t="array" ref="AK10">IFERROR(INDEX('Import 2024 Data'!$E$4:$I$71,_xlfn.XMATCH(CFO!$AE10,'Import 2024 Data'!$C$4:$C$71),_xlfn.XMATCH(CFO!AK$5,'Import 2024 Data'!$E$3:$I$3)),"-")</f>
        <v>CFO</v>
      </c>
      <c r="AL10" s="1116" cm="1">
        <f t="array" ref="AL10">IFERROR(INDEX('Import 2024 Data'!$E$4:$I$71,_xlfn.XMATCH(CFO!$AE10,'Import 2024 Data'!$C$4:$C$71),_xlfn.XMATCH(CFO!AL$5,'Import 2024 Data'!$E$3:$I$3)),"-")</f>
        <v>3301.7115582599999</v>
      </c>
      <c r="AM10" s="1116" cm="1">
        <f t="array" ref="AM10">IFERROR(INDEX('Import 2024 Data'!$E$4:$I$71,_xlfn.XMATCH(CFO!$AE10,'Import 2024 Data'!$C$4:$C$71),_xlfn.XMATCH(CFO!AM$5,'Import 2024 Data'!$E$3:$I$3)),"-")</f>
        <v>2451.7976588399251</v>
      </c>
      <c r="AN10" s="998">
        <f t="shared" si="18"/>
        <v>0.21812245550119647</v>
      </c>
      <c r="AO10" s="997">
        <f t="shared" si="19"/>
        <v>3979.4492533000002</v>
      </c>
      <c r="AP10" s="1078">
        <f t="shared" si="20"/>
        <v>2986.5897845781742</v>
      </c>
      <c r="AQ10" s="12" t="s">
        <v>790</v>
      </c>
      <c r="AR10" s="591">
        <f>I10/725 -1</f>
        <v>4.5517241379310347E-2</v>
      </c>
      <c r="AS10" s="1096">
        <f>U10-1.58</f>
        <v>0.56009206408730128</v>
      </c>
    </row>
    <row r="11" spans="1:45" ht="20.25" customHeight="1">
      <c r="A11" s="12" t="str">
        <f t="shared" si="0"/>
        <v>TSX:PAAS_2025_CFO</v>
      </c>
      <c r="B11" s="12" t="str">
        <f>'Peer Group'!A9</f>
        <v>TSX:PAAS</v>
      </c>
      <c r="C11" s="666" t="str">
        <f t="shared" si="1"/>
        <v>Pan American Silver Corp.</v>
      </c>
      <c r="D11" s="667">
        <f>_xll.ciqfunctions.udf.CIQ(B11, "IQ_MARKETCAP", $A$1,$A$2)</f>
        <v>14762.84492</v>
      </c>
      <c r="E11" s="667">
        <f>_xll.ciqfunctions.udf.CIQ($B11, "IQ_TEV", $A$1,$A$2)</f>
        <v>14643.113660000001</v>
      </c>
      <c r="F11" s="668" t="str">
        <f t="shared" si="2"/>
        <v>Ignacio Couturier</v>
      </c>
      <c r="G11" s="668" t="str">
        <f t="shared" si="2"/>
        <v>CFO</v>
      </c>
      <c r="H11" s="667" t="str">
        <f t="shared" si="3"/>
        <v>-</v>
      </c>
      <c r="I11" s="667">
        <f t="shared" si="3"/>
        <v>650</v>
      </c>
      <c r="J11" s="669">
        <f t="shared" si="3"/>
        <v>758.875</v>
      </c>
      <c r="K11" s="670">
        <f t="shared" si="4"/>
        <v>1.1675</v>
      </c>
      <c r="L11" s="670">
        <f t="shared" si="4"/>
        <v>1.0040643020594966</v>
      </c>
      <c r="M11" s="671">
        <f t="shared" si="5"/>
        <v>520</v>
      </c>
      <c r="N11" s="672">
        <f t="shared" si="6"/>
        <v>0.8</v>
      </c>
      <c r="O11" s="669">
        <f t="shared" si="7"/>
        <v>1408.875</v>
      </c>
      <c r="P11" s="673">
        <f t="shared" si="7"/>
        <v>1170</v>
      </c>
      <c r="Q11" s="669">
        <f t="shared" si="7"/>
        <v>1430</v>
      </c>
      <c r="R11" s="670">
        <f t="shared" si="8"/>
        <v>2.2000000000000002</v>
      </c>
      <c r="S11" s="670">
        <f t="shared" si="8"/>
        <v>1.8773600668337511</v>
      </c>
      <c r="T11" s="671">
        <f t="shared" si="9"/>
        <v>1430</v>
      </c>
      <c r="U11" s="672">
        <f t="shared" si="10"/>
        <v>2.2000000000000002</v>
      </c>
      <c r="V11" s="669">
        <f t="shared" si="11"/>
        <v>2838.875</v>
      </c>
      <c r="W11" s="674">
        <f t="shared" si="11"/>
        <v>2600</v>
      </c>
      <c r="X11" s="669">
        <f t="shared" si="12"/>
        <v>292.5</v>
      </c>
      <c r="Y11" s="674" t="str">
        <f t="shared" si="12"/>
        <v>-</v>
      </c>
      <c r="Z11" s="669">
        <f t="shared" si="13"/>
        <v>3131.375</v>
      </c>
      <c r="AA11" s="674">
        <f t="shared" si="13"/>
        <v>2892.5</v>
      </c>
      <c r="AB11" s="675"/>
      <c r="AC11" s="676">
        <f t="shared" si="14"/>
        <v>0.45</v>
      </c>
      <c r="AD11" s="1002">
        <f t="shared" si="15"/>
        <v>0.55000000000000004</v>
      </c>
      <c r="AE11" s="1006" t="str">
        <f t="shared" si="16"/>
        <v>TSX:PAAS_2024_CFO</v>
      </c>
      <c r="AF11" s="682"/>
      <c r="AG11" s="1006" t="str" cm="1">
        <f t="array" ref="AG11">IFERROR(INDEX('Import 2024 Data'!$E$4:$I$71,_xlfn.XMATCH(CFO!$AE11,'Import 2024 Data'!$C$4:$C$71),_xlfn.XMATCH(CFO!AG$5,'Import 2024 Data'!$E$3:$I$3)),"-")</f>
        <v>Pan American Silver Corp.</v>
      </c>
      <c r="AH11" s="1006" t="str" cm="1">
        <f t="array" ref="AH11">IFERROR(INDEX('Import 2024 Data'!$E$4:$I$71,_xlfn.XMATCH(CFO!$AE11,'Import 2024 Data'!$C$4:$C$71),_xlfn.XMATCH(CFO!AH$5,'Import 2024 Data'!$E$3:$I$3)),"-")</f>
        <v>Ignacio Couturier</v>
      </c>
      <c r="AI11" s="1008" t="str">
        <f>IF(ISNUMBER(_xlfn.XMATCH(C11,'Import 2024 Data'!$E$4:$E$71)),"N","Y")</f>
        <v>N</v>
      </c>
      <c r="AJ11" s="1008" t="str">
        <f t="shared" si="17"/>
        <v>N</v>
      </c>
      <c r="AK11" s="1006" t="str" cm="1">
        <f t="array" ref="AK11">IFERROR(INDEX('Import 2024 Data'!$E$4:$I$71,_xlfn.XMATCH(CFO!$AE11,'Import 2024 Data'!$C$4:$C$71),_xlfn.XMATCH(CFO!AK$5,'Import 2024 Data'!$E$3:$I$3)),"-")</f>
        <v>CFO</v>
      </c>
      <c r="AL11" s="1116" cm="1">
        <f t="array" ref="AL11">IFERROR(INDEX('Import 2024 Data'!$E$4:$I$71,_xlfn.XMATCH(CFO!$AE11,'Import 2024 Data'!$C$4:$C$71),_xlfn.XMATCH(CFO!AL$5,'Import 2024 Data'!$E$3:$I$3)),"-")</f>
        <v>2117.73</v>
      </c>
      <c r="AM11" s="1116" cm="1">
        <f t="array" ref="AM11">IFERROR(INDEX('Import 2024 Data'!$E$4:$I$71,_xlfn.XMATCH(CFO!$AE11,'Import 2024 Data'!$C$4:$C$71),_xlfn.XMATCH(CFO!AM$5,'Import 2024 Data'!$E$3:$I$3)),"-")</f>
        <v>2070</v>
      </c>
      <c r="AN11" s="998">
        <f t="shared" si="18"/>
        <v>0.2560386473429952</v>
      </c>
      <c r="AO11" s="997">
        <f t="shared" si="19"/>
        <v>2838.875</v>
      </c>
      <c r="AP11" s="1078">
        <f t="shared" si="20"/>
        <v>2600</v>
      </c>
      <c r="AQ11" s="12" t="s">
        <v>791</v>
      </c>
      <c r="AR11" s="591">
        <f>I11/575 -1</f>
        <v>0.13043478260869557</v>
      </c>
      <c r="AS11" s="1097">
        <f>U11-1.8</f>
        <v>0.40000000000000013</v>
      </c>
    </row>
    <row r="12" spans="1:45" ht="20.25" customHeight="1">
      <c r="A12" s="12" t="str">
        <f t="shared" si="0"/>
        <v>TSX:CDE_2025_CFO</v>
      </c>
      <c r="B12" s="12" t="str">
        <f>'Peer Group'!A10</f>
        <v>TSX:CDE</v>
      </c>
      <c r="C12" s="666" t="str">
        <f t="shared" si="1"/>
        <v>Coeur Mining, Inc.</v>
      </c>
      <c r="D12" s="667">
        <f>_xll.ciqfunctions.udf.CIQ(B12, "IQ_MARKETCAP", $A$1,$A$2)</f>
        <v>8254.4819700000007</v>
      </c>
      <c r="E12" s="667">
        <f>_xll.ciqfunctions.udf.CIQ($B12, "IQ_TEV", $A$1,$A$2)</f>
        <v>8846.5264100000004</v>
      </c>
      <c r="F12" s="668" t="str">
        <f t="shared" si="2"/>
        <v>Thomas S. Whelan</v>
      </c>
      <c r="G12" s="668" t="str">
        <f t="shared" si="2"/>
        <v>EVP &amp; CFO</v>
      </c>
      <c r="H12" s="667" t="str">
        <f t="shared" si="3"/>
        <v>-</v>
      </c>
      <c r="I12" s="667">
        <f t="shared" si="3"/>
        <v>663.78875000000005</v>
      </c>
      <c r="J12" s="669">
        <f t="shared" si="3"/>
        <v>892.13208000000009</v>
      </c>
      <c r="K12" s="670">
        <f t="shared" si="4"/>
        <v>1.3440000000000001</v>
      </c>
      <c r="L12" s="670">
        <f t="shared" si="4"/>
        <v>1.218</v>
      </c>
      <c r="M12" s="671">
        <f t="shared" si="5"/>
        <v>663.78875000000005</v>
      </c>
      <c r="N12" s="672">
        <f t="shared" si="6"/>
        <v>1</v>
      </c>
      <c r="O12" s="669">
        <f t="shared" si="7"/>
        <v>1555.92083</v>
      </c>
      <c r="P12" s="673">
        <f t="shared" si="7"/>
        <v>1327.5775000000001</v>
      </c>
      <c r="Q12" s="669">
        <f t="shared" si="7"/>
        <v>2248.7052700499999</v>
      </c>
      <c r="R12" s="670">
        <f t="shared" si="8"/>
        <v>3.3876821052631576</v>
      </c>
      <c r="S12" s="670">
        <f t="shared" si="8"/>
        <v>2.7236157894736843</v>
      </c>
      <c r="T12" s="671">
        <f t="shared" si="9"/>
        <v>1493.5246875</v>
      </c>
      <c r="U12" s="672">
        <f t="shared" si="10"/>
        <v>2.25</v>
      </c>
      <c r="V12" s="669">
        <f t="shared" si="11"/>
        <v>3804.6261000499999</v>
      </c>
      <c r="W12" s="674">
        <f t="shared" si="11"/>
        <v>2821.1021875000001</v>
      </c>
      <c r="X12" s="669">
        <f t="shared" si="12"/>
        <v>29.346450000000001</v>
      </c>
      <c r="Y12" s="674">
        <f t="shared" si="12"/>
        <v>93.651509200000007</v>
      </c>
      <c r="Z12" s="669">
        <f t="shared" si="13"/>
        <v>3927.6240592500003</v>
      </c>
      <c r="AA12" s="674">
        <f t="shared" si="13"/>
        <v>2944.1001467000006</v>
      </c>
      <c r="AB12" s="675"/>
      <c r="AC12" s="676">
        <f t="shared" si="14"/>
        <v>0.47058823529411764</v>
      </c>
      <c r="AD12" s="1002">
        <f t="shared" si="15"/>
        <v>0.52941176470588236</v>
      </c>
      <c r="AE12" s="1006" t="str">
        <f t="shared" si="16"/>
        <v>TSX:CDE_2024_CFO</v>
      </c>
      <c r="AF12" s="682"/>
      <c r="AG12" s="1006" t="str" cm="1">
        <f t="array" ref="AG12">IFERROR(INDEX('Import 2024 Data'!$E$4:$I$71,_xlfn.XMATCH(CFO!$AE12,'Import 2024 Data'!$C$4:$C$71),_xlfn.XMATCH(CFO!AG$5,'Import 2024 Data'!$E$3:$I$3)),"-")</f>
        <v>-</v>
      </c>
      <c r="AH12" s="1006" t="str" cm="1">
        <f t="array" ref="AH12">IFERROR(INDEX('Import 2024 Data'!$E$4:$I$71,_xlfn.XMATCH(CFO!$AE12,'Import 2024 Data'!$C$4:$C$71),_xlfn.XMATCH(CFO!AH$5,'Import 2024 Data'!$E$3:$I$3)),"-")</f>
        <v>-</v>
      </c>
      <c r="AI12" s="1008" t="str">
        <f>IF(ISNUMBER(_xlfn.XMATCH(C12,'Import 2024 Data'!$E$4:$E$71)),"N","Y")</f>
        <v>Y</v>
      </c>
      <c r="AJ12" s="1008" t="str">
        <f t="shared" si="17"/>
        <v>Y</v>
      </c>
      <c r="AK12" s="1006" t="str" cm="1">
        <f t="array" ref="AK12">IFERROR(INDEX('Import 2024 Data'!$E$4:$I$71,_xlfn.XMATCH(CFO!$AE12,'Import 2024 Data'!$C$4:$C$71),_xlfn.XMATCH(CFO!AK$5,'Import 2024 Data'!$E$3:$I$3)),"-")</f>
        <v>-</v>
      </c>
      <c r="AL12" s="1116" t="str" cm="1">
        <f t="array" ref="AL12">IFERROR(INDEX('Import 2024 Data'!$E$4:$I$71,_xlfn.XMATCH(CFO!$AE12,'Import 2024 Data'!$C$4:$C$71),_xlfn.XMATCH(CFO!AL$5,'Import 2024 Data'!$E$3:$I$3)),"-")</f>
        <v>-</v>
      </c>
      <c r="AM12" s="1116" t="str" cm="1">
        <f t="array" ref="AM12">IFERROR(INDEX('Import 2024 Data'!$E$4:$I$71,_xlfn.XMATCH(CFO!$AE12,'Import 2024 Data'!$C$4:$C$71),_xlfn.XMATCH(CFO!AM$5,'Import 2024 Data'!$E$3:$I$3)),"-")</f>
        <v>-</v>
      </c>
      <c r="AN12" s="998" t="str">
        <f t="shared" si="18"/>
        <v>New Incumbent</v>
      </c>
      <c r="AO12" s="997" t="str">
        <f t="shared" si="19"/>
        <v>-</v>
      </c>
      <c r="AP12" s="1078" t="str">
        <f t="shared" si="20"/>
        <v>-</v>
      </c>
      <c r="AQ12" s="12">
        <f>W12/$W$30-1</f>
        <v>0.23118833778262826</v>
      </c>
    </row>
    <row r="13" spans="1:45" ht="20.25" customHeight="1">
      <c r="A13" s="12" t="str">
        <f t="shared" si="0"/>
        <v>TSX:AGI_2025_CFO</v>
      </c>
      <c r="B13" s="12" t="str">
        <f>'Peer Group'!A11</f>
        <v>TSX:AGI</v>
      </c>
      <c r="C13" s="666" t="str">
        <f t="shared" si="1"/>
        <v>Alamos Gold Inc.</v>
      </c>
      <c r="D13" s="667">
        <f>_xll.ciqfunctions.udf.CIQ(B13, "IQ_MARKETCAP", $A$1,$A$2)</f>
        <v>15291.758599999999</v>
      </c>
      <c r="E13" s="667">
        <f>_xll.ciqfunctions.udf.CIQ($B13, "IQ_TEV", $A$1,$A$2)</f>
        <v>15239.87026</v>
      </c>
      <c r="F13" s="668" t="str">
        <f t="shared" si="2"/>
        <v>Gregory Fisher</v>
      </c>
      <c r="G13" s="668" t="str">
        <f t="shared" si="2"/>
        <v>CFO</v>
      </c>
      <c r="H13" s="667" t="str">
        <f t="shared" si="3"/>
        <v>-</v>
      </c>
      <c r="I13" s="667">
        <f t="shared" si="3"/>
        <v>559.85200880000002</v>
      </c>
      <c r="J13" s="669">
        <f t="shared" si="3"/>
        <v>386.64786344999999</v>
      </c>
      <c r="K13" s="670">
        <f t="shared" si="4"/>
        <v>0.69062512480530369</v>
      </c>
      <c r="L13" s="670">
        <f t="shared" si="4"/>
        <v>0.86930734842979562</v>
      </c>
      <c r="M13" s="671">
        <f t="shared" si="5"/>
        <v>475.87420748000005</v>
      </c>
      <c r="N13" s="672">
        <f t="shared" si="6"/>
        <v>0.85</v>
      </c>
      <c r="O13" s="669">
        <f t="shared" si="7"/>
        <v>946.49987225000007</v>
      </c>
      <c r="P13" s="673">
        <f t="shared" si="7"/>
        <v>1035.72621628</v>
      </c>
      <c r="Q13" s="669">
        <f t="shared" si="7"/>
        <v>979.74101540000004</v>
      </c>
      <c r="R13" s="670">
        <f t="shared" si="8"/>
        <v>1.7499999999999998</v>
      </c>
      <c r="S13" s="670">
        <f t="shared" si="8"/>
        <v>1.471045546536583</v>
      </c>
      <c r="T13" s="671">
        <f t="shared" si="9"/>
        <v>823.56780426480009</v>
      </c>
      <c r="U13" s="672">
        <f t="shared" si="10"/>
        <v>1.471045546536583</v>
      </c>
      <c r="V13" s="669">
        <f t="shared" si="11"/>
        <v>1926.2408876499999</v>
      </c>
      <c r="W13" s="674">
        <f t="shared" si="11"/>
        <v>1859.2940205447999</v>
      </c>
      <c r="X13" s="669">
        <f t="shared" si="12"/>
        <v>113.58054365000001</v>
      </c>
      <c r="Y13" s="674">
        <f t="shared" si="12"/>
        <v>34.80069735</v>
      </c>
      <c r="Z13" s="669">
        <f t="shared" si="13"/>
        <v>2074.6221286499999</v>
      </c>
      <c r="AA13" s="674">
        <f t="shared" si="13"/>
        <v>2007.6752615447999</v>
      </c>
      <c r="AB13" s="675"/>
      <c r="AC13" s="676">
        <f t="shared" si="14"/>
        <v>0.55705348634236851</v>
      </c>
      <c r="AD13" s="1002">
        <f t="shared" si="15"/>
        <v>0.44294651365763166</v>
      </c>
      <c r="AE13" s="1006" t="str">
        <f t="shared" si="16"/>
        <v>TSX:AGI_2024_CFO</v>
      </c>
      <c r="AF13" s="682"/>
      <c r="AG13" s="1006" t="str" cm="1">
        <f t="array" ref="AG13">IFERROR(INDEX('Import 2024 Data'!$E$4:$I$71,_xlfn.XMATCH(CFO!$AE13,'Import 2024 Data'!$C$4:$C$71),_xlfn.XMATCH(CFO!AG$5,'Import 2024 Data'!$E$3:$I$3)),"-")</f>
        <v>Alamos Gold Inc.</v>
      </c>
      <c r="AH13" s="1006" t="str" cm="1">
        <f t="array" ref="AH13">IFERROR(INDEX('Import 2024 Data'!$E$4:$I$71,_xlfn.XMATCH(CFO!$AE13,'Import 2024 Data'!$C$4:$C$71),_xlfn.XMATCH(CFO!AH$5,'Import 2024 Data'!$E$3:$I$3)),"-")</f>
        <v>Gregory Fisher</v>
      </c>
      <c r="AI13" s="1008" t="str">
        <f>IF(ISNUMBER(_xlfn.XMATCH(C13,'Import 2024 Data'!$E$4:$E$71)),"N","Y")</f>
        <v>N</v>
      </c>
      <c r="AJ13" s="1008" t="s">
        <v>442</v>
      </c>
      <c r="AK13" s="1006" t="str" cm="1">
        <f t="array" ref="AK13">IFERROR(INDEX('Import 2024 Data'!$E$4:$I$71,_xlfn.XMATCH(CFO!$AE13,'Import 2024 Data'!$C$4:$C$71),_xlfn.XMATCH(CFO!AK$5,'Import 2024 Data'!$E$3:$I$3)),"-")</f>
        <v>CFO</v>
      </c>
      <c r="AL13" s="1116" cm="1">
        <f t="array" ref="AL13">IFERROR(INDEX('Import 2024 Data'!$E$4:$I$71,_xlfn.XMATCH(CFO!$AE13,'Import 2024 Data'!$C$4:$C$71),_xlfn.XMATCH(CFO!AL$5,'Import 2024 Data'!$E$3:$I$3)),"-")</f>
        <v>1824.2579721500001</v>
      </c>
      <c r="AM13" s="1116" cm="1">
        <f t="array" ref="AM13">IFERROR(INDEX('Import 2024 Data'!$E$4:$I$71,_xlfn.XMATCH(CFO!$AE13,'Import 2024 Data'!$C$4:$C$71),_xlfn.XMATCH(CFO!AM$5,'Import 2024 Data'!$E$3:$I$3)),"-")</f>
        <v>1768</v>
      </c>
      <c r="AN13" s="998">
        <f t="shared" si="18"/>
        <v>5.1636889448416268E-2</v>
      </c>
      <c r="AO13" s="997">
        <f t="shared" si="19"/>
        <v>1926.2408876499999</v>
      </c>
      <c r="AP13" s="1078">
        <f t="shared" si="20"/>
        <v>1859.2940205447999</v>
      </c>
    </row>
    <row r="14" spans="1:45" ht="20.25" customHeight="1">
      <c r="A14" s="12" t="str">
        <f t="shared" si="0"/>
        <v>NYSE:HL_2025_CFO</v>
      </c>
      <c r="B14" s="12" t="str">
        <f>'Peer Group'!A12</f>
        <v>NYSE:HL</v>
      </c>
      <c r="C14" s="666" t="str">
        <f t="shared" si="1"/>
        <v>Hecla Mining Company</v>
      </c>
      <c r="D14" s="667">
        <f>_xll.ciqfunctions.udf.CIQ(B14, "IQ_MARKETCAP", $A$1,$A$2)</f>
        <v>5232.0834199999999</v>
      </c>
      <c r="E14" s="667">
        <f>_xll.ciqfunctions.udf.CIQ($B14, "IQ_TEV", $A$1,$A$2)</f>
        <v>5991.3399399999998</v>
      </c>
      <c r="F14" s="668" t="str">
        <f t="shared" si="2"/>
        <v>Russell D. Lawlar</v>
      </c>
      <c r="G14" s="668" t="str">
        <f t="shared" si="2"/>
        <v>SVP &amp; CFO</v>
      </c>
      <c r="H14" s="667">
        <f t="shared" si="3"/>
        <v>607.89075000000003</v>
      </c>
      <c r="I14" s="667">
        <f t="shared" si="3"/>
        <v>607.89075000000003</v>
      </c>
      <c r="J14" s="669">
        <f t="shared" si="3"/>
        <v>831.59454600000004</v>
      </c>
      <c r="K14" s="670">
        <f t="shared" si="4"/>
        <v>1.3680000000000001</v>
      </c>
      <c r="L14" s="670">
        <f t="shared" si="4"/>
        <v>1.0096058310272347</v>
      </c>
      <c r="M14" s="671">
        <f t="shared" si="5"/>
        <v>486.31260000000003</v>
      </c>
      <c r="N14" s="672">
        <f t="shared" si="6"/>
        <v>0.8</v>
      </c>
      <c r="O14" s="669">
        <f t="shared" si="7"/>
        <v>1439.4852960000001</v>
      </c>
      <c r="P14" s="673">
        <f t="shared" si="7"/>
        <v>1094.20335</v>
      </c>
      <c r="Q14" s="669">
        <f t="shared" si="7"/>
        <v>1020.7561729</v>
      </c>
      <c r="R14" s="670">
        <f t="shared" si="8"/>
        <v>1.6791770114942528</v>
      </c>
      <c r="S14" s="670">
        <f t="shared" si="8"/>
        <v>1.7860928210235942</v>
      </c>
      <c r="T14" s="671">
        <f t="shared" si="9"/>
        <v>1063.8088124999999</v>
      </c>
      <c r="U14" s="672">
        <f t="shared" si="10"/>
        <v>1.75</v>
      </c>
      <c r="V14" s="669">
        <f t="shared" si="11"/>
        <v>2460.2414689000002</v>
      </c>
      <c r="W14" s="674">
        <f t="shared" si="11"/>
        <v>2158.0121625000002</v>
      </c>
      <c r="X14" s="669">
        <f t="shared" si="12"/>
        <v>57.860019800000003</v>
      </c>
      <c r="Y14" s="674">
        <f t="shared" si="12"/>
        <v>33.215989050000005</v>
      </c>
      <c r="Z14" s="669">
        <f t="shared" si="13"/>
        <v>2551.3174777499999</v>
      </c>
      <c r="AA14" s="674">
        <f t="shared" si="13"/>
        <v>2249.0881713499998</v>
      </c>
      <c r="AB14" s="675"/>
      <c r="AC14" s="676">
        <f t="shared" si="14"/>
        <v>0.50704225352112675</v>
      </c>
      <c r="AD14" s="1002">
        <f t="shared" si="15"/>
        <v>0.49295774647887319</v>
      </c>
      <c r="AE14" s="1006" t="str">
        <f t="shared" si="16"/>
        <v>NYSE:HL_2024_CFO</v>
      </c>
      <c r="AF14" s="682"/>
      <c r="AG14" s="1006" t="str" cm="1">
        <f t="array" ref="AG14">IFERROR(INDEX('Import 2024 Data'!$E$4:$I$71,_xlfn.XMATCH(CFO!$AE14,'Import 2024 Data'!$C$4:$C$71),_xlfn.XMATCH(CFO!AG$5,'Import 2024 Data'!$E$3:$I$3)),"-")</f>
        <v>Hecla Mining Company</v>
      </c>
      <c r="AH14" s="1006" t="str" cm="1">
        <f t="array" ref="AH14">IFERROR(INDEX('Import 2024 Data'!$E$4:$I$71,_xlfn.XMATCH(CFO!$AE14,'Import 2024 Data'!$C$4:$C$71),_xlfn.XMATCH(CFO!AH$5,'Import 2024 Data'!$E$3:$I$3)),"-")</f>
        <v>Russell D. Lawlar</v>
      </c>
      <c r="AI14" s="1008" t="str">
        <f>IF(ISNUMBER(_xlfn.XMATCH(C14,'Import 2024 Data'!$E$4:$E$71)),"N","Y")</f>
        <v>N</v>
      </c>
      <c r="AJ14" s="1008" t="str">
        <f t="shared" si="17"/>
        <v>N</v>
      </c>
      <c r="AK14" s="1006" t="str" cm="1">
        <f t="array" ref="AK14">IFERROR(INDEX('Import 2024 Data'!$E$4:$I$71,_xlfn.XMATCH(CFO!$AE14,'Import 2024 Data'!$C$4:$C$71),_xlfn.XMATCH(CFO!AK$5,'Import 2024 Data'!$E$3:$I$3)),"-")</f>
        <v>SVP &amp; CFO</v>
      </c>
      <c r="AL14" s="1116" cm="1">
        <f t="array" ref="AL14">IFERROR(INDEX('Import 2024 Data'!$E$4:$I$71,_xlfn.XMATCH(CFO!$AE14,'Import 2024 Data'!$C$4:$C$71),_xlfn.XMATCH(CFO!AL$5,'Import 2024 Data'!$E$3:$I$3)),"-")</f>
        <v>2115.1108764500004</v>
      </c>
      <c r="AM14" s="1116" cm="1">
        <f t="array" ref="AM14">IFERROR(INDEX('Import 2024 Data'!$E$4:$I$71,_xlfn.XMATCH(CFO!$AE14,'Import 2024 Data'!$C$4:$C$71),_xlfn.XMATCH(CFO!AM$5,'Import 2024 Data'!$E$3:$I$3)),"-")</f>
        <v>2048.4041500000003</v>
      </c>
      <c r="AN14" s="998">
        <f t="shared" si="18"/>
        <v>5.3508977952422043E-2</v>
      </c>
      <c r="AO14" s="997">
        <f t="shared" si="19"/>
        <v>2460.2414689000002</v>
      </c>
      <c r="AP14" s="1078">
        <f t="shared" si="20"/>
        <v>2158.0121625000002</v>
      </c>
    </row>
    <row r="15" spans="1:45" ht="20.25" customHeight="1">
      <c r="A15" s="12" t="str">
        <f t="shared" si="0"/>
        <v>TSX:IMG_2025_CFO</v>
      </c>
      <c r="B15" s="12" t="str">
        <f>'Peer Group'!A13</f>
        <v>TSX:IMG</v>
      </c>
      <c r="C15" s="666" t="str">
        <f t="shared" si="1"/>
        <v>IAMGOLD Corporation</v>
      </c>
      <c r="D15" s="667">
        <f>_xll.ciqfunctions.udf.CIQ(B15, "IQ_MARKETCAP", $A$1,$A$2)</f>
        <v>5554.9869099999996</v>
      </c>
      <c r="E15" s="667">
        <f>_xll.ciqfunctions.udf.CIQ($B15, "IQ_TEV", $A$1,$A$2)</f>
        <v>6834.0846799999999</v>
      </c>
      <c r="F15" s="668" t="str">
        <f t="shared" si="2"/>
        <v>Maarten Theunissen</v>
      </c>
      <c r="G15" s="668" t="str">
        <f t="shared" si="2"/>
        <v>CFO</v>
      </c>
      <c r="H15" s="667" t="str">
        <f t="shared" si="3"/>
        <v>-</v>
      </c>
      <c r="I15" s="667">
        <f t="shared" si="3"/>
        <v>544.04499999999996</v>
      </c>
      <c r="J15" s="669">
        <f t="shared" si="3"/>
        <v>480.803</v>
      </c>
      <c r="K15" s="670">
        <f t="shared" si="4"/>
        <v>0.88375593930649121</v>
      </c>
      <c r="L15" s="670">
        <f t="shared" si="4"/>
        <v>0.92311749904709273</v>
      </c>
      <c r="M15" s="671">
        <f t="shared" si="5"/>
        <v>435.23599999999999</v>
      </c>
      <c r="N15" s="672">
        <f t="shared" si="6"/>
        <v>0.8</v>
      </c>
      <c r="O15" s="669">
        <f t="shared" si="7"/>
        <v>1024.848</v>
      </c>
      <c r="P15" s="673">
        <f t="shared" si="7"/>
        <v>979.28099999999995</v>
      </c>
      <c r="Q15" s="669">
        <f t="shared" si="7"/>
        <v>935.98800000000006</v>
      </c>
      <c r="R15" s="670">
        <f t="shared" si="8"/>
        <v>1.7204238619967098</v>
      </c>
      <c r="S15" s="670">
        <f t="shared" si="8"/>
        <v>1.5991464040413035</v>
      </c>
      <c r="T15" s="671">
        <f t="shared" si="9"/>
        <v>870.47199999999998</v>
      </c>
      <c r="U15" s="672">
        <f t="shared" si="10"/>
        <v>1.6</v>
      </c>
      <c r="V15" s="669">
        <f t="shared" si="11"/>
        <v>1960.836</v>
      </c>
      <c r="W15" s="674">
        <f t="shared" si="11"/>
        <v>1849.7529999999999</v>
      </c>
      <c r="X15" s="669">
        <f t="shared" si="12"/>
        <v>29.562999999999999</v>
      </c>
      <c r="Y15" s="674">
        <f t="shared" si="12"/>
        <v>41.012</v>
      </c>
      <c r="Z15" s="669">
        <f t="shared" si="13"/>
        <v>2031.4110000000001</v>
      </c>
      <c r="AA15" s="674">
        <f t="shared" si="13"/>
        <v>1920.328</v>
      </c>
      <c r="AB15" s="675"/>
      <c r="AC15" s="676">
        <f t="shared" si="14"/>
        <v>0.52941176470588236</v>
      </c>
      <c r="AD15" s="1002">
        <f t="shared" si="15"/>
        <v>0.47058823529411764</v>
      </c>
      <c r="AE15" s="1006" t="str">
        <f t="shared" si="16"/>
        <v>TSX:IMG_2024_CFO</v>
      </c>
      <c r="AF15" s="682"/>
      <c r="AG15" s="1006" t="str" cm="1">
        <f t="array" ref="AG15">IFERROR(INDEX('Import 2024 Data'!$E$4:$I$71,_xlfn.XMATCH(CFO!$AE15,'Import 2024 Data'!$C$4:$C$71),_xlfn.XMATCH(CFO!AG$5,'Import 2024 Data'!$E$3:$I$3)),"-")</f>
        <v>IAMGOLD Corporation</v>
      </c>
      <c r="AH15" s="1006" t="str" cm="1">
        <f t="array" ref="AH15">IFERROR(INDEX('Import 2024 Data'!$E$4:$I$71,_xlfn.XMATCH(CFO!$AE15,'Import 2024 Data'!$C$4:$C$71),_xlfn.XMATCH(CFO!AH$5,'Import 2024 Data'!$E$3:$I$3)),"-")</f>
        <v>Maarten Theunissen</v>
      </c>
      <c r="AI15" s="1008" t="str">
        <f>IF(ISNUMBER(_xlfn.XMATCH(C15,'Import 2024 Data'!$E$4:$E$71)),"N","Y")</f>
        <v>N</v>
      </c>
      <c r="AJ15" s="1008" t="str">
        <f t="shared" si="17"/>
        <v>N</v>
      </c>
      <c r="AK15" s="1006" t="str" cm="1">
        <f t="array" ref="AK15">IFERROR(INDEX('Import 2024 Data'!$E$4:$I$71,_xlfn.XMATCH(CFO!$AE15,'Import 2024 Data'!$C$4:$C$71),_xlfn.XMATCH(CFO!AK$5,'Import 2024 Data'!$E$3:$I$3)),"-")</f>
        <v>CFO</v>
      </c>
      <c r="AL15" s="1116" cm="1">
        <f t="array" ref="AL15">IFERROR(INDEX('Import 2024 Data'!$E$4:$I$71,_xlfn.XMATCH(CFO!$AE15,'Import 2024 Data'!$C$4:$C$71),_xlfn.XMATCH(CFO!AL$5,'Import 2024 Data'!$E$3:$I$3)),"-")</f>
        <v>1807.146</v>
      </c>
      <c r="AM15" s="1116" cm="1">
        <f t="array" ref="AM15">IFERROR(INDEX('Import 2024 Data'!$E$4:$I$71,_xlfn.XMATCH(CFO!$AE15,'Import 2024 Data'!$C$4:$C$71),_xlfn.XMATCH(CFO!AM$5,'Import 2024 Data'!$E$3:$I$3)),"-")</f>
        <v>1733.424</v>
      </c>
      <c r="AN15" s="998">
        <f t="shared" si="18"/>
        <v>6.7109374278883749E-2</v>
      </c>
      <c r="AO15" s="997">
        <f t="shared" si="19"/>
        <v>1960.836</v>
      </c>
      <c r="AP15" s="1078">
        <f t="shared" si="20"/>
        <v>1849.7529999999999</v>
      </c>
    </row>
    <row r="16" spans="1:45" ht="20.25" customHeight="1">
      <c r="A16" s="12" t="str">
        <f t="shared" si="0"/>
        <v>TSX:CS_2025_CFO</v>
      </c>
      <c r="B16" s="12" t="str">
        <f>'Peer Group'!A14</f>
        <v>TSX:CS</v>
      </c>
      <c r="C16" s="666" t="str">
        <f t="shared" si="1"/>
        <v>Capstone Copper Corp.</v>
      </c>
      <c r="D16" s="667">
        <f>_xll.ciqfunctions.udf.CIQ(B16, "IQ_MARKETCAP", $A$1,$A$2)</f>
        <v>5953.1492900000003</v>
      </c>
      <c r="E16" s="667">
        <f>_xll.ciqfunctions.udf.CIQ($B16, "IQ_TEV", $A$1,$A$2)</f>
        <v>8486.01584</v>
      </c>
      <c r="F16" s="668" t="str">
        <f t="shared" si="2"/>
        <v>Raman Randhawa</v>
      </c>
      <c r="G16" s="668" t="str">
        <f t="shared" si="2"/>
        <v>Senior VP &amp; CFO</v>
      </c>
      <c r="H16" s="667" t="str">
        <f t="shared" si="3"/>
        <v>-</v>
      </c>
      <c r="I16" s="667">
        <f t="shared" si="3"/>
        <v>600</v>
      </c>
      <c r="J16" s="669">
        <f t="shared" si="3"/>
        <v>604.32000000000005</v>
      </c>
      <c r="K16" s="670">
        <f t="shared" si="4"/>
        <v>1.0072000000000001</v>
      </c>
      <c r="L16" s="670">
        <f t="shared" si="4"/>
        <v>0.78473377740250816</v>
      </c>
      <c r="M16" s="671">
        <f t="shared" si="5"/>
        <v>480</v>
      </c>
      <c r="N16" s="672">
        <f t="shared" si="6"/>
        <v>0.8</v>
      </c>
      <c r="O16" s="669">
        <f t="shared" si="7"/>
        <v>1204.32</v>
      </c>
      <c r="P16" s="673">
        <f t="shared" si="7"/>
        <v>1080</v>
      </c>
      <c r="Q16" s="669">
        <f t="shared" si="7"/>
        <v>1019.9977050000001</v>
      </c>
      <c r="R16" s="670">
        <f t="shared" si="8"/>
        <v>1.6999961750000001</v>
      </c>
      <c r="S16" s="670">
        <f t="shared" si="8"/>
        <v>1.6999968004481347</v>
      </c>
      <c r="T16" s="671">
        <f t="shared" si="9"/>
        <v>1020</v>
      </c>
      <c r="U16" s="672">
        <f t="shared" si="10"/>
        <v>1.7</v>
      </c>
      <c r="V16" s="669">
        <f t="shared" si="11"/>
        <v>2224.3177049999999</v>
      </c>
      <c r="W16" s="674">
        <f t="shared" si="11"/>
        <v>2100</v>
      </c>
      <c r="X16" s="669" t="str">
        <f t="shared" si="12"/>
        <v>-</v>
      </c>
      <c r="Y16" s="674">
        <f t="shared" si="12"/>
        <v>87.634</v>
      </c>
      <c r="Z16" s="669">
        <f t="shared" si="13"/>
        <v>2311.9517049999999</v>
      </c>
      <c r="AA16" s="674">
        <f t="shared" si="13"/>
        <v>2187.634</v>
      </c>
      <c r="AB16" s="675"/>
      <c r="AC16" s="676">
        <f t="shared" si="14"/>
        <v>0.51428571428571423</v>
      </c>
      <c r="AD16" s="1002">
        <f t="shared" si="15"/>
        <v>0.48571428571428571</v>
      </c>
      <c r="AE16" s="1006" t="str">
        <f t="shared" si="16"/>
        <v>TSX:CS_2024_CFO</v>
      </c>
      <c r="AF16" s="682"/>
      <c r="AG16" s="1006" t="str" cm="1">
        <f t="array" ref="AG16">IFERROR(INDEX('Import 2024 Data'!$E$4:$I$71,_xlfn.XMATCH(CFO!$AE16,'Import 2024 Data'!$C$4:$C$71),_xlfn.XMATCH(CFO!AG$5,'Import 2024 Data'!$E$3:$I$3)),"-")</f>
        <v>Capstone Copper Corp.</v>
      </c>
      <c r="AH16" s="1006" t="str" cm="1">
        <f t="array" ref="AH16">IFERROR(INDEX('Import 2024 Data'!$E$4:$I$71,_xlfn.XMATCH(CFO!$AE16,'Import 2024 Data'!$C$4:$C$71),_xlfn.XMATCH(CFO!AH$5,'Import 2024 Data'!$E$3:$I$3)),"-")</f>
        <v>Raman Randhawa</v>
      </c>
      <c r="AI16" s="1008" t="str">
        <f>IF(ISNUMBER(_xlfn.XMATCH(C16,'Import 2024 Data'!$E$4:$E$71)),"N","Y")</f>
        <v>N</v>
      </c>
      <c r="AJ16" s="1008" t="str">
        <f t="shared" si="17"/>
        <v>N</v>
      </c>
      <c r="AK16" s="1006" t="str" cm="1">
        <f t="array" ref="AK16">IFERROR(INDEX('Import 2024 Data'!$E$4:$I$71,_xlfn.XMATCH(CFO!$AE16,'Import 2024 Data'!$C$4:$C$71),_xlfn.XMATCH(CFO!AK$5,'Import 2024 Data'!$E$3:$I$3)),"-")</f>
        <v>SVP &amp; CFO</v>
      </c>
      <c r="AL16" s="1116" cm="1">
        <f t="array" ref="AL16">IFERROR(INDEX('Import 2024 Data'!$E$4:$I$71,_xlfn.XMATCH(CFO!$AE16,'Import 2024 Data'!$C$4:$C$71),_xlfn.XMATCH(CFO!AL$5,'Import 2024 Data'!$E$3:$I$3)),"-")</f>
        <v>1800.7059999999999</v>
      </c>
      <c r="AM16" s="1116" cm="1">
        <f t="array" ref="AM16">IFERROR(INDEX('Import 2024 Data'!$E$4:$I$71,_xlfn.XMATCH(CFO!$AE16,'Import 2024 Data'!$C$4:$C$71),_xlfn.XMATCH(CFO!AM$5,'Import 2024 Data'!$E$3:$I$3)),"-")</f>
        <v>1838.6775</v>
      </c>
      <c r="AN16" s="998">
        <f t="shared" si="18"/>
        <v>0.14212525034977586</v>
      </c>
      <c r="AO16" s="997">
        <f t="shared" si="19"/>
        <v>2224.3177049999999</v>
      </c>
      <c r="AP16" s="1078">
        <f t="shared" si="20"/>
        <v>2100</v>
      </c>
    </row>
    <row r="17" spans="1:43" ht="20.25" customHeight="1">
      <c r="A17" s="12" t="str">
        <f t="shared" si="0"/>
        <v>TSX:ELD_2025_CFO</v>
      </c>
      <c r="B17" s="12" t="str">
        <f>'Peer Group'!A15</f>
        <v>TSX:ELD</v>
      </c>
      <c r="C17" s="666" t="str">
        <f t="shared" si="1"/>
        <v>Eldorado Gold Corporation</v>
      </c>
      <c r="D17" s="667">
        <f>_xll.ciqfunctions.udf.CIQ(B17, "IQ_MARKETCAP", $A$1,$A$2)</f>
        <v>5759.9111199999998</v>
      </c>
      <c r="E17" s="667">
        <f>_xll.ciqfunctions.udf.CIQ($B17, "IQ_TEV", $A$1,$A$2)</f>
        <v>5657.0414199999996</v>
      </c>
      <c r="F17" s="668" t="str">
        <f t="shared" si="2"/>
        <v>Paul Fernehough</v>
      </c>
      <c r="G17" s="668" t="str">
        <f t="shared" si="2"/>
        <v>EVP &amp; CFO</v>
      </c>
      <c r="H17" s="667" t="str">
        <f t="shared" si="3"/>
        <v>-</v>
      </c>
      <c r="I17" s="667">
        <f t="shared" si="3"/>
        <v>570</v>
      </c>
      <c r="J17" s="669">
        <f t="shared" si="3"/>
        <v>510.96800000000002</v>
      </c>
      <c r="K17" s="670">
        <f t="shared" si="4"/>
        <v>0.89643508771929825</v>
      </c>
      <c r="L17" s="670">
        <f t="shared" si="4"/>
        <v>0.90808965924426444</v>
      </c>
      <c r="M17" s="671">
        <f t="shared" si="5"/>
        <v>456</v>
      </c>
      <c r="N17" s="672">
        <f t="shared" si="6"/>
        <v>0.8</v>
      </c>
      <c r="O17" s="669">
        <f t="shared" si="7"/>
        <v>1080.9680000000001</v>
      </c>
      <c r="P17" s="673">
        <f t="shared" si="7"/>
        <v>1026</v>
      </c>
      <c r="Q17" s="669">
        <f t="shared" si="7"/>
        <v>972.11099781276596</v>
      </c>
      <c r="R17" s="670">
        <f t="shared" si="8"/>
        <v>1.7054578908995894</v>
      </c>
      <c r="S17" s="670">
        <f t="shared" si="8"/>
        <v>1.6027077899161926</v>
      </c>
      <c r="T17" s="671">
        <f t="shared" si="9"/>
        <v>997.5</v>
      </c>
      <c r="U17" s="672">
        <f t="shared" si="10"/>
        <v>1.75</v>
      </c>
      <c r="V17" s="669">
        <f t="shared" si="11"/>
        <v>2053.0789978127659</v>
      </c>
      <c r="W17" s="674">
        <f t="shared" si="11"/>
        <v>2023.5</v>
      </c>
      <c r="X17" s="669">
        <f t="shared" si="12"/>
        <v>99.971999999999994</v>
      </c>
      <c r="Y17" s="674" t="str">
        <f t="shared" si="12"/>
        <v>-</v>
      </c>
      <c r="Z17" s="669">
        <f t="shared" si="13"/>
        <v>2153.0509978127661</v>
      </c>
      <c r="AA17" s="674">
        <f t="shared" si="13"/>
        <v>2123.4720000000002</v>
      </c>
      <c r="AB17" s="675"/>
      <c r="AC17" s="676">
        <f t="shared" si="14"/>
        <v>0.50704225352112675</v>
      </c>
      <c r="AD17" s="1002">
        <f t="shared" si="15"/>
        <v>0.49295774647887325</v>
      </c>
      <c r="AE17" s="1006" t="str">
        <f t="shared" si="16"/>
        <v>TSX:ELD_2024_CFO</v>
      </c>
      <c r="AF17" s="682"/>
      <c r="AG17" s="1006" t="str" cm="1">
        <f t="array" ref="AG17">IFERROR(INDEX('Import 2024 Data'!$E$4:$I$71,_xlfn.XMATCH(CFO!$AE17,'Import 2024 Data'!$C$4:$C$71),_xlfn.XMATCH(CFO!AG$5,'Import 2024 Data'!$E$3:$I$3)),"-")</f>
        <v>Eldorado Gold Corporation</v>
      </c>
      <c r="AH17" s="1006" t="str" cm="1">
        <f t="array" ref="AH17">IFERROR(INDEX('Import 2024 Data'!$E$4:$I$71,_xlfn.XMATCH(CFO!$AE17,'Import 2024 Data'!$C$4:$C$71),_xlfn.XMATCH(CFO!AH$5,'Import 2024 Data'!$E$3:$I$3)),"-")</f>
        <v>Paul Fernehough</v>
      </c>
      <c r="AI17" s="1008" t="str">
        <f>IF(ISNUMBER(_xlfn.XMATCH(C17,'Import 2024 Data'!$E$4:$E$71)),"N","Y")</f>
        <v>N</v>
      </c>
      <c r="AJ17" s="1008" t="str">
        <f t="shared" si="17"/>
        <v>N</v>
      </c>
      <c r="AK17" s="1006" t="str" cm="1">
        <f t="array" ref="AK17">IFERROR(INDEX('Import 2024 Data'!$E$4:$I$71,_xlfn.XMATCH(CFO!$AE17,'Import 2024 Data'!$C$4:$C$71),_xlfn.XMATCH(CFO!AK$5,'Import 2024 Data'!$E$3:$I$3)),"-")</f>
        <v>EVP &amp; CFO</v>
      </c>
      <c r="AL17" s="1116" cm="1">
        <f t="array" ref="AL17">IFERROR(INDEX('Import 2024 Data'!$E$4:$I$71,_xlfn.XMATCH(CFO!$AE17,'Import 2024 Data'!$C$4:$C$71),_xlfn.XMATCH(CFO!AL$5,'Import 2024 Data'!$E$3:$I$3)),"-")</f>
        <v>1778.4450000000002</v>
      </c>
      <c r="AM17" s="1116" cm="1">
        <f t="array" ref="AM17">IFERROR(INDEX('Import 2024 Data'!$E$4:$I$71,_xlfn.XMATCH(CFO!$AE17,'Import 2024 Data'!$C$4:$C$71),_xlfn.XMATCH(CFO!AM$5,'Import 2024 Data'!$E$3:$I$3)),"-")</f>
        <v>1846</v>
      </c>
      <c r="AN17" s="998">
        <f t="shared" si="18"/>
        <v>9.6153846153846256E-2</v>
      </c>
      <c r="AO17" s="997">
        <f t="shared" si="19"/>
        <v>2053.0789978127659</v>
      </c>
      <c r="AP17" s="1078">
        <f t="shared" si="20"/>
        <v>2023.5</v>
      </c>
    </row>
    <row r="18" spans="1:43" ht="20.25" customHeight="1">
      <c r="A18" s="12" t="str">
        <f t="shared" si="0"/>
        <v>TSX:EQX_2025_CFO</v>
      </c>
      <c r="B18" s="12" t="str">
        <f>'Peer Group'!A16</f>
        <v>TSX:EQX</v>
      </c>
      <c r="C18" s="666" t="str">
        <f t="shared" si="1"/>
        <v>Equinox Gold Corp.</v>
      </c>
      <c r="D18" s="667">
        <f>_xll.ciqfunctions.udf.CIQ(B18, "IQ_MARKETCAP", $A$1,$A$2)</f>
        <v>6518.4440000000004</v>
      </c>
      <c r="E18" s="667">
        <f>_xll.ciqfunctions.udf.CIQ($B18, "IQ_TEV", $A$1,$A$2)</f>
        <v>8418.0428900000006</v>
      </c>
      <c r="F18" s="668" t="str">
        <f t="shared" si="2"/>
        <v>Peter Hardie</v>
      </c>
      <c r="G18" s="668" t="str">
        <f t="shared" si="2"/>
        <v>CFO</v>
      </c>
      <c r="H18" s="667" t="str">
        <f t="shared" si="3"/>
        <v>-</v>
      </c>
      <c r="I18" s="667">
        <f t="shared" si="3"/>
        <v>445.71600000000001</v>
      </c>
      <c r="J18" s="669">
        <f t="shared" si="3"/>
        <v>535.62699999999995</v>
      </c>
      <c r="K18" s="670">
        <f t="shared" si="4"/>
        <v>1.2017226215796606</v>
      </c>
      <c r="L18" s="670">
        <f t="shared" si="4"/>
        <v>1.0556540410307196</v>
      </c>
      <c r="M18" s="671">
        <f t="shared" si="5"/>
        <v>401.14440000000002</v>
      </c>
      <c r="N18" s="672">
        <f t="shared" si="6"/>
        <v>0.9</v>
      </c>
      <c r="O18" s="669">
        <f t="shared" si="7"/>
        <v>981.34299999999996</v>
      </c>
      <c r="P18" s="673">
        <f t="shared" si="7"/>
        <v>846.86040000000003</v>
      </c>
      <c r="Q18" s="669">
        <f t="shared" si="7"/>
        <v>663.98500000000001</v>
      </c>
      <c r="R18" s="670">
        <f t="shared" si="8"/>
        <v>1.4897042062658734</v>
      </c>
      <c r="S18" s="670">
        <f t="shared" si="8"/>
        <v>1.8976945242457617</v>
      </c>
      <c r="T18" s="671">
        <f t="shared" si="9"/>
        <v>668.57399999999996</v>
      </c>
      <c r="U18" s="672">
        <f t="shared" si="10"/>
        <v>1.5</v>
      </c>
      <c r="V18" s="669">
        <f t="shared" si="11"/>
        <v>1645.328</v>
      </c>
      <c r="W18" s="674">
        <f t="shared" si="11"/>
        <v>1515.4343999999999</v>
      </c>
      <c r="X18" s="669" t="str">
        <f t="shared" si="12"/>
        <v>-</v>
      </c>
      <c r="Y18" s="674">
        <f t="shared" si="12"/>
        <v>21.099</v>
      </c>
      <c r="Z18" s="669">
        <f t="shared" si="13"/>
        <v>1666.4269999999999</v>
      </c>
      <c r="AA18" s="674">
        <f t="shared" si="13"/>
        <v>1536.5333999999998</v>
      </c>
      <c r="AB18" s="675"/>
      <c r="AC18" s="676">
        <f t="shared" si="14"/>
        <v>0.55882352941176472</v>
      </c>
      <c r="AD18" s="1002">
        <f t="shared" si="15"/>
        <v>0.44117647058823528</v>
      </c>
      <c r="AE18" s="1006" t="str">
        <f t="shared" si="16"/>
        <v>TSX:EQX_2024_CFO</v>
      </c>
      <c r="AF18" s="682"/>
      <c r="AG18" s="1006" t="str" cm="1">
        <f t="array" ref="AG18">IFERROR(INDEX('Import 2024 Data'!$E$4:$I$71,_xlfn.XMATCH(CFO!$AE18,'Import 2024 Data'!$C$4:$C$71),_xlfn.XMATCH(CFO!AG$5,'Import 2024 Data'!$E$3:$I$3)),"-")</f>
        <v>-</v>
      </c>
      <c r="AH18" s="1006" t="str" cm="1">
        <f t="array" ref="AH18">IFERROR(INDEX('Import 2024 Data'!$E$4:$I$71,_xlfn.XMATCH(CFO!$AE18,'Import 2024 Data'!$C$4:$C$71),_xlfn.XMATCH(CFO!AH$5,'Import 2024 Data'!$E$3:$I$3)),"-")</f>
        <v>-</v>
      </c>
      <c r="AI18" s="1008" t="str">
        <f>IF(ISNUMBER(_xlfn.XMATCH(C18,'Import 2024 Data'!$E$4:$E$71)),"N","Y")</f>
        <v>Y</v>
      </c>
      <c r="AJ18" s="1008" t="str">
        <f t="shared" si="17"/>
        <v>Y</v>
      </c>
      <c r="AK18" s="1006" t="str" cm="1">
        <f t="array" ref="AK18">IFERROR(INDEX('Import 2024 Data'!$E$4:$I$71,_xlfn.XMATCH(CFO!$AE18,'Import 2024 Data'!$C$4:$C$71),_xlfn.XMATCH(CFO!AK$5,'Import 2024 Data'!$E$3:$I$3)),"-")</f>
        <v>-</v>
      </c>
      <c r="AL18" s="1116" t="str" cm="1">
        <f t="array" ref="AL18">IFERROR(INDEX('Import 2024 Data'!$E$4:$I$71,_xlfn.XMATCH(CFO!$AE18,'Import 2024 Data'!$C$4:$C$71),_xlfn.XMATCH(CFO!AL$5,'Import 2024 Data'!$E$3:$I$3)),"-")</f>
        <v>-</v>
      </c>
      <c r="AM18" s="1116" t="str" cm="1">
        <f t="array" ref="AM18">IFERROR(INDEX('Import 2024 Data'!$E$4:$I$71,_xlfn.XMATCH(CFO!$AE18,'Import 2024 Data'!$C$4:$C$71),_xlfn.XMATCH(CFO!AM$5,'Import 2024 Data'!$E$3:$I$3)),"-")</f>
        <v>-</v>
      </c>
      <c r="AN18" s="998" t="str">
        <f t="shared" si="18"/>
        <v>New Incumbent</v>
      </c>
      <c r="AO18" s="997" t="str">
        <f t="shared" si="19"/>
        <v>-</v>
      </c>
      <c r="AP18" s="1078" t="str">
        <f t="shared" si="20"/>
        <v>-</v>
      </c>
      <c r="AQ18" s="12">
        <f>W18/$W$30-1</f>
        <v>-0.338632549993507</v>
      </c>
    </row>
    <row r="19" spans="1:43" ht="20.25" customHeight="1">
      <c r="A19" s="12" t="str">
        <f t="shared" si="0"/>
        <v>TSX:SSRM_2025_CFO</v>
      </c>
      <c r="B19" s="12" t="str">
        <f>'Peer Group'!A17</f>
        <v>TSX:SSRM</v>
      </c>
      <c r="C19" s="666" t="str">
        <f t="shared" si="1"/>
        <v>SSR Mining Inc.</v>
      </c>
      <c r="D19" s="667">
        <f>_xll.ciqfunctions.udf.CIQ(B19, "IQ_MARKETCAP", $A$1,$A$2)</f>
        <v>3530.3646100000001</v>
      </c>
      <c r="E19" s="667">
        <f>_xll.ciqfunctions.udf.CIQ($B19, "IQ_TEV", $A$1,$A$2)</f>
        <v>4740.9122799999996</v>
      </c>
      <c r="F19" s="668" t="str">
        <f t="shared" si="2"/>
        <v>Michael Sparks</v>
      </c>
      <c r="G19" s="668" t="str">
        <f t="shared" si="2"/>
        <v>Executive VP &amp; CFO</v>
      </c>
      <c r="H19" s="667" t="str">
        <f t="shared" si="3"/>
        <v>-</v>
      </c>
      <c r="I19" s="667">
        <f t="shared" si="3"/>
        <v>838.47</v>
      </c>
      <c r="J19" s="669">
        <f t="shared" si="3"/>
        <v>781.23603780000008</v>
      </c>
      <c r="K19" s="670">
        <f t="shared" si="4"/>
        <v>0.93174000000000001</v>
      </c>
      <c r="L19" s="670">
        <f t="shared" si="4"/>
        <v>0.80711999999999995</v>
      </c>
      <c r="M19" s="671">
        <f t="shared" si="5"/>
        <v>628.85249999999996</v>
      </c>
      <c r="N19" s="672">
        <f t="shared" si="6"/>
        <v>0.75</v>
      </c>
      <c r="O19" s="669">
        <f t="shared" si="7"/>
        <v>1619.7060378000001</v>
      </c>
      <c r="P19" s="673">
        <f t="shared" si="7"/>
        <v>1467.3225</v>
      </c>
      <c r="Q19" s="669">
        <f t="shared" si="7"/>
        <v>1467.3225</v>
      </c>
      <c r="R19" s="670">
        <f t="shared" si="8"/>
        <v>1.75</v>
      </c>
      <c r="S19" s="670">
        <f t="shared" si="8"/>
        <v>1.75</v>
      </c>
      <c r="T19" s="671">
        <f t="shared" si="9"/>
        <v>1467.3225</v>
      </c>
      <c r="U19" s="672">
        <f t="shared" si="10"/>
        <v>1.75</v>
      </c>
      <c r="V19" s="669">
        <f t="shared" si="11"/>
        <v>3087.0285377999999</v>
      </c>
      <c r="W19" s="674">
        <f t="shared" si="11"/>
        <v>2934.645</v>
      </c>
      <c r="X19" s="669">
        <f t="shared" si="12"/>
        <v>39.128600000000006</v>
      </c>
      <c r="Y19" s="674">
        <f t="shared" si="12"/>
        <v>76.569080400000004</v>
      </c>
      <c r="Z19" s="669">
        <f t="shared" si="13"/>
        <v>3202.7262181999999</v>
      </c>
      <c r="AA19" s="674">
        <f t="shared" si="13"/>
        <v>3050.3426804000001</v>
      </c>
      <c r="AB19" s="675"/>
      <c r="AC19" s="676">
        <f t="shared" si="14"/>
        <v>0.5</v>
      </c>
      <c r="AD19" s="1002">
        <f t="shared" si="15"/>
        <v>0.5</v>
      </c>
      <c r="AE19" s="1006" t="str">
        <f t="shared" si="16"/>
        <v>TSX:SSRM_2024_CFO</v>
      </c>
      <c r="AF19" s="682"/>
      <c r="AG19" s="1006" t="str" cm="1">
        <f t="array" ref="AG19">IFERROR(INDEX('Import 2024 Data'!$E$4:$I$71,_xlfn.XMATCH(CFO!$AE19,'Import 2024 Data'!$C$4:$C$71),_xlfn.XMATCH(CFO!AG$5,'Import 2024 Data'!$E$3:$I$3)),"-")</f>
        <v>SSR Mining Inc.</v>
      </c>
      <c r="AH19" s="1006" t="str" cm="1">
        <f t="array" ref="AH19">IFERROR(INDEX('Import 2024 Data'!$E$4:$I$71,_xlfn.XMATCH(CFO!$AE19,'Import 2024 Data'!$C$4:$C$71),_xlfn.XMATCH(CFO!AH$5,'Import 2024 Data'!$E$3:$I$3)),"-")</f>
        <v>Michael Sparks</v>
      </c>
      <c r="AI19" s="1008" t="str">
        <f>IF(ISNUMBER(_xlfn.XMATCH(C19,'Import 2024 Data'!$E$4:$E$71)),"N","Y")</f>
        <v>N</v>
      </c>
      <c r="AJ19" s="1008" t="str">
        <f t="shared" si="17"/>
        <v>N</v>
      </c>
      <c r="AK19" s="1006" t="str" cm="1">
        <f t="array" ref="AK19">IFERROR(INDEX('Import 2024 Data'!$E$4:$I$71,_xlfn.XMATCH(CFO!$AE19,'Import 2024 Data'!$C$4:$C$71),_xlfn.XMATCH(CFO!AK$5,'Import 2024 Data'!$E$3:$I$3)),"-")</f>
        <v>EVP &amp; CFO</v>
      </c>
      <c r="AL19" s="1116" cm="1">
        <f t="array" ref="AL19">IFERROR(INDEX('Import 2024 Data'!$E$4:$I$71,_xlfn.XMATCH(CFO!$AE19,'Import 2024 Data'!$C$4:$C$71),_xlfn.XMATCH(CFO!AL$5,'Import 2024 Data'!$E$3:$I$3)),"-")</f>
        <v>2821.8651150000001</v>
      </c>
      <c r="AM19" s="1116" cm="1">
        <f t="array" ref="AM19">IFERROR(INDEX('Import 2024 Data'!$E$4:$I$71,_xlfn.XMATCH(CFO!$AE19,'Import 2024 Data'!$C$4:$C$71),_xlfn.XMATCH(CFO!AM$5,'Import 2024 Data'!$E$3:$I$3)),"-")</f>
        <v>2877.3570000000004</v>
      </c>
      <c r="AN19" s="998">
        <f t="shared" si="18"/>
        <v>1.9909938182853137E-2</v>
      </c>
      <c r="AO19" s="997">
        <f t="shared" si="19"/>
        <v>3087.0285377999999</v>
      </c>
      <c r="AP19" s="1078">
        <f t="shared" si="20"/>
        <v>2934.645</v>
      </c>
    </row>
    <row r="20" spans="1:43" ht="20.25" customHeight="1">
      <c r="A20" s="12" t="str">
        <f t="shared" si="0"/>
        <v>TSX:BTO_2025_CFO</v>
      </c>
      <c r="B20" s="12" t="str">
        <f>'Peer Group'!A18</f>
        <v>TSX:BTO</v>
      </c>
      <c r="C20" s="666" t="str">
        <f t="shared" si="1"/>
        <v>B2Gold Corp.</v>
      </c>
      <c r="D20" s="667">
        <f>_xll.ciqfunctions.udf.CIQ(B20, "IQ_MARKETCAP", $A$1,$A$2)</f>
        <v>6289.7347200000004</v>
      </c>
      <c r="E20" s="667">
        <f>_xll.ciqfunctions.udf.CIQ($B20, "IQ_TEV", $A$1,$A$2)</f>
        <v>6472.2609199999997</v>
      </c>
      <c r="F20" s="668" t="str">
        <f t="shared" si="2"/>
        <v>Michael Cinnamond</v>
      </c>
      <c r="G20" s="668" t="str">
        <f t="shared" si="2"/>
        <v>Senior VP Finance &amp; CFO</v>
      </c>
      <c r="H20" s="667" t="str">
        <f t="shared" si="3"/>
        <v>-</v>
      </c>
      <c r="I20" s="667">
        <f t="shared" si="3"/>
        <v>663.09002499999997</v>
      </c>
      <c r="J20" s="669">
        <f t="shared" si="3"/>
        <v>529.64333214999999</v>
      </c>
      <c r="K20" s="670">
        <f t="shared" si="4"/>
        <v>0.79875026343519495</v>
      </c>
      <c r="L20" s="670">
        <f t="shared" si="4"/>
        <v>0.68125043905865823</v>
      </c>
      <c r="M20" s="671">
        <f t="shared" si="5"/>
        <v>497.31751875000003</v>
      </c>
      <c r="N20" s="672">
        <f t="shared" si="6"/>
        <v>0.75</v>
      </c>
      <c r="O20" s="669">
        <f t="shared" si="7"/>
        <v>1192.7333571500001</v>
      </c>
      <c r="P20" s="673">
        <f t="shared" si="7"/>
        <v>1160.4075437500003</v>
      </c>
      <c r="Q20" s="669">
        <f t="shared" si="7"/>
        <v>2162.4392841000004</v>
      </c>
      <c r="R20" s="670">
        <f t="shared" si="8"/>
        <v>3.2611548998946263</v>
      </c>
      <c r="S20" s="670">
        <f t="shared" si="8"/>
        <v>2.8819234281700035</v>
      </c>
      <c r="T20" s="671">
        <f t="shared" si="9"/>
        <v>1910.9746780333332</v>
      </c>
      <c r="U20" s="672">
        <f t="shared" si="10"/>
        <v>2.8819234281700035</v>
      </c>
      <c r="V20" s="669">
        <f t="shared" si="11"/>
        <v>3355.1726412500002</v>
      </c>
      <c r="W20" s="674">
        <f t="shared" si="11"/>
        <v>3071.3822217833335</v>
      </c>
      <c r="X20" s="669" t="str">
        <f t="shared" si="12"/>
        <v>-</v>
      </c>
      <c r="Y20" s="674">
        <f t="shared" si="12"/>
        <v>7.3100609500000004</v>
      </c>
      <c r="Z20" s="669">
        <f t="shared" si="13"/>
        <v>3362.4827021999999</v>
      </c>
      <c r="AA20" s="674">
        <f t="shared" si="13"/>
        <v>3078.6922827333333</v>
      </c>
      <c r="AB20" s="675"/>
      <c r="AC20" s="676">
        <f t="shared" si="14"/>
        <v>0.37781280868267642</v>
      </c>
      <c r="AD20" s="1002">
        <f t="shared" si="15"/>
        <v>0.62218719131732358</v>
      </c>
      <c r="AE20" s="1006" t="str">
        <f t="shared" si="16"/>
        <v>TSX:BTO_2024_CFO</v>
      </c>
      <c r="AF20" s="682"/>
      <c r="AG20" s="1006" t="str" cm="1">
        <f t="array" ref="AG20">IFERROR(INDEX('Import 2024 Data'!$E$4:$I$71,_xlfn.XMATCH(CFO!$AE20,'Import 2024 Data'!$C$4:$C$71),_xlfn.XMATCH(CFO!AG$5,'Import 2024 Data'!$E$3:$I$3)),"-")</f>
        <v>B2Gold Corp.</v>
      </c>
      <c r="AH20" s="1006" t="str" cm="1">
        <f t="array" ref="AH20">IFERROR(INDEX('Import 2024 Data'!$E$4:$I$71,_xlfn.XMATCH(CFO!$AE20,'Import 2024 Data'!$C$4:$C$71),_xlfn.XMATCH(CFO!AH$5,'Import 2024 Data'!$E$3:$I$3)),"-")</f>
        <v>Michael Cinnamond</v>
      </c>
      <c r="AI20" s="1008" t="str">
        <f>IF(ISNUMBER(_xlfn.XMATCH(C20,'Import 2024 Data'!$E$4:$E$71)),"N","Y")</f>
        <v>N</v>
      </c>
      <c r="AJ20" s="1008" t="str">
        <f t="shared" si="17"/>
        <v>N</v>
      </c>
      <c r="AK20" s="1006" t="str" cm="1">
        <f t="array" ref="AK20">IFERROR(INDEX('Import 2024 Data'!$E$4:$I$71,_xlfn.XMATCH(CFO!$AE20,'Import 2024 Data'!$C$4:$C$71),_xlfn.XMATCH(CFO!AK$5,'Import 2024 Data'!$E$3:$I$3)),"-")</f>
        <v>SVP, Finance &amp; CFO</v>
      </c>
      <c r="AL20" s="1116" cm="1">
        <f t="array" ref="AL20">IFERROR(INDEX('Import 2024 Data'!$E$4:$I$71,_xlfn.XMATCH(CFO!$AE20,'Import 2024 Data'!$C$4:$C$71),_xlfn.XMATCH(CFO!AL$5,'Import 2024 Data'!$E$3:$I$3)),"-")</f>
        <v>2721.75</v>
      </c>
      <c r="AM20" s="1116" cm="1">
        <f t="array" ref="AM20">IFERROR(INDEX('Import 2024 Data'!$E$4:$I$71,_xlfn.XMATCH(CFO!$AE20,'Import 2024 Data'!$C$4:$C$71),_xlfn.XMATCH(CFO!AM$5,'Import 2024 Data'!$E$3:$I$3)),"-")</f>
        <v>2887.5</v>
      </c>
      <c r="AN20" s="998">
        <f t="shared" si="18"/>
        <v>6.3682154730158702E-2</v>
      </c>
      <c r="AO20" s="1075">
        <f t="shared" si="19"/>
        <v>3355.1726412500002</v>
      </c>
      <c r="AP20" s="1079">
        <f t="shared" si="20"/>
        <v>3071.3822217833335</v>
      </c>
      <c r="AQ20" s="591"/>
    </row>
    <row r="21" spans="1:43" ht="20.25" customHeight="1">
      <c r="A21" s="12" t="str">
        <f t="shared" si="0"/>
        <v>TSX:OGC_2025_CFO</v>
      </c>
      <c r="B21" s="12" t="str">
        <f>'Peer Group'!A19</f>
        <v>TSX:OGC</v>
      </c>
      <c r="C21" s="666" t="str">
        <f t="shared" si="1"/>
        <v>OceanaGold Corporation</v>
      </c>
      <c r="D21" s="667">
        <f>_xll.ciqfunctions.udf.CIQ(B21, "IQ_MARKETCAP", $A$1,$A$2)</f>
        <v>4453.8089300000001</v>
      </c>
      <c r="E21" s="667">
        <f>_xll.ciqfunctions.udf.CIQ($B21, "IQ_TEV", $A$1,$A$2)</f>
        <v>4363.2558799999997</v>
      </c>
      <c r="F21" s="668" t="str">
        <f t="shared" si="2"/>
        <v>Marius van Niekerk</v>
      </c>
      <c r="G21" s="668" t="str">
        <f t="shared" si="2"/>
        <v>EVP &amp; CFO</v>
      </c>
      <c r="H21" s="667" t="str">
        <f t="shared" si="3"/>
        <v>-</v>
      </c>
      <c r="I21" s="667">
        <f t="shared" si="3"/>
        <v>579.37438530000009</v>
      </c>
      <c r="J21" s="669">
        <f t="shared" si="3"/>
        <v>573.20604100000014</v>
      </c>
      <c r="K21" s="670">
        <f t="shared" si="4"/>
        <v>0.9893534397506959</v>
      </c>
      <c r="L21" s="670">
        <f t="shared" si="4"/>
        <v>0.74344527090088453</v>
      </c>
      <c r="M21" s="671">
        <f t="shared" si="5"/>
        <v>347.62463118000005</v>
      </c>
      <c r="N21" s="672">
        <f t="shared" si="6"/>
        <v>0.6</v>
      </c>
      <c r="O21" s="669">
        <f t="shared" si="7"/>
        <v>1152.5804263000002</v>
      </c>
      <c r="P21" s="673">
        <f t="shared" si="7"/>
        <v>926.99901648000014</v>
      </c>
      <c r="Q21" s="669">
        <f t="shared" si="7"/>
        <v>1208.75092905</v>
      </c>
      <c r="R21" s="670">
        <f t="shared" si="8"/>
        <v>2.0863037091708994</v>
      </c>
      <c r="S21" s="670">
        <f t="shared" si="8"/>
        <v>2.3548956936809966</v>
      </c>
      <c r="T21" s="671">
        <f t="shared" si="9"/>
        <v>1364.3662449720446</v>
      </c>
      <c r="U21" s="672">
        <f t="shared" si="10"/>
        <v>2.3548956936809966</v>
      </c>
      <c r="V21" s="669">
        <f t="shared" si="11"/>
        <v>2361.3313553499997</v>
      </c>
      <c r="W21" s="674">
        <f t="shared" si="11"/>
        <v>2291.3652614520447</v>
      </c>
      <c r="X21" s="669">
        <f t="shared" si="12"/>
        <v>16.19504805</v>
      </c>
      <c r="Y21" s="674" t="str">
        <f t="shared" si="12"/>
        <v>-</v>
      </c>
      <c r="Z21" s="669">
        <f t="shared" si="13"/>
        <v>2377.5264033999997</v>
      </c>
      <c r="AA21" s="674">
        <f t="shared" si="13"/>
        <v>2307.5603095020447</v>
      </c>
      <c r="AB21" s="675"/>
      <c r="AC21" s="676">
        <f t="shared" si="14"/>
        <v>0.40456187063452215</v>
      </c>
      <c r="AD21" s="1002">
        <f t="shared" si="15"/>
        <v>0.5954381293654778</v>
      </c>
      <c r="AE21" s="1006" t="str">
        <f t="shared" si="16"/>
        <v>TSX:OGC_2024_CFO</v>
      </c>
      <c r="AF21" s="682"/>
      <c r="AG21" s="1006" t="str" cm="1">
        <f t="array" ref="AG21">IFERROR(INDEX('Import 2024 Data'!$E$4:$I$71,_xlfn.XMATCH(CFO!$AE21,'Import 2024 Data'!$C$4:$C$71),_xlfn.XMATCH(CFO!AG$5,'Import 2024 Data'!$E$3:$I$3)),"-")</f>
        <v>OceanaGold Corporation</v>
      </c>
      <c r="AH21" s="1006" t="str" cm="1">
        <f t="array" ref="AH21">IFERROR(INDEX('Import 2024 Data'!$E$4:$I$71,_xlfn.XMATCH(CFO!$AE21,'Import 2024 Data'!$C$4:$C$71),_xlfn.XMATCH(CFO!AH$5,'Import 2024 Data'!$E$3:$I$3)),"-")</f>
        <v>Marius van Niekerk</v>
      </c>
      <c r="AI21" s="1008" t="str">
        <f>IF(ISNUMBER(_xlfn.XMATCH(C21,'Import 2024 Data'!$E$4:$E$71)),"N","Y")</f>
        <v>N</v>
      </c>
      <c r="AJ21" s="1008" t="str">
        <f t="shared" si="17"/>
        <v>N</v>
      </c>
      <c r="AK21" s="1006" t="str" cm="1">
        <f t="array" ref="AK21">IFERROR(INDEX('Import 2024 Data'!$E$4:$I$71,_xlfn.XMATCH(CFO!$AE21,'Import 2024 Data'!$C$4:$C$71),_xlfn.XMATCH(CFO!AK$5,'Import 2024 Data'!$E$3:$I$3)),"-")</f>
        <v>EVP &amp; CFO</v>
      </c>
      <c r="AL21" s="1116" cm="1">
        <f t="array" ref="AL21">IFERROR(INDEX('Import 2024 Data'!$E$4:$I$71,_xlfn.XMATCH(CFO!$AE21,'Import 2024 Data'!$C$4:$C$71),_xlfn.XMATCH(CFO!AL$5,'Import 2024 Data'!$E$3:$I$3)),"-")</f>
        <v>2233.73060386</v>
      </c>
      <c r="AM21" s="1116" cm="1">
        <f t="array" ref="AM21">IFERROR(INDEX('Import 2024 Data'!$E$4:$I$71,_xlfn.XMATCH(CFO!$AE21,'Import 2024 Data'!$C$4:$C$71),_xlfn.XMATCH(CFO!AM$5,'Import 2024 Data'!$E$3:$I$3)),"-")</f>
        <v>2551.4158968244487</v>
      </c>
      <c r="AN21" s="998">
        <f t="shared" si="18"/>
        <v>-0.10192404762236884</v>
      </c>
      <c r="AO21" s="1075">
        <f t="shared" si="19"/>
        <v>2361.3313553499997</v>
      </c>
      <c r="AP21" s="1079">
        <f t="shared" si="20"/>
        <v>2291.3652614520447</v>
      </c>
      <c r="AQ21" s="591"/>
    </row>
    <row r="22" spans="1:43" ht="20.25" customHeight="1">
      <c r="A22" s="12" t="str">
        <f t="shared" ref="A22:A27" si="21">$B22&amp;"_"&amp;$C$3&amp;"_"&amp;$C$2</f>
        <v>TSX:CG_2025_CFO</v>
      </c>
      <c r="B22" s="12" t="str">
        <f>'Peer Group'!A20</f>
        <v>TSX:CG</v>
      </c>
      <c r="C22" s="666" t="str">
        <f t="shared" ref="C22:C27" si="22">IFERROR(INDEX(Raw_Data,MATCH($A22,Look_Up,0),MATCH(C$4,Component,0)),"-")</f>
        <v>Centerra Gold Inc.</v>
      </c>
      <c r="D22" s="667">
        <f>_xll.ciqfunctions.udf.CIQ(B22, "IQ_MARKETCAP", $A$1,$A$2)</f>
        <v>2054.8528000000001</v>
      </c>
      <c r="E22" s="667">
        <f>_xll.ciqfunctions.udf.CIQ($B22, "IQ_TEV", $A$1,$A$2)</f>
        <v>1190.4233200000001</v>
      </c>
      <c r="F22" s="668" t="str">
        <f t="shared" ref="F22:G27" si="23">IFERROR(INDEX(Raw_Data,MATCH($A22,Look_Up,0),MATCH(F$4,Component,0)),"-")</f>
        <v>Ryan Snyder</v>
      </c>
      <c r="G22" s="668" t="str">
        <f t="shared" si="23"/>
        <v>EVP &amp; CFO</v>
      </c>
      <c r="H22" s="667" t="str">
        <f t="shared" ref="H22:J27" si="24">IFERROR(INDEX(Raw_Data,MATCH($A22,Look_Up,0),MATCH(H$4,Component,0))/1000,"-")</f>
        <v>-</v>
      </c>
      <c r="I22" s="667">
        <f t="shared" si="24"/>
        <v>473</v>
      </c>
      <c r="J22" s="669">
        <f t="shared" si="24"/>
        <v>412.45600000000002</v>
      </c>
      <c r="K22" s="670">
        <f t="shared" ref="K22:L27" si="25">IFERROR(INDEX(Raw_Data,MATCH($A22,Look_Up,0),MATCH(K$4,Component,0)),"-")</f>
        <v>0.872</v>
      </c>
      <c r="L22" s="670">
        <f t="shared" si="25"/>
        <v>0.872</v>
      </c>
      <c r="M22" s="671">
        <f t="shared" ref="M22:M27" si="26">IFERROR(INDEX(Raw_Data,MATCH($A22,Look_Up,0),MATCH(M$4,Component,0))/1000,"-")</f>
        <v>378.4</v>
      </c>
      <c r="N22" s="672">
        <f t="shared" ref="N22:N27" si="27">IFERROR(IF(INDEX(Raw_Data,MATCH($A22,Look_Up,0),MATCH(N$4,Component,0))="-",L22,INDEX(Raw_Data,MATCH($A22,Look_Up,0),MATCH(N$4,Component,0))),"-")</f>
        <v>0.8</v>
      </c>
      <c r="O22" s="669">
        <f t="shared" ref="O22:Q27" si="28">IFERROR(INDEX(Raw_Data,MATCH($A22,Look_Up,0),MATCH(O$4,Component,0))/1000,"-")</f>
        <v>885.45600000000002</v>
      </c>
      <c r="P22" s="673">
        <f t="shared" si="28"/>
        <v>851.4</v>
      </c>
      <c r="Q22" s="669">
        <f t="shared" si="28"/>
        <v>851.4</v>
      </c>
      <c r="R22" s="670">
        <f t="shared" ref="R22:S27" si="29">IFERROR(INDEX(Raw_Data,MATCH($A22,Look_Up,0),MATCH(R$4,Component,0)),"-")</f>
        <v>1.8</v>
      </c>
      <c r="S22" s="670">
        <f t="shared" si="29"/>
        <v>1.8</v>
      </c>
      <c r="T22" s="671">
        <f t="shared" ref="T22:T27" si="30">IFERROR(INDEX(Raw_Data,MATCH($A22,Look_Up,0),MATCH(T$4,Component,0))/1000,"-")</f>
        <v>851.4</v>
      </c>
      <c r="U22" s="672">
        <f t="shared" ref="U22:U27" si="31">IFERROR(IF(INDEX(Raw_Data,MATCH($A22,Look_Up,0),MATCH(U$4,Component,0))="-",S22,INDEX(Raw_Data,MATCH($A22,Look_Up,0),MATCH(U$4,Component,0))),"-")</f>
        <v>1.8</v>
      </c>
      <c r="V22" s="669">
        <f t="shared" ref="V22:AA27" si="32">IFERROR(INDEX(Raw_Data,MATCH($A22,Look_Up,0),MATCH(V$4,Component,0))/1000,"-")</f>
        <v>1736.856</v>
      </c>
      <c r="W22" s="674">
        <f t="shared" si="32"/>
        <v>1702.8</v>
      </c>
      <c r="X22" s="669" t="str">
        <f t="shared" ref="X22:Y27" si="33">IFERROR((INDEX(Raw_Data,MATCH($A22,Look_Up,0),MATCH(X$4,Component,0))/1000),"-")</f>
        <v>-</v>
      </c>
      <c r="Y22" s="674">
        <f t="shared" si="33"/>
        <v>143.86799999999999</v>
      </c>
      <c r="Z22" s="669">
        <f t="shared" si="32"/>
        <v>1880.7239999999999</v>
      </c>
      <c r="AA22" s="674">
        <f t="shared" si="32"/>
        <v>1846.6679999999999</v>
      </c>
      <c r="AB22" s="675"/>
      <c r="AC22" s="676"/>
      <c r="AD22" s="1002"/>
      <c r="AE22" s="1009" t="str">
        <f t="shared" ref="AE22:AE27" si="34">B22&amp;"_"&amp;$AE$6&amp;"_"&amp;$C$2</f>
        <v>TSX:CG_2024_CFO</v>
      </c>
      <c r="AF22" s="684"/>
      <c r="AG22" s="1009" t="str" cm="1">
        <f t="array" ref="AG22">IFERROR(INDEX('Import 2024 Data'!$E$4:$I$71,_xlfn.XMATCH(CFO!$AE22,'Import 2024 Data'!$C$4:$C$71),_xlfn.XMATCH(CFO!AG$5,'Import 2024 Data'!$E$3:$I$3)),"-")</f>
        <v>Centerra Gold Inc.</v>
      </c>
      <c r="AH22" s="1009" t="str" cm="1">
        <f t="array" ref="AH22">IFERROR(INDEX('Import 2024 Data'!$E$4:$I$71,_xlfn.XMATCH(CFO!$AE22,'Import 2024 Data'!$C$4:$C$71),_xlfn.XMATCH(CFO!AH$5,'Import 2024 Data'!$E$3:$I$3)),"-")</f>
        <v>Ryan Snyder</v>
      </c>
      <c r="AI22" s="1011" t="str">
        <f>IF(ISNUMBER(_xlfn.XMATCH(C22,'Import 2024 Data'!$E$4:$E$71)),"N","Y")</f>
        <v>N</v>
      </c>
      <c r="AJ22" s="1011" t="str">
        <f t="shared" ref="AJ22:AJ27" si="35">IFERROR(IF(TRIM(LOWER(AH22))=TRIM(LOWER(F22)),"N","Y"),"-")</f>
        <v>N</v>
      </c>
      <c r="AK22" s="1009" t="str" cm="1">
        <f t="array" ref="AK22">IFERROR(INDEX('Import 2024 Data'!$E$4:$I$71,_xlfn.XMATCH(CFO!$AE22,'Import 2024 Data'!$C$4:$C$71),_xlfn.XMATCH(CFO!AK$5,'Import 2024 Data'!$E$3:$I$3)),"-")</f>
        <v>EVP, CFO</v>
      </c>
      <c r="AL22" s="1117" cm="1">
        <f t="array" ref="AL22">IFERROR(INDEX('Import 2024 Data'!$E$4:$I$71,_xlfn.XMATCH(CFO!$AE22,'Import 2024 Data'!$C$4:$C$71),_xlfn.XMATCH(CFO!AL$5,'Import 2024 Data'!$E$3:$I$3)),"-")</f>
        <v>1319.809</v>
      </c>
      <c r="AM22" s="1117" cm="1">
        <f t="array" ref="AM22">IFERROR(INDEX('Import 2024 Data'!$E$4:$I$71,_xlfn.XMATCH(CFO!$AE22,'Import 2024 Data'!$C$4:$C$71),_xlfn.XMATCH(CFO!AM$5,'Import 2024 Data'!$E$3:$I$3)),"-")</f>
        <v>1435.3308</v>
      </c>
      <c r="AN22" s="1001">
        <f t="shared" ref="AN22:AN27" si="36">IFERROR(IF(AJ22="Y","New Incumbent",W22/AM22-1),"-")</f>
        <v>0.18634672926965679</v>
      </c>
      <c r="AO22" s="1076">
        <f t="shared" si="19"/>
        <v>1736.856</v>
      </c>
      <c r="AP22" s="1080">
        <f t="shared" si="20"/>
        <v>1702.8</v>
      </c>
      <c r="AQ22" s="591"/>
    </row>
    <row r="23" spans="1:43" ht="20.25" hidden="1" customHeight="1" outlineLevel="1">
      <c r="A23" s="12" t="str">
        <f t="shared" si="21"/>
        <v>0_2025_CFO</v>
      </c>
      <c r="B23" s="12">
        <f>'Raw Data'!E20</f>
        <v>0</v>
      </c>
      <c r="C23" s="666" t="str">
        <f t="shared" si="22"/>
        <v>(Invalid Identifier)</v>
      </c>
      <c r="D23" s="667" t="str">
        <f>_xll.ciqfunctions.udf.CIQ(B23, "IQ_MARKETCAP", $A$1,$A$2)</f>
        <v>(Invalid Identifier)</v>
      </c>
      <c r="E23" s="667" t="str">
        <f>_xll.ciqfunctions.udf.CIQ($B23, "IQ_TEV", $A$1,$A$2)</f>
        <v>(Invalid Identifier)</v>
      </c>
      <c r="F23" s="668" t="str">
        <f t="shared" si="23"/>
        <v>-</v>
      </c>
      <c r="G23" s="668" t="str">
        <f t="shared" si="23"/>
        <v>-</v>
      </c>
      <c r="H23" s="667" t="str">
        <f t="shared" si="24"/>
        <v>-</v>
      </c>
      <c r="I23" s="667" t="str">
        <f t="shared" si="24"/>
        <v>-</v>
      </c>
      <c r="J23" s="669" t="str">
        <f t="shared" si="24"/>
        <v>-</v>
      </c>
      <c r="K23" s="670" t="str">
        <f t="shared" si="25"/>
        <v>-</v>
      </c>
      <c r="L23" s="670" t="str">
        <f t="shared" si="25"/>
        <v>N/A</v>
      </c>
      <c r="M23" s="671" t="str">
        <f t="shared" si="26"/>
        <v>-</v>
      </c>
      <c r="N23" s="672" t="str">
        <f t="shared" si="27"/>
        <v>N/A</v>
      </c>
      <c r="O23" s="669" t="str">
        <f t="shared" si="28"/>
        <v>-</v>
      </c>
      <c r="P23" s="673" t="str">
        <f t="shared" si="28"/>
        <v>-</v>
      </c>
      <c r="Q23" s="669" t="str">
        <f t="shared" si="28"/>
        <v>-</v>
      </c>
      <c r="R23" s="670" t="str">
        <f t="shared" si="29"/>
        <v>-</v>
      </c>
      <c r="S23" s="670" t="str">
        <f t="shared" si="29"/>
        <v>N/A</v>
      </c>
      <c r="T23" s="671" t="str">
        <f t="shared" si="30"/>
        <v>-</v>
      </c>
      <c r="U23" s="672" t="str">
        <f t="shared" si="31"/>
        <v>N/A</v>
      </c>
      <c r="V23" s="669" t="str">
        <f t="shared" si="32"/>
        <v>-</v>
      </c>
      <c r="W23" s="674" t="str">
        <f t="shared" si="32"/>
        <v>-</v>
      </c>
      <c r="X23" s="669" t="str">
        <f t="shared" si="33"/>
        <v>-</v>
      </c>
      <c r="Y23" s="674" t="str">
        <f t="shared" si="33"/>
        <v>-</v>
      </c>
      <c r="Z23" s="669" t="str">
        <f t="shared" si="32"/>
        <v>-</v>
      </c>
      <c r="AA23" s="674" t="str">
        <f t="shared" si="32"/>
        <v>-</v>
      </c>
      <c r="AB23" s="675"/>
      <c r="AC23" s="676"/>
      <c r="AD23" s="677"/>
      <c r="AE23" s="678" t="str">
        <f t="shared" si="34"/>
        <v>0_2024_CFO</v>
      </c>
      <c r="AF23" s="678"/>
      <c r="AG23" s="682" t="str" cm="1">
        <f t="array" ref="AG23">IFERROR(INDEX(#REF!,_xlfn.XMATCH(CFO!$AE23,#REF!),_xlfn.XMATCH(CFO!AG$5,#REF!)),"-")</f>
        <v>-</v>
      </c>
      <c r="AH23" s="678" t="str" cm="1">
        <f t="array" ref="AH23">IFERROR(INDEX(#REF!,_xlfn.XMATCH(CFO!$AE23,#REF!),_xlfn.XMATCH(CFO!AH$5,#REF!)),"-")</f>
        <v>-</v>
      </c>
      <c r="AI23" s="678"/>
      <c r="AJ23" s="683" t="str">
        <f t="shared" si="35"/>
        <v>N</v>
      </c>
      <c r="AK23" s="678" t="str" cm="1">
        <f t="array" ref="AK23">IFERROR(INDEX(#REF!,_xlfn.XMATCH(CFO!$AE23,#REF!),_xlfn.XMATCH(CFO!AK$5,#REF!)),"-")</f>
        <v>-</v>
      </c>
      <c r="AL23" s="1108" t="str" cm="1">
        <f t="array" ref="AL23">IFERROR(INDEX(#REF!,_xlfn.XMATCH(CFO!$AE23,#REF!),_xlfn.XMATCH(CFO!AL$5,#REF!)),"-")</f>
        <v>-</v>
      </c>
      <c r="AM23" s="1108" t="str" cm="1">
        <f t="array" ref="AM23">IFERROR(INDEX(#REF!,_xlfn.XMATCH(CFO!$AE23,#REF!),_xlfn.XMATCH(CFO!AM$5,#REF!)),"-")</f>
        <v>-</v>
      </c>
      <c r="AN23" s="460" t="str">
        <f t="shared" si="36"/>
        <v>-</v>
      </c>
    </row>
    <row r="24" spans="1:43" ht="20.25" hidden="1" customHeight="1" outlineLevel="1">
      <c r="A24" s="12" t="str">
        <f t="shared" si="21"/>
        <v>0_2025_CFO</v>
      </c>
      <c r="B24" s="12">
        <f>'Raw Data'!E21</f>
        <v>0</v>
      </c>
      <c r="C24" s="666" t="str">
        <f t="shared" si="22"/>
        <v>(Invalid Identifier)</v>
      </c>
      <c r="D24" s="667" t="str">
        <f>_xll.ciqfunctions.udf.CIQ(B24, "IQ_MARKETCAP", $A$1,$A$2)</f>
        <v>(Invalid Identifier)</v>
      </c>
      <c r="E24" s="667" t="str">
        <f>_xll.ciqfunctions.udf.CIQ($B24, "IQ_TEV", $A$1,$A$2)</f>
        <v>(Invalid Identifier)</v>
      </c>
      <c r="F24" s="668" t="str">
        <f t="shared" si="23"/>
        <v>-</v>
      </c>
      <c r="G24" s="668" t="str">
        <f t="shared" si="23"/>
        <v>-</v>
      </c>
      <c r="H24" s="667" t="str">
        <f t="shared" si="24"/>
        <v>-</v>
      </c>
      <c r="I24" s="667" t="str">
        <f t="shared" si="24"/>
        <v>-</v>
      </c>
      <c r="J24" s="669" t="str">
        <f t="shared" si="24"/>
        <v>-</v>
      </c>
      <c r="K24" s="670" t="str">
        <f t="shared" si="25"/>
        <v>-</v>
      </c>
      <c r="L24" s="670" t="str">
        <f t="shared" si="25"/>
        <v>N/A</v>
      </c>
      <c r="M24" s="671" t="str">
        <f t="shared" si="26"/>
        <v>-</v>
      </c>
      <c r="N24" s="672" t="str">
        <f t="shared" si="27"/>
        <v>N/A</v>
      </c>
      <c r="O24" s="669" t="str">
        <f t="shared" si="28"/>
        <v>-</v>
      </c>
      <c r="P24" s="673" t="str">
        <f t="shared" si="28"/>
        <v>-</v>
      </c>
      <c r="Q24" s="669" t="str">
        <f t="shared" si="28"/>
        <v>-</v>
      </c>
      <c r="R24" s="670" t="str">
        <f t="shared" si="29"/>
        <v>-</v>
      </c>
      <c r="S24" s="670" t="str">
        <f t="shared" si="29"/>
        <v>N/A</v>
      </c>
      <c r="T24" s="671" t="str">
        <f t="shared" si="30"/>
        <v>-</v>
      </c>
      <c r="U24" s="672" t="str">
        <f t="shared" si="31"/>
        <v>N/A</v>
      </c>
      <c r="V24" s="669" t="str">
        <f t="shared" si="32"/>
        <v>-</v>
      </c>
      <c r="W24" s="674" t="str">
        <f t="shared" si="32"/>
        <v>-</v>
      </c>
      <c r="X24" s="669" t="str">
        <f t="shared" si="33"/>
        <v>-</v>
      </c>
      <c r="Y24" s="674" t="str">
        <f t="shared" si="33"/>
        <v>-</v>
      </c>
      <c r="Z24" s="669" t="str">
        <f t="shared" si="32"/>
        <v>-</v>
      </c>
      <c r="AA24" s="674" t="str">
        <f t="shared" si="32"/>
        <v>-</v>
      </c>
      <c r="AB24" s="675"/>
      <c r="AC24" s="676"/>
      <c r="AD24" s="677"/>
      <c r="AE24" s="678" t="str">
        <f t="shared" si="34"/>
        <v>0_2024_CFO</v>
      </c>
      <c r="AF24" s="678"/>
      <c r="AG24" s="682" t="str" cm="1">
        <f t="array" ref="AG24">IFERROR(INDEX(#REF!,_xlfn.XMATCH(CFO!$AE24,#REF!),_xlfn.XMATCH(CFO!AG$5,#REF!)),"-")</f>
        <v>-</v>
      </c>
      <c r="AH24" s="678" t="str" cm="1">
        <f t="array" ref="AH24">IFERROR(INDEX(#REF!,_xlfn.XMATCH(CFO!$AE24,#REF!),_xlfn.XMATCH(CFO!AH$5,#REF!)),"-")</f>
        <v>-</v>
      </c>
      <c r="AI24" s="678"/>
      <c r="AJ24" s="683" t="str">
        <f t="shared" si="35"/>
        <v>N</v>
      </c>
      <c r="AK24" s="678" t="str" cm="1">
        <f t="array" ref="AK24">IFERROR(INDEX(#REF!,_xlfn.XMATCH(CFO!$AE24,#REF!),_xlfn.XMATCH(CFO!AK$5,#REF!)),"-")</f>
        <v>-</v>
      </c>
      <c r="AL24" s="1108" t="str" cm="1">
        <f t="array" ref="AL24">IFERROR(INDEX(#REF!,_xlfn.XMATCH(CFO!$AE24,#REF!),_xlfn.XMATCH(CFO!AL$5,#REF!)),"-")</f>
        <v>-</v>
      </c>
      <c r="AM24" s="1108" t="str" cm="1">
        <f t="array" ref="AM24">IFERROR(INDEX(#REF!,_xlfn.XMATCH(CFO!$AE24,#REF!),_xlfn.XMATCH(CFO!AM$5,#REF!)),"-")</f>
        <v>-</v>
      </c>
      <c r="AN24" s="460" t="str">
        <f t="shared" si="36"/>
        <v>-</v>
      </c>
    </row>
    <row r="25" spans="1:43" ht="20.25" hidden="1" customHeight="1" outlineLevel="1">
      <c r="A25" s="12" t="str">
        <f t="shared" si="21"/>
        <v>0_2025_CFO</v>
      </c>
      <c r="B25" s="12">
        <f>'Raw Data'!E22</f>
        <v>0</v>
      </c>
      <c r="C25" s="666" t="str">
        <f t="shared" si="22"/>
        <v>(Invalid Identifier)</v>
      </c>
      <c r="D25" s="667" t="str">
        <f>_xll.ciqfunctions.udf.CIQ(B25, "IQ_MARKETCAP", $A$1,$A$2)</f>
        <v>(Invalid Identifier)</v>
      </c>
      <c r="E25" s="667" t="str">
        <f>_xll.ciqfunctions.udf.CIQ($B25, "IQ_TEV", $A$1,$A$2)</f>
        <v>(Invalid Identifier)</v>
      </c>
      <c r="F25" s="668" t="str">
        <f t="shared" si="23"/>
        <v>-</v>
      </c>
      <c r="G25" s="668" t="str">
        <f t="shared" si="23"/>
        <v>-</v>
      </c>
      <c r="H25" s="667" t="str">
        <f t="shared" si="24"/>
        <v>-</v>
      </c>
      <c r="I25" s="667" t="str">
        <f t="shared" si="24"/>
        <v>-</v>
      </c>
      <c r="J25" s="669" t="str">
        <f t="shared" si="24"/>
        <v>-</v>
      </c>
      <c r="K25" s="670" t="str">
        <f t="shared" si="25"/>
        <v>-</v>
      </c>
      <c r="L25" s="670" t="str">
        <f t="shared" si="25"/>
        <v>N/A</v>
      </c>
      <c r="M25" s="671" t="str">
        <f t="shared" si="26"/>
        <v>-</v>
      </c>
      <c r="N25" s="672" t="str">
        <f t="shared" si="27"/>
        <v>N/A</v>
      </c>
      <c r="O25" s="669" t="str">
        <f t="shared" si="28"/>
        <v>-</v>
      </c>
      <c r="P25" s="673" t="str">
        <f t="shared" si="28"/>
        <v>-</v>
      </c>
      <c r="Q25" s="669" t="str">
        <f t="shared" si="28"/>
        <v>-</v>
      </c>
      <c r="R25" s="670" t="str">
        <f t="shared" si="29"/>
        <v>-</v>
      </c>
      <c r="S25" s="670" t="str">
        <f t="shared" si="29"/>
        <v>N/A</v>
      </c>
      <c r="T25" s="671" t="str">
        <f t="shared" si="30"/>
        <v>-</v>
      </c>
      <c r="U25" s="672" t="str">
        <f t="shared" si="31"/>
        <v>N/A</v>
      </c>
      <c r="V25" s="669" t="str">
        <f t="shared" si="32"/>
        <v>-</v>
      </c>
      <c r="W25" s="674" t="str">
        <f t="shared" si="32"/>
        <v>-</v>
      </c>
      <c r="X25" s="669" t="str">
        <f t="shared" si="33"/>
        <v>-</v>
      </c>
      <c r="Y25" s="674" t="str">
        <f t="shared" si="33"/>
        <v>-</v>
      </c>
      <c r="Z25" s="669" t="str">
        <f t="shared" si="32"/>
        <v>-</v>
      </c>
      <c r="AA25" s="674" t="str">
        <f t="shared" si="32"/>
        <v>-</v>
      </c>
      <c r="AB25" s="675"/>
      <c r="AC25" s="676"/>
      <c r="AD25" s="677"/>
      <c r="AE25" s="678" t="str">
        <f t="shared" si="34"/>
        <v>0_2024_CFO</v>
      </c>
      <c r="AF25" s="678"/>
      <c r="AG25" s="682" t="str" cm="1">
        <f t="array" ref="AG25">IFERROR(INDEX(#REF!,_xlfn.XMATCH(CFO!$AE25,#REF!),_xlfn.XMATCH(CFO!AG$5,#REF!)),"-")</f>
        <v>-</v>
      </c>
      <c r="AH25" s="678" t="str" cm="1">
        <f t="array" ref="AH25">IFERROR(INDEX(#REF!,_xlfn.XMATCH(CFO!$AE25,#REF!),_xlfn.XMATCH(CFO!AH$5,#REF!)),"-")</f>
        <v>-</v>
      </c>
      <c r="AI25" s="678"/>
      <c r="AJ25" s="683" t="str">
        <f t="shared" si="35"/>
        <v>N</v>
      </c>
      <c r="AK25" s="678" t="str" cm="1">
        <f t="array" ref="AK25">IFERROR(INDEX(#REF!,_xlfn.XMATCH(CFO!$AE25,#REF!),_xlfn.XMATCH(CFO!AK$5,#REF!)),"-")</f>
        <v>-</v>
      </c>
      <c r="AL25" s="1108" t="str" cm="1">
        <f t="array" ref="AL25">IFERROR(INDEX(#REF!,_xlfn.XMATCH(CFO!$AE25,#REF!),_xlfn.XMATCH(CFO!AL$5,#REF!)),"-")</f>
        <v>-</v>
      </c>
      <c r="AM25" s="1108" t="str" cm="1">
        <f t="array" ref="AM25">IFERROR(INDEX(#REF!,_xlfn.XMATCH(CFO!$AE25,#REF!),_xlfn.XMATCH(CFO!AM$5,#REF!)),"-")</f>
        <v>-</v>
      </c>
      <c r="AN25" s="460" t="str">
        <f t="shared" si="36"/>
        <v>-</v>
      </c>
    </row>
    <row r="26" spans="1:43" ht="20.25" hidden="1" customHeight="1" outlineLevel="1">
      <c r="A26" s="12" t="str">
        <f t="shared" si="21"/>
        <v>0_2025_CFO</v>
      </c>
      <c r="B26" s="12">
        <f>'Raw Data'!E23</f>
        <v>0</v>
      </c>
      <c r="C26" s="666" t="str">
        <f t="shared" si="22"/>
        <v>(Invalid Identifier)</v>
      </c>
      <c r="D26" s="667" t="str">
        <f>_xll.ciqfunctions.udf.CIQ(B26, "IQ_MARKETCAP", $A$1,$A$2)</f>
        <v>(Invalid Identifier)</v>
      </c>
      <c r="E26" s="667" t="str">
        <f>_xll.ciqfunctions.udf.CIQ($B26, "IQ_TEV", $A$1,$A$2)</f>
        <v>(Invalid Identifier)</v>
      </c>
      <c r="F26" s="668" t="str">
        <f t="shared" si="23"/>
        <v>-</v>
      </c>
      <c r="G26" s="668" t="str">
        <f t="shared" si="23"/>
        <v>-</v>
      </c>
      <c r="H26" s="667" t="str">
        <f t="shared" si="24"/>
        <v>-</v>
      </c>
      <c r="I26" s="667" t="str">
        <f t="shared" si="24"/>
        <v>-</v>
      </c>
      <c r="J26" s="669" t="str">
        <f t="shared" si="24"/>
        <v>-</v>
      </c>
      <c r="K26" s="670" t="str">
        <f t="shared" si="25"/>
        <v>-</v>
      </c>
      <c r="L26" s="670" t="str">
        <f t="shared" si="25"/>
        <v>N/A</v>
      </c>
      <c r="M26" s="671" t="str">
        <f t="shared" si="26"/>
        <v>-</v>
      </c>
      <c r="N26" s="672" t="str">
        <f t="shared" si="27"/>
        <v>N/A</v>
      </c>
      <c r="O26" s="669" t="str">
        <f t="shared" si="28"/>
        <v>-</v>
      </c>
      <c r="P26" s="673" t="str">
        <f t="shared" si="28"/>
        <v>-</v>
      </c>
      <c r="Q26" s="669" t="str">
        <f t="shared" si="28"/>
        <v>-</v>
      </c>
      <c r="R26" s="670" t="str">
        <f t="shared" si="29"/>
        <v>-</v>
      </c>
      <c r="S26" s="670" t="str">
        <f t="shared" si="29"/>
        <v>N/A</v>
      </c>
      <c r="T26" s="671" t="str">
        <f t="shared" si="30"/>
        <v>-</v>
      </c>
      <c r="U26" s="672" t="str">
        <f t="shared" si="31"/>
        <v>N/A</v>
      </c>
      <c r="V26" s="669" t="str">
        <f t="shared" si="32"/>
        <v>-</v>
      </c>
      <c r="W26" s="674" t="str">
        <f t="shared" si="32"/>
        <v>-</v>
      </c>
      <c r="X26" s="669" t="str">
        <f t="shared" si="33"/>
        <v>-</v>
      </c>
      <c r="Y26" s="674" t="str">
        <f t="shared" si="33"/>
        <v>-</v>
      </c>
      <c r="Z26" s="669" t="str">
        <f t="shared" si="32"/>
        <v>-</v>
      </c>
      <c r="AA26" s="674" t="str">
        <f t="shared" si="32"/>
        <v>-</v>
      </c>
      <c r="AB26" s="675"/>
      <c r="AC26" s="676"/>
      <c r="AD26" s="677"/>
      <c r="AE26" s="678" t="str">
        <f t="shared" si="34"/>
        <v>0_2024_CFO</v>
      </c>
      <c r="AF26" s="678"/>
      <c r="AG26" s="682" t="str" cm="1">
        <f t="array" ref="AG26">IFERROR(INDEX(#REF!,_xlfn.XMATCH(CFO!$AE26,#REF!),_xlfn.XMATCH(CFO!AG$5,#REF!)),"-")</f>
        <v>-</v>
      </c>
      <c r="AH26" s="678" t="str" cm="1">
        <f t="array" ref="AH26">IFERROR(INDEX(#REF!,_xlfn.XMATCH(CFO!$AE26,#REF!),_xlfn.XMATCH(CFO!AH$5,#REF!)),"-")</f>
        <v>-</v>
      </c>
      <c r="AI26" s="678"/>
      <c r="AJ26" s="683" t="str">
        <f t="shared" si="35"/>
        <v>N</v>
      </c>
      <c r="AK26" s="678" t="str" cm="1">
        <f t="array" ref="AK26">IFERROR(INDEX(#REF!,_xlfn.XMATCH(CFO!$AE26,#REF!),_xlfn.XMATCH(CFO!AK$5,#REF!)),"-")</f>
        <v>-</v>
      </c>
      <c r="AL26" s="1108" t="str" cm="1">
        <f t="array" ref="AL26">IFERROR(INDEX(#REF!,_xlfn.XMATCH(CFO!$AE26,#REF!),_xlfn.XMATCH(CFO!AL$5,#REF!)),"-")</f>
        <v>-</v>
      </c>
      <c r="AM26" s="1108" t="str" cm="1">
        <f t="array" ref="AM26">IFERROR(INDEX(#REF!,_xlfn.XMATCH(CFO!$AE26,#REF!),_xlfn.XMATCH(CFO!AM$5,#REF!)),"-")</f>
        <v>-</v>
      </c>
      <c r="AN26" s="460" t="str">
        <f t="shared" si="36"/>
        <v>-</v>
      </c>
    </row>
    <row r="27" spans="1:43" ht="20.25" hidden="1" customHeight="1" outlineLevel="1">
      <c r="A27" s="12" t="str">
        <f t="shared" si="21"/>
        <v>0_2025_CFO</v>
      </c>
      <c r="B27" s="12">
        <f>'Raw Data'!E24</f>
        <v>0</v>
      </c>
      <c r="C27" s="666" t="str">
        <f t="shared" si="22"/>
        <v>(Invalid Identifier)</v>
      </c>
      <c r="D27" s="667" t="str">
        <f>_xll.ciqfunctions.udf.CIQ(B27, "IQ_MARKETCAP", $A$1,$A$2)</f>
        <v>(Invalid Identifier)</v>
      </c>
      <c r="E27" s="667" t="str">
        <f>_xll.ciqfunctions.udf.CIQ($B27, "IQ_TEV", $A$1,$A$2)</f>
        <v>(Invalid Identifier)</v>
      </c>
      <c r="F27" s="668" t="str">
        <f t="shared" si="23"/>
        <v>-</v>
      </c>
      <c r="G27" s="668" t="str">
        <f t="shared" si="23"/>
        <v>-</v>
      </c>
      <c r="H27" s="667" t="str">
        <f t="shared" si="24"/>
        <v>-</v>
      </c>
      <c r="I27" s="667" t="str">
        <f t="shared" si="24"/>
        <v>-</v>
      </c>
      <c r="J27" s="669" t="str">
        <f t="shared" si="24"/>
        <v>-</v>
      </c>
      <c r="K27" s="670" t="str">
        <f t="shared" si="25"/>
        <v>-</v>
      </c>
      <c r="L27" s="670" t="str">
        <f t="shared" si="25"/>
        <v>N/A</v>
      </c>
      <c r="M27" s="671" t="str">
        <f t="shared" si="26"/>
        <v>-</v>
      </c>
      <c r="N27" s="672" t="str">
        <f t="shared" si="27"/>
        <v>N/A</v>
      </c>
      <c r="O27" s="669" t="str">
        <f t="shared" si="28"/>
        <v>-</v>
      </c>
      <c r="P27" s="673" t="str">
        <f t="shared" si="28"/>
        <v>-</v>
      </c>
      <c r="Q27" s="669" t="str">
        <f t="shared" si="28"/>
        <v>-</v>
      </c>
      <c r="R27" s="670" t="str">
        <f t="shared" si="29"/>
        <v>-</v>
      </c>
      <c r="S27" s="670" t="str">
        <f t="shared" si="29"/>
        <v>N/A</v>
      </c>
      <c r="T27" s="671" t="str">
        <f t="shared" si="30"/>
        <v>-</v>
      </c>
      <c r="U27" s="672" t="str">
        <f t="shared" si="31"/>
        <v>N/A</v>
      </c>
      <c r="V27" s="669" t="str">
        <f t="shared" si="32"/>
        <v>-</v>
      </c>
      <c r="W27" s="674" t="str">
        <f t="shared" si="32"/>
        <v>-</v>
      </c>
      <c r="X27" s="669" t="str">
        <f t="shared" si="33"/>
        <v>-</v>
      </c>
      <c r="Y27" s="674" t="str">
        <f t="shared" si="33"/>
        <v>-</v>
      </c>
      <c r="Z27" s="669" t="str">
        <f t="shared" si="32"/>
        <v>-</v>
      </c>
      <c r="AA27" s="674" t="str">
        <f t="shared" si="32"/>
        <v>-</v>
      </c>
      <c r="AB27" s="675"/>
      <c r="AC27" s="676"/>
      <c r="AD27" s="677"/>
      <c r="AE27" s="678" t="str">
        <f t="shared" si="34"/>
        <v>0_2024_CFO</v>
      </c>
      <c r="AF27" s="678"/>
      <c r="AG27" s="684" t="str" cm="1">
        <f t="array" ref="AG27">IFERROR(INDEX(#REF!,_xlfn.XMATCH(CFO!$AE27,#REF!),_xlfn.XMATCH(CFO!AG$5,#REF!)),"-")</f>
        <v>-</v>
      </c>
      <c r="AH27" s="685" t="str" cm="1">
        <f t="array" ref="AH27">IFERROR(INDEX(#REF!,_xlfn.XMATCH(CFO!$AE27,#REF!),_xlfn.XMATCH(CFO!AH$5,#REF!)),"-")</f>
        <v>-</v>
      </c>
      <c r="AI27" s="685"/>
      <c r="AJ27" s="686" t="str">
        <f t="shared" si="35"/>
        <v>N</v>
      </c>
      <c r="AK27" s="685" t="str" cm="1">
        <f t="array" ref="AK27">IFERROR(INDEX(#REF!,_xlfn.XMATCH(CFO!$AE27,#REF!),_xlfn.XMATCH(CFO!AK$5,#REF!)),"-")</f>
        <v>-</v>
      </c>
      <c r="AL27" s="1109" t="str" cm="1">
        <f t="array" ref="AL27">IFERROR(INDEX(#REF!,_xlfn.XMATCH(CFO!$AE27,#REF!),_xlfn.XMATCH(CFO!AL$5,#REF!)),"-")</f>
        <v>-</v>
      </c>
      <c r="AM27" s="1109" t="str" cm="1">
        <f t="array" ref="AM27">IFERROR(INDEX(#REF!,_xlfn.XMATCH(CFO!$AE27,#REF!),_xlfn.XMATCH(CFO!AM$5,#REF!)),"-")</f>
        <v>-</v>
      </c>
      <c r="AN27" s="464" t="str">
        <f t="shared" si="36"/>
        <v>-</v>
      </c>
    </row>
    <row r="28" spans="1:43" ht="20.25" customHeight="1" collapsed="1">
      <c r="C28" s="688" t="str">
        <f>$C$3&amp;" Summary Statistics"</f>
        <v>2025 Summary Statistics</v>
      </c>
      <c r="D28" s="689"/>
      <c r="E28" s="689"/>
      <c r="F28" s="689"/>
      <c r="G28" s="689"/>
      <c r="H28" s="689"/>
      <c r="I28" s="689"/>
      <c r="J28" s="689"/>
      <c r="K28" s="690"/>
      <c r="L28" s="690"/>
      <c r="M28" s="689"/>
      <c r="N28" s="690"/>
      <c r="O28" s="689"/>
      <c r="P28" s="689"/>
      <c r="Q28" s="689"/>
      <c r="R28" s="690"/>
      <c r="S28" s="690"/>
      <c r="T28" s="689"/>
      <c r="U28" s="690"/>
      <c r="V28" s="689"/>
      <c r="W28" s="691"/>
      <c r="X28" s="689"/>
      <c r="Y28" s="691"/>
      <c r="Z28" s="689"/>
      <c r="AA28" s="691"/>
      <c r="AB28" s="675"/>
      <c r="AC28" s="692"/>
      <c r="AD28" s="693"/>
      <c r="AE28" s="678"/>
      <c r="AF28" s="678"/>
      <c r="AG28" s="678"/>
      <c r="AH28" s="678"/>
      <c r="AI28" s="678"/>
      <c r="AJ28" s="678"/>
      <c r="AK28" s="678"/>
      <c r="AL28" s="1110"/>
      <c r="AM28" s="1111"/>
      <c r="AO28" s="1081" t="s">
        <v>774</v>
      </c>
      <c r="AP28" s="695"/>
    </row>
    <row r="29" spans="1:43" s="17" customFormat="1" ht="20.25" customHeight="1">
      <c r="B29" s="17">
        <v>0.75</v>
      </c>
      <c r="C29" s="696" t="s">
        <v>9</v>
      </c>
      <c r="D29" s="697">
        <f t="shared" ref="D29:E31" si="37">PERCENTILE(D$8:D$27,$B29)</f>
        <v>13309.206275</v>
      </c>
      <c r="E29" s="697">
        <f t="shared" si="37"/>
        <v>14941.491959999999</v>
      </c>
      <c r="F29" s="698"/>
      <c r="G29" s="698"/>
      <c r="H29" s="698"/>
      <c r="I29" s="697">
        <f t="shared" ref="I29:X31" si="38">PERCENTILE(I$8:I$27,$B29)</f>
        <v>673.45351420000009</v>
      </c>
      <c r="J29" s="699">
        <f t="shared" si="38"/>
        <v>774.87205050000011</v>
      </c>
      <c r="K29" s="700">
        <f t="shared" si="38"/>
        <v>1.14625</v>
      </c>
      <c r="L29" s="700">
        <f t="shared" si="38"/>
        <v>1.032629936028977</v>
      </c>
      <c r="M29" s="701">
        <f t="shared" si="38"/>
        <v>591.42406249999999</v>
      </c>
      <c r="N29" s="677">
        <f t="shared" si="38"/>
        <v>0.82499999999999996</v>
      </c>
      <c r="O29" s="699">
        <f t="shared" si="38"/>
        <v>1503.7735858000001</v>
      </c>
      <c r="P29" s="702">
        <f t="shared" si="38"/>
        <v>1312.7511144800001</v>
      </c>
      <c r="Q29" s="699">
        <f t="shared" si="38"/>
        <v>1585.3140945749999</v>
      </c>
      <c r="R29" s="700">
        <f t="shared" si="38"/>
        <v>2.2700001227415552</v>
      </c>
      <c r="S29" s="700">
        <f t="shared" si="38"/>
        <v>2.1422254107552479</v>
      </c>
      <c r="T29" s="701">
        <f t="shared" si="38"/>
        <v>1480.42359375</v>
      </c>
      <c r="U29" s="677">
        <f t="shared" si="38"/>
        <v>2.1721793787115971</v>
      </c>
      <c r="V29" s="699">
        <f t="shared" si="38"/>
        <v>3182.0243939000002</v>
      </c>
      <c r="W29" s="702">
        <f t="shared" si="38"/>
        <v>2877.8735937500001</v>
      </c>
      <c r="X29" s="699">
        <f t="shared" si="38"/>
        <v>110.17840773750001</v>
      </c>
      <c r="Y29" s="702">
        <f t="shared" ref="X29:AA31" si="39">PERCENTILE(Y$8:Y$27,$B29)</f>
        <v>88.387946650000004</v>
      </c>
      <c r="Z29" s="699">
        <f t="shared" si="39"/>
        <v>3368.4414290000004</v>
      </c>
      <c r="AA29" s="702">
        <f t="shared" si="39"/>
        <v>3038.5028705890873</v>
      </c>
      <c r="AB29" s="703"/>
      <c r="AC29" s="676">
        <f t="shared" ref="AC29:AD31" si="40">PERCENTILE(AC$8:AC$27,$B29)</f>
        <v>0.51247484909456742</v>
      </c>
      <c r="AD29" s="677">
        <f t="shared" si="40"/>
        <v>0.5399208689691114</v>
      </c>
      <c r="AE29" s="678"/>
      <c r="AF29" s="678"/>
      <c r="AG29" s="678"/>
      <c r="AH29" s="678"/>
      <c r="AI29" s="678"/>
      <c r="AJ29" s="678"/>
      <c r="AK29" s="678"/>
      <c r="AL29" s="1355">
        <f>PERCENTILE(AL$8:AL$22,$B29)</f>
        <v>2615.1189101700002</v>
      </c>
      <c r="AM29" s="1356">
        <f t="shared" ref="AM29:AM30" si="41">PERCENTILE(AM$8:AM$22,$B29)</f>
        <v>2476.7022183360559</v>
      </c>
      <c r="AN29" s="783"/>
      <c r="AO29" s="863">
        <f>PERCENTILE(AO$8:AO$22,$B29)</f>
        <v>3059.3495950124998</v>
      </c>
      <c r="AP29" s="863">
        <f t="shared" ref="AO29:AP31" si="42">PERCENTILE(AP$8:AP$22,$B29)</f>
        <v>2805.7427937021721</v>
      </c>
    </row>
    <row r="30" spans="1:43" s="17" customFormat="1" ht="20.25" customHeight="1">
      <c r="B30" s="17">
        <v>0.5</v>
      </c>
      <c r="C30" s="706" t="s">
        <v>8</v>
      </c>
      <c r="D30" s="707">
        <f t="shared" si="37"/>
        <v>6289.7347200000004</v>
      </c>
      <c r="E30" s="707">
        <f t="shared" si="37"/>
        <v>8418.0428900000006</v>
      </c>
      <c r="F30" s="708"/>
      <c r="G30" s="708"/>
      <c r="H30" s="708"/>
      <c r="I30" s="707">
        <f t="shared" si="38"/>
        <v>607.89075000000003</v>
      </c>
      <c r="J30" s="709">
        <f t="shared" si="38"/>
        <v>573.20604100000014</v>
      </c>
      <c r="K30" s="710">
        <f t="shared" si="38"/>
        <v>0.9893534397506959</v>
      </c>
      <c r="L30" s="710">
        <f t="shared" si="38"/>
        <v>0.90808965924426444</v>
      </c>
      <c r="M30" s="711">
        <f t="shared" si="38"/>
        <v>486.31260000000003</v>
      </c>
      <c r="N30" s="712">
        <f t="shared" si="38"/>
        <v>0.8</v>
      </c>
      <c r="O30" s="709">
        <f t="shared" si="38"/>
        <v>1204.32</v>
      </c>
      <c r="P30" s="713">
        <f t="shared" si="38"/>
        <v>1094.20335</v>
      </c>
      <c r="Q30" s="709">
        <f t="shared" si="38"/>
        <v>1208.75092905</v>
      </c>
      <c r="R30" s="710">
        <f t="shared" si="38"/>
        <v>1.75</v>
      </c>
      <c r="S30" s="710">
        <f t="shared" si="38"/>
        <v>1.8</v>
      </c>
      <c r="T30" s="711">
        <f t="shared" si="38"/>
        <v>1364.3662449720446</v>
      </c>
      <c r="U30" s="712">
        <f t="shared" si="38"/>
        <v>1.75</v>
      </c>
      <c r="V30" s="709">
        <f t="shared" si="38"/>
        <v>2460.2414689000002</v>
      </c>
      <c r="W30" s="713">
        <f t="shared" si="38"/>
        <v>2291.3652614520447</v>
      </c>
      <c r="X30" s="709">
        <f t="shared" si="39"/>
        <v>48.494309900000005</v>
      </c>
      <c r="Y30" s="713">
        <f t="shared" si="39"/>
        <v>58.790540200000002</v>
      </c>
      <c r="Z30" s="709">
        <f t="shared" si="39"/>
        <v>2551.3174777499999</v>
      </c>
      <c r="AA30" s="713">
        <f t="shared" si="39"/>
        <v>2307.5603095020447</v>
      </c>
      <c r="AB30" s="703"/>
      <c r="AC30" s="714">
        <f t="shared" si="40"/>
        <v>0.5</v>
      </c>
      <c r="AD30" s="712">
        <f t="shared" si="40"/>
        <v>0.5</v>
      </c>
      <c r="AE30" s="678"/>
      <c r="AF30" s="678"/>
      <c r="AG30" s="678"/>
      <c r="AH30" s="678"/>
      <c r="AI30" s="678"/>
      <c r="AJ30" s="678"/>
      <c r="AK30" s="678"/>
      <c r="AL30" s="863">
        <f t="shared" ref="AL30:AL31" si="43">PERCENTILE(AL$8:AL$22,$B30)</f>
        <v>2116.420438225</v>
      </c>
      <c r="AM30" s="861">
        <f t="shared" si="41"/>
        <v>2059.2020750000001</v>
      </c>
      <c r="AN30" s="1352"/>
      <c r="AO30" s="863">
        <f t="shared" si="42"/>
        <v>2410.786412125</v>
      </c>
      <c r="AP30" s="863">
        <f t="shared" si="42"/>
        <v>2224.6887119760222</v>
      </c>
    </row>
    <row r="31" spans="1:43" s="17" customFormat="1" ht="20.25" customHeight="1">
      <c r="B31" s="17">
        <v>0.25</v>
      </c>
      <c r="C31" s="696" t="s">
        <v>7</v>
      </c>
      <c r="D31" s="697">
        <f t="shared" si="37"/>
        <v>5393.5351649999993</v>
      </c>
      <c r="E31" s="697">
        <f t="shared" si="37"/>
        <v>5824.1906799999997</v>
      </c>
      <c r="F31" s="698"/>
      <c r="G31" s="698"/>
      <c r="H31" s="698"/>
      <c r="I31" s="697">
        <f t="shared" si="38"/>
        <v>564.92600440000001</v>
      </c>
      <c r="J31" s="699">
        <f t="shared" si="38"/>
        <v>520.30566607499998</v>
      </c>
      <c r="K31" s="700">
        <f t="shared" si="38"/>
        <v>0.8778779696532456</v>
      </c>
      <c r="L31" s="700">
        <f t="shared" si="38"/>
        <v>0.79592688870125405</v>
      </c>
      <c r="M31" s="701">
        <f t="shared" si="38"/>
        <v>445.61799999999999</v>
      </c>
      <c r="N31" s="677">
        <f t="shared" si="38"/>
        <v>0.77500000000000002</v>
      </c>
      <c r="O31" s="699">
        <f t="shared" si="38"/>
        <v>1052.9079999999999</v>
      </c>
      <c r="P31" s="702">
        <f t="shared" si="38"/>
        <v>1002.6405</v>
      </c>
      <c r="Q31" s="699">
        <f t="shared" si="38"/>
        <v>975.926006606383</v>
      </c>
      <c r="R31" s="700">
        <f t="shared" si="38"/>
        <v>1.7027270329497948</v>
      </c>
      <c r="S31" s="700">
        <f t="shared" si="38"/>
        <v>1.6513522951821638</v>
      </c>
      <c r="T31" s="701">
        <f t="shared" si="38"/>
        <v>933.98599999999999</v>
      </c>
      <c r="U31" s="677">
        <f t="shared" si="38"/>
        <v>1.65</v>
      </c>
      <c r="V31" s="699">
        <f t="shared" si="38"/>
        <v>2006.9574989063831</v>
      </c>
      <c r="W31" s="702">
        <f t="shared" si="38"/>
        <v>1941.3970102723999</v>
      </c>
      <c r="X31" s="699">
        <f t="shared" si="39"/>
        <v>29.4005875</v>
      </c>
      <c r="Y31" s="702">
        <f t="shared" si="39"/>
        <v>34.404520275000003</v>
      </c>
      <c r="Z31" s="699">
        <f t="shared" si="39"/>
        <v>2113.836563231383</v>
      </c>
      <c r="AA31" s="702">
        <f t="shared" si="39"/>
        <v>2065.5736307724001</v>
      </c>
      <c r="AB31" s="703"/>
      <c r="AC31" s="676">
        <f t="shared" si="40"/>
        <v>0.46007913103088866</v>
      </c>
      <c r="AD31" s="677">
        <f t="shared" si="40"/>
        <v>0.48752515090543258</v>
      </c>
      <c r="AE31" s="678"/>
      <c r="AF31" s="678"/>
      <c r="AG31" s="678"/>
      <c r="AH31" s="678"/>
      <c r="AI31" s="678"/>
      <c r="AJ31" s="678"/>
      <c r="AK31" s="678"/>
      <c r="AL31" s="863">
        <f t="shared" si="43"/>
        <v>1805.5360000000001</v>
      </c>
      <c r="AM31" s="861">
        <f>PERCENTILE(AM$8:AM$22,$B31)</f>
        <v>1821.0081250000001</v>
      </c>
      <c r="AN31" s="1353"/>
      <c r="AO31" s="863">
        <f t="shared" si="42"/>
        <v>2030.0182483595745</v>
      </c>
      <c r="AP31" s="863">
        <f t="shared" si="42"/>
        <v>1982.4485051361999</v>
      </c>
    </row>
    <row r="32" spans="1:43" s="17" customFormat="1" ht="20.25" customHeight="1">
      <c r="A32" s="12"/>
      <c r="B32" s="12"/>
      <c r="C32" s="715" t="s">
        <v>6</v>
      </c>
      <c r="D32" s="716">
        <f>AVERAGE(D8:D27)</f>
        <v>9395.7113253333337</v>
      </c>
      <c r="E32" s="716">
        <f>AVERAGE(E8:E27)</f>
        <v>10948.821810000001</v>
      </c>
      <c r="F32" s="715"/>
      <c r="G32" s="715"/>
      <c r="H32" s="715"/>
      <c r="I32" s="716">
        <f t="shared" ref="I32:N32" si="44">AVERAGE(I8:I27)</f>
        <v>652.61609650000003</v>
      </c>
      <c r="J32" s="717">
        <f t="shared" si="44"/>
        <v>628.53256686666657</v>
      </c>
      <c r="K32" s="718">
        <f t="shared" si="44"/>
        <v>0.98822959707840541</v>
      </c>
      <c r="L32" s="718">
        <f t="shared" si="44"/>
        <v>0.91473589528011878</v>
      </c>
      <c r="M32" s="719">
        <f t="shared" si="44"/>
        <v>504.54701219800006</v>
      </c>
      <c r="N32" s="720">
        <f t="shared" si="44"/>
        <v>0.78999999999999992</v>
      </c>
      <c r="O32" s="717">
        <f>AVERAGE(O8:O27)</f>
        <v>1281.1486633666668</v>
      </c>
      <c r="P32" s="721">
        <f t="shared" ref="P32:W32" si="45">AVERAGE(P8:P27)</f>
        <v>1157.1631086980001</v>
      </c>
      <c r="Q32" s="717">
        <f t="shared" si="45"/>
        <v>1369.5530351575178</v>
      </c>
      <c r="R32" s="718">
        <f t="shared" si="45"/>
        <v>2.0943263946773327</v>
      </c>
      <c r="S32" s="718">
        <f t="shared" si="45"/>
        <v>1.9440607063537165</v>
      </c>
      <c r="T32" s="719">
        <f t="shared" si="45"/>
        <v>1251.8597032994164</v>
      </c>
      <c r="U32" s="720">
        <f t="shared" si="45"/>
        <v>1.9194876993265388</v>
      </c>
      <c r="V32" s="717">
        <f t="shared" si="45"/>
        <v>2650.7016985241848</v>
      </c>
      <c r="W32" s="721">
        <f t="shared" si="45"/>
        <v>2409.0228119974167</v>
      </c>
      <c r="X32" s="717">
        <f>AVERAGE(X8:X27)</f>
        <v>92.321646799999996</v>
      </c>
      <c r="Y32" s="721">
        <f>AVERAGE(Y8:Y27)</f>
        <v>63.121449908333339</v>
      </c>
      <c r="Z32" s="717">
        <f>AVERAGE(Z8:Z27)</f>
        <v>2762.7466229841843</v>
      </c>
      <c r="AA32" s="721">
        <f>AVERAGE(AA8:AA27)</f>
        <v>2521.0677364574167</v>
      </c>
      <c r="AB32" s="703"/>
      <c r="AC32" s="722">
        <f>AVERAGE(AC8:AC27)</f>
        <v>0.4859467290276494</v>
      </c>
      <c r="AD32" s="720">
        <f>AVERAGE(AD8:AD27)</f>
        <v>0.51405327097235065</v>
      </c>
      <c r="AE32" s="678"/>
      <c r="AF32" s="678"/>
      <c r="AG32" s="678"/>
      <c r="AH32" s="678"/>
      <c r="AI32" s="678"/>
      <c r="AJ32" s="678"/>
      <c r="AK32" s="678"/>
      <c r="AL32" s="1082">
        <f>AVERAGE(AL8:AL22)</f>
        <v>2201.8197782733337</v>
      </c>
      <c r="AM32" s="1351">
        <f>AVERAGE(AM8:AM22)</f>
        <v>2160.7276459508962</v>
      </c>
      <c r="AN32" s="1354"/>
      <c r="AO32" s="1082">
        <f>AVERAGE(AO8:AO22)</f>
        <v>2586.1292606510638</v>
      </c>
      <c r="AP32" s="1082">
        <f>AVERAGE(AP8:AP22)</f>
        <v>2361.6764035384372</v>
      </c>
    </row>
    <row r="33" spans="1:39" s="17" customFormat="1" ht="20.25" customHeight="1" outlineLevel="1">
      <c r="A33" s="12"/>
      <c r="B33" s="12"/>
      <c r="C33" s="688" t="str">
        <f>$C$3+1&amp;" Estimated Summary Statistics "</f>
        <v xml:space="preserve">2026 Estimated Summary Statistics </v>
      </c>
      <c r="D33" s="689"/>
      <c r="E33" s="689"/>
      <c r="F33" s="689"/>
      <c r="G33" s="689"/>
      <c r="H33" s="689"/>
      <c r="I33" s="689"/>
      <c r="J33" s="689"/>
      <c r="K33" s="690"/>
      <c r="L33" s="690"/>
      <c r="M33" s="689"/>
      <c r="N33" s="690"/>
      <c r="O33" s="689"/>
      <c r="P33" s="689"/>
      <c r="Q33" s="689"/>
      <c r="R33" s="690"/>
      <c r="S33" s="690"/>
      <c r="T33" s="689"/>
      <c r="U33" s="690"/>
      <c r="V33" s="689"/>
      <c r="W33" s="691"/>
      <c r="X33" s="688"/>
      <c r="Y33" s="688"/>
      <c r="Z33" s="688"/>
      <c r="AA33" s="688"/>
      <c r="AB33" s="703"/>
      <c r="AC33" s="724"/>
      <c r="AD33" s="724"/>
      <c r="AE33" s="678"/>
      <c r="AF33" s="678"/>
      <c r="AG33" s="678"/>
      <c r="AH33" s="678"/>
      <c r="AI33" s="678"/>
      <c r="AJ33" s="678"/>
      <c r="AK33" s="678"/>
      <c r="AL33" s="723"/>
      <c r="AM33" s="723"/>
    </row>
    <row r="34" spans="1:39" s="17" customFormat="1" ht="20.25" customHeight="1" outlineLevel="1">
      <c r="A34" s="12"/>
      <c r="B34" s="17">
        <v>0.75</v>
      </c>
      <c r="C34" s="696" t="s">
        <v>9</v>
      </c>
      <c r="D34" s="697">
        <f t="shared" ref="D34:E36" si="46">PERCENTILE(D$8:D$27,$B34)</f>
        <v>13309.206275</v>
      </c>
      <c r="E34" s="697">
        <f t="shared" si="46"/>
        <v>14941.491959999999</v>
      </c>
      <c r="F34" s="698"/>
      <c r="G34" s="698"/>
      <c r="H34" s="698"/>
      <c r="I34" s="697">
        <f>I68</f>
        <v>693.65711962600017</v>
      </c>
      <c r="J34" s="699">
        <f>J68</f>
        <v>0</v>
      </c>
      <c r="K34" s="700">
        <f>K68</f>
        <v>0</v>
      </c>
      <c r="L34" s="700">
        <f>L68</f>
        <v>0</v>
      </c>
      <c r="M34" s="701">
        <f>M68</f>
        <v>604.84938453840005</v>
      </c>
      <c r="N34" s="677">
        <f>PERCENTILE(N$8:N$27,$B34)</f>
        <v>0.82499999999999996</v>
      </c>
      <c r="O34" s="699" t="s">
        <v>78</v>
      </c>
      <c r="P34" s="697">
        <f>P68</f>
        <v>1352.1336479144002</v>
      </c>
      <c r="Q34" s="699">
        <f>Q68</f>
        <v>0</v>
      </c>
      <c r="R34" s="700">
        <f>R68</f>
        <v>0</v>
      </c>
      <c r="S34" s="700">
        <f>S68</f>
        <v>0</v>
      </c>
      <c r="T34" s="701">
        <f>T68</f>
        <v>1524.8363015625</v>
      </c>
      <c r="U34" s="677">
        <f>PERCENTILE(U$8:U$27,$B34)</f>
        <v>2.1721793787115971</v>
      </c>
      <c r="V34" s="699" t="s">
        <v>78</v>
      </c>
      <c r="W34" s="702">
        <f>W68</f>
        <v>2964.2098015624997</v>
      </c>
      <c r="X34" s="863">
        <f>X29</f>
        <v>110.17840773750001</v>
      </c>
      <c r="Y34" s="867">
        <f>Y29</f>
        <v>88.387946650000004</v>
      </c>
      <c r="Z34" s="699" t="s">
        <v>78</v>
      </c>
      <c r="AA34" s="702">
        <f>AA68</f>
        <v>3154.1587794004918</v>
      </c>
      <c r="AB34" s="703"/>
      <c r="AC34" s="678" t="s">
        <v>441</v>
      </c>
      <c r="AD34" s="724"/>
      <c r="AE34" s="678"/>
      <c r="AF34" s="678"/>
      <c r="AG34" s="678"/>
      <c r="AH34" s="678"/>
      <c r="AI34" s="678"/>
      <c r="AJ34" s="678"/>
      <c r="AK34" s="678"/>
      <c r="AL34"/>
      <c r="AM34"/>
    </row>
    <row r="35" spans="1:39" s="17" customFormat="1" ht="20.25" customHeight="1" outlineLevel="1">
      <c r="A35" s="12"/>
      <c r="B35" s="17">
        <v>0.5</v>
      </c>
      <c r="C35" s="706" t="s">
        <v>8</v>
      </c>
      <c r="D35" s="707">
        <f t="shared" si="46"/>
        <v>6289.7347200000004</v>
      </c>
      <c r="E35" s="707">
        <f t="shared" si="46"/>
        <v>8418.0428900000006</v>
      </c>
      <c r="F35" s="708"/>
      <c r="G35" s="708"/>
      <c r="H35" s="708"/>
      <c r="I35" s="707">
        <f t="shared" ref="I35:M37" si="47">I69</f>
        <v>618</v>
      </c>
      <c r="J35" s="709">
        <f t="shared" si="47"/>
        <v>0</v>
      </c>
      <c r="K35" s="710">
        <f t="shared" si="47"/>
        <v>0</v>
      </c>
      <c r="L35" s="710">
        <f t="shared" si="47"/>
        <v>0</v>
      </c>
      <c r="M35" s="711">
        <f t="shared" si="47"/>
        <v>494.40000000000003</v>
      </c>
      <c r="N35" s="712">
        <f>PERCENTILE(N$8:N$27,$B35)</f>
        <v>0.8</v>
      </c>
      <c r="O35" s="709" t="s">
        <v>78</v>
      </c>
      <c r="P35" s="707">
        <f t="shared" ref="P35:T37" si="48">P69</f>
        <v>1112.4000000000001</v>
      </c>
      <c r="Q35" s="709">
        <f t="shared" si="48"/>
        <v>0</v>
      </c>
      <c r="R35" s="710">
        <f t="shared" si="48"/>
        <v>0</v>
      </c>
      <c r="S35" s="710">
        <f t="shared" si="48"/>
        <v>0</v>
      </c>
      <c r="T35" s="711">
        <f t="shared" si="48"/>
        <v>1405.2972323212061</v>
      </c>
      <c r="U35" s="712">
        <f>PERCENTILE(U$8:U$27,$B35)</f>
        <v>1.75</v>
      </c>
      <c r="V35" s="709" t="s">
        <v>78</v>
      </c>
      <c r="W35" s="713">
        <f>W69</f>
        <v>2360.1062192956065</v>
      </c>
      <c r="X35" s="871">
        <f t="shared" ref="X35:Y37" si="49">X30</f>
        <v>48.494309900000005</v>
      </c>
      <c r="Y35" s="875">
        <f t="shared" si="49"/>
        <v>58.790540200000002</v>
      </c>
      <c r="Z35" s="709" t="s">
        <v>78</v>
      </c>
      <c r="AA35" s="713">
        <f>AA69</f>
        <v>2376.3012673456064</v>
      </c>
      <c r="AB35" s="703">
        <f>AA35/W35</f>
        <v>1.0068619996496739</v>
      </c>
      <c r="AC35" s="745">
        <f>W34-W35</f>
        <v>604.10358226689323</v>
      </c>
      <c r="AD35" s="724"/>
      <c r="AE35" s="678"/>
      <c r="AF35" s="678"/>
      <c r="AG35" s="678"/>
      <c r="AH35" s="678"/>
      <c r="AI35" s="678"/>
      <c r="AJ35" s="678"/>
      <c r="AK35" s="678"/>
      <c r="AL35"/>
      <c r="AM35"/>
    </row>
    <row r="36" spans="1:39" s="17" customFormat="1" ht="20.25" customHeight="1" outlineLevel="1">
      <c r="A36" s="12"/>
      <c r="B36" s="17">
        <v>0.25</v>
      </c>
      <c r="C36" s="696" t="s">
        <v>7</v>
      </c>
      <c r="D36" s="697">
        <f t="shared" si="46"/>
        <v>5393.5351649999993</v>
      </c>
      <c r="E36" s="697">
        <f t="shared" si="46"/>
        <v>5824.1906799999997</v>
      </c>
      <c r="F36" s="698"/>
      <c r="G36" s="698"/>
      <c r="H36" s="698"/>
      <c r="I36" s="697">
        <f t="shared" si="47"/>
        <v>581.87378453199995</v>
      </c>
      <c r="J36" s="699">
        <f t="shared" si="47"/>
        <v>0</v>
      </c>
      <c r="K36" s="700">
        <f t="shared" si="47"/>
        <v>0</v>
      </c>
      <c r="L36" s="700">
        <f t="shared" si="47"/>
        <v>0</v>
      </c>
      <c r="M36" s="701">
        <f t="shared" si="47"/>
        <v>458.98654000000005</v>
      </c>
      <c r="N36" s="677">
        <f>PERCENTILE(N$8:N$27,$B36)</f>
        <v>0.77500000000000002</v>
      </c>
      <c r="O36" s="699" t="s">
        <v>78</v>
      </c>
      <c r="P36" s="697">
        <f t="shared" si="48"/>
        <v>1032.7197150000002</v>
      </c>
      <c r="Q36" s="699">
        <f t="shared" si="48"/>
        <v>0</v>
      </c>
      <c r="R36" s="700">
        <f t="shared" si="48"/>
        <v>0</v>
      </c>
      <c r="S36" s="700">
        <f t="shared" si="48"/>
        <v>0</v>
      </c>
      <c r="T36" s="701">
        <f t="shared" si="48"/>
        <v>962.00558000000001</v>
      </c>
      <c r="U36" s="677">
        <f>PERCENTILE(U$8:U$27,$B36)</f>
        <v>1.65</v>
      </c>
      <c r="V36" s="699" t="s">
        <v>78</v>
      </c>
      <c r="W36" s="702">
        <f>W70</f>
        <v>1999.6389205805719</v>
      </c>
      <c r="X36" s="863">
        <f t="shared" si="49"/>
        <v>29.4005875</v>
      </c>
      <c r="Y36" s="867">
        <f t="shared" si="49"/>
        <v>34.404520275000003</v>
      </c>
      <c r="Z36" s="699" t="s">
        <v>78</v>
      </c>
      <c r="AA36" s="702">
        <f>AA70</f>
        <v>2123.8155410805721</v>
      </c>
      <c r="AB36" s="703"/>
      <c r="AC36" s="724"/>
      <c r="AD36" s="724"/>
      <c r="AE36" s="678"/>
      <c r="AF36" s="678"/>
      <c r="AG36" s="678"/>
      <c r="AH36" s="678"/>
      <c r="AI36" s="678"/>
      <c r="AJ36" s="678"/>
      <c r="AK36" s="678"/>
      <c r="AL36"/>
      <c r="AM36"/>
    </row>
    <row r="37" spans="1:39" s="17" customFormat="1" ht="20.25" customHeight="1" outlineLevel="1">
      <c r="A37" s="12"/>
      <c r="B37" s="12"/>
      <c r="C37" s="715" t="s">
        <v>6</v>
      </c>
      <c r="D37" s="716">
        <f>AVERAGE(D13:D32)</f>
        <v>6787.662991809525</v>
      </c>
      <c r="E37" s="716">
        <f>AVERAGE(E13:E32)</f>
        <v>7680.413912142858</v>
      </c>
      <c r="F37" s="715"/>
      <c r="G37" s="715"/>
      <c r="H37" s="715"/>
      <c r="I37" s="716">
        <f t="shared" si="47"/>
        <v>672.49033872833343</v>
      </c>
      <c r="J37" s="717">
        <f t="shared" si="47"/>
        <v>0</v>
      </c>
      <c r="K37" s="718">
        <f t="shared" si="47"/>
        <v>0</v>
      </c>
      <c r="L37" s="718">
        <f t="shared" si="47"/>
        <v>0</v>
      </c>
      <c r="M37" s="719">
        <f t="shared" si="47"/>
        <v>520.61176778060667</v>
      </c>
      <c r="N37" s="720">
        <f>AVERAGE(N13:N32)</f>
        <v>0.78857142857142848</v>
      </c>
      <c r="O37" s="717" t="s">
        <v>78</v>
      </c>
      <c r="P37" s="716">
        <f t="shared" si="48"/>
        <v>1193.1021065089401</v>
      </c>
      <c r="Q37" s="717">
        <f t="shared" si="48"/>
        <v>0</v>
      </c>
      <c r="R37" s="718">
        <f t="shared" si="48"/>
        <v>0</v>
      </c>
      <c r="S37" s="718">
        <f t="shared" si="48"/>
        <v>0</v>
      </c>
      <c r="T37" s="719">
        <f t="shared" si="48"/>
        <v>1291.9986327960416</v>
      </c>
      <c r="U37" s="720">
        <f>AVERAGE(U13:U32)</f>
        <v>1.8606808390304084</v>
      </c>
      <c r="V37" s="717" t="s">
        <v>78</v>
      </c>
      <c r="W37" s="721">
        <f>W71</f>
        <v>2485.1007393049817</v>
      </c>
      <c r="X37" s="878">
        <f t="shared" si="49"/>
        <v>92.321646799999996</v>
      </c>
      <c r="Y37" s="882">
        <f t="shared" si="49"/>
        <v>63.121449908333339</v>
      </c>
      <c r="Z37" s="717" t="s">
        <v>78</v>
      </c>
      <c r="AA37" s="721">
        <f>AA71</f>
        <v>2597.1456637649812</v>
      </c>
      <c r="AB37" s="703"/>
      <c r="AC37" s="724"/>
      <c r="AD37" s="724"/>
      <c r="AE37" s="678"/>
      <c r="AF37" s="678"/>
      <c r="AG37" s="678"/>
      <c r="AH37" s="678"/>
      <c r="AI37" s="678"/>
      <c r="AJ37" s="678"/>
      <c r="AK37" s="678"/>
      <c r="AL37"/>
      <c r="AM37"/>
    </row>
    <row r="38" spans="1:39" ht="7.5" customHeight="1">
      <c r="C38" s="725"/>
      <c r="D38" s="725"/>
      <c r="E38" s="725"/>
      <c r="F38" s="725"/>
      <c r="G38" s="725"/>
      <c r="H38" s="725"/>
      <c r="I38" s="726"/>
      <c r="J38" s="727"/>
      <c r="K38" s="728"/>
      <c r="L38" s="728"/>
      <c r="M38" s="726"/>
      <c r="N38" s="729"/>
      <c r="O38" s="727"/>
      <c r="P38" s="726"/>
      <c r="Q38" s="726"/>
      <c r="R38" s="729"/>
      <c r="S38" s="729"/>
      <c r="T38" s="727"/>
      <c r="U38" s="728"/>
      <c r="V38" s="727"/>
      <c r="W38" s="726"/>
      <c r="X38" s="728"/>
      <c r="Y38" s="727"/>
      <c r="Z38" s="726"/>
      <c r="AA38" s="726"/>
      <c r="AB38" s="675"/>
      <c r="AC38" s="725"/>
      <c r="AD38" s="725"/>
      <c r="AE38" s="678"/>
      <c r="AF38" s="678"/>
      <c r="AG38" s="678"/>
      <c r="AH38" s="678"/>
      <c r="AI38" s="678"/>
      <c r="AJ38" s="678"/>
      <c r="AK38" s="678"/>
      <c r="AL38"/>
      <c r="AM38"/>
    </row>
    <row r="39" spans="1:39" s="35" customFormat="1" ht="20.25" customHeight="1">
      <c r="A39" s="35" t="str">
        <f>$B39&amp;"_"&amp;$C$3&amp;"_"&amp;$C$2</f>
        <v>TSX:HBM_2025_CFO</v>
      </c>
      <c r="B39" s="35" t="str">
        <f>'Raw Data'!H6</f>
        <v>TSX:HBM</v>
      </c>
      <c r="C39" s="730" t="str">
        <f>IFERROR(INDEX(Raw_Data,MATCH($A39,Look_Up,0),MATCH(C$4,Component,0)),"-")</f>
        <v>Hudbay Minerals Inc.</v>
      </c>
      <c r="D39" s="731">
        <f>_xll.ciqfunctions.udf.CIQ(B39, "IQ_MARKETCAP", $A$1,$A$2)</f>
        <v>5664.3295799999996</v>
      </c>
      <c r="E39" s="731">
        <f>_xll.ciqfunctions.udf.CIQ($B39, "IQ_TEV", $A$1,$A$2)</f>
        <v>6773.8200500000003</v>
      </c>
      <c r="F39" s="732" t="str">
        <f>IFERROR(INDEX(Raw_Data,MATCH($A39,Look_Up,0),MATCH(F$4,Component,0)),"-")</f>
        <v>Eugene Lei</v>
      </c>
      <c r="G39" s="732" t="str">
        <f>IFERROR(INDEX(Raw_Data,MATCH($A39,Look_Up,0),MATCH(G$4,Component,0)),"-")</f>
        <v>CFO</v>
      </c>
      <c r="H39" s="732">
        <f>IFERROR(INDEX(Raw_Data,MATCH($A39,Look_Up,0),MATCH(H$4,Component,0))/1000,"-")</f>
        <v>625.31200000000001</v>
      </c>
      <c r="I39" s="731">
        <f>IFERROR(INDEX(Raw_Data,MATCH($A39,Look_Up,0),MATCH(I$4,Component,0))/1000,"-")</f>
        <v>625.31200000000001</v>
      </c>
      <c r="J39" s="731">
        <f>IFERROR(INDEX(Raw_Data,MATCH($A39,Look_Up,0),MATCH(J$4,Component,0))/1000,"-")</f>
        <v>664.49400000000003</v>
      </c>
      <c r="K39" s="733">
        <f>IFERROR(INDEX(Raw_Data,MATCH($A39,Look_Up,0),MATCH(K$4,Component,0)),"-")</f>
        <v>1.0626599201678522</v>
      </c>
      <c r="L39" s="733">
        <f>IFERROR(INDEX(Raw_Data,MATCH($A39,Look_Up,0),MATCH(L$4,Component,0)),"-")</f>
        <v>1.1210197036364125</v>
      </c>
      <c r="M39" s="731">
        <f>IFERROR(INDEX(Raw_Data,MATCH($A39,Look_Up,0),MATCH(M$4,Component,0))/1000,"-")</f>
        <v>562.7808</v>
      </c>
      <c r="N39" s="733">
        <f>IFERROR(IF(INDEX(Raw_Data,MATCH($A39,Look_Up,0),MATCH(N$4,Component,0))="-",L39,INDEX(Raw_Data,MATCH($A39,Look_Up,0),MATCH(N$4,Component,0))),"-")</f>
        <v>0.9</v>
      </c>
      <c r="O39" s="731" t="s">
        <v>78</v>
      </c>
      <c r="P39" s="731">
        <f>IFERROR(INDEX(Raw_Data,MATCH($A39,Look_Up,0),MATCH(P$4,Component,0))/1000,"-")</f>
        <v>1188.0928000000001</v>
      </c>
      <c r="Q39" s="731">
        <f>IFERROR(INDEX(Raw_Data,MATCH($A39,Look_Up,0),MATCH(Q$4,Component,0))/1000,"-")</f>
        <v>975.25699999999995</v>
      </c>
      <c r="R39" s="733" t="str">
        <f>IFERROR(INDEX(Raw_Data,MATCH($A39,Look_Up,0),MATCH(R$4,Component,0)),"-")</f>
        <v>-</v>
      </c>
      <c r="S39" s="733" t="str">
        <f>IFERROR(INDEX(Raw_Data,MATCH($A39,Look_Up,0),MATCH(S$4,Component,0)),"-")</f>
        <v>N/A</v>
      </c>
      <c r="T39" s="731">
        <f>IFERROR(INDEX(Raw_Data,MATCH($A39,Look_Up,0),MATCH(T$4,Component,0))/1000,"-")</f>
        <v>1125.5616</v>
      </c>
      <c r="U39" s="733">
        <f>IFERROR(IF(INDEX(Raw_Data,MATCH($A39,Look_Up,0),MATCH(U$4,Component,0))="-",S39,INDEX(Raw_Data,MATCH($A39,Look_Up,0),MATCH(U$4,Component,0))),"-")</f>
        <v>1.8</v>
      </c>
      <c r="V39" s="731" t="s">
        <v>78</v>
      </c>
      <c r="W39" s="731">
        <f>IFERROR(INDEX(Raw_Data,MATCH($A39,Look_Up,0),MATCH(W$4,Component,0))/1000,"-")</f>
        <v>2313.6544000000004</v>
      </c>
      <c r="X39" s="735">
        <f>IFERROR((INDEX(Raw_Data,MATCH($A39,Look_Up,0),MATCH(X$4,Component,0))/1000),"-")</f>
        <v>138.98099999999999</v>
      </c>
      <c r="Y39" s="731" t="str">
        <f>IFERROR((INDEX(Raw_Data,MATCH($A39,Look_Up,0),MATCH(Y$4,Component,0))/1000),"-")</f>
        <v>-</v>
      </c>
      <c r="Z39" s="731">
        <f>IFERROR(INDEX(Raw_Data,MATCH($A39,Look_Up,0),MATCH(Z$4,Component,0))/1000,"-")</f>
        <v>2404.0439999999999</v>
      </c>
      <c r="AA39" s="734">
        <f>IFERROR(INDEX(Raw_Data,MATCH($A39,Look_Up,0),MATCH(AA$4,Component,0))/1000,"-")</f>
        <v>2452.6354000000006</v>
      </c>
      <c r="AB39" s="736"/>
      <c r="AC39" s="737">
        <f>IFERROR(P39/W39,0)</f>
        <v>0.51351351351351349</v>
      </c>
      <c r="AD39" s="738">
        <f>IFERROR(T39/W39,0)</f>
        <v>0.4864864864864864</v>
      </c>
      <c r="AE39" s="678" t="str">
        <f>B39&amp;"_"&amp;$AE$6&amp;"_"&amp;$C$2</f>
        <v>TSX:HBM_2024_CFO</v>
      </c>
      <c r="AF39" s="678"/>
      <c r="AG39" s="678"/>
      <c r="AH39" s="678"/>
      <c r="AI39" s="678"/>
      <c r="AJ39" s="678"/>
      <c r="AK39" s="678"/>
      <c r="AL39"/>
      <c r="AM39"/>
    </row>
    <row r="40" spans="1:39" ht="20.25" customHeight="1">
      <c r="B40" s="33"/>
      <c r="C40" s="739" t="s">
        <v>5</v>
      </c>
      <c r="D40" s="740">
        <f>IF(D$39&gt;=MAX(D$8:D$27),"max",IF(D$39&lt;=MIN(D$8:D$27),"min",PERCENTRANK(D$8:D$27,D$39)))</f>
        <v>0.32300000000000001</v>
      </c>
      <c r="E40" s="740">
        <f>IF(E$39&gt;=MAX(E$8:E$27),"max",IF(E$39&lt;=MIN(E$8:E$27),"min",PERCENTRANK(E$8:E$27,E$39)))</f>
        <v>0.41599999999999998</v>
      </c>
      <c r="F40" s="741"/>
      <c r="G40" s="741"/>
      <c r="H40" s="741"/>
      <c r="I40" s="740">
        <f>IF(I$39&gt;=MAX(I$47:I$66),"max",IF(I$39&lt;=MIN(I$47:I$66),"min",PERCENTRANK(I$47:I$66,I$39)))</f>
        <v>0.51</v>
      </c>
      <c r="J40" s="740">
        <f>IF(J$39&gt;=MAX(J$8:J$27),"max",IF(J$39&lt;=MIN(J$8:J$27),"min",PERCENTRANK(J$8:J$27,J$39)))</f>
        <v>0.59899999999999998</v>
      </c>
      <c r="K40" s="740">
        <f>IF(K$39&gt;=MAX(K$8:K$27),"max",IF(K$39&lt;=MIN(K$8:K$27),"min",PERCENTRANK(K$8:K$27,K$39)))</f>
        <v>0.63500000000000001</v>
      </c>
      <c r="L40" s="740">
        <f>IF(L$39&gt;=MAX(L$8:L$27),"max",IF(L$39&lt;=MIN(L$8:L$27),"min",PERCENTRANK(L$8:L$27,L$39)))</f>
        <v>0.876</v>
      </c>
      <c r="M40" s="740">
        <f>IF(M$39&gt;=MAX(M$47:M$66),"max",IF(M$39&lt;=MIN(M$47:M$66),"min",PERCENTRANK(M$47:M$66,M$39)))</f>
        <v>0.69</v>
      </c>
      <c r="N40" s="740">
        <f>IF(N$39&gt;=MAX(N$8:N$27),"max",IF(N$39&lt;=MIN(N$8:N$27),"min",PERCENTRANK(N$8:N$27,N$39)))</f>
        <v>0.85699999999999998</v>
      </c>
      <c r="O40" s="740" t="s">
        <v>78</v>
      </c>
      <c r="P40" s="740">
        <f>IF(P$39&gt;=MAX(P$47:P$66),"max",IF(P$39&lt;=MIN(P$47:P$66),"min",PERCENTRANK(P$47:P$66,P$39)))</f>
        <v>0.56499999999999995</v>
      </c>
      <c r="Q40" s="740">
        <f>IF(Q$39&gt;=MAX(Q$8:Q$27),"max",IF(Q$39&lt;=MIN(Q$8:Q$27),"min",PERCENTRANK(Q$8:Q$27,Q$39)))</f>
        <v>0.24299999999999999</v>
      </c>
      <c r="R40" s="740" t="str">
        <f>IF(R$39&gt;=MAX(R$8:R$27),"max",IF(R$39&lt;=MIN(R$8:R$27),"min",PERCENTRANK(R$8:R$27,R$39)))</f>
        <v>max</v>
      </c>
      <c r="S40" s="740" t="str">
        <f>IF(S$39&gt;=MAX(S$8:S$27),"max",IF(S$39&lt;=MIN(S$8:S$27),"min",PERCENTRANK(S$8:S$27,S$39)))</f>
        <v>max</v>
      </c>
      <c r="T40" s="740">
        <f>IF(T$39&gt;=MAX(T$47:T$66),"max",IF(T$39&lt;=MIN(T$47:T$66),"min",PERCENTRANK(T$47:T$66,T$39)))</f>
        <v>0.441</v>
      </c>
      <c r="U40" s="740">
        <f>IF(U$39&gt;=MAX(U$8:U$27),"max",IF(U$39&lt;=MIN(U$8:U$27),"min",PERCENTRANK(U$8:U$27,U$39)))</f>
        <v>0.57099999999999995</v>
      </c>
      <c r="V40" s="740" t="s">
        <v>78</v>
      </c>
      <c r="W40" s="740">
        <f>IF(W$39&gt;=MAX(W$47:W$66),"max",IF(W$39&lt;=MIN(W$47:W$66),"min",PERCENTRANK(W$47:W$66,W$39)))</f>
        <v>0.48299999999999998</v>
      </c>
      <c r="X40" s="740">
        <f>IF(X$39&gt;=MAX(X$8:X$27),"max",IF(X$39&lt;=MIN(X$8:X$27),"min",PERCENTRANK(X$8:X$27,X$39)))</f>
        <v>0.80100000000000005</v>
      </c>
      <c r="Y40" s="740" t="str">
        <f>IF(Y$39&gt;=MAX(Y$8:Y$27),"max",IF(Y$39&lt;=MIN(Y$8:Y$27),"min",PERCENTRANK(Y$8:Y$27,Y$39)))</f>
        <v>max</v>
      </c>
      <c r="Z40" s="740">
        <f>IF(Z$39&gt;=MAX(Z$8:Z$27),"max",IF(Z$39&lt;=MIN(Z$8:Z$27),"min",PERCENTRANK(Z$8:Z$27,Z$39)))</f>
        <v>0.439</v>
      </c>
      <c r="AA40" s="742">
        <f>IF(AA$39&gt;=MAX(AA$47:AA$66),"max",IF(AA$39&lt;=MIN(AA$47:AA$66),"min",PERCENTRANK(AA$47:AA$66,AA$39)))</f>
        <v>0.50900000000000001</v>
      </c>
      <c r="AB40" s="675"/>
      <c r="AC40" s="743">
        <f>IF(AC$39&gt;=MAX(AC$8:AC27),"max",IF(AC$39&lt;=MIN(AC$8:AC27),"min",PERCENTRANK(AC$8:AC27,AC$39)))</f>
        <v>0.76100000000000001</v>
      </c>
      <c r="AD40" s="744">
        <f>IF(AD$39&gt;=MAX(AD$8:AD27),"max",IF(AD$39&lt;=MIN(AD$8:AD27),"min",PERCENTRANK(AD$8:AD27,AD$39)))</f>
        <v>0.23799999999999999</v>
      </c>
      <c r="AE40" s="678"/>
      <c r="AF40" s="678"/>
      <c r="AG40" s="678"/>
      <c r="AH40" s="678"/>
      <c r="AI40" s="678"/>
      <c r="AJ40" s="678"/>
      <c r="AK40" s="678"/>
      <c r="AL40"/>
      <c r="AM40"/>
    </row>
    <row r="41" spans="1:39" ht="27" customHeight="1">
      <c r="B41" s="33"/>
      <c r="C41" s="286"/>
      <c r="D41" s="286"/>
      <c r="E41" s="259"/>
      <c r="F41" s="259"/>
      <c r="G41" s="259"/>
      <c r="H41" s="259"/>
      <c r="I41" s="275"/>
      <c r="J41" s="275"/>
      <c r="K41" s="275"/>
      <c r="L41" s="275"/>
      <c r="M41" s="275"/>
      <c r="N41" s="275"/>
      <c r="O41" s="275"/>
      <c r="P41" s="275"/>
      <c r="Q41" s="275"/>
      <c r="R41" s="275"/>
      <c r="S41" s="275"/>
      <c r="T41" s="275"/>
      <c r="U41" s="275"/>
      <c r="V41" s="1085" t="s">
        <v>779</v>
      </c>
      <c r="W41" s="1095">
        <f>W39</f>
        <v>2313.6544000000004</v>
      </c>
      <c r="X41" s="275" t="s">
        <v>788</v>
      </c>
      <c r="Y41" s="531">
        <f>'Raw Data'!S38/'Raw Data'!Q38 -1</f>
        <v>8.9999494492583931E-2</v>
      </c>
      <c r="Z41" s="275"/>
      <c r="AA41" s="275"/>
      <c r="AC41" s="259"/>
      <c r="AD41" s="259"/>
      <c r="AE41" s="316"/>
      <c r="AF41" s="316"/>
      <c r="AG41" s="316"/>
      <c r="AH41" s="316"/>
      <c r="AI41" s="316"/>
      <c r="AJ41" s="316"/>
      <c r="AK41" s="316"/>
    </row>
    <row r="42" spans="1:39" ht="15" customHeight="1">
      <c r="B42" s="33"/>
      <c r="C42" s="286" t="s">
        <v>243</v>
      </c>
      <c r="D42" s="286"/>
      <c r="E42" s="259"/>
      <c r="F42" s="259"/>
      <c r="G42" s="259"/>
      <c r="H42" s="259"/>
      <c r="I42" s="275"/>
      <c r="J42" s="275"/>
      <c r="K42" s="275"/>
      <c r="L42" s="275"/>
      <c r="M42" s="275"/>
      <c r="N42" s="275"/>
      <c r="O42" s="275"/>
      <c r="P42" s="275"/>
      <c r="Q42" s="275"/>
      <c r="R42" s="275"/>
      <c r="S42" s="275"/>
      <c r="T42" s="275"/>
      <c r="U42" s="275"/>
      <c r="V42" s="1085" t="s">
        <v>780</v>
      </c>
      <c r="W42" s="531">
        <f>PERCENTRANK(W47:W66,W41)</f>
        <v>0.48299999999999998</v>
      </c>
      <c r="X42" s="275" t="s">
        <v>789</v>
      </c>
      <c r="Y42" s="531">
        <f>W41/W39-1</f>
        <v>0</v>
      </c>
      <c r="Z42" s="275"/>
      <c r="AA42" s="275"/>
      <c r="AB42" s="259"/>
      <c r="AC42" s="536"/>
      <c r="AD42" s="259"/>
      <c r="AE42" s="316"/>
      <c r="AF42" s="316"/>
      <c r="AG42" s="316"/>
      <c r="AH42" s="316"/>
      <c r="AI42" s="316"/>
      <c r="AJ42" s="316"/>
      <c r="AK42" s="316"/>
    </row>
    <row r="43" spans="1:39" ht="25">
      <c r="B43" s="15"/>
      <c r="C43" s="284"/>
      <c r="D43" s="284"/>
      <c r="E43" s="284"/>
      <c r="F43" s="284"/>
      <c r="G43" s="284"/>
      <c r="H43" s="284"/>
      <c r="I43" s="284"/>
      <c r="J43" s="284"/>
      <c r="K43" s="284"/>
      <c r="L43" s="284"/>
      <c r="M43" s="284"/>
      <c r="N43" s="284"/>
      <c r="O43" s="284"/>
      <c r="P43" s="284"/>
      <c r="Q43" s="284"/>
      <c r="R43" s="284"/>
      <c r="S43" s="284"/>
      <c r="T43" s="284"/>
      <c r="U43" s="284"/>
      <c r="V43" s="1087" t="s">
        <v>781</v>
      </c>
      <c r="W43" s="535">
        <f>W35-W41</f>
        <v>46.451819295606128</v>
      </c>
      <c r="X43" s="284"/>
      <c r="Y43" s="284"/>
      <c r="Z43" s="284"/>
      <c r="AA43" s="284"/>
      <c r="AC43" s="534"/>
      <c r="AD43" s="258"/>
    </row>
    <row r="44" spans="1:39">
      <c r="B44" s="15"/>
      <c r="C44" s="14"/>
      <c r="D44" s="14"/>
      <c r="E44" s="14"/>
      <c r="F44" s="14"/>
      <c r="G44" s="14"/>
      <c r="H44" s="14"/>
      <c r="I44" s="14"/>
      <c r="J44" s="14"/>
      <c r="K44" s="14"/>
      <c r="L44" s="14"/>
      <c r="M44" s="14"/>
      <c r="N44" s="14"/>
      <c r="O44" s="14"/>
      <c r="P44" s="14"/>
      <c r="Q44" s="14"/>
      <c r="R44" s="14"/>
      <c r="S44" s="14"/>
      <c r="T44" s="14"/>
      <c r="U44" s="14"/>
      <c r="V44" s="1089" t="s">
        <v>782</v>
      </c>
      <c r="W44" s="1094">
        <f>W39/W35-1</f>
        <v>-1.9682088422897315E-2</v>
      </c>
      <c r="X44" s="14"/>
      <c r="Y44" s="14"/>
      <c r="Z44" s="14"/>
      <c r="AA44" s="14"/>
      <c r="AD44" s="27"/>
    </row>
    <row r="45" spans="1:39">
      <c r="B45" s="15"/>
      <c r="C45" s="305" t="s">
        <v>110</v>
      </c>
      <c r="D45" s="313"/>
      <c r="E45" s="306"/>
      <c r="F45" s="306"/>
      <c r="G45" s="306"/>
      <c r="H45" s="306"/>
      <c r="I45" s="306"/>
      <c r="J45" s="306"/>
      <c r="K45" s="306"/>
      <c r="L45" s="306"/>
      <c r="M45" s="306"/>
      <c r="N45" s="306"/>
      <c r="O45" s="306"/>
      <c r="P45" s="306"/>
      <c r="Q45" s="306"/>
      <c r="R45" s="306"/>
      <c r="S45" s="306"/>
      <c r="T45" s="306"/>
      <c r="U45" s="306"/>
      <c r="V45" s="306"/>
      <c r="W45" s="306"/>
      <c r="X45" s="306"/>
      <c r="Y45" s="306"/>
      <c r="Z45" s="306"/>
      <c r="AA45" s="306"/>
      <c r="AC45" s="307"/>
      <c r="AD45" s="307"/>
      <c r="AE45" s="308"/>
      <c r="AF45" s="308"/>
      <c r="AG45" s="308"/>
      <c r="AH45" s="308"/>
      <c r="AI45" s="308"/>
      <c r="AJ45" s="308"/>
      <c r="AK45" s="308"/>
    </row>
    <row r="46" spans="1:39" ht="50">
      <c r="B46" s="15"/>
      <c r="C46" s="297" t="s">
        <v>111</v>
      </c>
      <c r="E46" s="14"/>
      <c r="F46" s="14"/>
      <c r="G46" s="315" t="s">
        <v>119</v>
      </c>
      <c r="H46" s="314" t="s">
        <v>115</v>
      </c>
      <c r="I46" s="314" t="s">
        <v>116</v>
      </c>
      <c r="J46" s="314"/>
      <c r="K46" s="314"/>
      <c r="L46" s="314"/>
      <c r="M46" s="314" t="s">
        <v>16</v>
      </c>
      <c r="O46" s="314"/>
      <c r="P46" s="314" t="s">
        <v>117</v>
      </c>
      <c r="Q46" s="314"/>
      <c r="R46" s="314"/>
      <c r="S46" s="314"/>
      <c r="T46" s="314" t="s">
        <v>14</v>
      </c>
      <c r="V46" s="314"/>
      <c r="W46" s="314" t="s">
        <v>118</v>
      </c>
      <c r="Y46" s="314"/>
      <c r="Z46" s="314"/>
      <c r="AA46" s="314" t="s">
        <v>246</v>
      </c>
      <c r="AC46" s="27"/>
      <c r="AD46" s="27"/>
    </row>
    <row r="47" spans="1:39" ht="14.5">
      <c r="A47" s="295" t="str">
        <f t="shared" ref="A47:B66" si="50">A8</f>
        <v>TSX:FM_2025_CFO</v>
      </c>
      <c r="B47" s="295" t="str">
        <f t="shared" si="50"/>
        <v>TSX:FM</v>
      </c>
      <c r="C47" s="296" t="str">
        <f>_xll.ciqfunctions.udf.CIQ(B47,"IQ_COMPANY_NAME")</f>
        <v>First Quantum Minerals Ltd.</v>
      </c>
      <c r="E47" s="14"/>
      <c r="F47" s="14"/>
      <c r="G47" s="294" t="s">
        <v>398</v>
      </c>
      <c r="H47" s="303">
        <f t="shared" ref="H47:H66" si="51">IFERROR(INDEX(Raw_Data,MATCH($A47,Look_Up,0),MATCH(H$4,Component,0))/1000,"-")</f>
        <v>1152.89625</v>
      </c>
      <c r="I47" s="303">
        <f>IFERROR(IF(G47="y",IF(H47&lt;&gt;"-",H47,INDEX(Raw_Data,MATCH($A47,Look_Up,0),MATCH(I$4,Component,0))/1000*(1+'Raw Data'!$H$13)),(INDEX(Raw_Data,MATCH($A47,Look_Up,0),MATCH(I$4,Component,0))/1000)),"-")</f>
        <v>1152.89625</v>
      </c>
      <c r="J47" s="361"/>
      <c r="K47" s="361"/>
      <c r="L47" s="361"/>
      <c r="M47" s="303">
        <f t="shared" ref="M47:M66" si="52">IFERROR(I47*N8,"-")</f>
        <v>576.448125</v>
      </c>
      <c r="N47" s="362"/>
      <c r="O47" s="361"/>
      <c r="P47" s="303">
        <f>IFERROR(IF(SUM(M47,I47)=0,"-",SUM(M47,I47)),"-")</f>
        <v>1729.3443750000001</v>
      </c>
      <c r="Q47" s="361"/>
      <c r="R47" s="361"/>
      <c r="S47" s="361"/>
      <c r="T47" s="303">
        <f t="shared" ref="T47:T66" si="53">IFERROR(I47*U8,"-")</f>
        <v>1729.3443750000001</v>
      </c>
      <c r="U47" s="362"/>
      <c r="V47" s="361"/>
      <c r="W47" s="303">
        <f>IFERROR(IF(SUM(T47,P47)=0,"-",SUM(T47,P47)),"-")</f>
        <v>3458.6887500000003</v>
      </c>
      <c r="X47" s="362"/>
      <c r="Y47" s="361"/>
      <c r="Z47" s="361"/>
      <c r="AA47" s="303">
        <f t="shared" ref="AA47:AA66" si="54">IFERROR(IF(SUM(W47,X8,Y8)=0,"-",SUM(W47,X8,Y8)),"-")</f>
        <v>3557.7064672000001</v>
      </c>
      <c r="AB47" s="362"/>
    </row>
    <row r="48" spans="1:39" ht="14.5">
      <c r="A48" s="295" t="str">
        <f t="shared" si="50"/>
        <v>TSX:K_2025_CFO</v>
      </c>
      <c r="B48" s="295" t="str">
        <f t="shared" si="50"/>
        <v>TSX:K</v>
      </c>
      <c r="C48" s="296" t="str">
        <f>_xll.ciqfunctions.udf.CIQ(B48,"IQ_COMPANY_NAME")</f>
        <v>Kinross Gold Corporation</v>
      </c>
      <c r="E48" s="14"/>
      <c r="F48" s="14"/>
      <c r="G48" s="294" t="s">
        <v>398</v>
      </c>
      <c r="H48" s="262" t="str">
        <f t="shared" si="51"/>
        <v>-</v>
      </c>
      <c r="I48" s="262">
        <f>IFERROR(IF(G48="y",IF(H48&lt;&gt;"-",H48,INDEX(Raw_Data,MATCH($A48,Look_Up,0),MATCH(I$4,Component,0))/1000*(1+'Raw Data'!$H$13)),(INDEX(Raw_Data,MATCH($A48,Look_Up,0),MATCH(I$4,Component,0))/1000)),"-")</f>
        <v>703.61182675200018</v>
      </c>
      <c r="J48" s="361"/>
      <c r="K48" s="361"/>
      <c r="L48" s="361"/>
      <c r="M48" s="262">
        <f t="shared" si="52"/>
        <v>633.2506440768002</v>
      </c>
      <c r="N48" s="362"/>
      <c r="O48" s="361"/>
      <c r="P48" s="262">
        <f t="shared" ref="P48:P66" si="55">IFERROR(IF(SUM(M48,I48)=0,"-",SUM(M48,I48)),"-")</f>
        <v>1336.8624708288003</v>
      </c>
      <c r="Q48" s="361"/>
      <c r="R48" s="361"/>
      <c r="S48" s="361"/>
      <c r="T48" s="262">
        <f t="shared" si="53"/>
        <v>1508.796182522183</v>
      </c>
      <c r="U48" s="362"/>
      <c r="V48" s="361"/>
      <c r="W48" s="262">
        <f t="shared" ref="W48:W66" si="56">IFERROR(IF(SUM(T48,P48)=0,"-",SUM(T48,P48)),"-")</f>
        <v>2845.6586533509835</v>
      </c>
      <c r="X48" s="362"/>
      <c r="Y48" s="361"/>
      <c r="Z48" s="361"/>
      <c r="AA48" s="262">
        <f t="shared" si="54"/>
        <v>3169.9355284009835</v>
      </c>
      <c r="AB48" s="362"/>
    </row>
    <row r="49" spans="1:30" ht="14.5">
      <c r="A49" s="295" t="str">
        <f t="shared" si="50"/>
        <v>TSX:LUN_2025_CFO</v>
      </c>
      <c r="B49" s="295" t="str">
        <f t="shared" si="50"/>
        <v>TSX:LUN</v>
      </c>
      <c r="C49" s="296" t="str">
        <f>_xll.ciqfunctions.udf.CIQ(B49,"IQ_COMPANY_NAME")</f>
        <v>Lundin Mining Corporation</v>
      </c>
      <c r="E49" s="14"/>
      <c r="F49" s="14"/>
      <c r="G49" s="294" t="s">
        <v>398</v>
      </c>
      <c r="H49" s="262">
        <f t="shared" si="51"/>
        <v>838</v>
      </c>
      <c r="I49" s="262">
        <f>IFERROR(IF(G49="y",IF(H49&lt;&gt;"-",H49,INDEX(Raw_Data,MATCH($A49,Look_Up,0),MATCH(I$4,Component,0))/1000*(1+'Raw Data'!$H$13)),(INDEX(Raw_Data,MATCH($A49,Look_Up,0),MATCH(I$4,Component,0))/1000)),"-")</f>
        <v>838</v>
      </c>
      <c r="J49" s="361"/>
      <c r="K49" s="361"/>
      <c r="L49" s="361"/>
      <c r="M49" s="262">
        <f t="shared" si="52"/>
        <v>670.40000000000009</v>
      </c>
      <c r="N49" s="362"/>
      <c r="O49" s="361"/>
      <c r="P49" s="262">
        <f t="shared" si="55"/>
        <v>1508.4</v>
      </c>
      <c r="Q49" s="361"/>
      <c r="R49" s="361"/>
      <c r="S49" s="361"/>
      <c r="T49" s="262">
        <f t="shared" si="53"/>
        <v>1793.3971497051584</v>
      </c>
      <c r="U49" s="362"/>
      <c r="V49" s="361"/>
      <c r="W49" s="262">
        <f t="shared" si="56"/>
        <v>3301.7971497051585</v>
      </c>
      <c r="X49" s="362"/>
      <c r="Y49" s="361"/>
      <c r="Z49" s="361"/>
      <c r="AA49" s="262">
        <f t="shared" si="54"/>
        <v>3341.8704259051583</v>
      </c>
      <c r="AB49" s="362"/>
    </row>
    <row r="50" spans="1:30" ht="14.5">
      <c r="A50" s="295" t="str">
        <f t="shared" si="50"/>
        <v>TSX:PAAS_2025_CFO</v>
      </c>
      <c r="B50" s="295" t="str">
        <f t="shared" si="50"/>
        <v>TSX:PAAS</v>
      </c>
      <c r="C50" s="296" t="str">
        <f>_xll.ciqfunctions.udf.CIQ(B50,"IQ_COMPANY_NAME")</f>
        <v>Pan American Silver Corp.</v>
      </c>
      <c r="G50" s="294" t="s">
        <v>398</v>
      </c>
      <c r="H50" s="262" t="str">
        <f t="shared" si="51"/>
        <v>-</v>
      </c>
      <c r="I50" s="262">
        <f>IFERROR(IF(G50="y",IF(H50&lt;&gt;"-",H50,INDEX(Raw_Data,MATCH($A50,Look_Up,0),MATCH(I$4,Component,0))/1000*(1+'Raw Data'!$H$13)),(INDEX(Raw_Data,MATCH($A50,Look_Up,0),MATCH(I$4,Component,0))/1000)),"-")</f>
        <v>669.5</v>
      </c>
      <c r="J50" s="362"/>
      <c r="K50" s="362"/>
      <c r="L50" s="362"/>
      <c r="M50" s="262">
        <f t="shared" si="52"/>
        <v>535.6</v>
      </c>
      <c r="N50" s="362"/>
      <c r="O50" s="362"/>
      <c r="P50" s="262">
        <f t="shared" si="55"/>
        <v>1205.0999999999999</v>
      </c>
      <c r="Q50" s="362"/>
      <c r="R50" s="362"/>
      <c r="S50" s="362"/>
      <c r="T50" s="262">
        <f t="shared" si="53"/>
        <v>1472.9</v>
      </c>
      <c r="U50" s="362"/>
      <c r="V50" s="362"/>
      <c r="W50" s="262">
        <f t="shared" si="56"/>
        <v>2678</v>
      </c>
      <c r="X50" s="362"/>
      <c r="Y50" s="362"/>
      <c r="Z50" s="362"/>
      <c r="AA50" s="262">
        <f t="shared" si="54"/>
        <v>2970.5</v>
      </c>
      <c r="AB50" s="362"/>
    </row>
    <row r="51" spans="1:30" ht="14.5">
      <c r="A51" s="295" t="str">
        <f t="shared" si="50"/>
        <v>TSX:CDE_2025_CFO</v>
      </c>
      <c r="B51" s="295" t="str">
        <f t="shared" si="50"/>
        <v>TSX:CDE</v>
      </c>
      <c r="C51" s="296" t="str">
        <f>_xll.ciqfunctions.udf.CIQ(B51,"IQ_COMPANY_NAME")</f>
        <v>Coeur Mining, Inc.</v>
      </c>
      <c r="G51" s="294" t="s">
        <v>398</v>
      </c>
      <c r="H51" s="262" t="str">
        <f t="shared" si="51"/>
        <v>-</v>
      </c>
      <c r="I51" s="262">
        <f>IFERROR(IF(G51="y",IF(H51&lt;&gt;"-",H51,INDEX(Raw_Data,MATCH($A51,Look_Up,0),MATCH(I$4,Component,0))/1000*(1+'Raw Data'!$H$13)),(INDEX(Raw_Data,MATCH($A51,Look_Up,0),MATCH(I$4,Component,0))/1000)),"-")</f>
        <v>683.70241250000004</v>
      </c>
      <c r="J51" s="362"/>
      <c r="K51" s="362"/>
      <c r="L51" s="362"/>
      <c r="M51" s="262">
        <f t="shared" si="52"/>
        <v>683.70241250000004</v>
      </c>
      <c r="N51" s="362"/>
      <c r="O51" s="362"/>
      <c r="P51" s="262">
        <f t="shared" si="55"/>
        <v>1367.4048250000001</v>
      </c>
      <c r="Q51" s="362"/>
      <c r="R51" s="362"/>
      <c r="S51" s="362"/>
      <c r="T51" s="262">
        <f t="shared" si="53"/>
        <v>1538.330428125</v>
      </c>
      <c r="U51" s="362"/>
      <c r="V51" s="362"/>
      <c r="W51" s="262">
        <f t="shared" si="56"/>
        <v>2905.7352531249999</v>
      </c>
      <c r="X51" s="362"/>
      <c r="Y51" s="362"/>
      <c r="Z51" s="362"/>
      <c r="AA51" s="262">
        <f t="shared" si="54"/>
        <v>3028.7332123249998</v>
      </c>
      <c r="AB51" s="362"/>
    </row>
    <row r="52" spans="1:30" ht="14.5">
      <c r="A52" s="295" t="str">
        <f t="shared" si="50"/>
        <v>TSX:AGI_2025_CFO</v>
      </c>
      <c r="B52" s="295" t="str">
        <f t="shared" si="50"/>
        <v>TSX:AGI</v>
      </c>
      <c r="C52" s="296" t="str">
        <f>_xll.ciqfunctions.udf.CIQ(B52,"IQ_COMPANY_NAME")</f>
        <v>Alamos Gold Inc.</v>
      </c>
      <c r="G52" s="294" t="s">
        <v>398</v>
      </c>
      <c r="H52" s="262" t="str">
        <f t="shared" si="51"/>
        <v>-</v>
      </c>
      <c r="I52" s="262">
        <f>IFERROR(IF(G52="y",IF(H52&lt;&gt;"-",H52,INDEX(Raw_Data,MATCH($A52,Look_Up,0),MATCH(I$4,Component,0))/1000*(1+'Raw Data'!$H$13)),(INDEX(Raw_Data,MATCH($A52,Look_Up,0),MATCH(I$4,Component,0))/1000)),"-")</f>
        <v>576.64756906399998</v>
      </c>
      <c r="J52" s="362"/>
      <c r="K52" s="362"/>
      <c r="L52" s="362"/>
      <c r="M52" s="262">
        <f t="shared" si="52"/>
        <v>490.15043370439997</v>
      </c>
      <c r="N52" s="362"/>
      <c r="O52" s="362"/>
      <c r="P52" s="262">
        <f t="shared" si="55"/>
        <v>1066.7980027684</v>
      </c>
      <c r="Q52" s="362"/>
      <c r="R52" s="362"/>
      <c r="S52" s="362"/>
      <c r="T52" s="262">
        <f t="shared" si="53"/>
        <v>848.27483839274385</v>
      </c>
      <c r="U52" s="362"/>
      <c r="V52" s="362"/>
      <c r="W52" s="262">
        <f t="shared" si="56"/>
        <v>1915.072841161144</v>
      </c>
      <c r="X52" s="362"/>
      <c r="Y52" s="362"/>
      <c r="Z52" s="362"/>
      <c r="AA52" s="262">
        <f t="shared" si="54"/>
        <v>2063.454082161144</v>
      </c>
      <c r="AB52" s="362"/>
    </row>
    <row r="53" spans="1:30" ht="14.5">
      <c r="A53" s="295" t="str">
        <f t="shared" si="50"/>
        <v>NYSE:HL_2025_CFO</v>
      </c>
      <c r="B53" s="295" t="str">
        <f t="shared" si="50"/>
        <v>NYSE:HL</v>
      </c>
      <c r="C53" s="296" t="str">
        <f>_xll.ciqfunctions.udf.CIQ(B53,"IQ_COMPANY_NAME")</f>
        <v>Hecla Mining Company</v>
      </c>
      <c r="G53" s="294" t="s">
        <v>398</v>
      </c>
      <c r="H53" s="262">
        <f t="shared" si="51"/>
        <v>607.89075000000003</v>
      </c>
      <c r="I53" s="262">
        <f>IFERROR(IF(G53="y",IF(H53&lt;&gt;"-",H53,INDEX(Raw_Data,MATCH($A53,Look_Up,0),MATCH(I$4,Component,0))/1000*(1+'Raw Data'!$H$13)),(INDEX(Raw_Data,MATCH($A53,Look_Up,0),MATCH(I$4,Component,0))/1000)),"-")</f>
        <v>607.89075000000003</v>
      </c>
      <c r="J53" s="362"/>
      <c r="K53" s="362"/>
      <c r="L53" s="362"/>
      <c r="M53" s="262">
        <f t="shared" si="52"/>
        <v>486.31260000000003</v>
      </c>
      <c r="N53" s="362"/>
      <c r="O53" s="362"/>
      <c r="P53" s="262">
        <f t="shared" si="55"/>
        <v>1094.20335</v>
      </c>
      <c r="Q53" s="362"/>
      <c r="R53" s="362"/>
      <c r="S53" s="362"/>
      <c r="T53" s="262">
        <f t="shared" si="53"/>
        <v>1063.8088124999999</v>
      </c>
      <c r="U53" s="362"/>
      <c r="V53" s="362"/>
      <c r="W53" s="262">
        <f t="shared" si="56"/>
        <v>2158.0121625000002</v>
      </c>
      <c r="X53" s="362"/>
      <c r="Y53" s="362"/>
      <c r="Z53" s="362"/>
      <c r="AA53" s="262">
        <f t="shared" si="54"/>
        <v>2249.0881713500003</v>
      </c>
      <c r="AB53" s="362"/>
    </row>
    <row r="54" spans="1:30" s="17" customFormat="1" ht="14.5">
      <c r="A54" s="295" t="str">
        <f t="shared" si="50"/>
        <v>TSX:IMG_2025_CFO</v>
      </c>
      <c r="B54" s="295" t="str">
        <f t="shared" si="50"/>
        <v>TSX:IMG</v>
      </c>
      <c r="C54" s="296" t="str">
        <f>_xll.ciqfunctions.udf.CIQ(B54,"IQ_COMPANY_NAME")</f>
        <v>IAMGOLD Corporation</v>
      </c>
      <c r="E54" s="22"/>
      <c r="F54" s="20"/>
      <c r="G54" s="294" t="s">
        <v>398</v>
      </c>
      <c r="H54" s="262" t="str">
        <f t="shared" si="51"/>
        <v>-</v>
      </c>
      <c r="I54" s="262">
        <f>IFERROR(IF(G54="y",IF(H54&lt;&gt;"-",H54,INDEX(Raw_Data,MATCH($A54,Look_Up,0),MATCH(I$4,Component,0))/1000*(1+'Raw Data'!$H$13)),(INDEX(Raw_Data,MATCH($A54,Look_Up,0),MATCH(I$4,Component,0))/1000)),"-")</f>
        <v>560.36635000000001</v>
      </c>
      <c r="J54" s="22"/>
      <c r="K54" s="363"/>
      <c r="L54" s="363"/>
      <c r="M54" s="262">
        <f t="shared" si="52"/>
        <v>448.29308000000003</v>
      </c>
      <c r="N54" s="364"/>
      <c r="O54" s="22"/>
      <c r="P54" s="262">
        <f t="shared" si="55"/>
        <v>1008.65943</v>
      </c>
      <c r="Q54" s="21"/>
      <c r="R54" s="365"/>
      <c r="S54" s="365"/>
      <c r="T54" s="262">
        <f t="shared" si="53"/>
        <v>896.58616000000006</v>
      </c>
      <c r="U54" s="364"/>
      <c r="V54" s="22"/>
      <c r="W54" s="262">
        <f t="shared" si="56"/>
        <v>1905.24559</v>
      </c>
      <c r="X54" s="364"/>
      <c r="Y54" s="22"/>
      <c r="Z54" s="22"/>
      <c r="AA54" s="262">
        <f t="shared" si="54"/>
        <v>1975.82059</v>
      </c>
      <c r="AB54" s="364"/>
      <c r="AC54" s="19"/>
      <c r="AD54" s="19"/>
    </row>
    <row r="55" spans="1:30" ht="14.5">
      <c r="A55" s="295" t="str">
        <f t="shared" si="50"/>
        <v>TSX:CS_2025_CFO</v>
      </c>
      <c r="B55" s="295" t="str">
        <f t="shared" si="50"/>
        <v>TSX:CS</v>
      </c>
      <c r="C55" s="296" t="str">
        <f>_xll.ciqfunctions.udf.CIQ(B55,"IQ_COMPANY_NAME")</f>
        <v>Capstone Copper Corp.</v>
      </c>
      <c r="G55" s="294" t="s">
        <v>398</v>
      </c>
      <c r="H55" s="262" t="str">
        <f t="shared" si="51"/>
        <v>-</v>
      </c>
      <c r="I55" s="262">
        <f>IFERROR(IF(G55="y",IF(H55&lt;&gt;"-",H55,INDEX(Raw_Data,MATCH($A55,Look_Up,0),MATCH(I$4,Component,0))/1000*(1+'Raw Data'!$H$13)),(INDEX(Raw_Data,MATCH($A55,Look_Up,0),MATCH(I$4,Component,0))/1000)),"-")</f>
        <v>618</v>
      </c>
      <c r="J55" s="366"/>
      <c r="K55" s="366"/>
      <c r="L55" s="366"/>
      <c r="M55" s="262">
        <f t="shared" si="52"/>
        <v>494.40000000000003</v>
      </c>
      <c r="N55" s="362"/>
      <c r="O55" s="366"/>
      <c r="P55" s="262">
        <f t="shared" si="55"/>
        <v>1112.4000000000001</v>
      </c>
      <c r="Q55" s="366"/>
      <c r="R55" s="366"/>
      <c r="S55" s="366"/>
      <c r="T55" s="262">
        <f t="shared" si="53"/>
        <v>1050.5999999999999</v>
      </c>
      <c r="U55" s="362"/>
      <c r="V55" s="366"/>
      <c r="W55" s="262">
        <f t="shared" si="56"/>
        <v>2163</v>
      </c>
      <c r="X55" s="362"/>
      <c r="Y55" s="366"/>
      <c r="Z55" s="366"/>
      <c r="AA55" s="262">
        <f t="shared" si="54"/>
        <v>2250.634</v>
      </c>
      <c r="AB55" s="362"/>
    </row>
    <row r="56" spans="1:30" ht="14.5">
      <c r="A56" s="295" t="str">
        <f t="shared" si="50"/>
        <v>TSX:ELD_2025_CFO</v>
      </c>
      <c r="B56" s="295" t="str">
        <f t="shared" si="50"/>
        <v>TSX:ELD</v>
      </c>
      <c r="C56" s="296" t="str">
        <f>_xll.ciqfunctions.udf.CIQ(B56,"IQ_COMPANY_NAME")</f>
        <v>Eldorado Gold Corporation</v>
      </c>
      <c r="G56" s="294" t="s">
        <v>398</v>
      </c>
      <c r="H56" s="262" t="str">
        <f t="shared" si="51"/>
        <v>-</v>
      </c>
      <c r="I56" s="262">
        <f>IFERROR(IF(G56="y",IF(H56&lt;&gt;"-",H56,INDEX(Raw_Data,MATCH($A56,Look_Up,0),MATCH(I$4,Component,0))/1000*(1+'Raw Data'!$H$13)),(INDEX(Raw_Data,MATCH($A56,Look_Up,0),MATCH(I$4,Component,0))/1000)),"-")</f>
        <v>587.1</v>
      </c>
      <c r="J56" s="362"/>
      <c r="K56" s="362"/>
      <c r="L56" s="362"/>
      <c r="M56" s="262">
        <f t="shared" si="52"/>
        <v>469.68000000000006</v>
      </c>
      <c r="N56" s="362"/>
      <c r="O56" s="362"/>
      <c r="P56" s="262">
        <f t="shared" si="55"/>
        <v>1056.7800000000002</v>
      </c>
      <c r="Q56" s="362"/>
      <c r="R56" s="362"/>
      <c r="S56" s="362"/>
      <c r="T56" s="262">
        <f t="shared" si="53"/>
        <v>1027.425</v>
      </c>
      <c r="U56" s="362"/>
      <c r="V56" s="362"/>
      <c r="W56" s="262">
        <f t="shared" si="56"/>
        <v>2084.2049999999999</v>
      </c>
      <c r="X56" s="362"/>
      <c r="Y56" s="362"/>
      <c r="Z56" s="362"/>
      <c r="AA56" s="262">
        <f t="shared" si="54"/>
        <v>2184.1770000000001</v>
      </c>
      <c r="AB56" s="362"/>
    </row>
    <row r="57" spans="1:30" ht="14.5">
      <c r="A57" s="295" t="str">
        <f t="shared" si="50"/>
        <v>TSX:EQX_2025_CFO</v>
      </c>
      <c r="B57" s="295" t="str">
        <f t="shared" si="50"/>
        <v>TSX:EQX</v>
      </c>
      <c r="C57" s="296" t="str">
        <f>_xll.ciqfunctions.udf.CIQ(B57,"IQ_COMPANY_NAME")</f>
        <v>Equinox Gold Corp.</v>
      </c>
      <c r="G57" s="294" t="s">
        <v>398</v>
      </c>
      <c r="H57" s="262" t="str">
        <f t="shared" si="51"/>
        <v>-</v>
      </c>
      <c r="I57" s="262">
        <f>IFERROR(IF(G57="y",IF(H57&lt;&gt;"-",H57,INDEX(Raw_Data,MATCH($A57,Look_Up,0),MATCH(I$4,Component,0))/1000*(1+'Raw Data'!$H$13)),(INDEX(Raw_Data,MATCH($A57,Look_Up,0),MATCH(I$4,Component,0))/1000)),"-")</f>
        <v>459.08748000000003</v>
      </c>
      <c r="J57" s="362"/>
      <c r="K57" s="362"/>
      <c r="L57" s="362"/>
      <c r="M57" s="262">
        <f t="shared" si="52"/>
        <v>413.17873200000002</v>
      </c>
      <c r="N57" s="362"/>
      <c r="O57" s="362"/>
      <c r="P57" s="262">
        <f t="shared" si="55"/>
        <v>872.266212</v>
      </c>
      <c r="Q57" s="362"/>
      <c r="R57" s="362"/>
      <c r="S57" s="362"/>
      <c r="T57" s="262">
        <f t="shared" si="53"/>
        <v>688.63121999999998</v>
      </c>
      <c r="U57" s="362"/>
      <c r="V57" s="362"/>
      <c r="W57" s="262">
        <f t="shared" si="56"/>
        <v>1560.897432</v>
      </c>
      <c r="X57" s="362"/>
      <c r="Y57" s="362"/>
      <c r="Z57" s="362"/>
      <c r="AA57" s="262">
        <f t="shared" si="54"/>
        <v>1581.9964319999999</v>
      </c>
      <c r="AB57" s="362"/>
    </row>
    <row r="58" spans="1:30" ht="14.5">
      <c r="A58" s="295" t="str">
        <f t="shared" si="50"/>
        <v>TSX:SSRM_2025_CFO</v>
      </c>
      <c r="B58" s="295" t="str">
        <f t="shared" si="50"/>
        <v>TSX:SSRM</v>
      </c>
      <c r="C58" s="296" t="str">
        <f>_xll.ciqfunctions.udf.CIQ(B58,"IQ_COMPANY_NAME")</f>
        <v>SSR Mining Inc.</v>
      </c>
      <c r="G58" s="294" t="s">
        <v>398</v>
      </c>
      <c r="H58" s="262" t="str">
        <f t="shared" si="51"/>
        <v>-</v>
      </c>
      <c r="I58" s="262">
        <f>IFERROR(IF(G58="y",IF(H58&lt;&gt;"-",H58,INDEX(Raw_Data,MATCH($A58,Look_Up,0),MATCH(I$4,Component,0))/1000*(1+'Raw Data'!$H$13)),(INDEX(Raw_Data,MATCH($A58,Look_Up,0),MATCH(I$4,Component,0))/1000)),"-")</f>
        <v>863.6241</v>
      </c>
      <c r="J58" s="362"/>
      <c r="K58" s="362"/>
      <c r="L58" s="362"/>
      <c r="M58" s="262">
        <f t="shared" si="52"/>
        <v>647.718075</v>
      </c>
      <c r="N58" s="362"/>
      <c r="O58" s="362"/>
      <c r="P58" s="262">
        <f t="shared" si="55"/>
        <v>1511.342175</v>
      </c>
      <c r="Q58" s="362"/>
      <c r="R58" s="362"/>
      <c r="S58" s="362"/>
      <c r="T58" s="262">
        <f t="shared" si="53"/>
        <v>1511.342175</v>
      </c>
      <c r="U58" s="362"/>
      <c r="V58" s="362"/>
      <c r="W58" s="262">
        <f t="shared" si="56"/>
        <v>3022.68435</v>
      </c>
      <c r="X58" s="362"/>
      <c r="Y58" s="362"/>
      <c r="Z58" s="362"/>
      <c r="AA58" s="262">
        <f t="shared" si="54"/>
        <v>3138.3820304000001</v>
      </c>
      <c r="AB58" s="362"/>
    </row>
    <row r="59" spans="1:30" ht="14.5">
      <c r="A59" s="295" t="str">
        <f t="shared" si="50"/>
        <v>TSX:BTO_2025_CFO</v>
      </c>
      <c r="B59" s="295" t="str">
        <f t="shared" si="50"/>
        <v>TSX:BTO</v>
      </c>
      <c r="C59" s="296" t="str">
        <f>_xll.ciqfunctions.udf.CIQ(B59,"IQ_COMPANY_NAME")</f>
        <v>B2Gold Corp.</v>
      </c>
      <c r="G59" s="294" t="s">
        <v>398</v>
      </c>
      <c r="H59" s="262" t="str">
        <f t="shared" si="51"/>
        <v>-</v>
      </c>
      <c r="I59" s="262">
        <f>IFERROR(IF(G59="y",IF(H59&lt;&gt;"-",H59,INDEX(Raw_Data,MATCH($A59,Look_Up,0),MATCH(I$4,Component,0))/1000*(1+'Raw Data'!$H$13)),(INDEX(Raw_Data,MATCH($A59,Look_Up,0),MATCH(I$4,Component,0))/1000)),"-")</f>
        <v>682.98272574999999</v>
      </c>
      <c r="J59" s="362"/>
      <c r="K59" s="362"/>
      <c r="L59" s="362"/>
      <c r="M59" s="262">
        <f t="shared" si="52"/>
        <v>512.23704431249996</v>
      </c>
      <c r="N59" s="362"/>
      <c r="O59" s="362"/>
      <c r="P59" s="262">
        <f t="shared" si="55"/>
        <v>1195.2197700624999</v>
      </c>
      <c r="Q59" s="362"/>
      <c r="R59" s="362"/>
      <c r="S59" s="362"/>
      <c r="T59" s="262">
        <f t="shared" si="53"/>
        <v>1968.3039183743333</v>
      </c>
      <c r="U59" s="362"/>
      <c r="V59" s="362"/>
      <c r="W59" s="262">
        <f t="shared" si="56"/>
        <v>3163.5236884368333</v>
      </c>
      <c r="X59" s="362"/>
      <c r="Y59" s="362"/>
      <c r="Z59" s="362"/>
      <c r="AA59" s="262">
        <f t="shared" si="54"/>
        <v>3170.8337493868335</v>
      </c>
      <c r="AB59" s="362"/>
    </row>
    <row r="60" spans="1:30" ht="14.5">
      <c r="A60" s="295" t="str">
        <f t="shared" si="50"/>
        <v>TSX:OGC_2025_CFO</v>
      </c>
      <c r="B60" s="295" t="str">
        <f t="shared" si="50"/>
        <v>TSX:OGC</v>
      </c>
      <c r="C60" s="296" t="str">
        <f>_xll.ciqfunctions.udf.CIQ(B60,"IQ_COMPANY_NAME")</f>
        <v>OceanaGold Corporation</v>
      </c>
      <c r="G60" s="294" t="s">
        <v>398</v>
      </c>
      <c r="H60" s="262" t="str">
        <f t="shared" si="51"/>
        <v>-</v>
      </c>
      <c r="I60" s="262">
        <f>IFERROR(IF(G60="y",IF(H60&lt;&gt;"-",H60,INDEX(Raw_Data,MATCH($A60,Look_Up,0),MATCH(I$4,Component,0))/1000*(1+'Raw Data'!$H$13)),(INDEX(Raw_Data,MATCH($A60,Look_Up,0),MATCH(I$4,Component,0))/1000)),"-")</f>
        <v>596.75561685900016</v>
      </c>
      <c r="J60" s="362"/>
      <c r="K60" s="362"/>
      <c r="L60" s="362"/>
      <c r="M60" s="262">
        <f t="shared" si="52"/>
        <v>358.05337011540007</v>
      </c>
      <c r="N60" s="362"/>
      <c r="O60" s="362"/>
      <c r="P60" s="262">
        <f t="shared" si="55"/>
        <v>954.80898697440023</v>
      </c>
      <c r="Q60" s="362"/>
      <c r="R60" s="362"/>
      <c r="S60" s="362"/>
      <c r="T60" s="262">
        <f t="shared" si="53"/>
        <v>1405.2972323212061</v>
      </c>
      <c r="U60" s="362"/>
      <c r="V60" s="362"/>
      <c r="W60" s="262">
        <f t="shared" si="56"/>
        <v>2360.1062192956065</v>
      </c>
      <c r="X60" s="362"/>
      <c r="Y60" s="362"/>
      <c r="Z60" s="362"/>
      <c r="AA60" s="262">
        <f t="shared" si="54"/>
        <v>2376.3012673456064</v>
      </c>
      <c r="AB60" s="362"/>
    </row>
    <row r="61" spans="1:30" ht="14.5">
      <c r="A61" s="295" t="str">
        <f t="shared" si="50"/>
        <v>TSX:CG_2025_CFO</v>
      </c>
      <c r="B61" s="295" t="str">
        <f t="shared" si="50"/>
        <v>TSX:CG</v>
      </c>
      <c r="C61" s="296" t="str">
        <f>_xll.ciqfunctions.udf.CIQ(B61,"IQ_COMPANY_NAME")</f>
        <v>Centerra Gold Inc.</v>
      </c>
      <c r="G61" s="294" t="s">
        <v>398</v>
      </c>
      <c r="H61" s="262" t="str">
        <f t="shared" si="51"/>
        <v>-</v>
      </c>
      <c r="I61" s="262">
        <f>IFERROR(IF(G61="y",IF(H61&lt;&gt;"-",H61,INDEX(Raw_Data,MATCH($A61,Look_Up,0),MATCH(I$4,Component,0))/1000*(1+'Raw Data'!$H$13)),(INDEX(Raw_Data,MATCH($A61,Look_Up,0),MATCH(I$4,Component,0))/1000)),"-")</f>
        <v>487.19</v>
      </c>
      <c r="J61" s="362"/>
      <c r="K61" s="362"/>
      <c r="L61" s="362"/>
      <c r="M61" s="262">
        <f t="shared" si="52"/>
        <v>389.75200000000001</v>
      </c>
      <c r="N61" s="362"/>
      <c r="O61" s="362"/>
      <c r="P61" s="262">
        <f t="shared" si="55"/>
        <v>876.94200000000001</v>
      </c>
      <c r="Q61" s="362"/>
      <c r="R61" s="362"/>
      <c r="S61" s="362"/>
      <c r="T61" s="262">
        <f t="shared" si="53"/>
        <v>876.94200000000001</v>
      </c>
      <c r="U61" s="362"/>
      <c r="V61" s="362"/>
      <c r="W61" s="262">
        <f t="shared" si="56"/>
        <v>1753.884</v>
      </c>
      <c r="X61" s="362"/>
      <c r="Y61" s="362"/>
      <c r="Z61" s="362"/>
      <c r="AA61" s="262">
        <f t="shared" si="54"/>
        <v>1897.752</v>
      </c>
      <c r="AB61" s="362"/>
    </row>
    <row r="62" spans="1:30" ht="14.5">
      <c r="A62" s="295" t="str">
        <f t="shared" si="50"/>
        <v>0_2025_CFO</v>
      </c>
      <c r="B62" s="295">
        <f t="shared" si="50"/>
        <v>0</v>
      </c>
      <c r="C62" s="296" t="str">
        <f>_xll.ciqfunctions.udf.CIQ(B62,"IQ_COMPANY_NAME")</f>
        <v>(Invalid Identifier)</v>
      </c>
      <c r="G62" s="294" t="s">
        <v>398</v>
      </c>
      <c r="H62" s="262" t="str">
        <f t="shared" si="51"/>
        <v>-</v>
      </c>
      <c r="I62" s="262" t="str">
        <f>IFERROR(IF(G62="y",IF(H62&lt;&gt;"-",H62,INDEX(Raw_Data,MATCH($A62,Look_Up,0),MATCH(I$4,Component,0))/1000*(1+'Raw Data'!$H$13)),(INDEX(Raw_Data,MATCH($A62,Look_Up,0),MATCH(I$4,Component,0))/1000)),"-")</f>
        <v>-</v>
      </c>
      <c r="J62" s="362"/>
      <c r="K62" s="362"/>
      <c r="L62" s="362"/>
      <c r="M62" s="262" t="str">
        <f t="shared" si="52"/>
        <v>-</v>
      </c>
      <c r="N62" s="362"/>
      <c r="O62" s="362"/>
      <c r="P62" s="262" t="str">
        <f t="shared" si="55"/>
        <v>-</v>
      </c>
      <c r="Q62" s="362"/>
      <c r="R62" s="362"/>
      <c r="S62" s="362"/>
      <c r="T62" s="262" t="str">
        <f t="shared" si="53"/>
        <v>-</v>
      </c>
      <c r="U62" s="362"/>
      <c r="V62" s="362"/>
      <c r="W62" s="262" t="str">
        <f t="shared" si="56"/>
        <v>-</v>
      </c>
      <c r="X62" s="362"/>
      <c r="Y62" s="362"/>
      <c r="Z62" s="362"/>
      <c r="AA62" s="262" t="str">
        <f t="shared" si="54"/>
        <v>-</v>
      </c>
      <c r="AB62" s="362"/>
    </row>
    <row r="63" spans="1:30" ht="14.5">
      <c r="A63" s="295" t="str">
        <f t="shared" si="50"/>
        <v>0_2025_CFO</v>
      </c>
      <c r="B63" s="295">
        <f t="shared" si="50"/>
        <v>0</v>
      </c>
      <c r="C63" s="296" t="str">
        <f>_xll.ciqfunctions.udf.CIQ(B63,"IQ_COMPANY_NAME")</f>
        <v>(Invalid Identifier)</v>
      </c>
      <c r="G63" s="294" t="s">
        <v>398</v>
      </c>
      <c r="H63" s="262" t="str">
        <f t="shared" si="51"/>
        <v>-</v>
      </c>
      <c r="I63" s="262" t="str">
        <f>IFERROR(IF(G63="y",IF(H63&lt;&gt;"-",H63,INDEX(Raw_Data,MATCH($A63,Look_Up,0),MATCH(I$4,Component,0))/1000*(1+'Raw Data'!$H$13)),(INDEX(Raw_Data,MATCH($A63,Look_Up,0),MATCH(I$4,Component,0))/1000)),"-")</f>
        <v>-</v>
      </c>
      <c r="J63" s="362"/>
      <c r="K63" s="362"/>
      <c r="L63" s="362"/>
      <c r="M63" s="262" t="str">
        <f t="shared" si="52"/>
        <v>-</v>
      </c>
      <c r="N63" s="362"/>
      <c r="O63" s="362"/>
      <c r="P63" s="262" t="str">
        <f t="shared" si="55"/>
        <v>-</v>
      </c>
      <c r="Q63" s="362"/>
      <c r="R63" s="362"/>
      <c r="S63" s="362"/>
      <c r="T63" s="262" t="str">
        <f t="shared" si="53"/>
        <v>-</v>
      </c>
      <c r="U63" s="362"/>
      <c r="V63" s="362"/>
      <c r="W63" s="262" t="str">
        <f t="shared" si="56"/>
        <v>-</v>
      </c>
      <c r="X63" s="362"/>
      <c r="Y63" s="362"/>
      <c r="Z63" s="362"/>
      <c r="AA63" s="262" t="str">
        <f t="shared" si="54"/>
        <v>-</v>
      </c>
      <c r="AB63" s="362"/>
    </row>
    <row r="64" spans="1:30" ht="14.5">
      <c r="A64" s="295" t="str">
        <f t="shared" si="50"/>
        <v>0_2025_CFO</v>
      </c>
      <c r="B64" s="295">
        <f t="shared" si="50"/>
        <v>0</v>
      </c>
      <c r="C64" s="296" t="str">
        <f>_xll.ciqfunctions.udf.CIQ(B64,"IQ_COMPANY_NAME")</f>
        <v>(Invalid Identifier)</v>
      </c>
      <c r="G64" s="294" t="s">
        <v>398</v>
      </c>
      <c r="H64" s="262" t="str">
        <f t="shared" si="51"/>
        <v>-</v>
      </c>
      <c r="I64" s="262" t="str">
        <f>IFERROR(IF(G64="y",IF(H64&lt;&gt;"-",H64,INDEX(Raw_Data,MATCH($A64,Look_Up,0),MATCH(I$4,Component,0))/1000*(1+'Raw Data'!$H$13)),(INDEX(Raw_Data,MATCH($A64,Look_Up,0),MATCH(I$4,Component,0))/1000)),"-")</f>
        <v>-</v>
      </c>
      <c r="J64" s="362"/>
      <c r="K64" s="362"/>
      <c r="L64" s="362"/>
      <c r="M64" s="262" t="str">
        <f t="shared" si="52"/>
        <v>-</v>
      </c>
      <c r="N64" s="362"/>
      <c r="O64" s="362"/>
      <c r="P64" s="262" t="str">
        <f t="shared" si="55"/>
        <v>-</v>
      </c>
      <c r="Q64" s="362"/>
      <c r="R64" s="362"/>
      <c r="S64" s="362"/>
      <c r="T64" s="262" t="str">
        <f t="shared" si="53"/>
        <v>-</v>
      </c>
      <c r="U64" s="362"/>
      <c r="V64" s="362"/>
      <c r="W64" s="262" t="str">
        <f t="shared" si="56"/>
        <v>-</v>
      </c>
      <c r="X64" s="362"/>
      <c r="Y64" s="362"/>
      <c r="Z64" s="362"/>
      <c r="AA64" s="262" t="str">
        <f t="shared" si="54"/>
        <v>-</v>
      </c>
      <c r="AB64" s="362"/>
    </row>
    <row r="65" spans="1:28" ht="14.5">
      <c r="A65" s="295" t="str">
        <f t="shared" si="50"/>
        <v>0_2025_CFO</v>
      </c>
      <c r="B65" s="295">
        <f t="shared" si="50"/>
        <v>0</v>
      </c>
      <c r="C65" s="296" t="str">
        <f>_xll.ciqfunctions.udf.CIQ(B65,"IQ_COMPANY_NAME")</f>
        <v>(Invalid Identifier)</v>
      </c>
      <c r="G65" s="294" t="s">
        <v>398</v>
      </c>
      <c r="H65" s="262" t="str">
        <f t="shared" si="51"/>
        <v>-</v>
      </c>
      <c r="I65" s="262" t="str">
        <f>IFERROR(IF(G65="y",IF(H65&lt;&gt;"-",H65,INDEX(Raw_Data,MATCH($A65,Look_Up,0),MATCH(I$4,Component,0))/1000*(1+'Raw Data'!$H$13)),(INDEX(Raw_Data,MATCH($A65,Look_Up,0),MATCH(I$4,Component,0))/1000)),"-")</f>
        <v>-</v>
      </c>
      <c r="J65" s="362"/>
      <c r="K65" s="362"/>
      <c r="L65" s="362"/>
      <c r="M65" s="262" t="str">
        <f t="shared" si="52"/>
        <v>-</v>
      </c>
      <c r="N65" s="362"/>
      <c r="O65" s="362"/>
      <c r="P65" s="262" t="str">
        <f t="shared" si="55"/>
        <v>-</v>
      </c>
      <c r="Q65" s="362"/>
      <c r="R65" s="362"/>
      <c r="S65" s="362"/>
      <c r="T65" s="262" t="str">
        <f t="shared" si="53"/>
        <v>-</v>
      </c>
      <c r="U65" s="362"/>
      <c r="V65" s="362"/>
      <c r="W65" s="262" t="str">
        <f t="shared" si="56"/>
        <v>-</v>
      </c>
      <c r="X65" s="362"/>
      <c r="Y65" s="362"/>
      <c r="Z65" s="362"/>
      <c r="AA65" s="262" t="str">
        <f t="shared" si="54"/>
        <v>-</v>
      </c>
      <c r="AB65" s="362"/>
    </row>
    <row r="66" spans="1:28" ht="14.5">
      <c r="A66" s="295" t="str">
        <f t="shared" si="50"/>
        <v>0_2025_CFO</v>
      </c>
      <c r="B66" s="295">
        <f t="shared" si="50"/>
        <v>0</v>
      </c>
      <c r="C66" s="296" t="str">
        <f>_xll.ciqfunctions.udf.CIQ(B66,"IQ_COMPANY_NAME")</f>
        <v>(Invalid Identifier)</v>
      </c>
      <c r="G66" s="294" t="s">
        <v>398</v>
      </c>
      <c r="H66" s="304" t="str">
        <f t="shared" si="51"/>
        <v>-</v>
      </c>
      <c r="I66" s="262" t="str">
        <f>IFERROR(IF(G66="y",IF(H66&lt;&gt;"-",H66,INDEX(Raw_Data,MATCH($A66,Look_Up,0),MATCH(I$4,Component,0))/1000*(1+'Raw Data'!$H$13)),(INDEX(Raw_Data,MATCH($A66,Look_Up,0),MATCH(I$4,Component,0))/1000)),"-")</f>
        <v>-</v>
      </c>
      <c r="J66" s="362"/>
      <c r="K66" s="362"/>
      <c r="L66" s="362"/>
      <c r="M66" s="262" t="str">
        <f t="shared" si="52"/>
        <v>-</v>
      </c>
      <c r="N66" s="362"/>
      <c r="O66" s="362"/>
      <c r="P66" s="304" t="str">
        <f t="shared" si="55"/>
        <v>-</v>
      </c>
      <c r="Q66" s="362"/>
      <c r="R66" s="362"/>
      <c r="S66" s="362"/>
      <c r="T66" s="262" t="str">
        <f t="shared" si="53"/>
        <v>-</v>
      </c>
      <c r="U66" s="362"/>
      <c r="V66" s="362"/>
      <c r="W66" s="304" t="str">
        <f t="shared" si="56"/>
        <v>-</v>
      </c>
      <c r="X66" s="362"/>
      <c r="Y66" s="362"/>
      <c r="Z66" s="362"/>
      <c r="AA66" s="304" t="str">
        <f t="shared" si="54"/>
        <v>-</v>
      </c>
      <c r="AB66" s="362"/>
    </row>
    <row r="67" spans="1:28" ht="14.5">
      <c r="A67" s="15"/>
      <c r="B67" s="15"/>
      <c r="I67" s="288"/>
      <c r="M67" s="288"/>
      <c r="P67" s="288"/>
      <c r="T67" s="288"/>
      <c r="W67" s="288"/>
      <c r="AA67" s="288"/>
    </row>
    <row r="68" spans="1:28" ht="14.5">
      <c r="A68" s="15"/>
      <c r="B68" s="15"/>
      <c r="I68" s="262">
        <f>PERCENTILE(I$47:I$66,$B29)</f>
        <v>693.65711962600017</v>
      </c>
      <c r="M68" s="262">
        <f>PERCENTILE(M$47:M$66,$B29)</f>
        <v>604.84938453840005</v>
      </c>
      <c r="P68" s="262">
        <f>PERCENTILE(P$47:P$66,$B29)</f>
        <v>1352.1336479144002</v>
      </c>
      <c r="T68" s="262">
        <f>PERCENTILE(T$47:T$66,$B29)</f>
        <v>1524.8363015625</v>
      </c>
      <c r="W68" s="262">
        <f>PERCENTILE(W$47:W$66,$B29)</f>
        <v>2964.2098015624997</v>
      </c>
      <c r="AA68" s="262">
        <f>PERCENTILE(AA$47:AA$66,$B29)</f>
        <v>3154.1587794004918</v>
      </c>
    </row>
    <row r="69" spans="1:28" ht="14.5">
      <c r="A69" s="15"/>
      <c r="B69" s="15"/>
      <c r="I69" s="266">
        <f>PERCENTILE(I$47:I$66,$B30)</f>
        <v>618</v>
      </c>
      <c r="M69" s="266">
        <f>PERCENTILE(M$47:M$66,$B30)</f>
        <v>494.40000000000003</v>
      </c>
      <c r="P69" s="266">
        <f>PERCENTILE(P$47:P$66,$B30)</f>
        <v>1112.4000000000001</v>
      </c>
      <c r="T69" s="266">
        <f>PERCENTILE(T$47:T$66,$B30)</f>
        <v>1405.2972323212061</v>
      </c>
      <c r="W69" s="266">
        <f>PERCENTILE(W$47:W$66,$B30)</f>
        <v>2360.1062192956065</v>
      </c>
      <c r="AA69" s="266">
        <f>PERCENTILE(AA$47:AA$66,$B30)</f>
        <v>2376.3012673456064</v>
      </c>
    </row>
    <row r="70" spans="1:28" ht="14.5">
      <c r="A70" s="15"/>
      <c r="B70" s="15"/>
      <c r="I70" s="262">
        <f>PERCENTILE(I$47:I$66,$B31)</f>
        <v>581.87378453199995</v>
      </c>
      <c r="M70" s="262">
        <f>PERCENTILE(M$47:M$66,$B31)</f>
        <v>458.98654000000005</v>
      </c>
      <c r="P70" s="262">
        <f>PERCENTILE(P$47:P$66,$B31)</f>
        <v>1032.7197150000002</v>
      </c>
      <c r="T70" s="262">
        <f>PERCENTILE(T$47:T$66,$B31)</f>
        <v>962.00558000000001</v>
      </c>
      <c r="W70" s="262">
        <f>PERCENTILE(W$47:W$66,$B31)</f>
        <v>1999.6389205805719</v>
      </c>
      <c r="AA70" s="262">
        <f>PERCENTILE(AA$47:AA$66,$B31)</f>
        <v>2123.8155410805721</v>
      </c>
    </row>
    <row r="71" spans="1:28" ht="14.5">
      <c r="A71" s="15"/>
      <c r="B71" s="15"/>
      <c r="I71" s="270">
        <f>AVERAGE(I47:I66)</f>
        <v>672.49033872833343</v>
      </c>
      <c r="M71" s="270">
        <f>AVERAGE(M47:M66)</f>
        <v>520.61176778060667</v>
      </c>
      <c r="P71" s="270">
        <f>AVERAGE(P47:P66)</f>
        <v>1193.1021065089401</v>
      </c>
      <c r="T71" s="270">
        <f>AVERAGE(T47:T66)</f>
        <v>1291.9986327960416</v>
      </c>
      <c r="W71" s="270">
        <f>AVERAGE(W47:W66)</f>
        <v>2485.1007393049817</v>
      </c>
      <c r="AA71" s="270">
        <f>AVERAGE(AA47:AA66)</f>
        <v>2597.1456637649812</v>
      </c>
    </row>
    <row r="72" spans="1:28">
      <c r="A72" s="15"/>
      <c r="B72" s="15"/>
    </row>
  </sheetData>
  <sortState xmlns:xlrd2="http://schemas.microsoft.com/office/spreadsheetml/2017/richdata2" ref="A8:AP21">
    <sortCondition descending="1" ref="E8:E21"/>
  </sortState>
  <mergeCells count="11">
    <mergeCell ref="AO6:AP6"/>
    <mergeCell ref="C6:C7"/>
    <mergeCell ref="D6:D7"/>
    <mergeCell ref="E6:E7"/>
    <mergeCell ref="F6:F7"/>
    <mergeCell ref="G6:G7"/>
    <mergeCell ref="I6:I7"/>
    <mergeCell ref="X6:X7"/>
    <mergeCell ref="Y6:Y7"/>
    <mergeCell ref="Z6:AA6"/>
    <mergeCell ref="H6:H7"/>
  </mergeCells>
  <conditionalFormatting sqref="C8:AA27">
    <cfRule type="expression" dxfId="186" priority="6">
      <formula>MOD(ROW(),2)=0</formula>
    </cfRule>
  </conditionalFormatting>
  <conditionalFormatting sqref="C29:AA32">
    <cfRule type="expression" dxfId="185" priority="4">
      <formula>MOD(ROW(),2)=0</formula>
    </cfRule>
  </conditionalFormatting>
  <conditionalFormatting sqref="C34:AA37">
    <cfRule type="expression" dxfId="184" priority="5">
      <formula>MOD(ROW(),2)=0</formula>
    </cfRule>
  </conditionalFormatting>
  <conditionalFormatting sqref="H47:I66">
    <cfRule type="expression" dxfId="183" priority="119">
      <formula>MOD(ROW(),2)=0</formula>
    </cfRule>
  </conditionalFormatting>
  <conditionalFormatting sqref="I68:I71">
    <cfRule type="expression" dxfId="182" priority="124">
      <formula>MOD(ROW(),2)=0</formula>
    </cfRule>
  </conditionalFormatting>
  <conditionalFormatting sqref="M47:M66">
    <cfRule type="expression" dxfId="181" priority="127">
      <formula>MOD(ROW(),2)=0</formula>
    </cfRule>
  </conditionalFormatting>
  <conditionalFormatting sqref="M68:M71">
    <cfRule type="expression" dxfId="180" priority="123">
      <formula>MOD(ROW(),2)=0</formula>
    </cfRule>
  </conditionalFormatting>
  <conditionalFormatting sqref="P47:P66">
    <cfRule type="expression" dxfId="179" priority="126">
      <formula>MOD(ROW(),2)=0</formula>
    </cfRule>
  </conditionalFormatting>
  <conditionalFormatting sqref="P68:P71">
    <cfRule type="expression" dxfId="178" priority="122">
      <formula>MOD(ROW(),2)=0</formula>
    </cfRule>
  </conditionalFormatting>
  <conditionalFormatting sqref="T47:T66">
    <cfRule type="expression" dxfId="177" priority="125">
      <formula>MOD(ROW(),2)=0</formula>
    </cfRule>
  </conditionalFormatting>
  <conditionalFormatting sqref="T68:T71">
    <cfRule type="expression" dxfId="176" priority="121">
      <formula>MOD(ROW(),2)=0</formula>
    </cfRule>
  </conditionalFormatting>
  <conditionalFormatting sqref="W47:W66">
    <cfRule type="expression" dxfId="175" priority="117">
      <formula>MOD(ROW(),2)=0</formula>
    </cfRule>
  </conditionalFormatting>
  <conditionalFormatting sqref="W68:W71">
    <cfRule type="expression" dxfId="174" priority="120">
      <formula>MOD(ROW(),2)=0</formula>
    </cfRule>
  </conditionalFormatting>
  <conditionalFormatting sqref="AA47:AA66">
    <cfRule type="expression" dxfId="173" priority="114">
      <formula>MOD(ROW(),2)=0</formula>
    </cfRule>
  </conditionalFormatting>
  <conditionalFormatting sqref="AA68:AA71">
    <cfRule type="expression" dxfId="172" priority="115">
      <formula>MOD(ROW(),2)=0</formula>
    </cfRule>
  </conditionalFormatting>
  <conditionalFormatting sqref="AC8:AD27">
    <cfRule type="expression" dxfId="171" priority="51">
      <formula>MOD(ROW(),2)=0</formula>
    </cfRule>
  </conditionalFormatting>
  <conditionalFormatting sqref="AC29:AD33 AD34:AD35 AC36:AD37">
    <cfRule type="expression" dxfId="170" priority="50">
      <formula>MOD(ROW(),2)=0</formula>
    </cfRule>
  </conditionalFormatting>
  <conditionalFormatting sqref="AG8:AM27">
    <cfRule type="expression" dxfId="169" priority="3">
      <formula>MOD(ROW(),2)=0</formula>
    </cfRule>
  </conditionalFormatting>
  <conditionalFormatting sqref="AL6:AM22">
    <cfRule type="expression" dxfId="168" priority="2">
      <formula>TRIM(AL6)="-"</formula>
    </cfRule>
  </conditionalFormatting>
  <conditionalFormatting sqref="AL29:AM32">
    <cfRule type="expression" dxfId="167" priority="1">
      <formula>MOD(ROW(),2)=0</formula>
    </cfRule>
  </conditionalFormatting>
  <conditionalFormatting sqref="AO29:AP32">
    <cfRule type="expression" dxfId="166" priority="26">
      <formula>MOD(ROW(),2)=0</formula>
    </cfRule>
  </conditionalFormatting>
  <dataValidations disablePrompts="1" count="1">
    <dataValidation type="list" allowBlank="1" showInputMessage="1" showErrorMessage="1" sqref="G47:G66" xr:uid="{E4ADE709-AEE1-4F09-BA41-DFE36BA45CBD}">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09355-4BDC-4ED7-8ED3-AF186A5D2D7D}">
  <sheetPr>
    <tabColor theme="3"/>
    <pageSetUpPr fitToPage="1"/>
  </sheetPr>
  <dimension ref="A1:AN72"/>
  <sheetViews>
    <sheetView topLeftCell="A7" zoomScale="70" zoomScaleNormal="70" workbookViewId="0">
      <selection activeCell="I69" sqref="I69"/>
    </sheetView>
  </sheetViews>
  <sheetFormatPr defaultColWidth="9.1796875" defaultRowHeight="14" outlineLevelRow="2" outlineLevelCol="3"/>
  <cols>
    <col min="1" max="1" width="10.453125" style="12" bestFit="1" customWidth="1"/>
    <col min="2" max="2" width="8.1796875" style="12" customWidth="1"/>
    <col min="3" max="3" width="32.7265625" style="12" customWidth="1"/>
    <col min="4" max="5" width="14.453125" style="12" customWidth="1" outlineLevel="1"/>
    <col min="6" max="6" width="18.7265625" style="12" customWidth="1" outlineLevel="1"/>
    <col min="7" max="7" width="32.7265625" style="12" customWidth="1"/>
    <col min="8" max="8" width="5.7265625" style="12" hidden="1" customWidth="1" outlineLevel="1"/>
    <col min="9" max="9" width="13.26953125" style="12" customWidth="1" collapsed="1"/>
    <col min="10" max="12" width="13.26953125" style="12" hidden="1" customWidth="1" outlineLevel="1"/>
    <col min="13" max="13" width="13.26953125" style="12" customWidth="1" collapsed="1"/>
    <col min="14" max="16" width="13.26953125" style="12" customWidth="1"/>
    <col min="17" max="19" width="13.26953125" style="12" hidden="1" customWidth="1" outlineLevel="1"/>
    <col min="20" max="20" width="13.26953125" style="12" customWidth="1" collapsed="1"/>
    <col min="21" max="23" width="13.26953125" style="12" customWidth="1"/>
    <col min="24" max="27" width="13.26953125" style="12" customWidth="1" outlineLevel="3"/>
    <col min="28" max="28" width="9.1796875" style="12" customWidth="1" outlineLevel="2"/>
    <col min="29" max="30" width="13.26953125" style="12" customWidth="1" outlineLevel="2"/>
    <col min="31" max="31" width="8.7265625" style="12" customWidth="1" outlineLevel="1"/>
    <col min="32" max="32" width="2.7265625" style="12" customWidth="1"/>
    <col min="33" max="34" width="15.7265625" style="12" customWidth="1"/>
    <col min="35" max="35" width="15.7265625" style="12" customWidth="1" outlineLevel="1"/>
    <col min="36" max="36" width="15.7265625" style="12" customWidth="1" outlineLevel="2"/>
    <col min="37" max="37" width="28.54296875" style="12" bestFit="1" customWidth="1"/>
    <col min="38" max="39" width="15.7265625" style="12" customWidth="1"/>
    <col min="40" max="40" width="16" style="12" bestFit="1" customWidth="1"/>
    <col min="41" max="16384" width="9.1796875" style="12"/>
  </cols>
  <sheetData>
    <row r="1" spans="1:40" s="48" customFormat="1" ht="17.25" customHeight="1">
      <c r="A1" s="111">
        <v>45852</v>
      </c>
    </row>
    <row r="2" spans="1:40">
      <c r="A2" s="12" t="s">
        <v>2</v>
      </c>
      <c r="B2" s="49" t="s">
        <v>24</v>
      </c>
      <c r="C2" s="53" t="s">
        <v>107</v>
      </c>
    </row>
    <row r="3" spans="1:40">
      <c r="B3" s="49" t="s">
        <v>23</v>
      </c>
      <c r="C3" s="53">
        <f>'Raw Data'!$G$9</f>
        <v>2025</v>
      </c>
    </row>
    <row r="4" spans="1:40" s="157" customFormat="1" ht="35.15"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Data'!AR31</f>
        <v>Pension Converted</v>
      </c>
      <c r="Y4" s="157" t="str">
        <f>'Raw Data'!AU31</f>
        <v>Other Converted</v>
      </c>
      <c r="Z4" s="157" t="s">
        <v>247</v>
      </c>
      <c r="AA4" s="157" t="s">
        <v>248</v>
      </c>
      <c r="AC4" s="157" t="s">
        <v>11</v>
      </c>
      <c r="AD4" s="157" t="s">
        <v>10</v>
      </c>
    </row>
    <row r="5" spans="1:40" ht="21">
      <c r="B5" s="26"/>
      <c r="C5" s="256" t="str">
        <f>+C2&amp; " Benchmarking - "&amp;'Raw Data'!H5&amp;" $000s"</f>
        <v>NEO1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370</v>
      </c>
      <c r="AM5" t="s">
        <v>68</v>
      </c>
      <c r="AN5"/>
    </row>
    <row r="6" spans="1:40" ht="35.15" customHeight="1">
      <c r="B6" s="45"/>
      <c r="C6" s="1264" t="s">
        <v>22</v>
      </c>
      <c r="D6" s="1266" t="s">
        <v>21</v>
      </c>
      <c r="E6" s="1266" t="s">
        <v>20</v>
      </c>
      <c r="F6" s="1266" t="s">
        <v>19</v>
      </c>
      <c r="G6" s="1266" t="s">
        <v>18</v>
      </c>
      <c r="H6" s="1268" t="s">
        <v>114</v>
      </c>
      <c r="I6" s="1268" t="s">
        <v>17</v>
      </c>
      <c r="J6" s="794" t="s">
        <v>16</v>
      </c>
      <c r="K6" s="794"/>
      <c r="L6" s="794"/>
      <c r="M6" s="794" t="s">
        <v>16</v>
      </c>
      <c r="N6" s="794"/>
      <c r="O6" s="794" t="s">
        <v>15</v>
      </c>
      <c r="P6" s="794"/>
      <c r="Q6" s="794" t="s">
        <v>14</v>
      </c>
      <c r="R6" s="794"/>
      <c r="S6" s="794"/>
      <c r="T6" s="794" t="s">
        <v>14</v>
      </c>
      <c r="U6" s="794"/>
      <c r="V6" s="794" t="s">
        <v>670</v>
      </c>
      <c r="W6" s="794"/>
      <c r="X6" s="1270" t="s">
        <v>31</v>
      </c>
      <c r="Y6" s="1272" t="s">
        <v>245</v>
      </c>
      <c r="Z6" s="1272" t="s">
        <v>244</v>
      </c>
      <c r="AA6" s="1274"/>
      <c r="AB6" s="623"/>
      <c r="AC6" s="610" t="s">
        <v>12</v>
      </c>
      <c r="AD6" s="540"/>
      <c r="AE6" s="623">
        <v>2024</v>
      </c>
      <c r="AF6" s="624"/>
      <c r="AG6" s="613" t="s">
        <v>393</v>
      </c>
      <c r="AH6" s="614"/>
      <c r="AI6" s="614"/>
      <c r="AJ6" s="614"/>
      <c r="AK6" s="614"/>
      <c r="AL6" s="613" t="s">
        <v>393</v>
      </c>
      <c r="AM6" s="615"/>
      <c r="AN6" s="456"/>
    </row>
    <row r="7" spans="1:40" ht="45" customHeight="1">
      <c r="A7" s="52" t="s">
        <v>54</v>
      </c>
      <c r="B7" s="52" t="s">
        <v>25</v>
      </c>
      <c r="C7" s="1265"/>
      <c r="D7" s="1267" t="s">
        <v>21</v>
      </c>
      <c r="E7" s="1267" t="s">
        <v>20</v>
      </c>
      <c r="F7" s="1267" t="s">
        <v>19</v>
      </c>
      <c r="G7" s="1267" t="s">
        <v>18</v>
      </c>
      <c r="H7" s="1269" t="s">
        <v>17</v>
      </c>
      <c r="I7" s="1269" t="s">
        <v>17</v>
      </c>
      <c r="J7" s="796" t="s">
        <v>40</v>
      </c>
      <c r="K7" s="797" t="s">
        <v>51</v>
      </c>
      <c r="L7" s="797" t="s">
        <v>104</v>
      </c>
      <c r="M7" s="797" t="s">
        <v>42</v>
      </c>
      <c r="N7" s="796" t="s">
        <v>41</v>
      </c>
      <c r="O7" s="796" t="s">
        <v>53</v>
      </c>
      <c r="P7" s="796" t="s">
        <v>42</v>
      </c>
      <c r="Q7" s="797" t="s">
        <v>40</v>
      </c>
      <c r="R7" s="798" t="s">
        <v>52</v>
      </c>
      <c r="S7" s="798" t="s">
        <v>105</v>
      </c>
      <c r="T7" s="797" t="s">
        <v>42</v>
      </c>
      <c r="U7" s="799" t="s">
        <v>41</v>
      </c>
      <c r="V7" s="796" t="s">
        <v>40</v>
      </c>
      <c r="W7" s="796" t="s">
        <v>42</v>
      </c>
      <c r="X7" s="1271"/>
      <c r="Y7" s="1273"/>
      <c r="Z7" s="541" t="s">
        <v>40</v>
      </c>
      <c r="AA7" s="542" t="s">
        <v>42</v>
      </c>
      <c r="AB7" s="623"/>
      <c r="AC7" s="611" t="s">
        <v>11</v>
      </c>
      <c r="AD7" s="612" t="s">
        <v>10</v>
      </c>
      <c r="AE7" s="624" t="str">
        <f>AE6&amp;" Lookup"</f>
        <v>2024 Lookup</v>
      </c>
      <c r="AF7" s="624"/>
      <c r="AG7" s="990" t="s">
        <v>22</v>
      </c>
      <c r="AH7" s="991" t="s">
        <v>19</v>
      </c>
      <c r="AI7" s="991" t="s">
        <v>397</v>
      </c>
      <c r="AJ7" s="992" t="s">
        <v>395</v>
      </c>
      <c r="AK7" s="991" t="s">
        <v>18</v>
      </c>
      <c r="AL7" s="993" t="s">
        <v>40</v>
      </c>
      <c r="AM7" s="994" t="s">
        <v>42</v>
      </c>
      <c r="AN7" s="995" t="s">
        <v>396</v>
      </c>
    </row>
    <row r="8" spans="1:40" ht="20.25" customHeight="1">
      <c r="A8" s="12" t="str">
        <f t="shared" ref="A8:A27" si="0">$B8&amp;"_"&amp;$C$3&amp;"_"&amp;$C$2</f>
        <v>TSX:FM_2025_NEO1</v>
      </c>
      <c r="B8" s="12" t="str">
        <f>'Peer Group'!A6</f>
        <v>TSX:FM</v>
      </c>
      <c r="C8" s="556" t="str">
        <f t="shared" ref="C8:C27" si="1">IFERROR(INDEX(Raw_Data,MATCH($A8,Look_Up,0),MATCH(C$4,Component,0)),"-")</f>
        <v>First Quantum Minerals Ltd.</v>
      </c>
      <c r="D8" s="557">
        <f>_xll.ciqfunctions.udf.CIQ(B8, "IQ_MARKETCAP", $A$1,$A$2)</f>
        <v>19243.768960000001</v>
      </c>
      <c r="E8" s="557">
        <f>_xll.ciqfunctions.udf.CIQ($B8, "IQ_TEV", $A$1,$A$2)</f>
        <v>30184.87716</v>
      </c>
      <c r="F8" s="558" t="str">
        <f t="shared" ref="F8:G27" si="2">IFERROR(INDEX(Raw_Data,MATCH($A8,Look_Up,0),MATCH(F$4,Component,0)),"-")</f>
        <v>Rudi Badenhorst</v>
      </c>
      <c r="G8" s="558" t="str">
        <f t="shared" si="2"/>
        <v>COO</v>
      </c>
      <c r="H8" s="557">
        <f t="shared" ref="H8:J27" si="3">IFERROR(INDEX(Raw_Data,MATCH($A8,Look_Up,0),MATCH(H$4,Component,0))/1000,"-")</f>
        <v>1145.9090000000001</v>
      </c>
      <c r="I8" s="557">
        <f t="shared" si="3"/>
        <v>1145.9090000000001</v>
      </c>
      <c r="J8" s="359">
        <f t="shared" si="3"/>
        <v>349.36250000000001</v>
      </c>
      <c r="K8" s="559">
        <f t="shared" ref="K8:L27" si="4">IFERROR(INDEX(Raw_Data,MATCH($A8,Look_Up,0),MATCH(K$4,Component,0)),"-")</f>
        <v>0.3048780487804878</v>
      </c>
      <c r="L8" s="559">
        <f t="shared" si="4"/>
        <v>0.23681988292451328</v>
      </c>
      <c r="M8" s="560">
        <f t="shared" ref="M8:M27" si="5">IFERROR(INDEX(Raw_Data,MATCH($A8,Look_Up,0),MATCH(M$4,Component,0))/1000,"-")</f>
        <v>572.95450000000005</v>
      </c>
      <c r="N8" s="561">
        <f t="shared" ref="N8:N27" si="6">IFERROR(IF(INDEX(Raw_Data,MATCH($A8,Look_Up,0),MATCH(N$4,Component,0))="-",L8,INDEX(Raw_Data,MATCH($A8,Look_Up,0),MATCH(N$4,Component,0))),"-")</f>
        <v>0.5</v>
      </c>
      <c r="O8" s="359">
        <f>IFERROR(INDEX(Raw_Data,MATCH($A8,Look_Up,0),MATCH(O$4,Component,0))/1000,"-")</f>
        <v>1495.2715000000001</v>
      </c>
      <c r="P8" s="562">
        <f>IFERROR(INDEX(Raw_Data,MATCH($A8,Look_Up,0),MATCH(P$4,Component,0))/1000,"-")</f>
        <v>1718.8634999999999</v>
      </c>
      <c r="Q8" s="359">
        <f>IFERROR(INDEX(Raw_Data,MATCH($A8,Look_Up,0),MATCH(Q$4,Component,0))/1000,"-")</f>
        <v>838.47</v>
      </c>
      <c r="R8" s="559">
        <f t="shared" ref="R8:S27" si="7">IFERROR(INDEX(Raw_Data,MATCH($A8,Look_Up,0),MATCH(R$4,Component,0)),"-")</f>
        <v>0.73170731707317072</v>
      </c>
      <c r="S8" s="559">
        <f t="shared" si="7"/>
        <v>0.82827642559928449</v>
      </c>
      <c r="T8" s="560">
        <f t="shared" ref="T8:T27" si="8">IFERROR(INDEX(Raw_Data,MATCH($A8,Look_Up,0),MATCH(T$4,Component,0))/1000,"-")</f>
        <v>859.43174999999997</v>
      </c>
      <c r="U8" s="561">
        <f t="shared" ref="U8:U27" si="9">IFERROR(IF(INDEX(Raw_Data,MATCH($A8,Look_Up,0),MATCH(U$4,Component,0))="-",S8,INDEX(Raw_Data,MATCH($A8,Look_Up,0),MATCH(U$4,Component,0))),"-")</f>
        <v>0.75</v>
      </c>
      <c r="V8" s="359">
        <f t="shared" ref="V8:AA27" si="10">IFERROR(INDEX(Raw_Data,MATCH($A8,Look_Up,0),MATCH(V$4,Component,0))/1000,"-")</f>
        <v>2333.7415000000001</v>
      </c>
      <c r="W8" s="360">
        <f t="shared" si="10"/>
        <v>2578.2952500000001</v>
      </c>
      <c r="X8" s="359">
        <f t="shared" ref="X8:Y27" si="11">IFERROR((INDEX(Raw_Data,MATCH($A8,Look_Up,0),MATCH(X$4,Component,0))/1000),"-")</f>
        <v>11.443718050000001</v>
      </c>
      <c r="Y8" s="360">
        <f t="shared" si="11"/>
        <v>371.30525990000001</v>
      </c>
      <c r="Z8" s="285">
        <f t="shared" si="10"/>
        <v>2716.4904779499998</v>
      </c>
      <c r="AA8" s="287">
        <f t="shared" si="10"/>
        <v>2961.0442279499998</v>
      </c>
      <c r="AC8" s="265">
        <f t="shared" ref="AC8:AC21" si="12">IFERROR(P8/W8,0)</f>
        <v>0.66666666666666663</v>
      </c>
      <c r="AD8" s="264">
        <f t="shared" ref="AD8:AD21" si="13">IFERROR(T8/W8,0)</f>
        <v>0.33333333333333331</v>
      </c>
      <c r="AE8" s="316" t="str">
        <f t="shared" ref="AE8:AE27" si="14">B8&amp;"_"&amp;$AE$6&amp;"_"&amp;$C$2</f>
        <v>TSX:FM_2024_NEO1</v>
      </c>
      <c r="AF8" s="316"/>
      <c r="AG8" s="458" t="str" cm="1">
        <f t="array" ref="AG8">IFERROR(INDEX('Import 2024 Data'!$E$4:$I$71,_xlfn.XMATCH('NEO3'!$AE8,'Import 2024 Data'!$C$4:$C$71),_xlfn.XMATCH('NEO3'!AG$5,'Import 2024 Data'!$E$3:$I$3)),"-")</f>
        <v>-</v>
      </c>
      <c r="AH8" s="458" t="str" cm="1">
        <f t="array" ref="AH8">IFERROR(INDEX('Import 2024 Data'!$E$4:$I$71,_xlfn.XMATCH('NEO3'!$AE8,'Import 2024 Data'!$C$4:$C$71),_xlfn.XMATCH('NEO3'!AH$5,'Import 2024 Data'!$E$3:$I$3)),"-")</f>
        <v>-</v>
      </c>
      <c r="AI8" s="996" t="str">
        <f>IF(ISNUMBER(_xlfn.XMATCH(C8,'Import 2024 Data'!$E$4:$E$71)),"N","Y")</f>
        <v>Y</v>
      </c>
      <c r="AJ8" s="996" t="str">
        <f>IFERROR(IF(TRIM(LOWER(AH8))=TRIM(LOWER(F8)),"N","Y"),"-")</f>
        <v>Y</v>
      </c>
      <c r="AK8" s="458" t="str" cm="1">
        <f t="array" ref="AK8">IFERROR(INDEX('Import 2024 Data'!$E$4:$I$71,_xlfn.XMATCH('NEO3'!$AE8,'Import 2024 Data'!$C$4:$C$71),_xlfn.XMATCH('NEO3'!AK$5,'Import 2024 Data'!$E$3:$I$3)),"-")</f>
        <v>-</v>
      </c>
      <c r="AL8" s="997" t="str" cm="1">
        <f t="array" ref="AL8">IFERROR(INDEX('Import 2024 Data'!$E$4:$I$71,_xlfn.XMATCH('NEO3'!$AE8,'Import 2024 Data'!$C$4:$C$71),_xlfn.XMATCH('NEO3'!AL$5,'Import 2024 Data'!$E$3:$I$3)),"-")</f>
        <v>-</v>
      </c>
      <c r="AM8" s="997" t="str" cm="1">
        <f t="array" ref="AM8">IFERROR(INDEX('Import 2024 Data'!$E$4:$I$71,_xlfn.XMATCH('NEO3'!$AE8,'Import 2024 Data'!$C$4:$C$71),_xlfn.XMATCH('NEO3'!AM$5,'Import 2024 Data'!$E$3:$I$3)),"-")</f>
        <v>-</v>
      </c>
      <c r="AN8" s="998" t="str">
        <f>IFERROR(IF(AJ8="Y","New Incumbent",W8/AM8-1),"-")</f>
        <v>New Incumbent</v>
      </c>
    </row>
    <row r="9" spans="1:40" ht="20.25" customHeight="1">
      <c r="A9" s="12" t="str">
        <f t="shared" si="0"/>
        <v>TSX:K_2025_NEO1</v>
      </c>
      <c r="B9" s="12" t="str">
        <f>'Peer Group'!A7</f>
        <v>TSX:K</v>
      </c>
      <c r="C9" s="556" t="str">
        <f t="shared" si="1"/>
        <v>Kinross Gold Corporation</v>
      </c>
      <c r="D9" s="557">
        <f>_xll.ciqfunctions.udf.CIQ(B9, "IQ_MARKETCAP", $A$1,$A$2)</f>
        <v>26179.912</v>
      </c>
      <c r="E9" s="557">
        <f>_xll.ciqfunctions.udf.CIQ($B9, "IQ_TEV", $A$1,$A$2)</f>
        <v>27159.32229</v>
      </c>
      <c r="F9" s="558" t="str">
        <f t="shared" si="2"/>
        <v>Geoffrey P. Gold</v>
      </c>
      <c r="G9" s="558" t="str">
        <f t="shared" si="2"/>
        <v>President</v>
      </c>
      <c r="H9" s="557" t="str">
        <f t="shared" si="3"/>
        <v>-</v>
      </c>
      <c r="I9" s="557">
        <f t="shared" si="3"/>
        <v>917.62156800000014</v>
      </c>
      <c r="J9" s="359">
        <f t="shared" si="3"/>
        <v>1605.8377440000002</v>
      </c>
      <c r="K9" s="559">
        <f t="shared" si="4"/>
        <v>1.75</v>
      </c>
      <c r="L9" s="559">
        <f t="shared" si="4"/>
        <v>1.6563884892086331</v>
      </c>
      <c r="M9" s="560">
        <f t="shared" si="5"/>
        <v>1284.6701951999999</v>
      </c>
      <c r="N9" s="561">
        <f t="shared" si="6"/>
        <v>1.4</v>
      </c>
      <c r="O9" s="359">
        <f t="shared" ref="O9:Q27" si="15">IFERROR(INDEX(Raw_Data,MATCH($A9,Look_Up,0),MATCH(O$4,Component,0))/1000,"-")</f>
        <v>2523.4593120000004</v>
      </c>
      <c r="P9" s="562">
        <f t="shared" si="15"/>
        <v>2202.2917631999999</v>
      </c>
      <c r="Q9" s="359">
        <f t="shared" si="15"/>
        <v>2661.1025472000006</v>
      </c>
      <c r="R9" s="559">
        <f t="shared" si="7"/>
        <v>2.9000000000000004</v>
      </c>
      <c r="S9" s="559">
        <f t="shared" si="7"/>
        <v>2.7311111111111113</v>
      </c>
      <c r="T9" s="560">
        <f t="shared" si="8"/>
        <v>2506.1264601600001</v>
      </c>
      <c r="U9" s="561">
        <f t="shared" si="9"/>
        <v>2.7311111111111113</v>
      </c>
      <c r="V9" s="359">
        <f t="shared" si="10"/>
        <v>5184.561859200001</v>
      </c>
      <c r="W9" s="360">
        <f t="shared" si="10"/>
        <v>4708.4182233600004</v>
      </c>
      <c r="X9" s="359">
        <f t="shared" si="11"/>
        <v>412.92970560000003</v>
      </c>
      <c r="Y9" s="360">
        <f t="shared" si="11"/>
        <v>133.56966844999999</v>
      </c>
      <c r="Z9" s="285">
        <f t="shared" si="10"/>
        <v>5731.0612332500004</v>
      </c>
      <c r="AA9" s="287">
        <f t="shared" si="10"/>
        <v>5254.9175974099999</v>
      </c>
      <c r="AC9" s="265">
        <f t="shared" si="12"/>
        <v>0.46773495019488948</v>
      </c>
      <c r="AD9" s="264">
        <f t="shared" si="13"/>
        <v>0.53226504980511036</v>
      </c>
      <c r="AE9" s="316" t="str">
        <f t="shared" si="14"/>
        <v>TSX:K_2024_NEO1</v>
      </c>
      <c r="AF9" s="316"/>
      <c r="AG9" s="458" t="str" cm="1">
        <f t="array" ref="AG9">IFERROR(INDEX('Import 2024 Data'!$E$4:$I$71,_xlfn.XMATCH('NEO3'!$AE9,'Import 2024 Data'!$C$4:$C$71),_xlfn.XMATCH('NEO3'!AG$5,'Import 2024 Data'!$E$3:$I$3)),"-")</f>
        <v>-</v>
      </c>
      <c r="AH9" s="458" t="str" cm="1">
        <f t="array" ref="AH9">IFERROR(INDEX('Import 2024 Data'!$E$4:$I$71,_xlfn.XMATCH('NEO3'!$AE9,'Import 2024 Data'!$C$4:$C$71),_xlfn.XMATCH('NEO3'!AH$5,'Import 2024 Data'!$E$3:$I$3)),"-")</f>
        <v>-</v>
      </c>
      <c r="AI9" s="996" t="str">
        <f>IF(ISNUMBER(_xlfn.XMATCH(C9,'Import 2024 Data'!$E$4:$E$71)),"N","Y")</f>
        <v>N</v>
      </c>
      <c r="AJ9" s="996" t="str">
        <f t="shared" ref="AJ9:AJ27" si="16">IFERROR(IF(TRIM(LOWER(AH9))=TRIM(LOWER(F9)),"N","Y"),"-")</f>
        <v>Y</v>
      </c>
      <c r="AK9" s="458" t="str" cm="1">
        <f t="array" ref="AK9">IFERROR(INDEX('Import 2024 Data'!$E$4:$I$71,_xlfn.XMATCH('NEO3'!$AE9,'Import 2024 Data'!$C$4:$C$71),_xlfn.XMATCH('NEO3'!AK$5,'Import 2024 Data'!$E$3:$I$3)),"-")</f>
        <v>-</v>
      </c>
      <c r="AL9" s="997" t="str" cm="1">
        <f t="array" ref="AL9">IFERROR(INDEX('Import 2024 Data'!$E$4:$I$71,_xlfn.XMATCH('NEO3'!$AE9,'Import 2024 Data'!$C$4:$C$71),_xlfn.XMATCH('NEO3'!AL$5,'Import 2024 Data'!$E$3:$I$3)),"-")</f>
        <v>-</v>
      </c>
      <c r="AM9" s="997" t="str" cm="1">
        <f t="array" ref="AM9">IFERROR(INDEX('Import 2024 Data'!$E$4:$I$71,_xlfn.XMATCH('NEO3'!$AE9,'Import 2024 Data'!$C$4:$C$71),_xlfn.XMATCH('NEO3'!AM$5,'Import 2024 Data'!$E$3:$I$3)),"-")</f>
        <v>-</v>
      </c>
      <c r="AN9" s="998" t="str">
        <f t="shared" ref="AN9:AN27" si="17">IFERROR(IF(AJ9="Y","New Incumbent",W9/AM9-1),"-")</f>
        <v>New Incumbent</v>
      </c>
    </row>
    <row r="10" spans="1:40" ht="20.25" customHeight="1">
      <c r="A10" s="12" t="str">
        <f t="shared" si="0"/>
        <v>TSX:LUN_2025_NEO1</v>
      </c>
      <c r="B10" s="12" t="str">
        <f>'Peer Group'!A8</f>
        <v>TSX:LUN</v>
      </c>
      <c r="C10" s="556" t="str">
        <f t="shared" si="1"/>
        <v>Lundin Mining Corporation</v>
      </c>
      <c r="D10" s="557">
        <f>_xll.ciqfunctions.udf.CIQ(B10, "IQ_MARKETCAP", $A$1,$A$2)</f>
        <v>11855.56763</v>
      </c>
      <c r="E10" s="557">
        <f>_xll.ciqfunctions.udf.CIQ($B10, "IQ_TEV", $A$1,$A$2)</f>
        <v>16005.2402</v>
      </c>
      <c r="F10" s="558" t="str">
        <f t="shared" si="2"/>
        <v>Juan Andres Morel</v>
      </c>
      <c r="G10" s="558" t="str">
        <f t="shared" si="2"/>
        <v>COO</v>
      </c>
      <c r="H10" s="557">
        <f t="shared" si="3"/>
        <v>870.99285385000007</v>
      </c>
      <c r="I10" s="557">
        <f t="shared" si="3"/>
        <v>825.58690845000012</v>
      </c>
      <c r="J10" s="359">
        <f t="shared" si="3"/>
        <v>881.72666730000014</v>
      </c>
      <c r="K10" s="559">
        <f t="shared" si="4"/>
        <v>1.0679998171911418</v>
      </c>
      <c r="L10" s="559">
        <f t="shared" si="4"/>
        <v>1.1346669985552322</v>
      </c>
      <c r="M10" s="560">
        <f t="shared" si="5"/>
        <v>660.46952676000012</v>
      </c>
      <c r="N10" s="561">
        <f t="shared" si="6"/>
        <v>0.8</v>
      </c>
      <c r="O10" s="359">
        <f t="shared" si="15"/>
        <v>1707.3135757500004</v>
      </c>
      <c r="P10" s="562">
        <f t="shared" si="15"/>
        <v>1486.0564352100002</v>
      </c>
      <c r="Q10" s="359">
        <f t="shared" si="15"/>
        <v>2134.6999016</v>
      </c>
      <c r="R10" s="559">
        <f t="shared" si="7"/>
        <v>2.5856755718278004</v>
      </c>
      <c r="S10" s="559">
        <f t="shared" si="7"/>
        <v>1.9486686197370029</v>
      </c>
      <c r="T10" s="560">
        <f t="shared" si="8"/>
        <v>1608.7953013622011</v>
      </c>
      <c r="U10" s="561">
        <f t="shared" si="9"/>
        <v>1.9486686197370029</v>
      </c>
      <c r="V10" s="359">
        <f t="shared" si="10"/>
        <v>3842.0134773500004</v>
      </c>
      <c r="W10" s="360">
        <f t="shared" si="10"/>
        <v>3094.8517365722014</v>
      </c>
      <c r="X10" s="359" t="str">
        <f t="shared" si="11"/>
        <v>-</v>
      </c>
      <c r="Y10" s="360">
        <f t="shared" si="11"/>
        <v>5.8958415500000001</v>
      </c>
      <c r="Z10" s="285">
        <f t="shared" si="10"/>
        <v>3847.9093189000005</v>
      </c>
      <c r="AA10" s="287">
        <f t="shared" si="10"/>
        <v>3100.7475781222015</v>
      </c>
      <c r="AC10" s="265">
        <f t="shared" si="12"/>
        <v>0.48017047719899109</v>
      </c>
      <c r="AD10" s="264">
        <f t="shared" si="13"/>
        <v>0.51982952280100891</v>
      </c>
      <c r="AE10" s="316" t="str">
        <f t="shared" si="14"/>
        <v>TSX:LUN_2024_NEO1</v>
      </c>
      <c r="AF10" s="316"/>
      <c r="AG10" s="458" t="str" cm="1">
        <f t="array" ref="AG10">IFERROR(INDEX('Import 2024 Data'!$E$4:$I$71,_xlfn.XMATCH('NEO3'!$AE10,'Import 2024 Data'!$C$4:$C$71),_xlfn.XMATCH('NEO3'!AG$5,'Import 2024 Data'!$E$3:$I$3)),"-")</f>
        <v>-</v>
      </c>
      <c r="AH10" s="458" t="str" cm="1">
        <f t="array" ref="AH10">IFERROR(INDEX('Import 2024 Data'!$E$4:$I$71,_xlfn.XMATCH('NEO3'!$AE10,'Import 2024 Data'!$C$4:$C$71),_xlfn.XMATCH('NEO3'!AH$5,'Import 2024 Data'!$E$3:$I$3)),"-")</f>
        <v>-</v>
      </c>
      <c r="AI10" s="996" t="str">
        <f>IF(ISNUMBER(_xlfn.XMATCH(C10,'Import 2024 Data'!$E$4:$E$71)),"N","Y")</f>
        <v>N</v>
      </c>
      <c r="AJ10" s="996" t="str">
        <f t="shared" si="16"/>
        <v>Y</v>
      </c>
      <c r="AK10" s="458" t="str" cm="1">
        <f t="array" ref="AK10">IFERROR(INDEX('Import 2024 Data'!$E$4:$I$71,_xlfn.XMATCH('NEO3'!$AE10,'Import 2024 Data'!$C$4:$C$71),_xlfn.XMATCH('NEO3'!AK$5,'Import 2024 Data'!$E$3:$I$3)),"-")</f>
        <v>-</v>
      </c>
      <c r="AL10" s="997" t="str" cm="1">
        <f t="array" ref="AL10">IFERROR(INDEX('Import 2024 Data'!$E$4:$I$71,_xlfn.XMATCH('NEO3'!$AE10,'Import 2024 Data'!$C$4:$C$71),_xlfn.XMATCH('NEO3'!AL$5,'Import 2024 Data'!$E$3:$I$3)),"-")</f>
        <v>-</v>
      </c>
      <c r="AM10" s="997" t="str" cm="1">
        <f t="array" ref="AM10">IFERROR(INDEX('Import 2024 Data'!$E$4:$I$71,_xlfn.XMATCH('NEO3'!$AE10,'Import 2024 Data'!$C$4:$C$71),_xlfn.XMATCH('NEO3'!AM$5,'Import 2024 Data'!$E$3:$I$3)),"-")</f>
        <v>-</v>
      </c>
      <c r="AN10" s="998" t="str">
        <f t="shared" si="17"/>
        <v>New Incumbent</v>
      </c>
    </row>
    <row r="11" spans="1:40" ht="20.25" customHeight="1">
      <c r="A11" s="12" t="str">
        <f t="shared" si="0"/>
        <v>TSX:PAAS_2025_NEO1</v>
      </c>
      <c r="B11" s="12" t="str">
        <f>'Peer Group'!A9</f>
        <v>TSX:PAAS</v>
      </c>
      <c r="C11" s="556" t="str">
        <f t="shared" si="1"/>
        <v>Pan American Silver Corp.</v>
      </c>
      <c r="D11" s="557">
        <f>_xll.ciqfunctions.udf.CIQ(B11, "IQ_MARKETCAP", $A$1,$A$2)</f>
        <v>14762.84492</v>
      </c>
      <c r="E11" s="557">
        <f>_xll.ciqfunctions.udf.CIQ($B11, "IQ_TEV", $A$1,$A$2)</f>
        <v>14643.113660000001</v>
      </c>
      <c r="F11" s="558" t="str">
        <f t="shared" si="2"/>
        <v>Scott Campbell</v>
      </c>
      <c r="G11" s="558" t="str">
        <f t="shared" si="2"/>
        <v>COO</v>
      </c>
      <c r="H11" s="557" t="str">
        <f t="shared" si="3"/>
        <v>-</v>
      </c>
      <c r="I11" s="557">
        <f t="shared" si="3"/>
        <v>760</v>
      </c>
      <c r="J11" s="359">
        <f t="shared" si="3"/>
        <v>879.7</v>
      </c>
      <c r="K11" s="559">
        <f t="shared" si="4"/>
        <v>1.1575</v>
      </c>
      <c r="L11" s="559">
        <f t="shared" si="4"/>
        <v>1.1575</v>
      </c>
      <c r="M11" s="560">
        <f t="shared" si="5"/>
        <v>608</v>
      </c>
      <c r="N11" s="561">
        <f t="shared" si="6"/>
        <v>0.8</v>
      </c>
      <c r="O11" s="359">
        <f t="shared" si="15"/>
        <v>1639.7</v>
      </c>
      <c r="P11" s="562">
        <f t="shared" si="15"/>
        <v>1368</v>
      </c>
      <c r="Q11" s="359">
        <f t="shared" si="15"/>
        <v>1672</v>
      </c>
      <c r="R11" s="559">
        <f t="shared" si="7"/>
        <v>2.2000000000000002</v>
      </c>
      <c r="S11" s="559">
        <f t="shared" si="7"/>
        <v>2.2000000000000002</v>
      </c>
      <c r="T11" s="560">
        <f t="shared" si="8"/>
        <v>1672.0000000000002</v>
      </c>
      <c r="U11" s="561">
        <f t="shared" si="9"/>
        <v>2.2000000000000002</v>
      </c>
      <c r="V11" s="359">
        <f t="shared" si="10"/>
        <v>3311.7</v>
      </c>
      <c r="W11" s="360">
        <f t="shared" si="10"/>
        <v>3040</v>
      </c>
      <c r="X11" s="359">
        <f t="shared" si="11"/>
        <v>150</v>
      </c>
      <c r="Y11" s="360" t="str">
        <f t="shared" si="11"/>
        <v>-</v>
      </c>
      <c r="Z11" s="285">
        <f t="shared" si="10"/>
        <v>3461.7</v>
      </c>
      <c r="AA11" s="287">
        <f t="shared" si="10"/>
        <v>3190</v>
      </c>
      <c r="AC11" s="265">
        <f t="shared" si="12"/>
        <v>0.45</v>
      </c>
      <c r="AD11" s="264">
        <f t="shared" si="13"/>
        <v>0.55000000000000004</v>
      </c>
      <c r="AE11" s="316" t="str">
        <f t="shared" si="14"/>
        <v>TSX:PAAS_2024_NEO1</v>
      </c>
      <c r="AF11" s="316"/>
      <c r="AG11" s="458" t="str" cm="1">
        <f t="array" ref="AG11">IFERROR(INDEX('Import 2024 Data'!$E$4:$I$71,_xlfn.XMATCH('NEO3'!$AE11,'Import 2024 Data'!$C$4:$C$71),_xlfn.XMATCH('NEO3'!AG$5,'Import 2024 Data'!$E$3:$I$3)),"-")</f>
        <v>-</v>
      </c>
      <c r="AH11" s="458" t="str" cm="1">
        <f t="array" ref="AH11">IFERROR(INDEX('Import 2024 Data'!$E$4:$I$71,_xlfn.XMATCH('NEO3'!$AE11,'Import 2024 Data'!$C$4:$C$71),_xlfn.XMATCH('NEO3'!AH$5,'Import 2024 Data'!$E$3:$I$3)),"-")</f>
        <v>-</v>
      </c>
      <c r="AI11" s="996" t="str">
        <f>IF(ISNUMBER(_xlfn.XMATCH(C11,'Import 2024 Data'!$E$4:$E$71)),"N","Y")</f>
        <v>N</v>
      </c>
      <c r="AJ11" s="996" t="str">
        <f t="shared" si="16"/>
        <v>Y</v>
      </c>
      <c r="AK11" s="458" t="str" cm="1">
        <f t="array" ref="AK11">IFERROR(INDEX('Import 2024 Data'!$E$4:$I$71,_xlfn.XMATCH('NEO3'!$AE11,'Import 2024 Data'!$C$4:$C$71),_xlfn.XMATCH('NEO3'!AK$5,'Import 2024 Data'!$E$3:$I$3)),"-")</f>
        <v>-</v>
      </c>
      <c r="AL11" s="997" t="str" cm="1">
        <f t="array" ref="AL11">IFERROR(INDEX('Import 2024 Data'!$E$4:$I$71,_xlfn.XMATCH('NEO3'!$AE11,'Import 2024 Data'!$C$4:$C$71),_xlfn.XMATCH('NEO3'!AL$5,'Import 2024 Data'!$E$3:$I$3)),"-")</f>
        <v>-</v>
      </c>
      <c r="AM11" s="997" t="str" cm="1">
        <f t="array" ref="AM11">IFERROR(INDEX('Import 2024 Data'!$E$4:$I$71,_xlfn.XMATCH('NEO3'!$AE11,'Import 2024 Data'!$C$4:$C$71),_xlfn.XMATCH('NEO3'!AM$5,'Import 2024 Data'!$E$3:$I$3)),"-")</f>
        <v>-</v>
      </c>
      <c r="AN11" s="998" t="str">
        <f t="shared" si="17"/>
        <v>New Incumbent</v>
      </c>
    </row>
    <row r="12" spans="1:40" ht="20.25" customHeight="1">
      <c r="A12" s="12" t="str">
        <f t="shared" si="0"/>
        <v>TSX:CDE_2025_NEO1</v>
      </c>
      <c r="B12" s="12" t="str">
        <f>'Peer Group'!A10</f>
        <v>TSX:CDE</v>
      </c>
      <c r="C12" s="556" t="str">
        <f t="shared" si="1"/>
        <v>Coeur Mining, Inc.</v>
      </c>
      <c r="D12" s="557">
        <f>_xll.ciqfunctions.udf.CIQ(B12, "IQ_MARKETCAP", $A$1,$A$2)</f>
        <v>8254.4819700000007</v>
      </c>
      <c r="E12" s="557">
        <f>_xll.ciqfunctions.udf.CIQ($B12, "IQ_TEV", $A$1,$A$2)</f>
        <v>8846.5264100000004</v>
      </c>
      <c r="F12" s="558" t="str">
        <f t="shared" si="2"/>
        <v>Michael Routledge</v>
      </c>
      <c r="G12" s="558" t="str">
        <f t="shared" si="2"/>
        <v>EVP &amp; COO</v>
      </c>
      <c r="H12" s="557" t="str">
        <f t="shared" si="3"/>
        <v>-</v>
      </c>
      <c r="I12" s="557">
        <f t="shared" si="3"/>
        <v>733.66125</v>
      </c>
      <c r="J12" s="359">
        <f t="shared" si="3"/>
        <v>964.03088250000008</v>
      </c>
      <c r="K12" s="559">
        <f t="shared" si="4"/>
        <v>1.3140000000000001</v>
      </c>
      <c r="L12" s="559">
        <f t="shared" si="4"/>
        <v>1.0693333333333332</v>
      </c>
      <c r="M12" s="560">
        <f t="shared" si="5"/>
        <v>733.66125</v>
      </c>
      <c r="N12" s="561">
        <f t="shared" si="6"/>
        <v>1</v>
      </c>
      <c r="O12" s="359">
        <f t="shared" si="15"/>
        <v>1697.6921325000001</v>
      </c>
      <c r="P12" s="562">
        <f t="shared" si="15"/>
        <v>1467.3225</v>
      </c>
      <c r="Q12" s="359">
        <f t="shared" si="15"/>
        <v>2485.4179281000002</v>
      </c>
      <c r="R12" s="559">
        <f t="shared" si="7"/>
        <v>3.3876914285714288</v>
      </c>
      <c r="S12" s="559">
        <f t="shared" si="7"/>
        <v>2.4672939682539679</v>
      </c>
      <c r="T12" s="560">
        <f t="shared" si="8"/>
        <v>1650.7378125</v>
      </c>
      <c r="U12" s="561">
        <f t="shared" si="9"/>
        <v>2.25</v>
      </c>
      <c r="V12" s="359">
        <f t="shared" si="10"/>
        <v>4183.1100606</v>
      </c>
      <c r="W12" s="360">
        <f t="shared" si="10"/>
        <v>3118.0603124999998</v>
      </c>
      <c r="X12" s="359">
        <f t="shared" si="11"/>
        <v>29.346450000000001</v>
      </c>
      <c r="Y12" s="360">
        <f t="shared" si="11"/>
        <v>71.757660050000013</v>
      </c>
      <c r="Z12" s="285">
        <f t="shared" si="10"/>
        <v>4284.2141706500006</v>
      </c>
      <c r="AA12" s="287">
        <f t="shared" si="10"/>
        <v>3219.1644225500004</v>
      </c>
      <c r="AC12" s="265">
        <f t="shared" si="12"/>
        <v>0.4705882352941177</v>
      </c>
      <c r="AD12" s="264">
        <f t="shared" si="13"/>
        <v>0.52941176470588236</v>
      </c>
      <c r="AE12" s="316" t="str">
        <f t="shared" si="14"/>
        <v>TSX:CDE_2024_NEO1</v>
      </c>
      <c r="AF12" s="316"/>
      <c r="AG12" s="458" t="str" cm="1">
        <f t="array" ref="AG12">IFERROR(INDEX('Import 2024 Data'!$E$4:$I$71,_xlfn.XMATCH('NEO3'!$AE12,'Import 2024 Data'!$C$4:$C$71),_xlfn.XMATCH('NEO3'!AG$5,'Import 2024 Data'!$E$3:$I$3)),"-")</f>
        <v>-</v>
      </c>
      <c r="AH12" s="458" t="str" cm="1">
        <f t="array" ref="AH12">IFERROR(INDEX('Import 2024 Data'!$E$4:$I$71,_xlfn.XMATCH('NEO3'!$AE12,'Import 2024 Data'!$C$4:$C$71),_xlfn.XMATCH('NEO3'!AH$5,'Import 2024 Data'!$E$3:$I$3)),"-")</f>
        <v>-</v>
      </c>
      <c r="AI12" s="996" t="str">
        <f>IF(ISNUMBER(_xlfn.XMATCH(C12,'Import 2024 Data'!$E$4:$E$71)),"N","Y")</f>
        <v>Y</v>
      </c>
      <c r="AJ12" s="996" t="str">
        <f t="shared" si="16"/>
        <v>Y</v>
      </c>
      <c r="AK12" s="458" t="str" cm="1">
        <f t="array" ref="AK12">IFERROR(INDEX('Import 2024 Data'!$E$4:$I$71,_xlfn.XMATCH('NEO3'!$AE12,'Import 2024 Data'!$C$4:$C$71),_xlfn.XMATCH('NEO3'!AK$5,'Import 2024 Data'!$E$3:$I$3)),"-")</f>
        <v>-</v>
      </c>
      <c r="AL12" s="997" t="str" cm="1">
        <f t="array" ref="AL12">IFERROR(INDEX('Import 2024 Data'!$E$4:$I$71,_xlfn.XMATCH('NEO3'!$AE12,'Import 2024 Data'!$C$4:$C$71),_xlfn.XMATCH('NEO3'!AL$5,'Import 2024 Data'!$E$3:$I$3)),"-")</f>
        <v>-</v>
      </c>
      <c r="AM12" s="997" t="str" cm="1">
        <f t="array" ref="AM12">IFERROR(INDEX('Import 2024 Data'!$E$4:$I$71,_xlfn.XMATCH('NEO3'!$AE12,'Import 2024 Data'!$C$4:$C$71),_xlfn.XMATCH('NEO3'!AM$5,'Import 2024 Data'!$E$3:$I$3)),"-")</f>
        <v>-</v>
      </c>
      <c r="AN12" s="998" t="str">
        <f t="shared" si="17"/>
        <v>New Incumbent</v>
      </c>
    </row>
    <row r="13" spans="1:40" ht="20.25" customHeight="1">
      <c r="A13" s="12" t="str">
        <f t="shared" si="0"/>
        <v>TSX:AGI_2025_NEO1</v>
      </c>
      <c r="B13" s="12" t="str">
        <f>'Peer Group'!A11</f>
        <v>TSX:AGI</v>
      </c>
      <c r="C13" s="556" t="str">
        <f t="shared" si="1"/>
        <v>Alamos Gold Inc.</v>
      </c>
      <c r="D13" s="557">
        <f>_xll.ciqfunctions.udf.CIQ(B13, "IQ_MARKETCAP", $A$1,$A$2)</f>
        <v>15291.758599999999</v>
      </c>
      <c r="E13" s="557">
        <f>_xll.ciqfunctions.udf.CIQ($B13, "IQ_TEV", $A$1,$A$2)</f>
        <v>15239.87026</v>
      </c>
      <c r="F13" s="558" t="str">
        <f t="shared" si="2"/>
        <v>Luc Guimond</v>
      </c>
      <c r="G13" s="558" t="str">
        <f t="shared" si="2"/>
        <v>COO</v>
      </c>
      <c r="H13" s="557" t="str">
        <f t="shared" si="3"/>
        <v>-</v>
      </c>
      <c r="I13" s="557">
        <f t="shared" si="3"/>
        <v>674.82161775000009</v>
      </c>
      <c r="J13" s="359">
        <f t="shared" si="3"/>
        <v>437.36831119999999</v>
      </c>
      <c r="K13" s="559">
        <f t="shared" si="4"/>
        <v>0.64812433344722964</v>
      </c>
      <c r="L13" s="559">
        <f t="shared" si="4"/>
        <v>0.88395107057534206</v>
      </c>
      <c r="M13" s="560">
        <f t="shared" si="5"/>
        <v>573.59837508750013</v>
      </c>
      <c r="N13" s="561">
        <f t="shared" si="6"/>
        <v>0.85</v>
      </c>
      <c r="O13" s="359">
        <f t="shared" si="15"/>
        <v>1112.1899289500002</v>
      </c>
      <c r="P13" s="562">
        <f t="shared" si="15"/>
        <v>1248.4199928375003</v>
      </c>
      <c r="Q13" s="359">
        <f t="shared" si="15"/>
        <v>1180.9388791500003</v>
      </c>
      <c r="R13" s="559">
        <f t="shared" si="7"/>
        <v>1.7500015531326687</v>
      </c>
      <c r="S13" s="559">
        <f t="shared" si="7"/>
        <v>1.6739857327888252</v>
      </c>
      <c r="T13" s="560">
        <f t="shared" si="8"/>
        <v>1129.6417602909746</v>
      </c>
      <c r="U13" s="561">
        <f t="shared" si="9"/>
        <v>1.6739857327888252</v>
      </c>
      <c r="V13" s="359">
        <f t="shared" si="10"/>
        <v>2293.1288081000002</v>
      </c>
      <c r="W13" s="360">
        <f t="shared" si="10"/>
        <v>2378.0617531284747</v>
      </c>
      <c r="X13" s="359">
        <f t="shared" si="11"/>
        <v>133.46346225000002</v>
      </c>
      <c r="Y13" s="360">
        <f t="shared" si="11"/>
        <v>40.489716299999998</v>
      </c>
      <c r="Z13" s="285">
        <f t="shared" si="10"/>
        <v>2467.0819866499996</v>
      </c>
      <c r="AA13" s="287">
        <f t="shared" si="10"/>
        <v>2552.0149316784746</v>
      </c>
      <c r="AC13" s="265">
        <f t="shared" si="12"/>
        <v>0.52497374855599654</v>
      </c>
      <c r="AD13" s="264">
        <f t="shared" si="13"/>
        <v>0.47502625144400351</v>
      </c>
      <c r="AE13" s="316" t="str">
        <f t="shared" si="14"/>
        <v>TSX:AGI_2024_NEO1</v>
      </c>
      <c r="AF13" s="316"/>
      <c r="AG13" s="458" t="str" cm="1">
        <f t="array" ref="AG13">IFERROR(INDEX('Import 2024 Data'!$E$4:$I$71,_xlfn.XMATCH('NEO3'!$AE13,'Import 2024 Data'!$C$4:$C$71),_xlfn.XMATCH('NEO3'!AG$5,'Import 2024 Data'!$E$3:$I$3)),"-")</f>
        <v>-</v>
      </c>
      <c r="AH13" s="458" t="str" cm="1">
        <f t="array" ref="AH13">IFERROR(INDEX('Import 2024 Data'!$E$4:$I$71,_xlfn.XMATCH('NEO3'!$AE13,'Import 2024 Data'!$C$4:$C$71),_xlfn.XMATCH('NEO3'!AH$5,'Import 2024 Data'!$E$3:$I$3)),"-")</f>
        <v>-</v>
      </c>
      <c r="AI13" s="996" t="str">
        <f>IF(ISNUMBER(_xlfn.XMATCH(C13,'Import 2024 Data'!$E$4:$E$71)),"N","Y")</f>
        <v>N</v>
      </c>
      <c r="AJ13" s="996" t="str">
        <f t="shared" si="16"/>
        <v>Y</v>
      </c>
      <c r="AK13" s="458" t="str" cm="1">
        <f t="array" ref="AK13">IFERROR(INDEX('Import 2024 Data'!$E$4:$I$71,_xlfn.XMATCH('NEO3'!$AE13,'Import 2024 Data'!$C$4:$C$71),_xlfn.XMATCH('NEO3'!AK$5,'Import 2024 Data'!$E$3:$I$3)),"-")</f>
        <v>-</v>
      </c>
      <c r="AL13" s="997" t="str" cm="1">
        <f t="array" ref="AL13">IFERROR(INDEX('Import 2024 Data'!$E$4:$I$71,_xlfn.XMATCH('NEO3'!$AE13,'Import 2024 Data'!$C$4:$C$71),_xlfn.XMATCH('NEO3'!AL$5,'Import 2024 Data'!$E$3:$I$3)),"-")</f>
        <v>-</v>
      </c>
      <c r="AM13" s="997" t="str" cm="1">
        <f t="array" ref="AM13">IFERROR(INDEX('Import 2024 Data'!$E$4:$I$71,_xlfn.XMATCH('NEO3'!$AE13,'Import 2024 Data'!$C$4:$C$71),_xlfn.XMATCH('NEO3'!AM$5,'Import 2024 Data'!$E$3:$I$3)),"-")</f>
        <v>-</v>
      </c>
      <c r="AN13" s="998" t="str">
        <f t="shared" si="17"/>
        <v>New Incumbent</v>
      </c>
    </row>
    <row r="14" spans="1:40" ht="20.25" customHeight="1">
      <c r="A14" s="12" t="str">
        <f t="shared" si="0"/>
        <v>NYSE:HL_2025_NEO1</v>
      </c>
      <c r="B14" s="12" t="str">
        <f>'Peer Group'!A12</f>
        <v>NYSE:HL</v>
      </c>
      <c r="C14" s="556" t="str">
        <f t="shared" si="1"/>
        <v>Hecla Mining Company</v>
      </c>
      <c r="D14" s="557">
        <f>_xll.ciqfunctions.udf.CIQ(B14, "IQ_MARKETCAP", $A$1,$A$2)</f>
        <v>5232.0834199999999</v>
      </c>
      <c r="E14" s="557">
        <f>_xll.ciqfunctions.udf.CIQ($B14, "IQ_TEV", $A$1,$A$2)</f>
        <v>5991.3399399999998</v>
      </c>
      <c r="F14" s="558" t="str">
        <f t="shared" si="2"/>
        <v>Michael L. Clary</v>
      </c>
      <c r="G14" s="558" t="str">
        <f t="shared" si="2"/>
        <v xml:space="preserve">Former SVP &amp; Chief Administrative Officer </v>
      </c>
      <c r="H14" s="557">
        <f t="shared" si="3"/>
        <v>558.98</v>
      </c>
      <c r="I14" s="557">
        <f t="shared" si="3"/>
        <v>558.98</v>
      </c>
      <c r="J14" s="359" t="str">
        <f t="shared" si="3"/>
        <v>-</v>
      </c>
      <c r="K14" s="559" t="str">
        <f t="shared" si="4"/>
        <v>-</v>
      </c>
      <c r="L14" s="559">
        <f t="shared" si="4"/>
        <v>0.8573099415204678</v>
      </c>
      <c r="M14" s="560">
        <f t="shared" si="5"/>
        <v>447.18400000000003</v>
      </c>
      <c r="N14" s="561">
        <f t="shared" si="6"/>
        <v>0.8</v>
      </c>
      <c r="O14" s="359">
        <f t="shared" si="15"/>
        <v>558.98</v>
      </c>
      <c r="P14" s="562">
        <f t="shared" si="15"/>
        <v>1006.164</v>
      </c>
      <c r="Q14" s="359">
        <f t="shared" si="15"/>
        <v>493.81970140000004</v>
      </c>
      <c r="R14" s="559">
        <f t="shared" si="7"/>
        <v>0.88343000000000005</v>
      </c>
      <c r="S14" s="559">
        <f t="shared" si="7"/>
        <v>1.5638787346385286</v>
      </c>
      <c r="T14" s="560">
        <f t="shared" si="8"/>
        <v>978.21500000000003</v>
      </c>
      <c r="U14" s="561">
        <f t="shared" si="9"/>
        <v>1.75</v>
      </c>
      <c r="V14" s="359">
        <f t="shared" si="10"/>
        <v>1052.7997014000002</v>
      </c>
      <c r="W14" s="360">
        <f t="shared" si="10"/>
        <v>1984.3789999999999</v>
      </c>
      <c r="X14" s="359">
        <f t="shared" si="11"/>
        <v>635.79083925000009</v>
      </c>
      <c r="Y14" s="360">
        <f t="shared" si="11"/>
        <v>50.414406200000002</v>
      </c>
      <c r="Z14" s="285">
        <f t="shared" si="10"/>
        <v>1739.0049468500004</v>
      </c>
      <c r="AA14" s="287">
        <f t="shared" si="10"/>
        <v>2670.5842454500003</v>
      </c>
      <c r="AC14" s="265">
        <f t="shared" si="12"/>
        <v>0.50704225352112675</v>
      </c>
      <c r="AD14" s="264">
        <f t="shared" si="13"/>
        <v>0.4929577464788733</v>
      </c>
      <c r="AE14" s="316" t="str">
        <f t="shared" si="14"/>
        <v>NYSE:HL_2024_NEO1</v>
      </c>
      <c r="AF14" s="316"/>
      <c r="AG14" s="458" t="str" cm="1">
        <f t="array" ref="AG14">IFERROR(INDEX('Import 2024 Data'!$E$4:$I$71,_xlfn.XMATCH('NEO3'!$AE14,'Import 2024 Data'!$C$4:$C$71),_xlfn.XMATCH('NEO3'!AG$5,'Import 2024 Data'!$E$3:$I$3)),"-")</f>
        <v>-</v>
      </c>
      <c r="AH14" s="458" t="str" cm="1">
        <f t="array" ref="AH14">IFERROR(INDEX('Import 2024 Data'!$E$4:$I$71,_xlfn.XMATCH('NEO3'!$AE14,'Import 2024 Data'!$C$4:$C$71),_xlfn.XMATCH('NEO3'!AH$5,'Import 2024 Data'!$E$3:$I$3)),"-")</f>
        <v>-</v>
      </c>
      <c r="AI14" s="996" t="str">
        <f>IF(ISNUMBER(_xlfn.XMATCH(C14,'Import 2024 Data'!$E$4:$E$71)),"N","Y")</f>
        <v>N</v>
      </c>
      <c r="AJ14" s="996" t="str">
        <f t="shared" si="16"/>
        <v>Y</v>
      </c>
      <c r="AK14" s="458" t="str" cm="1">
        <f t="array" ref="AK14">IFERROR(INDEX('Import 2024 Data'!$E$4:$I$71,_xlfn.XMATCH('NEO3'!$AE14,'Import 2024 Data'!$C$4:$C$71),_xlfn.XMATCH('NEO3'!AK$5,'Import 2024 Data'!$E$3:$I$3)),"-")</f>
        <v>-</v>
      </c>
      <c r="AL14" s="997" t="str" cm="1">
        <f t="array" ref="AL14">IFERROR(INDEX('Import 2024 Data'!$E$4:$I$71,_xlfn.XMATCH('NEO3'!$AE14,'Import 2024 Data'!$C$4:$C$71),_xlfn.XMATCH('NEO3'!AL$5,'Import 2024 Data'!$E$3:$I$3)),"-")</f>
        <v>-</v>
      </c>
      <c r="AM14" s="997" t="str" cm="1">
        <f t="array" ref="AM14">IFERROR(INDEX('Import 2024 Data'!$E$4:$I$71,_xlfn.XMATCH('NEO3'!$AE14,'Import 2024 Data'!$C$4:$C$71),_xlfn.XMATCH('NEO3'!AM$5,'Import 2024 Data'!$E$3:$I$3)),"-")</f>
        <v>-</v>
      </c>
      <c r="AN14" s="998" t="str">
        <f t="shared" si="17"/>
        <v>New Incumbent</v>
      </c>
    </row>
    <row r="15" spans="1:40" ht="20.25" customHeight="1">
      <c r="A15" s="12" t="str">
        <f t="shared" si="0"/>
        <v>TSX:IMG_2025_NEO1</v>
      </c>
      <c r="B15" s="12" t="str">
        <f>'Peer Group'!A13</f>
        <v>TSX:IMG</v>
      </c>
      <c r="C15" s="556" t="str">
        <f t="shared" si="1"/>
        <v>IAMGOLD Corporation</v>
      </c>
      <c r="D15" s="557">
        <f>_xll.ciqfunctions.udf.CIQ(B15, "IQ_MARKETCAP", $A$1,$A$2)</f>
        <v>5554.9869099999996</v>
      </c>
      <c r="E15" s="557">
        <f>_xll.ciqfunctions.udf.CIQ($B15, "IQ_TEV", $A$1,$A$2)</f>
        <v>6834.0846799999999</v>
      </c>
      <c r="F15" s="558" t="str">
        <f t="shared" si="2"/>
        <v>Bruno Lemelin</v>
      </c>
      <c r="G15" s="558" t="str">
        <f t="shared" si="2"/>
        <v>COO</v>
      </c>
      <c r="H15" s="557" t="str">
        <f t="shared" si="3"/>
        <v>-</v>
      </c>
      <c r="I15" s="557">
        <f t="shared" si="3"/>
        <v>630.10500000000002</v>
      </c>
      <c r="J15" s="359">
        <f t="shared" si="3"/>
        <v>556.91399999999999</v>
      </c>
      <c r="K15" s="559">
        <f t="shared" si="4"/>
        <v>0.88384316899564364</v>
      </c>
      <c r="L15" s="559">
        <f t="shared" si="4"/>
        <v>0.9231615898283122</v>
      </c>
      <c r="M15" s="560">
        <f t="shared" si="5"/>
        <v>504.084</v>
      </c>
      <c r="N15" s="561">
        <f t="shared" si="6"/>
        <v>0.8</v>
      </c>
      <c r="O15" s="359">
        <f t="shared" si="15"/>
        <v>1187.019</v>
      </c>
      <c r="P15" s="562">
        <f t="shared" si="15"/>
        <v>1134.1890000000001</v>
      </c>
      <c r="Q15" s="359">
        <f t="shared" si="15"/>
        <v>1151.8800000000001</v>
      </c>
      <c r="R15" s="559">
        <f t="shared" si="7"/>
        <v>1.8280762730021187</v>
      </c>
      <c r="S15" s="559">
        <f t="shared" si="7"/>
        <v>1.7022309041899588</v>
      </c>
      <c r="T15" s="560">
        <f t="shared" si="8"/>
        <v>1071.1785</v>
      </c>
      <c r="U15" s="561">
        <f t="shared" si="9"/>
        <v>1.7</v>
      </c>
      <c r="V15" s="359">
        <f t="shared" si="10"/>
        <v>2338.8989999999999</v>
      </c>
      <c r="W15" s="360">
        <f t="shared" si="10"/>
        <v>2205.3674999999998</v>
      </c>
      <c r="X15" s="359">
        <f t="shared" si="11"/>
        <v>31.516999999999999</v>
      </c>
      <c r="Y15" s="360">
        <f t="shared" si="11"/>
        <v>75.343000000000004</v>
      </c>
      <c r="Z15" s="285">
        <f t="shared" si="10"/>
        <v>2445.759</v>
      </c>
      <c r="AA15" s="287">
        <f t="shared" si="10"/>
        <v>2312.2275</v>
      </c>
      <c r="AC15" s="265">
        <f t="shared" si="12"/>
        <v>0.51428571428571435</v>
      </c>
      <c r="AD15" s="264">
        <f t="shared" si="13"/>
        <v>0.48571428571428577</v>
      </c>
      <c r="AE15" s="316" t="str">
        <f t="shared" si="14"/>
        <v>TSX:IMG_2024_NEO1</v>
      </c>
      <c r="AF15" s="316"/>
      <c r="AG15" s="458" t="str" cm="1">
        <f t="array" ref="AG15">IFERROR(INDEX('Import 2024 Data'!$E$4:$I$71,_xlfn.XMATCH('NEO3'!$AE15,'Import 2024 Data'!$C$4:$C$71),_xlfn.XMATCH('NEO3'!AG$5,'Import 2024 Data'!$E$3:$I$3)),"-")</f>
        <v>-</v>
      </c>
      <c r="AH15" s="458" t="str" cm="1">
        <f t="array" ref="AH15">IFERROR(INDEX('Import 2024 Data'!$E$4:$I$71,_xlfn.XMATCH('NEO3'!$AE15,'Import 2024 Data'!$C$4:$C$71),_xlfn.XMATCH('NEO3'!AH$5,'Import 2024 Data'!$E$3:$I$3)),"-")</f>
        <v>-</v>
      </c>
      <c r="AI15" s="996" t="str">
        <f>IF(ISNUMBER(_xlfn.XMATCH(C15,'Import 2024 Data'!$E$4:$E$71)),"N","Y")</f>
        <v>N</v>
      </c>
      <c r="AJ15" s="996" t="str">
        <f t="shared" si="16"/>
        <v>Y</v>
      </c>
      <c r="AK15" s="458" t="str" cm="1">
        <f t="array" ref="AK15">IFERROR(INDEX('Import 2024 Data'!$E$4:$I$71,_xlfn.XMATCH('NEO3'!$AE15,'Import 2024 Data'!$C$4:$C$71),_xlfn.XMATCH('NEO3'!AK$5,'Import 2024 Data'!$E$3:$I$3)),"-")</f>
        <v>-</v>
      </c>
      <c r="AL15" s="997" t="str" cm="1">
        <f t="array" ref="AL15">IFERROR(INDEX('Import 2024 Data'!$E$4:$I$71,_xlfn.XMATCH('NEO3'!$AE15,'Import 2024 Data'!$C$4:$C$71),_xlfn.XMATCH('NEO3'!AL$5,'Import 2024 Data'!$E$3:$I$3)),"-")</f>
        <v>-</v>
      </c>
      <c r="AM15" s="997" t="str" cm="1">
        <f t="array" ref="AM15">IFERROR(INDEX('Import 2024 Data'!$E$4:$I$71,_xlfn.XMATCH('NEO3'!$AE15,'Import 2024 Data'!$C$4:$C$71),_xlfn.XMATCH('NEO3'!AM$5,'Import 2024 Data'!$E$3:$I$3)),"-")</f>
        <v>-</v>
      </c>
      <c r="AN15" s="998" t="str">
        <f t="shared" si="17"/>
        <v>New Incumbent</v>
      </c>
    </row>
    <row r="16" spans="1:40" ht="20.25" customHeight="1">
      <c r="A16" s="12" t="str">
        <f t="shared" si="0"/>
        <v>TSX:CS_2025_NEO1</v>
      </c>
      <c r="B16" s="12" t="str">
        <f>'Peer Group'!A14</f>
        <v>TSX:CS</v>
      </c>
      <c r="C16" s="556" t="str">
        <f t="shared" si="1"/>
        <v>Capstone Copper Corp.</v>
      </c>
      <c r="D16" s="557">
        <f>_xll.ciqfunctions.udf.CIQ(B16, "IQ_MARKETCAP", $A$1,$A$2)</f>
        <v>5953.1492900000003</v>
      </c>
      <c r="E16" s="557">
        <f>_xll.ciqfunctions.udf.CIQ($B16, "IQ_TEV", $A$1,$A$2)</f>
        <v>8486.01584</v>
      </c>
      <c r="F16" s="558" t="str">
        <f t="shared" si="2"/>
        <v>James Whittaker</v>
      </c>
      <c r="G16" s="558" t="str">
        <f t="shared" si="2"/>
        <v>Senior VP &amp; COO</v>
      </c>
      <c r="H16" s="557" t="str">
        <f t="shared" si="3"/>
        <v>-</v>
      </c>
      <c r="I16" s="557">
        <f t="shared" si="3"/>
        <v>686.20500000000004</v>
      </c>
      <c r="J16" s="359">
        <f t="shared" si="3"/>
        <v>729.29899999999998</v>
      </c>
      <c r="K16" s="559">
        <f t="shared" si="4"/>
        <v>1.06280047507669</v>
      </c>
      <c r="L16" s="559">
        <f t="shared" si="4"/>
        <v>1.06280047507669</v>
      </c>
      <c r="M16" s="560">
        <f t="shared" si="5"/>
        <v>617.58450000000005</v>
      </c>
      <c r="N16" s="561">
        <f t="shared" si="6"/>
        <v>0.9</v>
      </c>
      <c r="O16" s="359">
        <f t="shared" si="15"/>
        <v>1415.5039999999999</v>
      </c>
      <c r="P16" s="562">
        <f t="shared" si="15"/>
        <v>1303.7895000000001</v>
      </c>
      <c r="Q16" s="359">
        <f t="shared" si="15"/>
        <v>1166.5453752669998</v>
      </c>
      <c r="R16" s="559">
        <f t="shared" si="7"/>
        <v>1.6999954463564095</v>
      </c>
      <c r="S16" s="559">
        <f t="shared" si="7"/>
        <v>1.6999954463564095</v>
      </c>
      <c r="T16" s="560">
        <f t="shared" si="8"/>
        <v>1166.5485000000001</v>
      </c>
      <c r="U16" s="561">
        <f t="shared" si="9"/>
        <v>1.7</v>
      </c>
      <c r="V16" s="359">
        <f t="shared" si="10"/>
        <v>2582.049375267</v>
      </c>
      <c r="W16" s="360">
        <f t="shared" si="10"/>
        <v>2470.3380000000002</v>
      </c>
      <c r="X16" s="359" t="str">
        <f t="shared" si="11"/>
        <v>-</v>
      </c>
      <c r="Y16" s="360">
        <f t="shared" si="11"/>
        <v>8.3079999999999998</v>
      </c>
      <c r="Z16" s="285">
        <f t="shared" si="10"/>
        <v>2590.357375267</v>
      </c>
      <c r="AA16" s="287">
        <f t="shared" si="10"/>
        <v>2478.6460000000002</v>
      </c>
      <c r="AC16" s="265">
        <f t="shared" si="12"/>
        <v>0.52777777777777779</v>
      </c>
      <c r="AD16" s="264">
        <f t="shared" si="13"/>
        <v>0.47222222222222221</v>
      </c>
      <c r="AE16" s="316" t="str">
        <f t="shared" si="14"/>
        <v>TSX:CS_2024_NEO1</v>
      </c>
      <c r="AF16" s="316"/>
      <c r="AG16" s="458" t="str" cm="1">
        <f t="array" ref="AG16">IFERROR(INDEX('Import 2024 Data'!$E$4:$I$71,_xlfn.XMATCH('NEO3'!$AE16,'Import 2024 Data'!$C$4:$C$71),_xlfn.XMATCH('NEO3'!AG$5,'Import 2024 Data'!$E$3:$I$3)),"-")</f>
        <v>-</v>
      </c>
      <c r="AH16" s="458" t="str" cm="1">
        <f t="array" ref="AH16">IFERROR(INDEX('Import 2024 Data'!$E$4:$I$71,_xlfn.XMATCH('NEO3'!$AE16,'Import 2024 Data'!$C$4:$C$71),_xlfn.XMATCH('NEO3'!AH$5,'Import 2024 Data'!$E$3:$I$3)),"-")</f>
        <v>-</v>
      </c>
      <c r="AI16" s="996" t="str">
        <f>IF(ISNUMBER(_xlfn.XMATCH(C16,'Import 2024 Data'!$E$4:$E$71)),"N","Y")</f>
        <v>N</v>
      </c>
      <c r="AJ16" s="996" t="str">
        <f t="shared" si="16"/>
        <v>Y</v>
      </c>
      <c r="AK16" s="458" t="str" cm="1">
        <f t="array" ref="AK16">IFERROR(INDEX('Import 2024 Data'!$E$4:$I$71,_xlfn.XMATCH('NEO3'!$AE16,'Import 2024 Data'!$C$4:$C$71),_xlfn.XMATCH('NEO3'!AK$5,'Import 2024 Data'!$E$3:$I$3)),"-")</f>
        <v>-</v>
      </c>
      <c r="AL16" s="997" t="str" cm="1">
        <f t="array" ref="AL16">IFERROR(INDEX('Import 2024 Data'!$E$4:$I$71,_xlfn.XMATCH('NEO3'!$AE16,'Import 2024 Data'!$C$4:$C$71),_xlfn.XMATCH('NEO3'!AL$5,'Import 2024 Data'!$E$3:$I$3)),"-")</f>
        <v>-</v>
      </c>
      <c r="AM16" s="997" t="str" cm="1">
        <f t="array" ref="AM16">IFERROR(INDEX('Import 2024 Data'!$E$4:$I$71,_xlfn.XMATCH('NEO3'!$AE16,'Import 2024 Data'!$C$4:$C$71),_xlfn.XMATCH('NEO3'!AM$5,'Import 2024 Data'!$E$3:$I$3)),"-")</f>
        <v>-</v>
      </c>
      <c r="AN16" s="998" t="str">
        <f t="shared" si="17"/>
        <v>New Incumbent</v>
      </c>
    </row>
    <row r="17" spans="1:40" ht="20.25" customHeight="1">
      <c r="A17" s="12" t="str">
        <f t="shared" si="0"/>
        <v>TSX:ELD_2025_NEO1</v>
      </c>
      <c r="B17" s="12" t="str">
        <f>'Peer Group'!A15</f>
        <v>TSX:ELD</v>
      </c>
      <c r="C17" s="556" t="str">
        <f t="shared" si="1"/>
        <v>Eldorado Gold Corporation</v>
      </c>
      <c r="D17" s="557">
        <f>_xll.ciqfunctions.udf.CIQ(B17, "IQ_MARKETCAP", $A$1,$A$2)</f>
        <v>5759.9111199999998</v>
      </c>
      <c r="E17" s="557">
        <f>_xll.ciqfunctions.udf.CIQ($B17, "IQ_TEV", $A$1,$A$2)</f>
        <v>5657.0414199999996</v>
      </c>
      <c r="F17" s="558" t="str">
        <f t="shared" si="2"/>
        <v>Louw Smith</v>
      </c>
      <c r="G17" s="558" t="str">
        <f t="shared" si="2"/>
        <v>EVP, Development, Greece</v>
      </c>
      <c r="H17" s="557" t="str">
        <f t="shared" si="3"/>
        <v>-</v>
      </c>
      <c r="I17" s="557">
        <f t="shared" si="3"/>
        <v>738.79300000000001</v>
      </c>
      <c r="J17" s="359">
        <f t="shared" si="3"/>
        <v>667.71799999999996</v>
      </c>
      <c r="K17" s="559">
        <f t="shared" si="4"/>
        <v>0.90379578582904818</v>
      </c>
      <c r="L17" s="559">
        <f t="shared" si="4"/>
        <v>0.86809390138959153</v>
      </c>
      <c r="M17" s="560">
        <f t="shared" si="5"/>
        <v>591.03440000000001</v>
      </c>
      <c r="N17" s="561">
        <f t="shared" si="6"/>
        <v>0.8</v>
      </c>
      <c r="O17" s="359">
        <f t="shared" si="15"/>
        <v>1406.511</v>
      </c>
      <c r="P17" s="562">
        <f t="shared" si="15"/>
        <v>1329.8273999999999</v>
      </c>
      <c r="Q17" s="359">
        <f t="shared" si="15"/>
        <v>883.56399801200496</v>
      </c>
      <c r="R17" s="559">
        <f t="shared" si="7"/>
        <v>1.1959561040941171</v>
      </c>
      <c r="S17" s="559">
        <f t="shared" si="7"/>
        <v>1.1201851759981403</v>
      </c>
      <c r="T17" s="560">
        <f t="shared" si="8"/>
        <v>1108.1895</v>
      </c>
      <c r="U17" s="561">
        <f t="shared" si="9"/>
        <v>1.5</v>
      </c>
      <c r="V17" s="359">
        <f t="shared" si="10"/>
        <v>2290.0749980120049</v>
      </c>
      <c r="W17" s="360">
        <f t="shared" si="10"/>
        <v>2438.0169000000001</v>
      </c>
      <c r="X17" s="359" t="str">
        <f t="shared" si="11"/>
        <v>-</v>
      </c>
      <c r="Y17" s="360">
        <f t="shared" si="11"/>
        <v>104.663</v>
      </c>
      <c r="Z17" s="285">
        <f t="shared" si="10"/>
        <v>2394.7379980120049</v>
      </c>
      <c r="AA17" s="287">
        <f t="shared" si="10"/>
        <v>2542.6799000000001</v>
      </c>
      <c r="AC17" s="265">
        <f t="shared" si="12"/>
        <v>0.54545454545454541</v>
      </c>
      <c r="AD17" s="264">
        <f t="shared" si="13"/>
        <v>0.45454545454545453</v>
      </c>
      <c r="AE17" s="316" t="str">
        <f t="shared" si="14"/>
        <v>TSX:ELD_2024_NEO1</v>
      </c>
      <c r="AF17" s="316"/>
      <c r="AG17" s="458" t="str" cm="1">
        <f t="array" ref="AG17">IFERROR(INDEX('Import 2024 Data'!$E$4:$I$71,_xlfn.XMATCH('NEO3'!$AE17,'Import 2024 Data'!$C$4:$C$71),_xlfn.XMATCH('NEO3'!AG$5,'Import 2024 Data'!$E$3:$I$3)),"-")</f>
        <v>-</v>
      </c>
      <c r="AH17" s="458" t="str" cm="1">
        <f t="array" ref="AH17">IFERROR(INDEX('Import 2024 Data'!$E$4:$I$71,_xlfn.XMATCH('NEO3'!$AE17,'Import 2024 Data'!$C$4:$C$71),_xlfn.XMATCH('NEO3'!AH$5,'Import 2024 Data'!$E$3:$I$3)),"-")</f>
        <v>-</v>
      </c>
      <c r="AI17" s="996" t="str">
        <f>IF(ISNUMBER(_xlfn.XMATCH(C17,'Import 2024 Data'!$E$4:$E$71)),"N","Y")</f>
        <v>N</v>
      </c>
      <c r="AJ17" s="996" t="str">
        <f t="shared" si="16"/>
        <v>Y</v>
      </c>
      <c r="AK17" s="458" t="str" cm="1">
        <f t="array" ref="AK17">IFERROR(INDEX('Import 2024 Data'!$E$4:$I$71,_xlfn.XMATCH('NEO3'!$AE17,'Import 2024 Data'!$C$4:$C$71),_xlfn.XMATCH('NEO3'!AK$5,'Import 2024 Data'!$E$3:$I$3)),"-")</f>
        <v>-</v>
      </c>
      <c r="AL17" s="997" t="str" cm="1">
        <f t="array" ref="AL17">IFERROR(INDEX('Import 2024 Data'!$E$4:$I$71,_xlfn.XMATCH('NEO3'!$AE17,'Import 2024 Data'!$C$4:$C$71),_xlfn.XMATCH('NEO3'!AL$5,'Import 2024 Data'!$E$3:$I$3)),"-")</f>
        <v>-</v>
      </c>
      <c r="AM17" s="997" t="str" cm="1">
        <f t="array" ref="AM17">IFERROR(INDEX('Import 2024 Data'!$E$4:$I$71,_xlfn.XMATCH('NEO3'!$AE17,'Import 2024 Data'!$C$4:$C$71),_xlfn.XMATCH('NEO3'!AM$5,'Import 2024 Data'!$E$3:$I$3)),"-")</f>
        <v>-</v>
      </c>
      <c r="AN17" s="998" t="str">
        <f t="shared" si="17"/>
        <v>New Incumbent</v>
      </c>
    </row>
    <row r="18" spans="1:40" ht="20.25" customHeight="1">
      <c r="A18" s="12" t="str">
        <f t="shared" si="0"/>
        <v>TSX:EQX_2025_NEO1</v>
      </c>
      <c r="B18" s="12" t="str">
        <f>'Peer Group'!A16</f>
        <v>TSX:EQX</v>
      </c>
      <c r="C18" s="556" t="str">
        <f t="shared" si="1"/>
        <v>Equinox Gold Corp.</v>
      </c>
      <c r="D18" s="557">
        <f>_xll.ciqfunctions.udf.CIQ(B18, "IQ_MARKETCAP", $A$1,$A$2)</f>
        <v>6518.4440000000004</v>
      </c>
      <c r="E18" s="557">
        <f>_xll.ciqfunctions.udf.CIQ($B18, "IQ_TEV", $A$1,$A$2)</f>
        <v>8418.0428900000006</v>
      </c>
      <c r="F18" s="558" t="str">
        <f t="shared" si="2"/>
        <v>David Schummer</v>
      </c>
      <c r="G18" s="558" t="str">
        <f t="shared" si="2"/>
        <v>COO</v>
      </c>
      <c r="H18" s="557" t="str">
        <f t="shared" si="3"/>
        <v>-</v>
      </c>
      <c r="I18" s="557">
        <f t="shared" si="3"/>
        <v>500</v>
      </c>
      <c r="J18" s="359">
        <f t="shared" si="3"/>
        <v>622.95899999999995</v>
      </c>
      <c r="K18" s="559">
        <f t="shared" si="4"/>
        <v>1.2459180000000001</v>
      </c>
      <c r="L18" s="559">
        <f t="shared" si="4"/>
        <v>1.2459180000000001</v>
      </c>
      <c r="M18" s="560">
        <f t="shared" si="5"/>
        <v>450</v>
      </c>
      <c r="N18" s="561">
        <f t="shared" si="6"/>
        <v>0.9</v>
      </c>
      <c r="O18" s="359">
        <f t="shared" si="15"/>
        <v>1122.9590000000001</v>
      </c>
      <c r="P18" s="562">
        <f t="shared" si="15"/>
        <v>950</v>
      </c>
      <c r="Q18" s="359">
        <f t="shared" si="15"/>
        <v>439.32799999999997</v>
      </c>
      <c r="R18" s="559">
        <f t="shared" si="7"/>
        <v>0.87865599999999999</v>
      </c>
      <c r="S18" s="559">
        <f t="shared" si="7"/>
        <v>0.87865599999999999</v>
      </c>
      <c r="T18" s="560">
        <f t="shared" si="8"/>
        <v>439.32799999999997</v>
      </c>
      <c r="U18" s="561">
        <f t="shared" si="9"/>
        <v>0.87865599999999999</v>
      </c>
      <c r="V18" s="359">
        <f t="shared" si="10"/>
        <v>1562.287</v>
      </c>
      <c r="W18" s="360" t="str">
        <f t="shared" si="10"/>
        <v>-</v>
      </c>
      <c r="X18" s="359" t="str">
        <f t="shared" si="11"/>
        <v>-</v>
      </c>
      <c r="Y18" s="360">
        <f t="shared" si="11"/>
        <v>12.747999999999999</v>
      </c>
      <c r="Z18" s="285">
        <f t="shared" si="10"/>
        <v>1575.0350000000001</v>
      </c>
      <c r="AA18" s="287" t="str">
        <f t="shared" si="10"/>
        <v>-</v>
      </c>
      <c r="AC18" s="265" t="s">
        <v>78</v>
      </c>
      <c r="AD18" s="264" t="s">
        <v>78</v>
      </c>
      <c r="AE18" s="316" t="str">
        <f t="shared" si="14"/>
        <v>TSX:EQX_2024_NEO1</v>
      </c>
      <c r="AF18" s="316"/>
      <c r="AG18" s="458" t="str" cm="1">
        <f t="array" ref="AG18">IFERROR(INDEX('Import 2024 Data'!$E$4:$I$71,_xlfn.XMATCH('NEO3'!$AE18,'Import 2024 Data'!$C$4:$C$71),_xlfn.XMATCH('NEO3'!AG$5,'Import 2024 Data'!$E$3:$I$3)),"-")</f>
        <v>-</v>
      </c>
      <c r="AH18" s="458" t="str" cm="1">
        <f t="array" ref="AH18">IFERROR(INDEX('Import 2024 Data'!$E$4:$I$71,_xlfn.XMATCH('NEO3'!$AE18,'Import 2024 Data'!$C$4:$C$71),_xlfn.XMATCH('NEO3'!AH$5,'Import 2024 Data'!$E$3:$I$3)),"-")</f>
        <v>-</v>
      </c>
      <c r="AI18" s="996" t="str">
        <f>IF(ISNUMBER(_xlfn.XMATCH(C18,'Import 2024 Data'!$E$4:$E$71)),"N","Y")</f>
        <v>Y</v>
      </c>
      <c r="AJ18" s="996" t="str">
        <f t="shared" si="16"/>
        <v>Y</v>
      </c>
      <c r="AK18" s="458" t="str" cm="1">
        <f t="array" ref="AK18">IFERROR(INDEX('Import 2024 Data'!$E$4:$I$71,_xlfn.XMATCH('NEO3'!$AE18,'Import 2024 Data'!$C$4:$C$71),_xlfn.XMATCH('NEO3'!AK$5,'Import 2024 Data'!$E$3:$I$3)),"-")</f>
        <v>-</v>
      </c>
      <c r="AL18" s="997" t="str" cm="1">
        <f t="array" ref="AL18">IFERROR(INDEX('Import 2024 Data'!$E$4:$I$71,_xlfn.XMATCH('NEO3'!$AE18,'Import 2024 Data'!$C$4:$C$71),_xlfn.XMATCH('NEO3'!AL$5,'Import 2024 Data'!$E$3:$I$3)),"-")</f>
        <v>-</v>
      </c>
      <c r="AM18" s="997" t="str" cm="1">
        <f t="array" ref="AM18">IFERROR(INDEX('Import 2024 Data'!$E$4:$I$71,_xlfn.XMATCH('NEO3'!$AE18,'Import 2024 Data'!$C$4:$C$71),_xlfn.XMATCH('NEO3'!AM$5,'Import 2024 Data'!$E$3:$I$3)),"-")</f>
        <v>-</v>
      </c>
      <c r="AN18" s="998" t="str">
        <f t="shared" si="17"/>
        <v>New Incumbent</v>
      </c>
    </row>
    <row r="19" spans="1:40" ht="20.25" customHeight="1">
      <c r="A19" s="12" t="str">
        <f t="shared" si="0"/>
        <v>TSX:SSRM_2025_NEO1</v>
      </c>
      <c r="B19" s="12" t="str">
        <f>'Peer Group'!A17</f>
        <v>TSX:SSRM</v>
      </c>
      <c r="C19" s="556" t="str">
        <f t="shared" si="1"/>
        <v>SSR Mining Inc.</v>
      </c>
      <c r="D19" s="557">
        <f>_xll.ciqfunctions.udf.CIQ(B19, "IQ_MARKETCAP", $A$1,$A$2)</f>
        <v>3530.3646100000001</v>
      </c>
      <c r="E19" s="557">
        <f>_xll.ciqfunctions.udf.CIQ($B19, "IQ_TEV", $A$1,$A$2)</f>
        <v>4740.9122799999996</v>
      </c>
      <c r="F19" s="558" t="str">
        <f t="shared" si="2"/>
        <v>Bill MacNevin</v>
      </c>
      <c r="G19" s="558" t="str">
        <f t="shared" si="2"/>
        <v>Executive VP, Operations &amp; Sustainability</v>
      </c>
      <c r="H19" s="557" t="str">
        <f t="shared" si="3"/>
        <v>-</v>
      </c>
      <c r="I19" s="557">
        <f t="shared" si="3"/>
        <v>838.47</v>
      </c>
      <c r="J19" s="359">
        <f t="shared" si="3"/>
        <v>768.65898779999998</v>
      </c>
      <c r="K19" s="559">
        <f t="shared" si="4"/>
        <v>0.91674</v>
      </c>
      <c r="L19" s="559">
        <f t="shared" si="4"/>
        <v>0.74576000000000009</v>
      </c>
      <c r="M19" s="560">
        <f t="shared" si="5"/>
        <v>628.85249999999996</v>
      </c>
      <c r="N19" s="561">
        <f t="shared" si="6"/>
        <v>0.75</v>
      </c>
      <c r="O19" s="359">
        <f t="shared" si="15"/>
        <v>1607.1289878</v>
      </c>
      <c r="P19" s="562">
        <f t="shared" si="15"/>
        <v>1467.3225</v>
      </c>
      <c r="Q19" s="359">
        <f t="shared" si="15"/>
        <v>1467.3225</v>
      </c>
      <c r="R19" s="559">
        <f t="shared" si="7"/>
        <v>1.75</v>
      </c>
      <c r="S19" s="559">
        <f t="shared" si="7"/>
        <v>1.6666666666666667</v>
      </c>
      <c r="T19" s="560">
        <f t="shared" si="8"/>
        <v>1467.3225</v>
      </c>
      <c r="U19" s="561">
        <f t="shared" si="9"/>
        <v>1.75</v>
      </c>
      <c r="V19" s="359">
        <f t="shared" si="10"/>
        <v>3074.4514878000005</v>
      </c>
      <c r="W19" s="360">
        <f t="shared" si="10"/>
        <v>2934.645</v>
      </c>
      <c r="X19" s="359">
        <f t="shared" si="11"/>
        <v>39.128600000000006</v>
      </c>
      <c r="Y19" s="360">
        <f t="shared" si="11"/>
        <v>47.4601969</v>
      </c>
      <c r="Z19" s="285">
        <f t="shared" si="10"/>
        <v>3161.0402847</v>
      </c>
      <c r="AA19" s="287">
        <f t="shared" si="10"/>
        <v>3021.2337969</v>
      </c>
      <c r="AC19" s="265">
        <f t="shared" si="12"/>
        <v>0.5</v>
      </c>
      <c r="AD19" s="264">
        <f t="shared" si="13"/>
        <v>0.5</v>
      </c>
      <c r="AE19" s="316" t="str">
        <f t="shared" si="14"/>
        <v>TSX:SSRM_2024_NEO1</v>
      </c>
      <c r="AF19" s="316"/>
      <c r="AG19" s="458" t="str" cm="1">
        <f t="array" ref="AG19">IFERROR(INDEX('Import 2024 Data'!$E$4:$I$71,_xlfn.XMATCH('NEO3'!$AE19,'Import 2024 Data'!$C$4:$C$71),_xlfn.XMATCH('NEO3'!AG$5,'Import 2024 Data'!$E$3:$I$3)),"-")</f>
        <v>-</v>
      </c>
      <c r="AH19" s="458" t="str" cm="1">
        <f t="array" ref="AH19">IFERROR(INDEX('Import 2024 Data'!$E$4:$I$71,_xlfn.XMATCH('NEO3'!$AE19,'Import 2024 Data'!$C$4:$C$71),_xlfn.XMATCH('NEO3'!AH$5,'Import 2024 Data'!$E$3:$I$3)),"-")</f>
        <v>-</v>
      </c>
      <c r="AI19" s="996" t="str">
        <f>IF(ISNUMBER(_xlfn.XMATCH(C19,'Import 2024 Data'!$E$4:$E$71)),"N","Y")</f>
        <v>N</v>
      </c>
      <c r="AJ19" s="996" t="str">
        <f t="shared" si="16"/>
        <v>Y</v>
      </c>
      <c r="AK19" s="458" t="str" cm="1">
        <f t="array" ref="AK19">IFERROR(INDEX('Import 2024 Data'!$E$4:$I$71,_xlfn.XMATCH('NEO3'!$AE19,'Import 2024 Data'!$C$4:$C$71),_xlfn.XMATCH('NEO3'!AK$5,'Import 2024 Data'!$E$3:$I$3)),"-")</f>
        <v>-</v>
      </c>
      <c r="AL19" s="997" t="str" cm="1">
        <f t="array" ref="AL19">IFERROR(INDEX('Import 2024 Data'!$E$4:$I$71,_xlfn.XMATCH('NEO3'!$AE19,'Import 2024 Data'!$C$4:$C$71),_xlfn.XMATCH('NEO3'!AL$5,'Import 2024 Data'!$E$3:$I$3)),"-")</f>
        <v>-</v>
      </c>
      <c r="AM19" s="997" t="str" cm="1">
        <f t="array" ref="AM19">IFERROR(INDEX('Import 2024 Data'!$E$4:$I$71,_xlfn.XMATCH('NEO3'!$AE19,'Import 2024 Data'!$C$4:$C$71),_xlfn.XMATCH('NEO3'!AM$5,'Import 2024 Data'!$E$3:$I$3)),"-")</f>
        <v>-</v>
      </c>
      <c r="AN19" s="998" t="str">
        <f t="shared" si="17"/>
        <v>New Incumbent</v>
      </c>
    </row>
    <row r="20" spans="1:40" ht="20.25" customHeight="1">
      <c r="A20" s="12" t="str">
        <f t="shared" si="0"/>
        <v>TSX:BTO_2025_NEO1</v>
      </c>
      <c r="B20" s="12" t="str">
        <f>'Peer Group'!A18</f>
        <v>TSX:BTO</v>
      </c>
      <c r="C20" s="556" t="str">
        <f t="shared" si="1"/>
        <v>B2Gold Corp.</v>
      </c>
      <c r="D20" s="557">
        <f>_xll.ciqfunctions.udf.CIQ(B20, "IQ_MARKETCAP", $A$1,$A$2)</f>
        <v>6289.7347200000004</v>
      </c>
      <c r="E20" s="557">
        <f>_xll.ciqfunctions.udf.CIQ($B20, "IQ_TEV", $A$1,$A$2)</f>
        <v>6472.2609199999997</v>
      </c>
      <c r="F20" s="558" t="str">
        <f t="shared" si="2"/>
        <v>William Lytle</v>
      </c>
      <c r="G20" s="558" t="str">
        <f t="shared" si="2"/>
        <v>Senior VP Operations &amp; COO</v>
      </c>
      <c r="H20" s="557" t="str">
        <f t="shared" si="3"/>
        <v>-</v>
      </c>
      <c r="I20" s="557">
        <f t="shared" si="3"/>
        <v>663.09002499999997</v>
      </c>
      <c r="J20" s="359">
        <f t="shared" si="3"/>
        <v>529.64333214999999</v>
      </c>
      <c r="K20" s="559">
        <f t="shared" si="4"/>
        <v>0.79875026343519495</v>
      </c>
      <c r="L20" s="559">
        <f t="shared" si="4"/>
        <v>0.68125043905865823</v>
      </c>
      <c r="M20" s="560">
        <f t="shared" si="5"/>
        <v>497.31751875000003</v>
      </c>
      <c r="N20" s="561">
        <f t="shared" si="6"/>
        <v>0.75</v>
      </c>
      <c r="O20" s="359">
        <f t="shared" si="15"/>
        <v>1192.7333571500001</v>
      </c>
      <c r="P20" s="562">
        <f t="shared" si="15"/>
        <v>1160.4075437500003</v>
      </c>
      <c r="Q20" s="359">
        <f t="shared" si="15"/>
        <v>2162.4392841000004</v>
      </c>
      <c r="R20" s="559">
        <f t="shared" si="7"/>
        <v>3.2611548998946263</v>
      </c>
      <c r="S20" s="559">
        <f t="shared" si="7"/>
        <v>2.8819234281700035</v>
      </c>
      <c r="T20" s="560">
        <f t="shared" si="8"/>
        <v>1910.9746780333332</v>
      </c>
      <c r="U20" s="561">
        <f t="shared" si="9"/>
        <v>2.8819234281700035</v>
      </c>
      <c r="V20" s="359">
        <f t="shared" si="10"/>
        <v>3355.1726412500002</v>
      </c>
      <c r="W20" s="360">
        <f t="shared" si="10"/>
        <v>3071.3822217833335</v>
      </c>
      <c r="X20" s="359" t="str">
        <f t="shared" si="11"/>
        <v>-</v>
      </c>
      <c r="Y20" s="360">
        <f t="shared" si="11"/>
        <v>1.0201385000000001</v>
      </c>
      <c r="Z20" s="285">
        <f t="shared" si="10"/>
        <v>3356.1927797500002</v>
      </c>
      <c r="AA20" s="287">
        <f t="shared" si="10"/>
        <v>3072.4023602833336</v>
      </c>
      <c r="AC20" s="265">
        <f t="shared" si="12"/>
        <v>0.37781280868267642</v>
      </c>
      <c r="AD20" s="264">
        <f t="shared" si="13"/>
        <v>0.62218719131732358</v>
      </c>
      <c r="AE20" s="316" t="str">
        <f t="shared" si="14"/>
        <v>TSX:BTO_2024_NEO1</v>
      </c>
      <c r="AF20" s="316"/>
      <c r="AG20" s="458" t="str" cm="1">
        <f t="array" ref="AG20">IFERROR(INDEX('Import 2024 Data'!$E$4:$I$71,_xlfn.XMATCH('NEO3'!$AE20,'Import 2024 Data'!$C$4:$C$71),_xlfn.XMATCH('NEO3'!AG$5,'Import 2024 Data'!$E$3:$I$3)),"-")</f>
        <v>-</v>
      </c>
      <c r="AH20" s="458" t="str" cm="1">
        <f t="array" ref="AH20">IFERROR(INDEX('Import 2024 Data'!$E$4:$I$71,_xlfn.XMATCH('NEO3'!$AE20,'Import 2024 Data'!$C$4:$C$71),_xlfn.XMATCH('NEO3'!AH$5,'Import 2024 Data'!$E$3:$I$3)),"-")</f>
        <v>-</v>
      </c>
      <c r="AI20" s="996" t="str">
        <f>IF(ISNUMBER(_xlfn.XMATCH(C20,'Import 2024 Data'!$E$4:$E$71)),"N","Y")</f>
        <v>N</v>
      </c>
      <c r="AJ20" s="996" t="str">
        <f t="shared" si="16"/>
        <v>Y</v>
      </c>
      <c r="AK20" s="458" t="str" cm="1">
        <f t="array" ref="AK20">IFERROR(INDEX('Import 2024 Data'!$E$4:$I$71,_xlfn.XMATCH('NEO3'!$AE20,'Import 2024 Data'!$C$4:$C$71),_xlfn.XMATCH('NEO3'!AK$5,'Import 2024 Data'!$E$3:$I$3)),"-")</f>
        <v>-</v>
      </c>
      <c r="AL20" s="997" t="str" cm="1">
        <f t="array" ref="AL20">IFERROR(INDEX('Import 2024 Data'!$E$4:$I$71,_xlfn.XMATCH('NEO3'!$AE20,'Import 2024 Data'!$C$4:$C$71),_xlfn.XMATCH('NEO3'!AL$5,'Import 2024 Data'!$E$3:$I$3)),"-")</f>
        <v>-</v>
      </c>
      <c r="AM20" s="997" t="str" cm="1">
        <f t="array" ref="AM20">IFERROR(INDEX('Import 2024 Data'!$E$4:$I$71,_xlfn.XMATCH('NEO3'!$AE20,'Import 2024 Data'!$C$4:$C$71),_xlfn.XMATCH('NEO3'!AM$5,'Import 2024 Data'!$E$3:$I$3)),"-")</f>
        <v>-</v>
      </c>
      <c r="AN20" s="998" t="str">
        <f t="shared" si="17"/>
        <v>New Incumbent</v>
      </c>
    </row>
    <row r="21" spans="1:40" ht="20.25" customHeight="1">
      <c r="A21" s="12" t="str">
        <f t="shared" si="0"/>
        <v>TSX:OGC_2025_NEO1</v>
      </c>
      <c r="B21" s="12" t="str">
        <f>'Peer Group'!A19</f>
        <v>TSX:OGC</v>
      </c>
      <c r="C21" s="556" t="str">
        <f t="shared" si="1"/>
        <v>OceanaGold Corporation</v>
      </c>
      <c r="D21" s="557">
        <f>_xll.ciqfunctions.udf.CIQ(B21, "IQ_MARKETCAP", $A$1,$A$2)</f>
        <v>4453.8089300000001</v>
      </c>
      <c r="E21" s="557">
        <f>_xll.ciqfunctions.udf.CIQ($B21, "IQ_TEV", $A$1,$A$2)</f>
        <v>4363.2558799999997</v>
      </c>
      <c r="F21" s="558" t="str">
        <f t="shared" si="2"/>
        <v>Bhuvanesh Malhotra</v>
      </c>
      <c r="G21" s="558" t="str">
        <f t="shared" si="2"/>
        <v>EVP &amp; COO</v>
      </c>
      <c r="H21" s="557" t="str">
        <f t="shared" si="3"/>
        <v>-</v>
      </c>
      <c r="I21" s="557">
        <f t="shared" si="3"/>
        <v>610.06797710000001</v>
      </c>
      <c r="J21" s="359">
        <f t="shared" si="3"/>
        <v>797.89224435000006</v>
      </c>
      <c r="K21" s="559">
        <f t="shared" si="4"/>
        <v>1.3078743259773042</v>
      </c>
      <c r="L21" s="559">
        <f t="shared" si="4"/>
        <v>1.3078743259773042</v>
      </c>
      <c r="M21" s="560">
        <f t="shared" si="5"/>
        <v>427.04758397000001</v>
      </c>
      <c r="N21" s="561">
        <f t="shared" si="6"/>
        <v>0.7</v>
      </c>
      <c r="O21" s="359">
        <f t="shared" si="15"/>
        <v>1407.9602214500001</v>
      </c>
      <c r="P21" s="562">
        <f t="shared" si="15"/>
        <v>1037.11556107</v>
      </c>
      <c r="Q21" s="359">
        <f t="shared" si="15"/>
        <v>2608.2076672499998</v>
      </c>
      <c r="R21" s="559">
        <f t="shared" si="7"/>
        <v>4.2752738467740823</v>
      </c>
      <c r="S21" s="559">
        <f t="shared" si="7"/>
        <v>4.2752738467740823</v>
      </c>
      <c r="T21" s="560">
        <f t="shared" si="8"/>
        <v>2608.2076672499998</v>
      </c>
      <c r="U21" s="561">
        <f t="shared" si="9"/>
        <v>4.2752738467740823</v>
      </c>
      <c r="V21" s="359">
        <f t="shared" si="10"/>
        <v>4016.1678886999998</v>
      </c>
      <c r="W21" s="360">
        <f t="shared" si="10"/>
        <v>3645.3232283199995</v>
      </c>
      <c r="X21" s="359">
        <f t="shared" si="11"/>
        <v>39.8748383</v>
      </c>
      <c r="Y21" s="360" t="str">
        <f t="shared" si="11"/>
        <v>-</v>
      </c>
      <c r="Z21" s="285">
        <f t="shared" si="10"/>
        <v>4056.042727</v>
      </c>
      <c r="AA21" s="287">
        <f t="shared" si="10"/>
        <v>3685.1980666199997</v>
      </c>
      <c r="AC21" s="265">
        <f t="shared" si="12"/>
        <v>0.28450578895522793</v>
      </c>
      <c r="AD21" s="264">
        <f t="shared" si="13"/>
        <v>0.71549421104477207</v>
      </c>
      <c r="AE21" s="316" t="str">
        <f t="shared" si="14"/>
        <v>TSX:OGC_2024_NEO1</v>
      </c>
      <c r="AF21" s="316"/>
      <c r="AG21" s="458" t="str" cm="1">
        <f t="array" ref="AG21">IFERROR(INDEX('Import 2024 Data'!$E$4:$I$71,_xlfn.XMATCH('NEO3'!$AE21,'Import 2024 Data'!$C$4:$C$71),_xlfn.XMATCH('NEO3'!AG$5,'Import 2024 Data'!$E$3:$I$3)),"-")</f>
        <v>-</v>
      </c>
      <c r="AH21" s="458" t="str" cm="1">
        <f t="array" ref="AH21">IFERROR(INDEX('Import 2024 Data'!$E$4:$I$71,_xlfn.XMATCH('NEO3'!$AE21,'Import 2024 Data'!$C$4:$C$71),_xlfn.XMATCH('NEO3'!AH$5,'Import 2024 Data'!$E$3:$I$3)),"-")</f>
        <v>-</v>
      </c>
      <c r="AI21" s="996" t="str">
        <f>IF(ISNUMBER(_xlfn.XMATCH(C21,'Import 2024 Data'!$E$4:$E$71)),"N","Y")</f>
        <v>N</v>
      </c>
      <c r="AJ21" s="996" t="str">
        <f t="shared" si="16"/>
        <v>Y</v>
      </c>
      <c r="AK21" s="458" t="str" cm="1">
        <f t="array" ref="AK21">IFERROR(INDEX('Import 2024 Data'!$E$4:$I$71,_xlfn.XMATCH('NEO3'!$AE21,'Import 2024 Data'!$C$4:$C$71),_xlfn.XMATCH('NEO3'!AK$5,'Import 2024 Data'!$E$3:$I$3)),"-")</f>
        <v>-</v>
      </c>
      <c r="AL21" s="997" t="str" cm="1">
        <f t="array" ref="AL21">IFERROR(INDEX('Import 2024 Data'!$E$4:$I$71,_xlfn.XMATCH('NEO3'!$AE21,'Import 2024 Data'!$C$4:$C$71),_xlfn.XMATCH('NEO3'!AL$5,'Import 2024 Data'!$E$3:$I$3)),"-")</f>
        <v>-</v>
      </c>
      <c r="AM21" s="997" t="str" cm="1">
        <f t="array" ref="AM21">IFERROR(INDEX('Import 2024 Data'!$E$4:$I$71,_xlfn.XMATCH('NEO3'!$AE21,'Import 2024 Data'!$C$4:$C$71),_xlfn.XMATCH('NEO3'!AM$5,'Import 2024 Data'!$E$3:$I$3)),"-")</f>
        <v>-</v>
      </c>
      <c r="AN21" s="998" t="str">
        <f t="shared" si="17"/>
        <v>New Incumbent</v>
      </c>
    </row>
    <row r="22" spans="1:40" ht="20.25" customHeight="1">
      <c r="A22" s="12" t="str">
        <f t="shared" si="0"/>
        <v>TSX:CG_2025_NEO1</v>
      </c>
      <c r="B22" s="12" t="str">
        <f>'Peer Group'!A20</f>
        <v>TSX:CG</v>
      </c>
      <c r="C22" s="556" t="str">
        <f t="shared" si="1"/>
        <v>Centerra Gold Inc.</v>
      </c>
      <c r="D22" s="557">
        <f>_xll.ciqfunctions.udf.CIQ(B22, "IQ_MARKETCAP", $A$1,$A$2)</f>
        <v>2054.8528000000001</v>
      </c>
      <c r="E22" s="557">
        <f>_xll.ciqfunctions.udf.CIQ($B22, "IQ_TEV", $A$1,$A$2)</f>
        <v>1190.4233200000001</v>
      </c>
      <c r="F22" s="558" t="str">
        <f t="shared" si="2"/>
        <v>David Hendriks</v>
      </c>
      <c r="G22" s="558" t="str">
        <f t="shared" si="2"/>
        <v>EVP &amp; COO</v>
      </c>
      <c r="H22" s="557" t="str">
        <f t="shared" si="3"/>
        <v>-</v>
      </c>
      <c r="I22" s="557">
        <f t="shared" si="3"/>
        <v>552.13099999999997</v>
      </c>
      <c r="J22" s="359">
        <f t="shared" si="3"/>
        <v>533.35799999999995</v>
      </c>
      <c r="K22" s="559">
        <f t="shared" si="4"/>
        <v>0.96599901110424879</v>
      </c>
      <c r="L22" s="559">
        <f t="shared" si="4"/>
        <v>0.96599901110424879</v>
      </c>
      <c r="M22" s="560">
        <f t="shared" si="5"/>
        <v>441.70480000000003</v>
      </c>
      <c r="N22" s="561">
        <f t="shared" si="6"/>
        <v>0.8</v>
      </c>
      <c r="O22" s="359">
        <f t="shared" si="15"/>
        <v>1085.489</v>
      </c>
      <c r="P22" s="562">
        <f t="shared" si="15"/>
        <v>993.83580000000006</v>
      </c>
      <c r="Q22" s="359">
        <f t="shared" si="15"/>
        <v>745.37699999999995</v>
      </c>
      <c r="R22" s="559">
        <f t="shared" si="7"/>
        <v>1.3500002716746569</v>
      </c>
      <c r="S22" s="559">
        <f t="shared" si="7"/>
        <v>1.3500002716746569</v>
      </c>
      <c r="T22" s="560">
        <f t="shared" si="8"/>
        <v>993.83580000000006</v>
      </c>
      <c r="U22" s="561">
        <f t="shared" si="9"/>
        <v>1.8</v>
      </c>
      <c r="V22" s="359">
        <f t="shared" si="10"/>
        <v>1830.866</v>
      </c>
      <c r="W22" s="360">
        <f t="shared" si="10"/>
        <v>1987.6716000000001</v>
      </c>
      <c r="X22" s="359" t="str">
        <f t="shared" si="11"/>
        <v>-</v>
      </c>
      <c r="Y22" s="360">
        <f t="shared" si="11"/>
        <v>201.05400000000003</v>
      </c>
      <c r="Z22" s="285">
        <f t="shared" si="10"/>
        <v>2031.92</v>
      </c>
      <c r="AA22" s="287">
        <f t="shared" si="10"/>
        <v>2188.7256000000002</v>
      </c>
      <c r="AC22" s="265"/>
      <c r="AD22" s="264"/>
      <c r="AE22" s="455" t="str">
        <f t="shared" si="14"/>
        <v>TSX:CG_2024_NEO1</v>
      </c>
      <c r="AF22" s="461"/>
      <c r="AG22" s="455" t="str" cm="1">
        <f t="array" ref="AG22">IFERROR(INDEX('Import 2024 Data'!$E$4:$I$71,_xlfn.XMATCH('NEO3'!$AE22,'Import 2024 Data'!$C$4:$C$71),_xlfn.XMATCH('NEO3'!AG$5,'Import 2024 Data'!$E$3:$I$3)),"-")</f>
        <v>-</v>
      </c>
      <c r="AH22" s="455" t="str" cm="1">
        <f t="array" ref="AH22">IFERROR(INDEX('Import 2024 Data'!$E$4:$I$71,_xlfn.XMATCH('NEO3'!$AE22,'Import 2024 Data'!$C$4:$C$71),_xlfn.XMATCH('NEO3'!AH$5,'Import 2024 Data'!$E$3:$I$3)),"-")</f>
        <v>-</v>
      </c>
      <c r="AI22" s="999" t="str">
        <f>IF(ISNUMBER(_xlfn.XMATCH(C22,'Import 2024 Data'!$E$4:$E$71)),"N","Y")</f>
        <v>N</v>
      </c>
      <c r="AJ22" s="999" t="str">
        <f t="shared" si="16"/>
        <v>Y</v>
      </c>
      <c r="AK22" s="455" t="str" cm="1">
        <f t="array" ref="AK22">IFERROR(INDEX('Import 2024 Data'!$E$4:$I$71,_xlfn.XMATCH('NEO3'!$AE22,'Import 2024 Data'!$C$4:$C$71),_xlfn.XMATCH('NEO3'!AK$5,'Import 2024 Data'!$E$3:$I$3)),"-")</f>
        <v>-</v>
      </c>
      <c r="AL22" s="1000" t="str" cm="1">
        <f t="array" ref="AL22">IFERROR(INDEX('Import 2024 Data'!$E$4:$I$71,_xlfn.XMATCH('NEO3'!$AE22,'Import 2024 Data'!$C$4:$C$71),_xlfn.XMATCH('NEO3'!AL$5,'Import 2024 Data'!$E$3:$I$3)),"-")</f>
        <v>-</v>
      </c>
      <c r="AM22" s="1000" t="str" cm="1">
        <f t="array" ref="AM22">IFERROR(INDEX('Import 2024 Data'!$E$4:$I$71,_xlfn.XMATCH('NEO3'!$AE22,'Import 2024 Data'!$C$4:$C$71),_xlfn.XMATCH('NEO3'!AM$5,'Import 2024 Data'!$E$3:$I$3)),"-")</f>
        <v>-</v>
      </c>
      <c r="AN22" s="1001" t="str">
        <f t="shared" si="17"/>
        <v>New Incumbent</v>
      </c>
    </row>
    <row r="23" spans="1:40" ht="20.25" hidden="1" customHeight="1" outlineLevel="2">
      <c r="A23" s="12" t="str">
        <f t="shared" si="0"/>
        <v>0_2025_NEO1</v>
      </c>
      <c r="B23" s="12">
        <f>'Raw Data'!E20</f>
        <v>0</v>
      </c>
      <c r="C23" s="556" t="str">
        <f t="shared" si="1"/>
        <v>(Invalid Identifier)</v>
      </c>
      <c r="D23" s="557" t="str">
        <f>_xll.ciqfunctions.udf.CIQ(B23, "IQ_MARKETCAP", $A$1,$A$2)</f>
        <v>(Invalid Identifier)</v>
      </c>
      <c r="E23" s="557" t="str">
        <f>_xll.ciqfunctions.udf.CIQ($B23, "IQ_TEV", $A$1,$A$2)</f>
        <v>(Invalid Identifier)</v>
      </c>
      <c r="F23" s="558" t="str">
        <f t="shared" si="2"/>
        <v>-</v>
      </c>
      <c r="G23" s="558" t="str">
        <f t="shared" si="2"/>
        <v>-</v>
      </c>
      <c r="H23" s="557" t="str">
        <f t="shared" si="3"/>
        <v>-</v>
      </c>
      <c r="I23" s="557" t="str">
        <f t="shared" si="3"/>
        <v>-</v>
      </c>
      <c r="J23" s="359" t="str">
        <f t="shared" si="3"/>
        <v>-</v>
      </c>
      <c r="K23" s="559" t="str">
        <f t="shared" si="4"/>
        <v>-</v>
      </c>
      <c r="L23" s="559" t="str">
        <f t="shared" si="4"/>
        <v>N/A</v>
      </c>
      <c r="M23" s="560" t="str">
        <f t="shared" si="5"/>
        <v>-</v>
      </c>
      <c r="N23" s="561" t="str">
        <f t="shared" si="6"/>
        <v>N/A</v>
      </c>
      <c r="O23" s="359" t="str">
        <f t="shared" si="15"/>
        <v>-</v>
      </c>
      <c r="P23" s="562" t="str">
        <f t="shared" si="15"/>
        <v>-</v>
      </c>
      <c r="Q23" s="359" t="str">
        <f t="shared" si="15"/>
        <v>-</v>
      </c>
      <c r="R23" s="559" t="str">
        <f t="shared" si="7"/>
        <v>-</v>
      </c>
      <c r="S23" s="559" t="str">
        <f t="shared" si="7"/>
        <v>N/A</v>
      </c>
      <c r="T23" s="560" t="str">
        <f t="shared" si="8"/>
        <v>-</v>
      </c>
      <c r="U23" s="561" t="str">
        <f t="shared" si="9"/>
        <v>N/A</v>
      </c>
      <c r="V23" s="359" t="str">
        <f t="shared" si="10"/>
        <v>-</v>
      </c>
      <c r="W23" s="360" t="str">
        <f t="shared" si="10"/>
        <v>-</v>
      </c>
      <c r="X23" s="359" t="str">
        <f t="shared" si="11"/>
        <v>-</v>
      </c>
      <c r="Y23" s="360" t="str">
        <f t="shared" si="11"/>
        <v>-</v>
      </c>
      <c r="Z23" s="285" t="str">
        <f t="shared" si="10"/>
        <v>-</v>
      </c>
      <c r="AA23" s="287" t="str">
        <f t="shared" si="10"/>
        <v>-</v>
      </c>
      <c r="AC23" s="265"/>
      <c r="AD23" s="264"/>
      <c r="AE23" s="316" t="str">
        <f t="shared" si="14"/>
        <v>0_2024_NEO1</v>
      </c>
      <c r="AF23" s="316"/>
      <c r="AG23" s="458" t="str" cm="1">
        <f t="array" ref="AG23">IFERROR(INDEX(#REF!,_xlfn.XMATCH('NEO3'!$AE23,#REF!),_xlfn.XMATCH('NEO3'!AG$5,#REF!)),"-")</f>
        <v>-</v>
      </c>
      <c r="AH23" s="316" t="str" cm="1">
        <f t="array" ref="AH23">IFERROR(INDEX(#REF!,_xlfn.XMATCH('NEO3'!$AE23,#REF!),_xlfn.XMATCH('NEO3'!AH$5,#REF!)),"-")</f>
        <v>-</v>
      </c>
      <c r="AI23" s="316"/>
      <c r="AJ23" s="459" t="str">
        <f t="shared" si="16"/>
        <v>N</v>
      </c>
      <c r="AK23" s="316" t="str" cm="1">
        <f t="array" ref="AK23">IFERROR(INDEX(#REF!,_xlfn.XMATCH('NEO3'!$AE23,#REF!),_xlfn.XMATCH('NEO3'!AK$5,#REF!)),"-")</f>
        <v>-</v>
      </c>
      <c r="AL23" s="12" t="str" cm="1">
        <f t="array" ref="AL23">IFERROR(INDEX(#REF!,_xlfn.XMATCH('NEO3'!$AE23,#REF!),_xlfn.XMATCH('NEO3'!AL$5,#REF!)),"-")</f>
        <v>-</v>
      </c>
      <c r="AM23" s="12" t="str" cm="1">
        <f t="array" ref="AM23">IFERROR(INDEX(#REF!,_xlfn.XMATCH('NEO3'!$AE23,#REF!),_xlfn.XMATCH('NEO3'!AM$5,#REF!)),"-")</f>
        <v>-</v>
      </c>
      <c r="AN23" s="460" t="str">
        <f t="shared" si="17"/>
        <v>-</v>
      </c>
    </row>
    <row r="24" spans="1:40" ht="20.25" hidden="1" customHeight="1" outlineLevel="2">
      <c r="A24" s="12" t="str">
        <f t="shared" si="0"/>
        <v>0_2025_NEO1</v>
      </c>
      <c r="B24" s="12">
        <f>'Raw Data'!E21</f>
        <v>0</v>
      </c>
      <c r="C24" s="556" t="str">
        <f t="shared" si="1"/>
        <v>(Invalid Identifier)</v>
      </c>
      <c r="D24" s="557" t="str">
        <f>_xll.ciqfunctions.udf.CIQ(B24, "IQ_MARKETCAP", $A$1,$A$2)</f>
        <v>(Invalid Identifier)</v>
      </c>
      <c r="E24" s="557" t="str">
        <f>_xll.ciqfunctions.udf.CIQ($B24, "IQ_TEV", $A$1,$A$2)</f>
        <v>(Invalid Identifier)</v>
      </c>
      <c r="F24" s="558" t="str">
        <f t="shared" si="2"/>
        <v>-</v>
      </c>
      <c r="G24" s="558" t="str">
        <f t="shared" si="2"/>
        <v>-</v>
      </c>
      <c r="H24" s="557" t="str">
        <f t="shared" si="3"/>
        <v>-</v>
      </c>
      <c r="I24" s="557" t="str">
        <f t="shared" si="3"/>
        <v>-</v>
      </c>
      <c r="J24" s="359" t="str">
        <f t="shared" si="3"/>
        <v>-</v>
      </c>
      <c r="K24" s="559" t="str">
        <f t="shared" si="4"/>
        <v>-</v>
      </c>
      <c r="L24" s="559" t="str">
        <f t="shared" si="4"/>
        <v>N/A</v>
      </c>
      <c r="M24" s="560" t="str">
        <f t="shared" si="5"/>
        <v>-</v>
      </c>
      <c r="N24" s="561" t="str">
        <f t="shared" si="6"/>
        <v>N/A</v>
      </c>
      <c r="O24" s="359" t="str">
        <f t="shared" si="15"/>
        <v>-</v>
      </c>
      <c r="P24" s="562" t="str">
        <f t="shared" si="15"/>
        <v>-</v>
      </c>
      <c r="Q24" s="359" t="str">
        <f t="shared" si="15"/>
        <v>-</v>
      </c>
      <c r="R24" s="559" t="str">
        <f t="shared" si="7"/>
        <v>-</v>
      </c>
      <c r="S24" s="559" t="str">
        <f t="shared" si="7"/>
        <v>N/A</v>
      </c>
      <c r="T24" s="560" t="str">
        <f t="shared" si="8"/>
        <v>-</v>
      </c>
      <c r="U24" s="561" t="str">
        <f t="shared" si="9"/>
        <v>N/A</v>
      </c>
      <c r="V24" s="359" t="str">
        <f t="shared" si="10"/>
        <v>-</v>
      </c>
      <c r="W24" s="360" t="str">
        <f t="shared" si="10"/>
        <v>-</v>
      </c>
      <c r="X24" s="359" t="str">
        <f t="shared" si="11"/>
        <v>-</v>
      </c>
      <c r="Y24" s="360" t="str">
        <f t="shared" si="11"/>
        <v>-</v>
      </c>
      <c r="Z24" s="285" t="str">
        <f t="shared" si="10"/>
        <v>-</v>
      </c>
      <c r="AA24" s="287" t="str">
        <f t="shared" si="10"/>
        <v>-</v>
      </c>
      <c r="AC24" s="265"/>
      <c r="AD24" s="264"/>
      <c r="AE24" s="316" t="str">
        <f t="shared" si="14"/>
        <v>0_2024_NEO1</v>
      </c>
      <c r="AF24" s="316"/>
      <c r="AG24" s="458" t="str" cm="1">
        <f t="array" ref="AG24">IFERROR(INDEX(#REF!,_xlfn.XMATCH('NEO3'!$AE24,#REF!),_xlfn.XMATCH('NEO3'!AG$5,#REF!)),"-")</f>
        <v>-</v>
      </c>
      <c r="AH24" s="316" t="str" cm="1">
        <f t="array" ref="AH24">IFERROR(INDEX(#REF!,_xlfn.XMATCH('NEO3'!$AE24,#REF!),_xlfn.XMATCH('NEO3'!AH$5,#REF!)),"-")</f>
        <v>-</v>
      </c>
      <c r="AI24" s="316"/>
      <c r="AJ24" s="459" t="str">
        <f t="shared" si="16"/>
        <v>N</v>
      </c>
      <c r="AK24" s="316" t="str" cm="1">
        <f t="array" ref="AK24">IFERROR(INDEX(#REF!,_xlfn.XMATCH('NEO3'!$AE24,#REF!),_xlfn.XMATCH('NEO3'!AK$5,#REF!)),"-")</f>
        <v>-</v>
      </c>
      <c r="AL24" s="12" t="str" cm="1">
        <f t="array" ref="AL24">IFERROR(INDEX(#REF!,_xlfn.XMATCH('NEO3'!$AE24,#REF!),_xlfn.XMATCH('NEO3'!AL$5,#REF!)),"-")</f>
        <v>-</v>
      </c>
      <c r="AM24" s="12" t="str" cm="1">
        <f t="array" ref="AM24">IFERROR(INDEX(#REF!,_xlfn.XMATCH('NEO3'!$AE24,#REF!),_xlfn.XMATCH('NEO3'!AM$5,#REF!)),"-")</f>
        <v>-</v>
      </c>
      <c r="AN24" s="460" t="str">
        <f t="shared" si="17"/>
        <v>-</v>
      </c>
    </row>
    <row r="25" spans="1:40" ht="20.25" hidden="1" customHeight="1" outlineLevel="2">
      <c r="A25" s="12" t="str">
        <f t="shared" si="0"/>
        <v>0_2025_NEO1</v>
      </c>
      <c r="B25" s="12">
        <f>'Raw Data'!E22</f>
        <v>0</v>
      </c>
      <c r="C25" s="556" t="str">
        <f t="shared" si="1"/>
        <v>(Invalid Identifier)</v>
      </c>
      <c r="D25" s="557" t="str">
        <f>_xll.ciqfunctions.udf.CIQ(B25, "IQ_MARKETCAP", $A$1,$A$2)</f>
        <v>(Invalid Identifier)</v>
      </c>
      <c r="E25" s="557" t="str">
        <f>_xll.ciqfunctions.udf.CIQ($B25, "IQ_TEV", $A$1,$A$2)</f>
        <v>(Invalid Identifier)</v>
      </c>
      <c r="F25" s="558" t="str">
        <f t="shared" si="2"/>
        <v>-</v>
      </c>
      <c r="G25" s="558" t="str">
        <f t="shared" si="2"/>
        <v>-</v>
      </c>
      <c r="H25" s="557" t="str">
        <f t="shared" si="3"/>
        <v>-</v>
      </c>
      <c r="I25" s="557" t="str">
        <f t="shared" si="3"/>
        <v>-</v>
      </c>
      <c r="J25" s="359" t="str">
        <f t="shared" si="3"/>
        <v>-</v>
      </c>
      <c r="K25" s="559" t="str">
        <f t="shared" si="4"/>
        <v>-</v>
      </c>
      <c r="L25" s="559" t="str">
        <f t="shared" si="4"/>
        <v>N/A</v>
      </c>
      <c r="M25" s="560" t="str">
        <f t="shared" si="5"/>
        <v>-</v>
      </c>
      <c r="N25" s="561" t="str">
        <f t="shared" si="6"/>
        <v>N/A</v>
      </c>
      <c r="O25" s="359" t="str">
        <f t="shared" si="15"/>
        <v>-</v>
      </c>
      <c r="P25" s="562" t="str">
        <f t="shared" si="15"/>
        <v>-</v>
      </c>
      <c r="Q25" s="359" t="str">
        <f t="shared" si="15"/>
        <v>-</v>
      </c>
      <c r="R25" s="559" t="str">
        <f t="shared" si="7"/>
        <v>-</v>
      </c>
      <c r="S25" s="559" t="str">
        <f t="shared" si="7"/>
        <v>N/A</v>
      </c>
      <c r="T25" s="560" t="str">
        <f t="shared" si="8"/>
        <v>-</v>
      </c>
      <c r="U25" s="561" t="str">
        <f t="shared" si="9"/>
        <v>N/A</v>
      </c>
      <c r="V25" s="359" t="str">
        <f t="shared" si="10"/>
        <v>-</v>
      </c>
      <c r="W25" s="360" t="str">
        <f t="shared" si="10"/>
        <v>-</v>
      </c>
      <c r="X25" s="359" t="str">
        <f t="shared" si="11"/>
        <v>-</v>
      </c>
      <c r="Y25" s="360" t="str">
        <f t="shared" si="11"/>
        <v>-</v>
      </c>
      <c r="Z25" s="285" t="str">
        <f t="shared" si="10"/>
        <v>-</v>
      </c>
      <c r="AA25" s="287" t="str">
        <f t="shared" si="10"/>
        <v>-</v>
      </c>
      <c r="AC25" s="265"/>
      <c r="AD25" s="264"/>
      <c r="AE25" s="316" t="str">
        <f t="shared" si="14"/>
        <v>0_2024_NEO1</v>
      </c>
      <c r="AF25" s="316"/>
      <c r="AG25" s="458" t="str" cm="1">
        <f t="array" ref="AG25">IFERROR(INDEX(#REF!,_xlfn.XMATCH('NEO3'!$AE25,#REF!),_xlfn.XMATCH('NEO3'!AG$5,#REF!)),"-")</f>
        <v>-</v>
      </c>
      <c r="AH25" s="316" t="str" cm="1">
        <f t="array" ref="AH25">IFERROR(INDEX(#REF!,_xlfn.XMATCH('NEO3'!$AE25,#REF!),_xlfn.XMATCH('NEO3'!AH$5,#REF!)),"-")</f>
        <v>-</v>
      </c>
      <c r="AI25" s="316"/>
      <c r="AJ25" s="459" t="str">
        <f t="shared" si="16"/>
        <v>N</v>
      </c>
      <c r="AK25" s="316" t="str" cm="1">
        <f t="array" ref="AK25">IFERROR(INDEX(#REF!,_xlfn.XMATCH('NEO3'!$AE25,#REF!),_xlfn.XMATCH('NEO3'!AK$5,#REF!)),"-")</f>
        <v>-</v>
      </c>
      <c r="AL25" s="12" t="str" cm="1">
        <f t="array" ref="AL25">IFERROR(INDEX(#REF!,_xlfn.XMATCH('NEO3'!$AE25,#REF!),_xlfn.XMATCH('NEO3'!AL$5,#REF!)),"-")</f>
        <v>-</v>
      </c>
      <c r="AM25" s="12" t="str" cm="1">
        <f t="array" ref="AM25">IFERROR(INDEX(#REF!,_xlfn.XMATCH('NEO3'!$AE25,#REF!),_xlfn.XMATCH('NEO3'!AM$5,#REF!)),"-")</f>
        <v>-</v>
      </c>
      <c r="AN25" s="460" t="str">
        <f t="shared" si="17"/>
        <v>-</v>
      </c>
    </row>
    <row r="26" spans="1:40" ht="20.25" hidden="1" customHeight="1" outlineLevel="2">
      <c r="A26" s="12" t="str">
        <f t="shared" si="0"/>
        <v>0_2025_NEO1</v>
      </c>
      <c r="B26" s="12">
        <f>'Raw Data'!E23</f>
        <v>0</v>
      </c>
      <c r="C26" s="556" t="str">
        <f t="shared" si="1"/>
        <v>(Invalid Identifier)</v>
      </c>
      <c r="D26" s="557" t="str">
        <f>_xll.ciqfunctions.udf.CIQ(B26, "IQ_MARKETCAP", $A$1,$A$2)</f>
        <v>(Invalid Identifier)</v>
      </c>
      <c r="E26" s="557" t="str">
        <f>_xll.ciqfunctions.udf.CIQ($B26, "IQ_TEV", $A$1,$A$2)</f>
        <v>(Invalid Identifier)</v>
      </c>
      <c r="F26" s="558" t="str">
        <f t="shared" si="2"/>
        <v>-</v>
      </c>
      <c r="G26" s="558" t="str">
        <f t="shared" si="2"/>
        <v>-</v>
      </c>
      <c r="H26" s="557" t="str">
        <f t="shared" si="3"/>
        <v>-</v>
      </c>
      <c r="I26" s="557" t="str">
        <f t="shared" si="3"/>
        <v>-</v>
      </c>
      <c r="J26" s="359" t="str">
        <f t="shared" si="3"/>
        <v>-</v>
      </c>
      <c r="K26" s="559" t="str">
        <f t="shared" si="4"/>
        <v>-</v>
      </c>
      <c r="L26" s="559" t="str">
        <f t="shared" si="4"/>
        <v>N/A</v>
      </c>
      <c r="M26" s="560" t="str">
        <f t="shared" si="5"/>
        <v>-</v>
      </c>
      <c r="N26" s="561" t="str">
        <f t="shared" si="6"/>
        <v>N/A</v>
      </c>
      <c r="O26" s="359" t="str">
        <f t="shared" si="15"/>
        <v>-</v>
      </c>
      <c r="P26" s="562" t="str">
        <f t="shared" si="15"/>
        <v>-</v>
      </c>
      <c r="Q26" s="359" t="str">
        <f t="shared" si="15"/>
        <v>-</v>
      </c>
      <c r="R26" s="559" t="str">
        <f t="shared" si="7"/>
        <v>-</v>
      </c>
      <c r="S26" s="559" t="str">
        <f t="shared" si="7"/>
        <v>N/A</v>
      </c>
      <c r="T26" s="560" t="str">
        <f t="shared" si="8"/>
        <v>-</v>
      </c>
      <c r="U26" s="561" t="str">
        <f t="shared" si="9"/>
        <v>N/A</v>
      </c>
      <c r="V26" s="359" t="str">
        <f t="shared" si="10"/>
        <v>-</v>
      </c>
      <c r="W26" s="360" t="str">
        <f t="shared" si="10"/>
        <v>-</v>
      </c>
      <c r="X26" s="359" t="str">
        <f t="shared" si="11"/>
        <v>-</v>
      </c>
      <c r="Y26" s="360" t="str">
        <f t="shared" si="11"/>
        <v>-</v>
      </c>
      <c r="Z26" s="285" t="str">
        <f t="shared" si="10"/>
        <v>-</v>
      </c>
      <c r="AA26" s="287" t="str">
        <f t="shared" si="10"/>
        <v>-</v>
      </c>
      <c r="AC26" s="265"/>
      <c r="AD26" s="264"/>
      <c r="AE26" s="316" t="str">
        <f t="shared" si="14"/>
        <v>0_2024_NEO1</v>
      </c>
      <c r="AF26" s="316"/>
      <c r="AG26" s="458" t="str" cm="1">
        <f t="array" ref="AG26">IFERROR(INDEX(#REF!,_xlfn.XMATCH('NEO3'!$AE26,#REF!),_xlfn.XMATCH('NEO3'!AG$5,#REF!)),"-")</f>
        <v>-</v>
      </c>
      <c r="AH26" s="316" t="str" cm="1">
        <f t="array" ref="AH26">IFERROR(INDEX(#REF!,_xlfn.XMATCH('NEO3'!$AE26,#REF!),_xlfn.XMATCH('NEO3'!AH$5,#REF!)),"-")</f>
        <v>-</v>
      </c>
      <c r="AI26" s="316"/>
      <c r="AJ26" s="459" t="str">
        <f t="shared" si="16"/>
        <v>N</v>
      </c>
      <c r="AK26" s="316" t="str" cm="1">
        <f t="array" ref="AK26">IFERROR(INDEX(#REF!,_xlfn.XMATCH('NEO3'!$AE26,#REF!),_xlfn.XMATCH('NEO3'!AK$5,#REF!)),"-")</f>
        <v>-</v>
      </c>
      <c r="AL26" s="12" t="str" cm="1">
        <f t="array" ref="AL26">IFERROR(INDEX(#REF!,_xlfn.XMATCH('NEO3'!$AE26,#REF!),_xlfn.XMATCH('NEO3'!AL$5,#REF!)),"-")</f>
        <v>-</v>
      </c>
      <c r="AM26" s="12" t="str" cm="1">
        <f t="array" ref="AM26">IFERROR(INDEX(#REF!,_xlfn.XMATCH('NEO3'!$AE26,#REF!),_xlfn.XMATCH('NEO3'!AM$5,#REF!)),"-")</f>
        <v>-</v>
      </c>
      <c r="AN26" s="460" t="str">
        <f t="shared" si="17"/>
        <v>-</v>
      </c>
    </row>
    <row r="27" spans="1:40" ht="20.25" hidden="1" customHeight="1" outlineLevel="2">
      <c r="A27" s="12" t="str">
        <f t="shared" si="0"/>
        <v>0_2025_NEO1</v>
      </c>
      <c r="B27" s="12">
        <f>'Raw Data'!E24</f>
        <v>0</v>
      </c>
      <c r="C27" s="556" t="str">
        <f t="shared" si="1"/>
        <v>(Invalid Identifier)</v>
      </c>
      <c r="D27" s="557" t="str">
        <f>_xll.ciqfunctions.udf.CIQ(B27, "IQ_MARKETCAP", $A$1,$A$2)</f>
        <v>(Invalid Identifier)</v>
      </c>
      <c r="E27" s="557" t="str">
        <f>_xll.ciqfunctions.udf.CIQ($B27, "IQ_TEV", $A$1,$A$2)</f>
        <v>(Invalid Identifier)</v>
      </c>
      <c r="F27" s="558" t="str">
        <f t="shared" si="2"/>
        <v>-</v>
      </c>
      <c r="G27" s="558" t="str">
        <f t="shared" si="2"/>
        <v>-</v>
      </c>
      <c r="H27" s="557" t="str">
        <f t="shared" si="3"/>
        <v>-</v>
      </c>
      <c r="I27" s="557" t="str">
        <f t="shared" si="3"/>
        <v>-</v>
      </c>
      <c r="J27" s="359" t="str">
        <f t="shared" si="3"/>
        <v>-</v>
      </c>
      <c r="K27" s="559" t="str">
        <f t="shared" si="4"/>
        <v>-</v>
      </c>
      <c r="L27" s="559" t="str">
        <f t="shared" si="4"/>
        <v>N/A</v>
      </c>
      <c r="M27" s="560" t="str">
        <f t="shared" si="5"/>
        <v>-</v>
      </c>
      <c r="N27" s="561" t="str">
        <f t="shared" si="6"/>
        <v>N/A</v>
      </c>
      <c r="O27" s="359" t="str">
        <f t="shared" si="15"/>
        <v>-</v>
      </c>
      <c r="P27" s="562" t="str">
        <f t="shared" si="15"/>
        <v>-</v>
      </c>
      <c r="Q27" s="359" t="str">
        <f t="shared" si="15"/>
        <v>-</v>
      </c>
      <c r="R27" s="559" t="str">
        <f t="shared" si="7"/>
        <v>-</v>
      </c>
      <c r="S27" s="559" t="str">
        <f t="shared" si="7"/>
        <v>N/A</v>
      </c>
      <c r="T27" s="560" t="str">
        <f t="shared" si="8"/>
        <v>-</v>
      </c>
      <c r="U27" s="561" t="str">
        <f t="shared" si="9"/>
        <v>N/A</v>
      </c>
      <c r="V27" s="359" t="str">
        <f t="shared" si="10"/>
        <v>-</v>
      </c>
      <c r="W27" s="360" t="str">
        <f t="shared" si="10"/>
        <v>-</v>
      </c>
      <c r="X27" s="359" t="str">
        <f t="shared" si="11"/>
        <v>-</v>
      </c>
      <c r="Y27" s="360" t="str">
        <f t="shared" si="11"/>
        <v>-</v>
      </c>
      <c r="Z27" s="285" t="str">
        <f t="shared" si="10"/>
        <v>-</v>
      </c>
      <c r="AA27" s="287" t="str">
        <f t="shared" si="10"/>
        <v>-</v>
      </c>
      <c r="AC27" s="265"/>
      <c r="AD27" s="264"/>
      <c r="AE27" s="316" t="str">
        <f t="shared" si="14"/>
        <v>0_2024_NEO1</v>
      </c>
      <c r="AF27" s="316"/>
      <c r="AG27" s="455" t="str" cm="1">
        <f t="array" ref="AG27">IFERROR(INDEX(#REF!,_xlfn.XMATCH('NEO3'!$AE27,#REF!),_xlfn.XMATCH('NEO3'!AG$5,#REF!)),"-")</f>
        <v>-</v>
      </c>
      <c r="AH27" s="461" t="str" cm="1">
        <f t="array" ref="AH27">IFERROR(INDEX(#REF!,_xlfn.XMATCH('NEO3'!$AE27,#REF!),_xlfn.XMATCH('NEO3'!AH$5,#REF!)),"-")</f>
        <v>-</v>
      </c>
      <c r="AI27" s="461"/>
      <c r="AJ27" s="462" t="str">
        <f t="shared" si="16"/>
        <v>N</v>
      </c>
      <c r="AK27" s="461" t="str" cm="1">
        <f t="array" ref="AK27">IFERROR(INDEX(#REF!,_xlfn.XMATCH('NEO3'!$AE27,#REF!),_xlfn.XMATCH('NEO3'!AK$5,#REF!)),"-")</f>
        <v>-</v>
      </c>
      <c r="AL27" s="463" t="str" cm="1">
        <f t="array" ref="AL27">IFERROR(INDEX(#REF!,_xlfn.XMATCH('NEO3'!$AE27,#REF!),_xlfn.XMATCH('NEO3'!AL$5,#REF!)),"-")</f>
        <v>-</v>
      </c>
      <c r="AM27" s="463" t="str" cm="1">
        <f t="array" ref="AM27">IFERROR(INDEX(#REF!,_xlfn.XMATCH('NEO3'!$AE27,#REF!),_xlfn.XMATCH('NEO3'!AM$5,#REF!)),"-")</f>
        <v>-</v>
      </c>
      <c r="AN27" s="464" t="str">
        <f t="shared" si="17"/>
        <v>-</v>
      </c>
    </row>
    <row r="28" spans="1:40" ht="20.25" customHeight="1" collapsed="1">
      <c r="C28" s="543" t="str">
        <f>$C$3&amp;" Summary Statistics"</f>
        <v>2025 Summary Statistics</v>
      </c>
      <c r="D28" s="544"/>
      <c r="E28" s="544"/>
      <c r="F28" s="544"/>
      <c r="G28" s="544"/>
      <c r="H28" s="544"/>
      <c r="I28" s="544"/>
      <c r="J28" s="544"/>
      <c r="K28" s="545"/>
      <c r="L28" s="545"/>
      <c r="M28" s="544"/>
      <c r="N28" s="545"/>
      <c r="O28" s="544"/>
      <c r="P28" s="544"/>
      <c r="Q28" s="544"/>
      <c r="R28" s="545"/>
      <c r="S28" s="545"/>
      <c r="T28" s="544"/>
      <c r="U28" s="545"/>
      <c r="V28" s="544"/>
      <c r="W28" s="546"/>
      <c r="X28" s="288"/>
      <c r="Y28" s="289"/>
      <c r="Z28" s="288"/>
      <c r="AA28" s="289"/>
      <c r="AC28" s="260"/>
      <c r="AD28" s="261"/>
      <c r="AE28" s="316"/>
      <c r="AF28" s="316"/>
      <c r="AG28" s="316"/>
      <c r="AH28" s="316"/>
      <c r="AI28" s="316"/>
      <c r="AJ28" s="316"/>
      <c r="AK28" s="316"/>
    </row>
    <row r="29" spans="1:40" s="17" customFormat="1" ht="20.25" customHeight="1">
      <c r="B29" s="17">
        <v>0.75</v>
      </c>
      <c r="C29" s="563" t="s">
        <v>9</v>
      </c>
      <c r="D29" s="564">
        <f t="shared" ref="D29:E31" si="18">PERCENTILE(D$8:D$27,$B29)</f>
        <v>13309.206275</v>
      </c>
      <c r="E29" s="564">
        <f t="shared" si="18"/>
        <v>14941.491959999999</v>
      </c>
      <c r="F29" s="565"/>
      <c r="G29" s="565"/>
      <c r="H29" s="565"/>
      <c r="I29" s="564">
        <f t="shared" ref="I29:X31" si="19">PERCENTILE(I$8:I$27,$B29)</f>
        <v>792.793454225</v>
      </c>
      <c r="J29" s="566">
        <f t="shared" si="19"/>
        <v>859.24806108749999</v>
      </c>
      <c r="K29" s="567">
        <f t="shared" si="19"/>
        <v>1.2238135000000001</v>
      </c>
      <c r="L29" s="567">
        <f t="shared" si="19"/>
        <v>1.1460834992776161</v>
      </c>
      <c r="M29" s="568">
        <f t="shared" si="19"/>
        <v>623.21849999999995</v>
      </c>
      <c r="N29" s="499">
        <f t="shared" si="19"/>
        <v>0.875</v>
      </c>
      <c r="O29" s="566">
        <f t="shared" si="19"/>
        <v>1623.4144939</v>
      </c>
      <c r="P29" s="569">
        <f t="shared" si="19"/>
        <v>1467.3225</v>
      </c>
      <c r="Q29" s="566">
        <f t="shared" si="19"/>
        <v>2148.5695928499999</v>
      </c>
      <c r="R29" s="567">
        <f t="shared" si="19"/>
        <v>2.7428377859139004</v>
      </c>
      <c r="S29" s="567">
        <f t="shared" si="19"/>
        <v>2.3336469841269842</v>
      </c>
      <c r="T29" s="568">
        <f t="shared" si="19"/>
        <v>1661.3689062500002</v>
      </c>
      <c r="U29" s="499">
        <f t="shared" si="19"/>
        <v>2.2250000000000001</v>
      </c>
      <c r="V29" s="566">
        <f t="shared" si="19"/>
        <v>3598.5930593000003</v>
      </c>
      <c r="W29" s="569">
        <f t="shared" si="19"/>
        <v>3088.9843578749842</v>
      </c>
      <c r="X29" s="263">
        <f t="shared" si="19"/>
        <v>150</v>
      </c>
      <c r="Y29" s="290">
        <f t="shared" ref="X29:Z31" si="20">PERCENTILE(Y$8:Y$27,$B29)</f>
        <v>104.663</v>
      </c>
      <c r="Z29" s="263">
        <f t="shared" si="20"/>
        <v>3654.8046594500001</v>
      </c>
      <c r="AA29" s="290">
        <f>AA68</f>
        <v>3276.0797103963368</v>
      </c>
      <c r="AB29" s="364"/>
      <c r="AC29" s="265">
        <f t="shared" ref="AC29:AD31" si="21">PERCENTILE(AC$8:AC$27,$B29)</f>
        <v>0.52497374855599654</v>
      </c>
      <c r="AD29" s="264">
        <f t="shared" si="21"/>
        <v>0.53226504980511036</v>
      </c>
      <c r="AE29" s="316"/>
      <c r="AF29" s="316"/>
      <c r="AG29" s="316"/>
      <c r="AH29" s="316"/>
      <c r="AI29" s="316"/>
      <c r="AJ29" s="316"/>
      <c r="AK29" s="316"/>
      <c r="AL29" s="465" t="e">
        <f t="shared" ref="AL29:AM32" si="22">PERCENTILE(AL$8:AL$27,$B29)</f>
        <v>#NUM!</v>
      </c>
      <c r="AM29" s="466" t="e">
        <f t="shared" si="22"/>
        <v>#NUM!</v>
      </c>
    </row>
    <row r="30" spans="1:40" s="17" customFormat="1" ht="20.25" customHeight="1">
      <c r="B30" s="17">
        <v>0.5</v>
      </c>
      <c r="C30" s="570" t="s">
        <v>8</v>
      </c>
      <c r="D30" s="571">
        <f t="shared" si="18"/>
        <v>6289.7347200000004</v>
      </c>
      <c r="E30" s="571">
        <f t="shared" si="18"/>
        <v>8418.0428900000006</v>
      </c>
      <c r="F30" s="572"/>
      <c r="G30" s="572"/>
      <c r="H30" s="572"/>
      <c r="I30" s="571">
        <f t="shared" si="19"/>
        <v>686.20500000000004</v>
      </c>
      <c r="J30" s="573">
        <f t="shared" si="19"/>
        <v>698.50849999999991</v>
      </c>
      <c r="K30" s="574">
        <f t="shared" si="19"/>
        <v>1.0143997430904694</v>
      </c>
      <c r="L30" s="574">
        <f t="shared" si="19"/>
        <v>0.96599901110424879</v>
      </c>
      <c r="M30" s="575">
        <f t="shared" si="19"/>
        <v>573.59837508750013</v>
      </c>
      <c r="N30" s="576">
        <f t="shared" si="19"/>
        <v>0.8</v>
      </c>
      <c r="O30" s="573">
        <f t="shared" si="19"/>
        <v>1407.9602214500001</v>
      </c>
      <c r="P30" s="577">
        <f t="shared" si="19"/>
        <v>1303.7895000000001</v>
      </c>
      <c r="Q30" s="573">
        <f t="shared" si="19"/>
        <v>1180.9388791500003</v>
      </c>
      <c r="R30" s="574">
        <f t="shared" si="19"/>
        <v>1.7500015531326687</v>
      </c>
      <c r="S30" s="574">
        <f t="shared" si="19"/>
        <v>1.6999954463564095</v>
      </c>
      <c r="T30" s="575">
        <f t="shared" si="19"/>
        <v>1166.5485000000001</v>
      </c>
      <c r="U30" s="576">
        <f t="shared" si="19"/>
        <v>1.75</v>
      </c>
      <c r="V30" s="573">
        <f t="shared" si="19"/>
        <v>2582.049375267</v>
      </c>
      <c r="W30" s="577">
        <f t="shared" si="19"/>
        <v>2756.4701249999998</v>
      </c>
      <c r="X30" s="267">
        <f t="shared" si="20"/>
        <v>39.8748383</v>
      </c>
      <c r="Y30" s="291">
        <f t="shared" si="20"/>
        <v>50.414406200000002</v>
      </c>
      <c r="Z30" s="267">
        <f t="shared" si="20"/>
        <v>2716.4904779499998</v>
      </c>
      <c r="AA30" s="291">
        <f>AA69</f>
        <v>2961.0442279500003</v>
      </c>
      <c r="AB30" s="364"/>
      <c r="AC30" s="269">
        <f t="shared" si="21"/>
        <v>0.5</v>
      </c>
      <c r="AD30" s="268">
        <f t="shared" si="21"/>
        <v>0.5</v>
      </c>
      <c r="AE30" s="316"/>
      <c r="AF30" s="316"/>
      <c r="AG30" s="316"/>
      <c r="AH30" s="316"/>
      <c r="AI30" s="316"/>
      <c r="AJ30" s="316"/>
      <c r="AK30" s="316"/>
      <c r="AL30" s="267" t="e">
        <f t="shared" si="22"/>
        <v>#NUM!</v>
      </c>
      <c r="AM30" s="291" t="e">
        <f t="shared" si="22"/>
        <v>#NUM!</v>
      </c>
    </row>
    <row r="31" spans="1:40" s="17" customFormat="1" ht="20.25" customHeight="1">
      <c r="B31" s="17">
        <v>0.25</v>
      </c>
      <c r="C31" s="563" t="s">
        <v>7</v>
      </c>
      <c r="D31" s="564">
        <f t="shared" si="18"/>
        <v>5393.5351649999993</v>
      </c>
      <c r="E31" s="564">
        <f t="shared" si="18"/>
        <v>5824.1906799999997</v>
      </c>
      <c r="F31" s="565"/>
      <c r="G31" s="565"/>
      <c r="H31" s="565"/>
      <c r="I31" s="564">
        <f t="shared" si="19"/>
        <v>620.08648855000001</v>
      </c>
      <c r="J31" s="566">
        <f t="shared" si="19"/>
        <v>539.24699999999996</v>
      </c>
      <c r="K31" s="567">
        <f t="shared" si="19"/>
        <v>0.88883132320399483</v>
      </c>
      <c r="L31" s="567">
        <f t="shared" si="19"/>
        <v>0.86270192145502966</v>
      </c>
      <c r="M31" s="568">
        <f t="shared" si="19"/>
        <v>473.65875937500005</v>
      </c>
      <c r="N31" s="499">
        <f t="shared" si="19"/>
        <v>0.77500000000000002</v>
      </c>
      <c r="O31" s="566">
        <f t="shared" si="19"/>
        <v>1154.989</v>
      </c>
      <c r="P31" s="569">
        <f t="shared" si="19"/>
        <v>1085.652280535</v>
      </c>
      <c r="Q31" s="566">
        <f t="shared" si="19"/>
        <v>861.01699900600249</v>
      </c>
      <c r="R31" s="567">
        <f t="shared" si="19"/>
        <v>1.2729781878843869</v>
      </c>
      <c r="S31" s="567">
        <f t="shared" si="19"/>
        <v>1.4569395031565926</v>
      </c>
      <c r="T31" s="568">
        <f t="shared" si="19"/>
        <v>1032.5071499999999</v>
      </c>
      <c r="U31" s="499">
        <f t="shared" si="19"/>
        <v>1.6869928663944127</v>
      </c>
      <c r="V31" s="566">
        <f t="shared" si="19"/>
        <v>2291.6019030560028</v>
      </c>
      <c r="W31" s="569">
        <f t="shared" si="19"/>
        <v>2393.0505398463561</v>
      </c>
      <c r="X31" s="263">
        <f t="shared" si="20"/>
        <v>31.516999999999999</v>
      </c>
      <c r="Y31" s="290">
        <f t="shared" si="20"/>
        <v>12.747999999999999</v>
      </c>
      <c r="Z31" s="263">
        <f t="shared" si="20"/>
        <v>2420.2484990060025</v>
      </c>
      <c r="AA31" s="290">
        <f>AA70</f>
        <v>2584.2882735000003</v>
      </c>
      <c r="AC31" s="265">
        <f t="shared" si="21"/>
        <v>0.46773495019488948</v>
      </c>
      <c r="AD31" s="264">
        <f t="shared" si="21"/>
        <v>0.47502625144400351</v>
      </c>
      <c r="AE31" s="316"/>
      <c r="AF31" s="316"/>
      <c r="AG31" s="316"/>
      <c r="AH31" s="316"/>
      <c r="AI31" s="316"/>
      <c r="AJ31" s="316"/>
      <c r="AK31" s="316"/>
      <c r="AL31" s="263" t="e">
        <f t="shared" si="22"/>
        <v>#NUM!</v>
      </c>
      <c r="AM31" s="290" t="e">
        <f t="shared" si="22"/>
        <v>#NUM!</v>
      </c>
    </row>
    <row r="32" spans="1:40" s="17" customFormat="1" ht="20.25" customHeight="1">
      <c r="A32" s="12"/>
      <c r="B32" s="12"/>
      <c r="C32" s="578" t="s">
        <v>6</v>
      </c>
      <c r="D32" s="579">
        <f>AVERAGE(D8:D27)</f>
        <v>9395.7113253333337</v>
      </c>
      <c r="E32" s="579">
        <f>AVERAGE(E8:E27)</f>
        <v>10948.821810000001</v>
      </c>
      <c r="F32" s="578"/>
      <c r="G32" s="578"/>
      <c r="H32" s="578"/>
      <c r="I32" s="579">
        <f t="shared" ref="I32:N32" si="23">AVERAGE(I8:I27)</f>
        <v>722.36282308666648</v>
      </c>
      <c r="J32" s="580">
        <f t="shared" si="23"/>
        <v>737.46204780714288</v>
      </c>
      <c r="K32" s="581">
        <f t="shared" si="23"/>
        <v>1.0234445164169279</v>
      </c>
      <c r="L32" s="581">
        <f t="shared" si="23"/>
        <v>0.98645516390348831</v>
      </c>
      <c r="M32" s="582">
        <f t="shared" si="23"/>
        <v>602.54420998450007</v>
      </c>
      <c r="N32" s="583">
        <f t="shared" si="23"/>
        <v>0.83666666666666667</v>
      </c>
      <c r="O32" s="580">
        <f>AVERAGE(O8:O27)</f>
        <v>1410.6607343733335</v>
      </c>
      <c r="P32" s="584">
        <f t="shared" ref="P32:W32" si="24">AVERAGE(P8:P27)</f>
        <v>1324.9070330711668</v>
      </c>
      <c r="Q32" s="580">
        <f t="shared" si="24"/>
        <v>1472.7408521386003</v>
      </c>
      <c r="R32" s="581">
        <f t="shared" si="24"/>
        <v>2.0451745808267385</v>
      </c>
      <c r="S32" s="581">
        <f t="shared" si="24"/>
        <v>1.9325430887972428</v>
      </c>
      <c r="T32" s="582">
        <f t="shared" si="24"/>
        <v>1411.3688819731008</v>
      </c>
      <c r="U32" s="583">
        <f t="shared" si="24"/>
        <v>1.9859745825720683</v>
      </c>
      <c r="V32" s="580">
        <f t="shared" si="24"/>
        <v>2883.4015865119345</v>
      </c>
      <c r="W32" s="584">
        <f t="shared" si="24"/>
        <v>2832.4864804045719</v>
      </c>
      <c r="X32" s="271">
        <f>AVERAGE(X8:X27)</f>
        <v>164.83273482777778</v>
      </c>
      <c r="Y32" s="273">
        <f>AVERAGE(Y8:Y27)</f>
        <v>86.463760603846154</v>
      </c>
      <c r="Z32" s="271">
        <f>AVERAGE(Z8:Z27)</f>
        <v>3057.2364865986005</v>
      </c>
      <c r="AA32" s="273">
        <f>AA71</f>
        <v>2988.2314967871494</v>
      </c>
      <c r="AC32" s="274">
        <f>AVERAGE(AC8:AC27)</f>
        <v>0.48592407435290236</v>
      </c>
      <c r="AD32" s="272">
        <f>AVERAGE(AD8:AD27)</f>
        <v>0.51407592564709781</v>
      </c>
      <c r="AE32" s="316"/>
      <c r="AF32" s="316"/>
      <c r="AG32" s="316"/>
      <c r="AH32" s="316"/>
      <c r="AI32" s="316"/>
      <c r="AJ32" s="316"/>
      <c r="AK32" s="316"/>
      <c r="AL32" s="271" t="e">
        <f t="shared" si="22"/>
        <v>#NUM!</v>
      </c>
      <c r="AM32" s="273" t="e">
        <f t="shared" si="22"/>
        <v>#NUM!</v>
      </c>
    </row>
    <row r="33" spans="1:39" s="17" customFormat="1" ht="20.25" customHeight="1" outlineLevel="1">
      <c r="A33" s="12"/>
      <c r="B33" s="12"/>
      <c r="C33" s="543" t="str">
        <f>$C$3+1&amp;" Estimated Summary Statistics "</f>
        <v xml:space="preserve">2026 Estimated Summary Statistics </v>
      </c>
      <c r="D33" s="544"/>
      <c r="E33" s="544"/>
      <c r="F33" s="544"/>
      <c r="G33" s="544"/>
      <c r="H33" s="544"/>
      <c r="I33" s="544"/>
      <c r="J33" s="544"/>
      <c r="K33" s="545"/>
      <c r="L33" s="545"/>
      <c r="M33" s="544"/>
      <c r="N33" s="545"/>
      <c r="O33" s="544"/>
      <c r="P33" s="544"/>
      <c r="Q33" s="544"/>
      <c r="R33" s="545"/>
      <c r="S33" s="545"/>
      <c r="T33" s="544"/>
      <c r="U33" s="545"/>
      <c r="V33" s="544"/>
      <c r="W33" s="546"/>
      <c r="X33" s="688"/>
      <c r="Y33" s="688"/>
      <c r="Z33" s="688"/>
      <c r="AA33" s="688"/>
      <c r="AC33" s="469"/>
      <c r="AD33" s="469"/>
      <c r="AE33" s="316"/>
      <c r="AF33" s="316"/>
      <c r="AG33" s="316"/>
      <c r="AH33" s="316"/>
      <c r="AI33" s="316"/>
      <c r="AJ33" s="316"/>
      <c r="AK33" s="316"/>
      <c r="AL33" s="468"/>
      <c r="AM33" s="468"/>
    </row>
    <row r="34" spans="1:39" s="17" customFormat="1" ht="20.25" customHeight="1" outlineLevel="1">
      <c r="A34" s="12"/>
      <c r="B34" s="17">
        <v>0.75</v>
      </c>
      <c r="C34" s="563" t="s">
        <v>9</v>
      </c>
      <c r="D34" s="564">
        <f t="shared" ref="D34:E36" si="25">PERCENTILE(D$8:D$27,$B34)</f>
        <v>13309.206275</v>
      </c>
      <c r="E34" s="564">
        <f t="shared" si="25"/>
        <v>14941.491959999999</v>
      </c>
      <c r="F34" s="565"/>
      <c r="G34" s="565"/>
      <c r="H34" s="565"/>
      <c r="I34" s="564">
        <f>I68</f>
        <v>823.21205000000009</v>
      </c>
      <c r="J34" s="566">
        <f>J68</f>
        <v>0</v>
      </c>
      <c r="K34" s="567">
        <f>K68</f>
        <v>0</v>
      </c>
      <c r="L34" s="567">
        <f>L68</f>
        <v>0</v>
      </c>
      <c r="M34" s="568">
        <f>M68</f>
        <v>641.91505499999994</v>
      </c>
      <c r="N34" s="499">
        <f t="shared" ref="N34:O36" si="26">PERCENTILE(N$8:N$27,$B34)</f>
        <v>0.875</v>
      </c>
      <c r="O34" s="566">
        <f t="shared" si="26"/>
        <v>1623.4144939</v>
      </c>
      <c r="P34" s="564">
        <f>P68</f>
        <v>1511.342175</v>
      </c>
      <c r="Q34" s="566">
        <f>Q68</f>
        <v>0</v>
      </c>
      <c r="R34" s="567">
        <f>R68</f>
        <v>0</v>
      </c>
      <c r="S34" s="567">
        <f>S68</f>
        <v>0</v>
      </c>
      <c r="T34" s="568">
        <f>T68</f>
        <v>1711.2099734375001</v>
      </c>
      <c r="U34" s="499">
        <f t="shared" ref="U34:V36" si="27">PERCENTILE(U$8:U$27,$B34)</f>
        <v>2.2250000000000001</v>
      </c>
      <c r="V34" s="566">
        <f t="shared" si="27"/>
        <v>3598.5930593000003</v>
      </c>
      <c r="W34" s="569">
        <f>W68</f>
        <v>3187.5629051559167</v>
      </c>
      <c r="X34" s="863">
        <f>X29</f>
        <v>150</v>
      </c>
      <c r="Y34" s="867">
        <f>Y29</f>
        <v>104.663</v>
      </c>
      <c r="Z34" s="699" t="s">
        <v>78</v>
      </c>
      <c r="AA34" s="702">
        <f>AA68</f>
        <v>3276.0797103963368</v>
      </c>
      <c r="AC34" s="316" t="s">
        <v>441</v>
      </c>
      <c r="AD34" s="469"/>
      <c r="AE34" s="316"/>
      <c r="AF34" s="316"/>
      <c r="AG34" s="316"/>
      <c r="AH34" s="316"/>
      <c r="AI34" s="316"/>
      <c r="AJ34" s="316"/>
      <c r="AK34" s="316"/>
      <c r="AL34" s="468"/>
      <c r="AM34" s="468"/>
    </row>
    <row r="35" spans="1:39" s="17" customFormat="1" ht="20.25" customHeight="1" outlineLevel="1">
      <c r="A35" s="12"/>
      <c r="B35" s="17">
        <v>0.5</v>
      </c>
      <c r="C35" s="570" t="s">
        <v>8</v>
      </c>
      <c r="D35" s="571">
        <f t="shared" si="25"/>
        <v>6289.7347200000004</v>
      </c>
      <c r="E35" s="571">
        <f t="shared" si="25"/>
        <v>8418.0428900000006</v>
      </c>
      <c r="F35" s="572"/>
      <c r="G35" s="572"/>
      <c r="H35" s="572"/>
      <c r="I35" s="571">
        <f t="shared" ref="I35:M37" si="28">I69</f>
        <v>706.79115000000002</v>
      </c>
      <c r="J35" s="573">
        <f t="shared" si="28"/>
        <v>0</v>
      </c>
      <c r="K35" s="574">
        <f t="shared" si="28"/>
        <v>0</v>
      </c>
      <c r="L35" s="574">
        <f t="shared" si="28"/>
        <v>0</v>
      </c>
      <c r="M35" s="575">
        <f t="shared" si="28"/>
        <v>590.80632634012511</v>
      </c>
      <c r="N35" s="576">
        <f t="shared" si="26"/>
        <v>0.8</v>
      </c>
      <c r="O35" s="573">
        <f t="shared" si="26"/>
        <v>1407.9602214500001</v>
      </c>
      <c r="P35" s="571">
        <f t="shared" ref="P35:T37" si="29">P69</f>
        <v>1342.9031850000001</v>
      </c>
      <c r="Q35" s="573">
        <f t="shared" si="29"/>
        <v>0</v>
      </c>
      <c r="R35" s="574">
        <f t="shared" si="29"/>
        <v>0</v>
      </c>
      <c r="S35" s="574">
        <f t="shared" si="29"/>
        <v>0</v>
      </c>
      <c r="T35" s="575">
        <f t="shared" si="29"/>
        <v>1201.5449550000001</v>
      </c>
      <c r="U35" s="576">
        <f t="shared" si="27"/>
        <v>1.75</v>
      </c>
      <c r="V35" s="573">
        <f t="shared" si="27"/>
        <v>2582.049375267</v>
      </c>
      <c r="W35" s="577">
        <f>W69</f>
        <v>2578.2952500000001</v>
      </c>
      <c r="X35" s="871">
        <f t="shared" ref="X35:Y37" si="30">X30</f>
        <v>39.8748383</v>
      </c>
      <c r="Y35" s="875">
        <f t="shared" si="30"/>
        <v>50.414406200000002</v>
      </c>
      <c r="Z35" s="709" t="s">
        <v>78</v>
      </c>
      <c r="AA35" s="713">
        <f>AA69</f>
        <v>2961.0442279500003</v>
      </c>
      <c r="AC35" s="532">
        <f>W34-W35</f>
        <v>609.2676551559166</v>
      </c>
      <c r="AD35" s="469"/>
      <c r="AE35" s="316"/>
      <c r="AF35" s="316"/>
      <c r="AG35" s="316"/>
      <c r="AH35" s="316"/>
      <c r="AI35" s="316"/>
      <c r="AJ35" s="316"/>
      <c r="AK35" s="316"/>
      <c r="AL35" s="468"/>
      <c r="AM35" s="468"/>
    </row>
    <row r="36" spans="1:39" s="17" customFormat="1" ht="20.25" customHeight="1" outlineLevel="1">
      <c r="A36" s="12"/>
      <c r="B36" s="17">
        <v>0.25</v>
      </c>
      <c r="C36" s="563" t="s">
        <v>7</v>
      </c>
      <c r="D36" s="564">
        <f t="shared" si="25"/>
        <v>5393.5351649999993</v>
      </c>
      <c r="E36" s="564">
        <f t="shared" si="25"/>
        <v>5824.1906799999997</v>
      </c>
      <c r="F36" s="565"/>
      <c r="G36" s="565"/>
      <c r="H36" s="565"/>
      <c r="I36" s="564">
        <f t="shared" si="28"/>
        <v>638.68908320650007</v>
      </c>
      <c r="J36" s="566">
        <f t="shared" si="28"/>
        <v>0</v>
      </c>
      <c r="K36" s="567">
        <f t="shared" si="28"/>
        <v>0</v>
      </c>
      <c r="L36" s="567">
        <f t="shared" si="28"/>
        <v>0</v>
      </c>
      <c r="M36" s="568">
        <f t="shared" si="28"/>
        <v>487.86852215624998</v>
      </c>
      <c r="N36" s="499">
        <f t="shared" si="26"/>
        <v>0.77500000000000002</v>
      </c>
      <c r="O36" s="566">
        <f t="shared" si="26"/>
        <v>1154.989</v>
      </c>
      <c r="P36" s="564">
        <f t="shared" si="29"/>
        <v>1118.2218489510501</v>
      </c>
      <c r="Q36" s="566">
        <f t="shared" si="29"/>
        <v>0</v>
      </c>
      <c r="R36" s="567">
        <f t="shared" si="29"/>
        <v>0</v>
      </c>
      <c r="S36" s="567">
        <f t="shared" si="29"/>
        <v>0</v>
      </c>
      <c r="T36" s="568">
        <f t="shared" si="29"/>
        <v>1063.4823644999999</v>
      </c>
      <c r="U36" s="499">
        <f t="shared" si="27"/>
        <v>1.6869928663944127</v>
      </c>
      <c r="V36" s="566">
        <f t="shared" si="27"/>
        <v>2291.6019030560028</v>
      </c>
      <c r="W36" s="569">
        <f>W70</f>
        <v>2360.4660653611645</v>
      </c>
      <c r="X36" s="863">
        <f t="shared" si="30"/>
        <v>31.516999999999999</v>
      </c>
      <c r="Y36" s="867">
        <f t="shared" si="30"/>
        <v>12.747999999999999</v>
      </c>
      <c r="Z36" s="699" t="s">
        <v>78</v>
      </c>
      <c r="AA36" s="702">
        <f>AA70</f>
        <v>2584.2882735000003</v>
      </c>
      <c r="AC36" s="469"/>
      <c r="AD36" s="469"/>
      <c r="AE36" s="316"/>
      <c r="AF36" s="316"/>
      <c r="AG36" s="316"/>
      <c r="AH36" s="316"/>
      <c r="AI36" s="316"/>
      <c r="AJ36" s="316"/>
      <c r="AK36" s="316"/>
      <c r="AL36" s="468"/>
      <c r="AM36" s="468"/>
    </row>
    <row r="37" spans="1:39" s="17" customFormat="1" ht="20.25" customHeight="1" outlineLevel="1">
      <c r="A37" s="12"/>
      <c r="B37" s="12"/>
      <c r="C37" s="578" t="s">
        <v>6</v>
      </c>
      <c r="D37" s="579">
        <f>AVERAGE(D13:D32)</f>
        <v>6787.662991809525</v>
      </c>
      <c r="E37" s="579">
        <f>AVERAGE(E13:E32)</f>
        <v>7680.413912142858</v>
      </c>
      <c r="F37" s="578"/>
      <c r="G37" s="578"/>
      <c r="H37" s="578"/>
      <c r="I37" s="579">
        <f t="shared" si="28"/>
        <v>741.99981898903354</v>
      </c>
      <c r="J37" s="580">
        <f t="shared" si="28"/>
        <v>0</v>
      </c>
      <c r="K37" s="581">
        <f t="shared" si="28"/>
        <v>0</v>
      </c>
      <c r="L37" s="581">
        <f t="shared" si="28"/>
        <v>0</v>
      </c>
      <c r="M37" s="582">
        <f t="shared" si="28"/>
        <v>619.68097065184827</v>
      </c>
      <c r="N37" s="583">
        <f>AVERAGE(N13:N32)</f>
        <v>0.80976190476190479</v>
      </c>
      <c r="O37" s="580">
        <f>AVERAGE(O13:O32)</f>
        <v>1263.8213532195236</v>
      </c>
      <c r="P37" s="579">
        <f t="shared" si="29"/>
        <v>1361.6807896408818</v>
      </c>
      <c r="Q37" s="580">
        <f t="shared" si="29"/>
        <v>0</v>
      </c>
      <c r="R37" s="581">
        <f t="shared" si="29"/>
        <v>0</v>
      </c>
      <c r="S37" s="581">
        <f t="shared" si="29"/>
        <v>0</v>
      </c>
      <c r="T37" s="582">
        <f t="shared" si="29"/>
        <v>1452.7158070596008</v>
      </c>
      <c r="U37" s="583">
        <f>AVERAGE(U13:U32)</f>
        <v>1.9684147469070994</v>
      </c>
      <c r="V37" s="580">
        <f>AVERAGE(V13:V32)</f>
        <v>2553.6816303331393</v>
      </c>
      <c r="W37" s="584">
        <f>W71</f>
        <v>2814.3965967004829</v>
      </c>
      <c r="X37" s="878">
        <f t="shared" si="30"/>
        <v>164.83273482777778</v>
      </c>
      <c r="Y37" s="882">
        <f t="shared" si="30"/>
        <v>86.463760603846154</v>
      </c>
      <c r="Z37" s="717" t="s">
        <v>78</v>
      </c>
      <c r="AA37" s="721">
        <f>AA71</f>
        <v>2988.2314967871494</v>
      </c>
      <c r="AC37" s="469"/>
      <c r="AD37" s="469"/>
      <c r="AE37" s="316"/>
      <c r="AF37" s="316"/>
      <c r="AG37" s="316"/>
      <c r="AH37" s="316"/>
      <c r="AI37" s="316"/>
      <c r="AJ37" s="316"/>
      <c r="AK37" s="316"/>
      <c r="AL37" s="468"/>
      <c r="AM37" s="468"/>
    </row>
    <row r="38" spans="1:39" ht="7.5" customHeight="1">
      <c r="C38" s="585"/>
      <c r="D38" s="585"/>
      <c r="E38" s="585"/>
      <c r="F38" s="585"/>
      <c r="G38" s="585"/>
      <c r="H38" s="585"/>
      <c r="I38" s="586"/>
      <c r="J38" s="587"/>
      <c r="K38" s="588"/>
      <c r="L38" s="588"/>
      <c r="M38" s="586"/>
      <c r="N38" s="589"/>
      <c r="O38" s="587"/>
      <c r="P38" s="586"/>
      <c r="Q38" s="586"/>
      <c r="R38" s="589"/>
      <c r="S38" s="589"/>
      <c r="T38" s="587"/>
      <c r="U38" s="588"/>
      <c r="V38" s="587"/>
      <c r="W38" s="586"/>
      <c r="X38" s="277"/>
      <c r="Y38" s="276"/>
      <c r="Z38" s="275"/>
      <c r="AA38" s="275"/>
      <c r="AC38" s="259"/>
      <c r="AD38" s="259"/>
      <c r="AE38" s="316"/>
      <c r="AF38" s="316"/>
      <c r="AG38" s="316"/>
      <c r="AH38" s="316"/>
      <c r="AI38" s="316"/>
      <c r="AJ38" s="316"/>
      <c r="AK38" s="316"/>
    </row>
    <row r="39" spans="1:39" s="35" customFormat="1" ht="20.25" customHeight="1">
      <c r="A39" s="35" t="str">
        <f>$B39&amp;"_"&amp;$C$3&amp;"_"&amp;$C$2</f>
        <v>TSX:HBM_2025_NEO1</v>
      </c>
      <c r="B39" s="35" t="str">
        <f>'Raw Data'!H6</f>
        <v>TSX:HBM</v>
      </c>
      <c r="C39" s="547" t="str">
        <f>IFERROR(INDEX(Raw_Data,MATCH($A39,Look_Up,0),MATCH(C$4,Component,0)),"-")</f>
        <v>Hudbay Minerals Inc.</v>
      </c>
      <c r="D39" s="548">
        <f>_xll.ciqfunctions.udf.CIQ(B39, "IQ_MARKETCAP", $A$1,$A$2)</f>
        <v>5664.3295799999996</v>
      </c>
      <c r="E39" s="548">
        <f>_xll.ciqfunctions.udf.CIQ($B39, "IQ_TEV", $A$1,$A$2)</f>
        <v>6773.8200500000003</v>
      </c>
      <c r="F39" s="549" t="str">
        <f>IFERROR(INDEX(Raw_Data,MATCH($A39,Look_Up,0),MATCH(F$4,Component,0)),"-")</f>
        <v>Andre Lauzon</v>
      </c>
      <c r="G39" s="549" t="str">
        <f>IFERROR(INDEX(Raw_Data,MATCH($A39,Look_Up,0),MATCH(G$4,Component,0)),"-")</f>
        <v>COO</v>
      </c>
      <c r="H39" s="549">
        <f>IFERROR(INDEX(Raw_Data,MATCH($A39,Look_Up,0),MATCH(H$4,Component,0))/1000,"-")</f>
        <v>696.57</v>
      </c>
      <c r="I39" s="548">
        <f>IFERROR(INDEX(Raw_Data,MATCH($A39,Look_Up,0),MATCH(I$4,Component,0))/1000,"-")</f>
        <v>696.57</v>
      </c>
      <c r="J39" s="548">
        <f>IFERROR(INDEX(Raw_Data,MATCH($A39,Look_Up,0),MATCH(J$4,Component,0))/1000,"-")</f>
        <v>749.952</v>
      </c>
      <c r="K39" s="550">
        <f>IFERROR(INDEX(Raw_Data,MATCH($A39,Look_Up,0),MATCH(K$4,Component,0)),"-")</f>
        <v>1.0766355140186916</v>
      </c>
      <c r="L39" s="550">
        <f>IFERROR(INDEX(Raw_Data,MATCH($A39,Look_Up,0),MATCH(L$4,Component,0)),"-")</f>
        <v>1.1211787203450754</v>
      </c>
      <c r="M39" s="548">
        <f>IFERROR(INDEX(Raw_Data,MATCH($A39,Look_Up,0),MATCH(M$4,Component,0))/1000,"-")</f>
        <v>626.91300000000001</v>
      </c>
      <c r="N39" s="550">
        <f>IFERROR(IF(INDEX(Raw_Data,MATCH($A39,Look_Up,0),MATCH(N$4,Component,0))="-",L39,INDEX(Raw_Data,MATCH($A39,Look_Up,0),MATCH(N$4,Component,0))),"-")</f>
        <v>0.9</v>
      </c>
      <c r="O39" s="548">
        <f>IFERROR(INDEX(Raw_Data,MATCH($A39,Look_Up,0),MATCH(O$4,Component,0))/1000,"-")</f>
        <v>1446.5219999999999</v>
      </c>
      <c r="P39" s="548">
        <f>IFERROR(INDEX(Raw_Data,MATCH($A39,Look_Up,0),MATCH(P$4,Component,0))/1000,"-")</f>
        <v>1323.4829999999999</v>
      </c>
      <c r="Q39" s="548">
        <f>IFERROR(INDEX(Raw_Data,MATCH($A39,Look_Up,0),MATCH(Q$4,Component,0))/1000,"-")</f>
        <v>1106.7</v>
      </c>
      <c r="R39" s="550" t="str">
        <f>IFERROR(INDEX(Raw_Data,MATCH($A39,Look_Up,0),MATCH(R$4,Component,0)),"-")</f>
        <v>-</v>
      </c>
      <c r="S39" s="550" t="str">
        <f>IFERROR(INDEX(Raw_Data,MATCH($A39,Look_Up,0),MATCH(S$4,Component,0)),"-")</f>
        <v>N/A</v>
      </c>
      <c r="T39" s="548">
        <f>IFERROR(INDEX(Raw_Data,MATCH($A39,Look_Up,0),MATCH(T$4,Component,0))/1000,"-")</f>
        <v>1253.826</v>
      </c>
      <c r="U39" s="550">
        <f>IFERROR(IF(INDEX(Raw_Data,MATCH($A39,Look_Up,0),MATCH(U$4,Component,0))="-",S39,INDEX(Raw_Data,MATCH($A39,Look_Up,0),MATCH(U$4,Component,0))),"-")</f>
        <v>1.8</v>
      </c>
      <c r="V39" s="548">
        <f>IFERROR(INDEX(Raw_Data,MATCH($A39,Look_Up,0),MATCH(V$4,Component,0))/1000,"-")</f>
        <v>2553.2220000000002</v>
      </c>
      <c r="W39" s="551">
        <f>IFERROR(INDEX(Raw_Data,MATCH($A39,Look_Up,0),MATCH(W$4,Component,0))/1000,"-")</f>
        <v>2577.3090000000002</v>
      </c>
      <c r="X39" s="385">
        <f>IFERROR((INDEX(Raw_Data,MATCH($A39,Look_Up,0),MATCH(X$4,Component,0))/1000),"-")</f>
        <v>44.31</v>
      </c>
      <c r="Y39" s="278" t="str">
        <f>IFERROR((INDEX(Raw_Data,MATCH($A39,Look_Up,0),MATCH(Y$4,Component,0))/1000),"-")</f>
        <v>-</v>
      </c>
      <c r="Z39" s="278">
        <f>IFERROR(INDEX(Raw_Data,MATCH($A39,Look_Up,0),MATCH(Z$4,Component,0))/1000,"-")</f>
        <v>2597.5320000000002</v>
      </c>
      <c r="AA39" s="292">
        <f>IFERROR(INDEX(Raw_Data,MATCH($A39,Look_Up,0),MATCH(AA$4,Component,0))/1000,"-")</f>
        <v>2621.6190000000001</v>
      </c>
      <c r="AC39" s="279">
        <f>IFERROR(P39/W39,0)</f>
        <v>0.51351351351351349</v>
      </c>
      <c r="AD39" s="293">
        <f>IFERROR(T39/W39,0)</f>
        <v>0.48648648648648646</v>
      </c>
      <c r="AE39" s="316" t="str">
        <f>B39&amp;"_"&amp;$AE$6&amp;"_"&amp;$C$2</f>
        <v>TSX:HBM_2024_NEO1</v>
      </c>
      <c r="AF39" s="316"/>
      <c r="AG39" s="316"/>
      <c r="AH39" s="316"/>
      <c r="AI39" s="316"/>
      <c r="AJ39" s="316"/>
      <c r="AK39" s="316"/>
      <c r="AL39" s="477" t="str" cm="1">
        <f t="array" ref="AL39">IFERROR(INDEX(#REF!,_xlfn.XMATCH('NEO3'!$AE39,#REF!),_xlfn.XMATCH('NEO3'!AL$5,#REF!)),"-")</f>
        <v>-</v>
      </c>
      <c r="AM39" s="478" t="str" cm="1">
        <f t="array" ref="AM39">IFERROR(INDEX(#REF!,_xlfn.XMATCH('NEO3'!$AE39,#REF!),_xlfn.XMATCH('NEO3'!AM$5,#REF!)),"-")</f>
        <v>-</v>
      </c>
    </row>
    <row r="40" spans="1:39" ht="20.25" customHeight="1">
      <c r="B40" s="33"/>
      <c r="C40" s="552" t="s">
        <v>5</v>
      </c>
      <c r="D40" s="553">
        <f>IF(D$39&gt;=MAX(D$8:D$27),"max",IF(D$39&lt;=MIN(D$8:D$27),"min",PERCENTRANK(D$8:D$27,D$39)))</f>
        <v>0.32300000000000001</v>
      </c>
      <c r="E40" s="553">
        <f>IF(E$39&gt;=MAX(E$8:E$27),"max",IF(E$39&lt;=MIN(E$8:E$27),"min",PERCENTRANK(E$8:E$27,E$39)))</f>
        <v>0.41599999999999998</v>
      </c>
      <c r="F40" s="554"/>
      <c r="G40" s="554"/>
      <c r="H40" s="554"/>
      <c r="I40" s="553">
        <f>IF(I$39&gt;=MAX(I$47:I$66),"max",IF(I$39&lt;=MIN(I$47:I$66),"min",PERCENTRANK(I$47:I$66,I$39)))</f>
        <v>0.437</v>
      </c>
      <c r="J40" s="553">
        <f>IF(J$39&gt;=MAX(J$8:J$27),"max",IF(J$39&lt;=MIN(J$8:J$27),"min",PERCENTRANK(J$8:J$27,J$39)))</f>
        <v>0.57799999999999996</v>
      </c>
      <c r="K40" s="553">
        <f>IF(K$39&gt;=MAX(K$8:K$27),"max",IF(K$39&lt;=MIN(K$8:K$27),"min",PERCENTRANK(K$8:K$27,K$39)))</f>
        <v>0.622</v>
      </c>
      <c r="L40" s="553">
        <f>IF(L$39&gt;=MAX(L$8:L$27),"max",IF(L$39&lt;=MIN(L$8:L$27),"min",PERCENTRANK(L$8:L$27,L$39)))</f>
        <v>0.69899999999999995</v>
      </c>
      <c r="M40" s="553">
        <f>IF(M$39&gt;=MAX(M$47:M$66),"max",IF(M$39&lt;=MIN(M$47:M$66),"min",PERCENTRANK(M$47:M$66,M$39)))</f>
        <v>0.64700000000000002</v>
      </c>
      <c r="N40" s="553">
        <f>IF(N$39&gt;=MAX(N$8:N$27),"max",IF(N$39&lt;=MIN(N$8:N$27),"min",PERCENTRANK(N$8:N$27,N$39)))</f>
        <v>0.78500000000000003</v>
      </c>
      <c r="O40" s="553">
        <f>IF(O$39&gt;=MAX(O$8:O$27),"max",IF(O$39&lt;=MIN(O$8:O$27),"min",PERCENTRANK(O$8:O$27,O$39)))</f>
        <v>0.59899999999999998</v>
      </c>
      <c r="P40" s="553">
        <f>IF(P$39&gt;=MAX(P$47:P$66),"max",IF(P$39&lt;=MIN(P$47:P$66),"min",PERCENTRANK(P$47:P$66,P$39)))</f>
        <v>0.47499999999999998</v>
      </c>
      <c r="Q40" s="553">
        <f>IF(Q$39&gt;=MAX(Q$8:Q$27),"max",IF(Q$39&lt;=MIN(Q$8:Q$27),"min",PERCENTRANK(Q$8:Q$27,Q$39)))</f>
        <v>0.34499999999999997</v>
      </c>
      <c r="R40" s="553" t="str">
        <f>IF(R$39&gt;=MAX(R$8:R$27),"max",IF(R$39&lt;=MIN(R$8:R$27),"min",PERCENTRANK(R$8:R$27,R$39)))</f>
        <v>max</v>
      </c>
      <c r="S40" s="553" t="str">
        <f>IF(S$39&gt;=MAX(S$8:S$27),"max",IF(S$39&lt;=MIN(S$8:S$27),"min",PERCENTRANK(S$8:S$27,S$39)))</f>
        <v>max</v>
      </c>
      <c r="T40" s="553">
        <f>IF(T$39&gt;=MAX(T$47:T$66),"max",IF(T$39&lt;=MIN(T$47:T$66),"min",PERCENTRANK(T$47:T$66,T$39)))</f>
        <v>0.51200000000000001</v>
      </c>
      <c r="U40" s="553">
        <f>IF(U$39&gt;=MAX(U$8:U$27),"max",IF(U$39&lt;=MIN(U$8:U$27),"min",PERCENTRANK(U$8:U$27,U$39)))</f>
        <v>0.57099999999999995</v>
      </c>
      <c r="V40" s="553">
        <f>IF(V$39&gt;=MAX(V$8:V$27),"max",IF(V$39&lt;=MIN(V$8:V$27),"min",PERCENTRANK(V$8:V$27,V$39)))</f>
        <v>0.49099999999999999</v>
      </c>
      <c r="W40" s="555">
        <f>IF(W$39&gt;=MAX(W$47:W$66),"max",IF(W$39&lt;=MIN(W$47:W$66),"min",PERCENTRANK(W$47:W$66,W$39)))</f>
        <v>0.497</v>
      </c>
      <c r="X40" s="280">
        <f>IF(X$39&gt;=MAX(X$8:X$27),"max",IF(X$39&lt;=MIN(X$8:X$27),"min",PERCENTRANK(X$8:X$27,X$39)))</f>
        <v>0.505</v>
      </c>
      <c r="Y40" s="280" t="str">
        <f>IF(Y$39&gt;=MAX(Y$8:Y$27),"max",IF(Y$39&lt;=MIN(Y$8:Y$27),"min",PERCENTRANK(Y$8:Y$27,Y$39)))</f>
        <v>max</v>
      </c>
      <c r="Z40" s="280">
        <f>IF(Z$39&gt;=MAX(Z$8:Z$27),"max",IF(Z$39&lt;=MIN(Z$8:Z$27),"min",PERCENTRANK(Z$8:Z$27,Z$39)))</f>
        <v>0.432</v>
      </c>
      <c r="AA40" s="281">
        <f>IF(AA$39&gt;=MAX(AA$47:AA$66),"max",IF(AA$39&lt;=MIN(AA$47:AA$66),"min",PERCENTRANK(AA$47:AA$66,AA$39)))</f>
        <v>0.34</v>
      </c>
      <c r="AC40" s="1219">
        <f>IF(AC$39&gt;=MAX(AC$8:AC27),"max",IF(AC$39&lt;=MIN(AC$8:AC27),"min",PERCENTRANK(AC$8:AC27,AC$39)))</f>
        <v>0.65700000000000003</v>
      </c>
      <c r="AD40" s="1220">
        <f>IF(AD$39&gt;=MAX(AD$8:AD27),"max",IF(AD$39&lt;=MIN(AD$8:AD27),"min",PERCENTRANK(AD$8:AD27,AD$39)))</f>
        <v>0.34200000000000003</v>
      </c>
      <c r="AE40" s="316"/>
      <c r="AF40" s="316"/>
      <c r="AG40" s="316"/>
      <c r="AH40" s="316"/>
      <c r="AI40" s="316"/>
      <c r="AJ40" s="316"/>
      <c r="AK40" s="316"/>
    </row>
    <row r="41" spans="1:39" ht="7.5" customHeight="1">
      <c r="B41" s="33"/>
      <c r="C41" s="286"/>
      <c r="D41" s="286"/>
      <c r="E41" s="259"/>
      <c r="F41" s="259"/>
      <c r="G41" s="259"/>
      <c r="H41" s="259"/>
      <c r="I41" s="275"/>
      <c r="J41" s="275"/>
      <c r="K41" s="275"/>
      <c r="L41" s="275"/>
      <c r="M41" s="275"/>
      <c r="N41" s="275"/>
      <c r="O41" s="275"/>
      <c r="P41" s="275"/>
      <c r="Q41" s="275"/>
      <c r="R41" s="275"/>
      <c r="S41" s="275"/>
      <c r="T41" s="275"/>
      <c r="U41" s="275"/>
      <c r="V41" s="275"/>
      <c r="W41" s="275"/>
      <c r="X41" s="275"/>
      <c r="Y41" s="275"/>
      <c r="Z41" s="275"/>
      <c r="AA41" s="275"/>
      <c r="AC41" s="259"/>
      <c r="AD41" s="259"/>
      <c r="AE41" s="316"/>
      <c r="AF41" s="316"/>
      <c r="AG41" s="316"/>
      <c r="AH41" s="316"/>
      <c r="AI41" s="316"/>
      <c r="AJ41" s="316"/>
      <c r="AK41" s="316"/>
    </row>
    <row r="42" spans="1:39" ht="15" customHeight="1">
      <c r="B42" s="33"/>
      <c r="C42" s="286" t="s">
        <v>243</v>
      </c>
      <c r="D42" s="286"/>
      <c r="E42" s="259"/>
      <c r="F42" s="1066" t="s">
        <v>761</v>
      </c>
      <c r="G42" s="259"/>
      <c r="H42" s="259"/>
      <c r="I42" s="275"/>
      <c r="J42" s="275"/>
      <c r="K42" s="275"/>
      <c r="L42" s="275"/>
      <c r="M42" s="275"/>
      <c r="N42" s="275"/>
      <c r="O42" s="275"/>
      <c r="P42" s="275"/>
      <c r="Q42" s="275"/>
      <c r="R42" s="275"/>
      <c r="S42" s="275"/>
      <c r="T42" s="275"/>
      <c r="U42" s="275"/>
      <c r="V42" s="275" t="s">
        <v>444</v>
      </c>
      <c r="W42" s="531">
        <f>W39/W35-1</f>
        <v>-3.8252019430273787E-4</v>
      </c>
      <c r="X42" s="275" t="s">
        <v>443</v>
      </c>
      <c r="Y42" s="535">
        <v>2232</v>
      </c>
      <c r="Z42" s="275"/>
      <c r="AC42" s="1221"/>
      <c r="AD42" s="259"/>
      <c r="AE42" s="316"/>
      <c r="AF42" s="316"/>
      <c r="AG42" s="316"/>
      <c r="AH42" s="316"/>
      <c r="AI42" s="316"/>
      <c r="AJ42" s="316"/>
      <c r="AK42" s="316"/>
    </row>
    <row r="43" spans="1:39" ht="14.5">
      <c r="B43" s="15"/>
      <c r="C43" s="284"/>
      <c r="D43" s="284"/>
      <c r="E43" s="284"/>
      <c r="F43" s="1064" t="s">
        <v>762</v>
      </c>
      <c r="G43" s="284"/>
      <c r="H43" s="284"/>
      <c r="I43" s="284"/>
      <c r="J43" s="284"/>
      <c r="K43" s="284"/>
      <c r="L43" s="284"/>
      <c r="M43" s="284"/>
      <c r="N43" s="284"/>
      <c r="O43" s="284"/>
      <c r="P43" s="284"/>
      <c r="Q43" s="284"/>
      <c r="R43" s="284"/>
      <c r="S43" s="284"/>
      <c r="T43" s="284"/>
      <c r="U43" s="284"/>
      <c r="V43" s="275" t="s">
        <v>445</v>
      </c>
      <c r="W43" s="535">
        <f>W39-W35</f>
        <v>-0.98624999999992724</v>
      </c>
      <c r="X43" s="12" t="s">
        <v>437</v>
      </c>
      <c r="Y43" s="539">
        <f>AA39/Y42-1</f>
        <v>0.17456048387096779</v>
      </c>
      <c r="Z43" s="284"/>
      <c r="AC43" s="258"/>
      <c r="AD43" s="258"/>
    </row>
    <row r="44" spans="1:39">
      <c r="B44" s="15"/>
      <c r="C44" s="14"/>
      <c r="D44" s="14"/>
      <c r="E44" s="14"/>
      <c r="F44" s="14"/>
      <c r="G44" s="14"/>
      <c r="H44" s="14"/>
      <c r="I44" s="14"/>
      <c r="J44" s="14"/>
      <c r="K44" s="14"/>
      <c r="L44" s="14"/>
      <c r="M44" s="14"/>
      <c r="N44" s="14"/>
      <c r="O44" s="14"/>
      <c r="P44" s="14"/>
      <c r="Q44" s="14"/>
      <c r="R44" s="14"/>
      <c r="S44" s="14"/>
      <c r="T44" s="14"/>
      <c r="U44" s="14"/>
      <c r="V44" s="14"/>
      <c r="W44" s="14"/>
      <c r="Y44" s="14"/>
      <c r="Z44" s="14"/>
      <c r="AC44" s="27"/>
      <c r="AD44" s="27"/>
    </row>
    <row r="45" spans="1:39">
      <c r="B45" s="15"/>
      <c r="C45" s="305" t="s">
        <v>110</v>
      </c>
      <c r="D45" s="313"/>
      <c r="E45" s="306"/>
      <c r="F45" s="306"/>
      <c r="G45" s="306"/>
      <c r="H45" s="306"/>
      <c r="I45" s="306"/>
      <c r="J45" s="306"/>
      <c r="K45" s="306"/>
      <c r="L45" s="306"/>
      <c r="M45" s="306"/>
      <c r="N45" s="306"/>
      <c r="O45" s="306"/>
      <c r="P45" s="306"/>
      <c r="Q45" s="306"/>
      <c r="R45" s="306"/>
      <c r="S45" s="306"/>
      <c r="T45" s="306"/>
      <c r="U45" s="306"/>
      <c r="V45" s="306"/>
      <c r="W45" s="306"/>
      <c r="X45" s="306"/>
      <c r="Y45" s="306"/>
      <c r="Z45" s="306"/>
      <c r="AA45" s="306"/>
      <c r="AC45" s="307"/>
      <c r="AD45" s="307"/>
      <c r="AE45" s="308"/>
      <c r="AF45" s="308"/>
      <c r="AG45" s="308"/>
      <c r="AH45" s="308"/>
      <c r="AI45" s="308"/>
      <c r="AJ45" s="308"/>
      <c r="AK45" s="308"/>
    </row>
    <row r="46" spans="1:39" ht="50">
      <c r="B46" s="15"/>
      <c r="C46" s="297" t="s">
        <v>111</v>
      </c>
      <c r="E46" s="14"/>
      <c r="F46" s="14"/>
      <c r="G46" s="315" t="s">
        <v>119</v>
      </c>
      <c r="H46" s="314" t="s">
        <v>115</v>
      </c>
      <c r="I46" s="314" t="s">
        <v>116</v>
      </c>
      <c r="J46" s="314"/>
      <c r="K46" s="314"/>
      <c r="L46" s="314"/>
      <c r="M46" s="314" t="s">
        <v>16</v>
      </c>
      <c r="O46" s="314"/>
      <c r="P46" s="314" t="s">
        <v>117</v>
      </c>
      <c r="Q46" s="314"/>
      <c r="R46" s="314"/>
      <c r="S46" s="314"/>
      <c r="T46" s="314" t="s">
        <v>14</v>
      </c>
      <c r="V46" s="314"/>
      <c r="W46" s="314" t="s">
        <v>118</v>
      </c>
      <c r="Y46" s="314"/>
      <c r="Z46" s="314"/>
      <c r="AA46" s="314" t="s">
        <v>246</v>
      </c>
      <c r="AC46" s="27"/>
      <c r="AD46" s="27"/>
    </row>
    <row r="47" spans="1:39" ht="14.5">
      <c r="A47" s="295" t="str">
        <f t="shared" ref="A47:B66" si="31">A8</f>
        <v>TSX:FM_2025_NEO1</v>
      </c>
      <c r="B47" s="295" t="str">
        <f t="shared" si="31"/>
        <v>TSX:FM</v>
      </c>
      <c r="C47" s="296" t="str">
        <f>_xll.ciqfunctions.udf.CIQ(B47,"IQ_COMPANY_NAME")</f>
        <v>First Quantum Minerals Ltd.</v>
      </c>
      <c r="E47" s="14"/>
      <c r="F47" s="14"/>
      <c r="G47" s="294" t="s">
        <v>398</v>
      </c>
      <c r="H47" s="303">
        <f t="shared" ref="H47:H66" si="32">IFERROR(INDEX(Raw_Data,MATCH($A47,Look_Up,0),MATCH(H$4,Component,0))/1000,"-")</f>
        <v>1145.9090000000001</v>
      </c>
      <c r="I47" s="303">
        <f>IFERROR(IF(G47="y",IF(H47&lt;&gt;"-",H47,INDEX(Raw_Data,MATCH($A47,Look_Up,0),MATCH(I$4,Component,0))/1000*(1+'Raw Data'!$H$13)),(INDEX(Raw_Data,MATCH($A47,Look_Up,0),MATCH(I$4,Component,0))/1000)),"-")</f>
        <v>1145.9090000000001</v>
      </c>
      <c r="J47" s="361"/>
      <c r="K47" s="361"/>
      <c r="L47" s="361"/>
      <c r="M47" s="303">
        <f t="shared" ref="M47:M66" si="33">IFERROR(I47*N8,"-")</f>
        <v>572.95450000000005</v>
      </c>
      <c r="N47" s="362"/>
      <c r="O47" s="361"/>
      <c r="P47" s="303">
        <f>IFERROR(IF(SUM(M47,I47)=0,"-",SUM(M47,I47)),"-")</f>
        <v>1718.8635000000002</v>
      </c>
      <c r="Q47" s="361"/>
      <c r="R47" s="361"/>
      <c r="S47" s="361"/>
      <c r="T47" s="303">
        <f t="shared" ref="T47:T66" si="34">IFERROR(I47*U8,"-")</f>
        <v>859.43175000000008</v>
      </c>
      <c r="U47" s="362"/>
      <c r="V47" s="361"/>
      <c r="W47" s="303">
        <f>IFERROR(IF(SUM(T47,P47)=0,"-",SUM(T47,P47)),"-")</f>
        <v>2578.2952500000001</v>
      </c>
      <c r="X47" s="362"/>
      <c r="Y47" s="361"/>
      <c r="Z47" s="361"/>
      <c r="AA47" s="303">
        <f t="shared" ref="AA47:AA66" si="35">IFERROR(IF(SUM(W47,X8,Y8)=0,"-",SUM(W47,X8,Y8)),"-")</f>
        <v>2961.0442279500003</v>
      </c>
      <c r="AB47" s="362"/>
    </row>
    <row r="48" spans="1:39" ht="14.5">
      <c r="A48" s="295" t="str">
        <f t="shared" si="31"/>
        <v>TSX:K_2025_NEO1</v>
      </c>
      <c r="B48" s="295" t="str">
        <f t="shared" si="31"/>
        <v>TSX:K</v>
      </c>
      <c r="C48" s="296" t="str">
        <f>_xll.ciqfunctions.udf.CIQ(B48,"IQ_COMPANY_NAME")</f>
        <v>Kinross Gold Corporation</v>
      </c>
      <c r="E48" s="14"/>
      <c r="F48" s="14"/>
      <c r="G48" s="294" t="s">
        <v>398</v>
      </c>
      <c r="H48" s="262" t="str">
        <f t="shared" si="32"/>
        <v>-</v>
      </c>
      <c r="I48" s="262">
        <f>IFERROR(IF(G48="y",IF(H48&lt;&gt;"-",H48,INDEX(Raw_Data,MATCH($A48,Look_Up,0),MATCH(I$4,Component,0))/1000*(1+'Raw Data'!$H$13)),(INDEX(Raw_Data,MATCH($A48,Look_Up,0),MATCH(I$4,Component,0))/1000)),"-")</f>
        <v>945.15021504000015</v>
      </c>
      <c r="J48" s="361"/>
      <c r="K48" s="361"/>
      <c r="L48" s="361"/>
      <c r="M48" s="262">
        <f t="shared" si="33"/>
        <v>1323.2103010560002</v>
      </c>
      <c r="N48" s="362"/>
      <c r="O48" s="361"/>
      <c r="P48" s="262">
        <f t="shared" ref="P48:P66" si="36">IFERROR(IF(SUM(M48,I48)=0,"-",SUM(M48,I48)),"-")</f>
        <v>2268.3605160960005</v>
      </c>
      <c r="Q48" s="361"/>
      <c r="R48" s="361"/>
      <c r="S48" s="361"/>
      <c r="T48" s="262">
        <f t="shared" si="34"/>
        <v>2581.3102539648007</v>
      </c>
      <c r="U48" s="362"/>
      <c r="V48" s="361"/>
      <c r="W48" s="262">
        <f t="shared" ref="W48:W66" si="37">IFERROR(IF(SUM(T48,P48)=0,"-",SUM(T48,P48)),"-")</f>
        <v>4849.6707700608013</v>
      </c>
      <c r="X48" s="362"/>
      <c r="Y48" s="361"/>
      <c r="Z48" s="361"/>
      <c r="AA48" s="262">
        <f t="shared" si="35"/>
        <v>5396.1701441108016</v>
      </c>
      <c r="AB48" s="362"/>
    </row>
    <row r="49" spans="1:30" ht="14.5">
      <c r="A49" s="295" t="str">
        <f t="shared" si="31"/>
        <v>TSX:LUN_2025_NEO1</v>
      </c>
      <c r="B49" s="295" t="str">
        <f t="shared" si="31"/>
        <v>TSX:LUN</v>
      </c>
      <c r="C49" s="296" t="str">
        <f>_xll.ciqfunctions.udf.CIQ(B49,"IQ_COMPANY_NAME")</f>
        <v>Lundin Mining Corporation</v>
      </c>
      <c r="E49" s="14"/>
      <c r="F49" s="14"/>
      <c r="G49" s="294" t="s">
        <v>398</v>
      </c>
      <c r="H49" s="262">
        <f t="shared" si="32"/>
        <v>870.99285385000007</v>
      </c>
      <c r="I49" s="262">
        <f>IFERROR(IF(G49="y",IF(H49&lt;&gt;"-",H49,INDEX(Raw_Data,MATCH($A49,Look_Up,0),MATCH(I$4,Component,0))/1000*(1+'Raw Data'!$H$13)),(INDEX(Raw_Data,MATCH($A49,Look_Up,0),MATCH(I$4,Component,0))/1000)),"-")</f>
        <v>870.99285385000007</v>
      </c>
      <c r="J49" s="361"/>
      <c r="K49" s="361"/>
      <c r="L49" s="361"/>
      <c r="M49" s="262">
        <f t="shared" si="33"/>
        <v>696.79428308000013</v>
      </c>
      <c r="N49" s="362"/>
      <c r="O49" s="361"/>
      <c r="P49" s="262">
        <f t="shared" si="36"/>
        <v>1567.7871369300001</v>
      </c>
      <c r="Q49" s="361"/>
      <c r="R49" s="361"/>
      <c r="S49" s="361"/>
      <c r="T49" s="262">
        <f t="shared" si="34"/>
        <v>1697.2764423126728</v>
      </c>
      <c r="U49" s="362"/>
      <c r="V49" s="361"/>
      <c r="W49" s="262">
        <f t="shared" si="37"/>
        <v>3265.0635792426729</v>
      </c>
      <c r="X49" s="362"/>
      <c r="Y49" s="361"/>
      <c r="Z49" s="361"/>
      <c r="AA49" s="262">
        <f t="shared" si="35"/>
        <v>3270.959420792673</v>
      </c>
      <c r="AB49" s="362"/>
    </row>
    <row r="50" spans="1:30" ht="14.5">
      <c r="A50" s="295" t="str">
        <f t="shared" si="31"/>
        <v>TSX:PAAS_2025_NEO1</v>
      </c>
      <c r="B50" s="295" t="str">
        <f t="shared" si="31"/>
        <v>TSX:PAAS</v>
      </c>
      <c r="C50" s="296" t="str">
        <f>_xll.ciqfunctions.udf.CIQ(B50,"IQ_COMPANY_NAME")</f>
        <v>Pan American Silver Corp.</v>
      </c>
      <c r="G50" s="294" t="s">
        <v>398</v>
      </c>
      <c r="H50" s="262" t="str">
        <f t="shared" si="32"/>
        <v>-</v>
      </c>
      <c r="I50" s="262">
        <f>IFERROR(IF(G50="y",IF(H50&lt;&gt;"-",H50,INDEX(Raw_Data,MATCH($A50,Look_Up,0),MATCH(I$4,Component,0))/1000*(1+'Raw Data'!$H$13)),(INDEX(Raw_Data,MATCH($A50,Look_Up,0),MATCH(I$4,Component,0))/1000)),"-")</f>
        <v>782.80000000000007</v>
      </c>
      <c r="J50" s="362"/>
      <c r="K50" s="362"/>
      <c r="L50" s="362"/>
      <c r="M50" s="262">
        <f t="shared" si="33"/>
        <v>626.24000000000012</v>
      </c>
      <c r="N50" s="362"/>
      <c r="O50" s="362"/>
      <c r="P50" s="262">
        <f t="shared" si="36"/>
        <v>1409.0400000000002</v>
      </c>
      <c r="Q50" s="362"/>
      <c r="R50" s="362"/>
      <c r="S50" s="362"/>
      <c r="T50" s="262">
        <f t="shared" si="34"/>
        <v>1722.1600000000003</v>
      </c>
      <c r="U50" s="362"/>
      <c r="V50" s="362"/>
      <c r="W50" s="262">
        <f t="shared" si="37"/>
        <v>3131.2000000000007</v>
      </c>
      <c r="X50" s="362"/>
      <c r="Y50" s="362"/>
      <c r="Z50" s="362"/>
      <c r="AA50" s="262">
        <f t="shared" si="35"/>
        <v>3281.2000000000007</v>
      </c>
      <c r="AB50" s="362"/>
    </row>
    <row r="51" spans="1:30" ht="14.5">
      <c r="A51" s="295" t="str">
        <f t="shared" si="31"/>
        <v>TSX:CDE_2025_NEO1</v>
      </c>
      <c r="B51" s="295" t="str">
        <f t="shared" si="31"/>
        <v>TSX:CDE</v>
      </c>
      <c r="C51" s="296" t="str">
        <f>_xll.ciqfunctions.udf.CIQ(B51,"IQ_COMPANY_NAME")</f>
        <v>Coeur Mining, Inc.</v>
      </c>
      <c r="G51" s="294" t="s">
        <v>398</v>
      </c>
      <c r="H51" s="262" t="str">
        <f t="shared" si="32"/>
        <v>-</v>
      </c>
      <c r="I51" s="262">
        <f>IFERROR(IF(G51="y",IF(H51&lt;&gt;"-",H51,INDEX(Raw_Data,MATCH($A51,Look_Up,0),MATCH(I$4,Component,0))/1000*(1+'Raw Data'!$H$13)),(INDEX(Raw_Data,MATCH($A51,Look_Up,0),MATCH(I$4,Component,0))/1000)),"-")</f>
        <v>755.6710875</v>
      </c>
      <c r="J51" s="362"/>
      <c r="K51" s="362"/>
      <c r="L51" s="362"/>
      <c r="M51" s="262">
        <f t="shared" si="33"/>
        <v>755.6710875</v>
      </c>
      <c r="N51" s="362"/>
      <c r="O51" s="362"/>
      <c r="P51" s="262">
        <f t="shared" si="36"/>
        <v>1511.342175</v>
      </c>
      <c r="Q51" s="362"/>
      <c r="R51" s="362"/>
      <c r="S51" s="362"/>
      <c r="T51" s="262">
        <f t="shared" si="34"/>
        <v>1700.259946875</v>
      </c>
      <c r="U51" s="362"/>
      <c r="V51" s="362"/>
      <c r="W51" s="262">
        <f t="shared" si="37"/>
        <v>3211.6021218750002</v>
      </c>
      <c r="X51" s="362"/>
      <c r="Y51" s="362"/>
      <c r="Z51" s="362"/>
      <c r="AA51" s="262">
        <f t="shared" si="35"/>
        <v>3312.7062319250003</v>
      </c>
      <c r="AB51" s="362"/>
    </row>
    <row r="52" spans="1:30" ht="14.5">
      <c r="A52" s="295" t="str">
        <f t="shared" si="31"/>
        <v>TSX:AGI_2025_NEO1</v>
      </c>
      <c r="B52" s="295" t="str">
        <f t="shared" si="31"/>
        <v>TSX:AGI</v>
      </c>
      <c r="C52" s="296" t="str">
        <f>_xll.ciqfunctions.udf.CIQ(B52,"IQ_COMPANY_NAME")</f>
        <v>Alamos Gold Inc.</v>
      </c>
      <c r="G52" s="294" t="s">
        <v>398</v>
      </c>
      <c r="H52" s="262" t="str">
        <f t="shared" si="32"/>
        <v>-</v>
      </c>
      <c r="I52" s="262">
        <f>IFERROR(IF(G52="y",IF(H52&lt;&gt;"-",H52,INDEX(Raw_Data,MATCH($A52,Look_Up,0),MATCH(I$4,Component,0))/1000*(1+'Raw Data'!$H$13)),(INDEX(Raw_Data,MATCH($A52,Look_Up,0),MATCH(I$4,Component,0))/1000)),"-")</f>
        <v>695.06626628250012</v>
      </c>
      <c r="J52" s="362"/>
      <c r="K52" s="362"/>
      <c r="L52" s="362"/>
      <c r="M52" s="262">
        <f t="shared" si="33"/>
        <v>590.80632634012511</v>
      </c>
      <c r="N52" s="362"/>
      <c r="O52" s="362"/>
      <c r="P52" s="262">
        <f t="shared" si="36"/>
        <v>1285.8725926226252</v>
      </c>
      <c r="Q52" s="362"/>
      <c r="R52" s="362"/>
      <c r="S52" s="362"/>
      <c r="T52" s="262">
        <f t="shared" si="34"/>
        <v>1163.5310130997036</v>
      </c>
      <c r="U52" s="362"/>
      <c r="V52" s="362"/>
      <c r="W52" s="262">
        <f t="shared" si="37"/>
        <v>2449.4036057223288</v>
      </c>
      <c r="X52" s="362"/>
      <c r="Y52" s="362"/>
      <c r="Z52" s="362"/>
      <c r="AA52" s="262">
        <f t="shared" si="35"/>
        <v>2623.3567842723292</v>
      </c>
      <c r="AB52" s="362"/>
    </row>
    <row r="53" spans="1:30" ht="14.5">
      <c r="A53" s="295" t="str">
        <f t="shared" si="31"/>
        <v>NYSE:HL_2025_NEO1</v>
      </c>
      <c r="B53" s="295" t="str">
        <f t="shared" si="31"/>
        <v>NYSE:HL</v>
      </c>
      <c r="C53" s="296" t="str">
        <f>_xll.ciqfunctions.udf.CIQ(B53,"IQ_COMPANY_NAME")</f>
        <v>Hecla Mining Company</v>
      </c>
      <c r="G53" s="294" t="s">
        <v>398</v>
      </c>
      <c r="H53" s="262">
        <f t="shared" si="32"/>
        <v>558.98</v>
      </c>
      <c r="I53" s="262">
        <f>IFERROR(IF(G53="y",IF(H53&lt;&gt;"-",H53,INDEX(Raw_Data,MATCH($A53,Look_Up,0),MATCH(I$4,Component,0))/1000*(1+'Raw Data'!$H$13)),(INDEX(Raw_Data,MATCH($A53,Look_Up,0),MATCH(I$4,Component,0))/1000)),"-")</f>
        <v>558.98</v>
      </c>
      <c r="J53" s="362"/>
      <c r="K53" s="362"/>
      <c r="L53" s="362"/>
      <c r="M53" s="262">
        <f t="shared" si="33"/>
        <v>447.18400000000003</v>
      </c>
      <c r="N53" s="362"/>
      <c r="O53" s="362"/>
      <c r="P53" s="262">
        <f t="shared" si="36"/>
        <v>1006.164</v>
      </c>
      <c r="Q53" s="362"/>
      <c r="R53" s="362"/>
      <c r="S53" s="362"/>
      <c r="T53" s="262">
        <f t="shared" si="34"/>
        <v>978.21500000000003</v>
      </c>
      <c r="U53" s="362"/>
      <c r="V53" s="362"/>
      <c r="W53" s="262">
        <f t="shared" si="37"/>
        <v>1984.3789999999999</v>
      </c>
      <c r="X53" s="362"/>
      <c r="Y53" s="362"/>
      <c r="Z53" s="362"/>
      <c r="AA53" s="262">
        <f t="shared" si="35"/>
        <v>2670.5842454500003</v>
      </c>
      <c r="AB53" s="362"/>
    </row>
    <row r="54" spans="1:30" s="17" customFormat="1" ht="14.5">
      <c r="A54" s="295" t="str">
        <f t="shared" si="31"/>
        <v>TSX:IMG_2025_NEO1</v>
      </c>
      <c r="B54" s="295" t="str">
        <f t="shared" si="31"/>
        <v>TSX:IMG</v>
      </c>
      <c r="C54" s="296" t="str">
        <f>_xll.ciqfunctions.udf.CIQ(B54,"IQ_COMPANY_NAME")</f>
        <v>IAMGOLD Corporation</v>
      </c>
      <c r="E54" s="22"/>
      <c r="F54" s="20"/>
      <c r="G54" s="294" t="s">
        <v>398</v>
      </c>
      <c r="H54" s="262" t="str">
        <f t="shared" si="32"/>
        <v>-</v>
      </c>
      <c r="I54" s="262">
        <f>IFERROR(IF(G54="y",IF(H54&lt;&gt;"-",H54,INDEX(Raw_Data,MATCH($A54,Look_Up,0),MATCH(I$4,Component,0))/1000*(1+'Raw Data'!$H$13)),(INDEX(Raw_Data,MATCH($A54,Look_Up,0),MATCH(I$4,Component,0))/1000)),"-")</f>
        <v>649.00815</v>
      </c>
      <c r="J54" s="22"/>
      <c r="K54" s="363"/>
      <c r="L54" s="363"/>
      <c r="M54" s="262">
        <f t="shared" si="33"/>
        <v>519.20652000000007</v>
      </c>
      <c r="N54" s="364"/>
      <c r="O54" s="22"/>
      <c r="P54" s="262">
        <f t="shared" si="36"/>
        <v>1168.2146700000001</v>
      </c>
      <c r="Q54" s="21"/>
      <c r="R54" s="365"/>
      <c r="S54" s="365"/>
      <c r="T54" s="262">
        <f t="shared" si="34"/>
        <v>1103.3138549999999</v>
      </c>
      <c r="U54" s="364"/>
      <c r="V54" s="22"/>
      <c r="W54" s="262">
        <f t="shared" si="37"/>
        <v>2271.5285249999997</v>
      </c>
      <c r="X54" s="364"/>
      <c r="Y54" s="22"/>
      <c r="Z54" s="22"/>
      <c r="AA54" s="262">
        <f t="shared" si="35"/>
        <v>2378.3885249999994</v>
      </c>
      <c r="AB54" s="364"/>
      <c r="AC54" s="19"/>
      <c r="AD54" s="19"/>
    </row>
    <row r="55" spans="1:30" ht="14.5">
      <c r="A55" s="295" t="str">
        <f t="shared" si="31"/>
        <v>TSX:CS_2025_NEO1</v>
      </c>
      <c r="B55" s="295" t="str">
        <f t="shared" si="31"/>
        <v>TSX:CS</v>
      </c>
      <c r="C55" s="296" t="str">
        <f>_xll.ciqfunctions.udf.CIQ(B55,"IQ_COMPANY_NAME")</f>
        <v>Capstone Copper Corp.</v>
      </c>
      <c r="G55" s="294" t="s">
        <v>398</v>
      </c>
      <c r="H55" s="262" t="str">
        <f t="shared" si="32"/>
        <v>-</v>
      </c>
      <c r="I55" s="262">
        <f>IFERROR(IF(G55="y",IF(H55&lt;&gt;"-",H55,INDEX(Raw_Data,MATCH($A55,Look_Up,0),MATCH(I$4,Component,0))/1000*(1+'Raw Data'!$H$13)),(INDEX(Raw_Data,MATCH($A55,Look_Up,0),MATCH(I$4,Component,0))/1000)),"-")</f>
        <v>706.79115000000002</v>
      </c>
      <c r="J55" s="366"/>
      <c r="K55" s="366"/>
      <c r="L55" s="366"/>
      <c r="M55" s="262">
        <f t="shared" si="33"/>
        <v>636.11203499999999</v>
      </c>
      <c r="N55" s="362"/>
      <c r="O55" s="366"/>
      <c r="P55" s="262">
        <f t="shared" si="36"/>
        <v>1342.9031850000001</v>
      </c>
      <c r="Q55" s="366"/>
      <c r="R55" s="366"/>
      <c r="S55" s="366"/>
      <c r="T55" s="262">
        <f t="shared" si="34"/>
        <v>1201.5449550000001</v>
      </c>
      <c r="U55" s="362"/>
      <c r="V55" s="366"/>
      <c r="W55" s="262">
        <f t="shared" si="37"/>
        <v>2544.4481400000004</v>
      </c>
      <c r="X55" s="362"/>
      <c r="Y55" s="366"/>
      <c r="Z55" s="366"/>
      <c r="AA55" s="262">
        <f t="shared" si="35"/>
        <v>2552.7561400000004</v>
      </c>
      <c r="AB55" s="362"/>
    </row>
    <row r="56" spans="1:30" ht="14.5">
      <c r="A56" s="295" t="str">
        <f t="shared" si="31"/>
        <v>TSX:ELD_2025_NEO1</v>
      </c>
      <c r="B56" s="295" t="str">
        <f t="shared" si="31"/>
        <v>TSX:ELD</v>
      </c>
      <c r="C56" s="296" t="str">
        <f>_xll.ciqfunctions.udf.CIQ(B56,"IQ_COMPANY_NAME")</f>
        <v>Eldorado Gold Corporation</v>
      </c>
      <c r="G56" s="294" t="s">
        <v>398</v>
      </c>
      <c r="H56" s="262" t="str">
        <f t="shared" si="32"/>
        <v>-</v>
      </c>
      <c r="I56" s="262">
        <f>IFERROR(IF(G56="y",IF(H56&lt;&gt;"-",H56,INDEX(Raw_Data,MATCH($A56,Look_Up,0),MATCH(I$4,Component,0))/1000*(1+'Raw Data'!$H$13)),(INDEX(Raw_Data,MATCH($A56,Look_Up,0),MATCH(I$4,Component,0))/1000)),"-")</f>
        <v>760.95679000000007</v>
      </c>
      <c r="J56" s="362"/>
      <c r="K56" s="362"/>
      <c r="L56" s="362"/>
      <c r="M56" s="262">
        <f t="shared" si="33"/>
        <v>608.76543200000003</v>
      </c>
      <c r="N56" s="362"/>
      <c r="O56" s="362"/>
      <c r="P56" s="262">
        <f t="shared" si="36"/>
        <v>1369.7222220000001</v>
      </c>
      <c r="Q56" s="362"/>
      <c r="R56" s="362"/>
      <c r="S56" s="362"/>
      <c r="T56" s="262">
        <f t="shared" si="34"/>
        <v>1141.435185</v>
      </c>
      <c r="U56" s="362"/>
      <c r="V56" s="362"/>
      <c r="W56" s="262">
        <f t="shared" si="37"/>
        <v>2511.1574070000001</v>
      </c>
      <c r="X56" s="362"/>
      <c r="Y56" s="362"/>
      <c r="Z56" s="362"/>
      <c r="AA56" s="262">
        <f t="shared" si="35"/>
        <v>2615.8204070000002</v>
      </c>
      <c r="AB56" s="362"/>
    </row>
    <row r="57" spans="1:30" ht="14.5">
      <c r="A57" s="295" t="str">
        <f t="shared" si="31"/>
        <v>TSX:EQX_2025_NEO1</v>
      </c>
      <c r="B57" s="295" t="str">
        <f t="shared" si="31"/>
        <v>TSX:EQX</v>
      </c>
      <c r="C57" s="296" t="str">
        <f>_xll.ciqfunctions.udf.CIQ(B57,"IQ_COMPANY_NAME")</f>
        <v>Equinox Gold Corp.</v>
      </c>
      <c r="G57" s="294" t="s">
        <v>398</v>
      </c>
      <c r="H57" s="262" t="str">
        <f t="shared" si="32"/>
        <v>-</v>
      </c>
      <c r="I57" s="262">
        <f>IFERROR(IF(G57="y",IF(H57&lt;&gt;"-",H57,INDEX(Raw_Data,MATCH($A57,Look_Up,0),MATCH(I$4,Component,0))/1000*(1+'Raw Data'!$H$13)),(INDEX(Raw_Data,MATCH($A57,Look_Up,0),MATCH(I$4,Component,0))/1000)),"-")</f>
        <v>515</v>
      </c>
      <c r="J57" s="362"/>
      <c r="K57" s="362"/>
      <c r="L57" s="362"/>
      <c r="M57" s="262">
        <f t="shared" si="33"/>
        <v>463.5</v>
      </c>
      <c r="N57" s="362"/>
      <c r="O57" s="362"/>
      <c r="P57" s="262">
        <f t="shared" si="36"/>
        <v>978.5</v>
      </c>
      <c r="Q57" s="362"/>
      <c r="R57" s="362"/>
      <c r="S57" s="362"/>
      <c r="T57" s="262">
        <f t="shared" si="34"/>
        <v>452.50783999999999</v>
      </c>
      <c r="U57" s="362"/>
      <c r="V57" s="362"/>
      <c r="W57" s="262">
        <f t="shared" si="37"/>
        <v>1431.00784</v>
      </c>
      <c r="X57" s="362"/>
      <c r="Y57" s="362"/>
      <c r="Z57" s="362"/>
      <c r="AA57" s="262">
        <f t="shared" si="35"/>
        <v>1443.75584</v>
      </c>
      <c r="AB57" s="362"/>
    </row>
    <row r="58" spans="1:30" ht="14.5">
      <c r="A58" s="295" t="str">
        <f t="shared" si="31"/>
        <v>TSX:SSRM_2025_NEO1</v>
      </c>
      <c r="B58" s="295" t="str">
        <f t="shared" si="31"/>
        <v>TSX:SSRM</v>
      </c>
      <c r="C58" s="296" t="str">
        <f>_xll.ciqfunctions.udf.CIQ(B58,"IQ_COMPANY_NAME")</f>
        <v>SSR Mining Inc.</v>
      </c>
      <c r="G58" s="294" t="s">
        <v>398</v>
      </c>
      <c r="H58" s="262" t="str">
        <f t="shared" si="32"/>
        <v>-</v>
      </c>
      <c r="I58" s="262">
        <f>IFERROR(IF(G58="y",IF(H58&lt;&gt;"-",H58,INDEX(Raw_Data,MATCH($A58,Look_Up,0),MATCH(I$4,Component,0))/1000*(1+'Raw Data'!$H$13)),(INDEX(Raw_Data,MATCH($A58,Look_Up,0),MATCH(I$4,Component,0))/1000)),"-")</f>
        <v>863.6241</v>
      </c>
      <c r="J58" s="362"/>
      <c r="K58" s="362"/>
      <c r="L58" s="362"/>
      <c r="M58" s="262">
        <f t="shared" si="33"/>
        <v>647.718075</v>
      </c>
      <c r="N58" s="362"/>
      <c r="O58" s="362"/>
      <c r="P58" s="262">
        <f t="shared" si="36"/>
        <v>1511.342175</v>
      </c>
      <c r="Q58" s="362"/>
      <c r="R58" s="362"/>
      <c r="S58" s="362"/>
      <c r="T58" s="262">
        <f t="shared" si="34"/>
        <v>1511.342175</v>
      </c>
      <c r="U58" s="362"/>
      <c r="V58" s="362"/>
      <c r="W58" s="262">
        <f t="shared" si="37"/>
        <v>3022.68435</v>
      </c>
      <c r="X58" s="362"/>
      <c r="Y58" s="362"/>
      <c r="Z58" s="362"/>
      <c r="AA58" s="262">
        <f t="shared" si="35"/>
        <v>3109.2731469</v>
      </c>
      <c r="AB58" s="362"/>
    </row>
    <row r="59" spans="1:30" ht="14.5">
      <c r="A59" s="295" t="str">
        <f t="shared" si="31"/>
        <v>TSX:BTO_2025_NEO1</v>
      </c>
      <c r="B59" s="295" t="str">
        <f t="shared" si="31"/>
        <v>TSX:BTO</v>
      </c>
      <c r="C59" s="296" t="str">
        <f>_xll.ciqfunctions.udf.CIQ(B59,"IQ_COMPANY_NAME")</f>
        <v>B2Gold Corp.</v>
      </c>
      <c r="G59" s="294" t="s">
        <v>398</v>
      </c>
      <c r="H59" s="262" t="str">
        <f t="shared" si="32"/>
        <v>-</v>
      </c>
      <c r="I59" s="262">
        <f>IFERROR(IF(G59="y",IF(H59&lt;&gt;"-",H59,INDEX(Raw_Data,MATCH($A59,Look_Up,0),MATCH(I$4,Component,0))/1000*(1+'Raw Data'!$H$13)),(INDEX(Raw_Data,MATCH($A59,Look_Up,0),MATCH(I$4,Component,0))/1000)),"-")</f>
        <v>682.98272574999999</v>
      </c>
      <c r="J59" s="362"/>
      <c r="K59" s="362"/>
      <c r="L59" s="362"/>
      <c r="M59" s="262">
        <f t="shared" si="33"/>
        <v>512.23704431249996</v>
      </c>
      <c r="N59" s="362"/>
      <c r="O59" s="362"/>
      <c r="P59" s="262">
        <f t="shared" si="36"/>
        <v>1195.2197700624999</v>
      </c>
      <c r="Q59" s="362"/>
      <c r="R59" s="362"/>
      <c r="S59" s="362"/>
      <c r="T59" s="262">
        <f t="shared" si="34"/>
        <v>1968.3039183743333</v>
      </c>
      <c r="U59" s="362"/>
      <c r="V59" s="362"/>
      <c r="W59" s="262">
        <f t="shared" si="37"/>
        <v>3163.5236884368333</v>
      </c>
      <c r="X59" s="362"/>
      <c r="Y59" s="362"/>
      <c r="Z59" s="362"/>
      <c r="AA59" s="262">
        <f t="shared" si="35"/>
        <v>3164.5438269368333</v>
      </c>
      <c r="AB59" s="362"/>
    </row>
    <row r="60" spans="1:30" ht="14.5">
      <c r="A60" s="295" t="str">
        <f t="shared" si="31"/>
        <v>TSX:OGC_2025_NEO1</v>
      </c>
      <c r="B60" s="295" t="str">
        <f t="shared" si="31"/>
        <v>TSX:OGC</v>
      </c>
      <c r="C60" s="296" t="str">
        <f>_xll.ciqfunctions.udf.CIQ(B60,"IQ_COMPANY_NAME")</f>
        <v>OceanaGold Corporation</v>
      </c>
      <c r="G60" s="294" t="s">
        <v>398</v>
      </c>
      <c r="H60" s="262" t="str">
        <f t="shared" si="32"/>
        <v>-</v>
      </c>
      <c r="I60" s="262">
        <f>IFERROR(IF(G60="y",IF(H60&lt;&gt;"-",H60,INDEX(Raw_Data,MATCH($A60,Look_Up,0),MATCH(I$4,Component,0))/1000*(1+'Raw Data'!$H$13)),(INDEX(Raw_Data,MATCH($A60,Look_Up,0),MATCH(I$4,Component,0))/1000)),"-")</f>
        <v>628.37001641300003</v>
      </c>
      <c r="J60" s="362"/>
      <c r="K60" s="362"/>
      <c r="L60" s="362"/>
      <c r="M60" s="262">
        <f t="shared" si="33"/>
        <v>439.8590114891</v>
      </c>
      <c r="N60" s="362"/>
      <c r="O60" s="362"/>
      <c r="P60" s="262">
        <f t="shared" si="36"/>
        <v>1068.2290279020999</v>
      </c>
      <c r="Q60" s="362"/>
      <c r="R60" s="362"/>
      <c r="S60" s="362"/>
      <c r="T60" s="262">
        <f t="shared" si="34"/>
        <v>2686.4538972675</v>
      </c>
      <c r="U60" s="362"/>
      <c r="V60" s="362"/>
      <c r="W60" s="262">
        <f t="shared" si="37"/>
        <v>3754.6829251695999</v>
      </c>
      <c r="X60" s="362"/>
      <c r="Y60" s="362"/>
      <c r="Z60" s="362"/>
      <c r="AA60" s="262">
        <f t="shared" si="35"/>
        <v>3794.5577634696001</v>
      </c>
      <c r="AB60" s="362"/>
    </row>
    <row r="61" spans="1:30" ht="14.5">
      <c r="A61" s="295" t="str">
        <f t="shared" si="31"/>
        <v>TSX:CG_2025_NEO1</v>
      </c>
      <c r="B61" s="295" t="str">
        <f t="shared" si="31"/>
        <v>TSX:CG</v>
      </c>
      <c r="C61" s="296" t="str">
        <f>_xll.ciqfunctions.udf.CIQ(B61,"IQ_COMPANY_NAME")</f>
        <v>Centerra Gold Inc.</v>
      </c>
      <c r="G61" s="294" t="s">
        <v>398</v>
      </c>
      <c r="H61" s="262" t="str">
        <f t="shared" si="32"/>
        <v>-</v>
      </c>
      <c r="I61" s="262">
        <f>IFERROR(IF(G61="y",IF(H61&lt;&gt;"-",H61,INDEX(Raw_Data,MATCH($A61,Look_Up,0),MATCH(I$4,Component,0))/1000*(1+'Raw Data'!$H$13)),(INDEX(Raw_Data,MATCH($A61,Look_Up,0),MATCH(I$4,Component,0))/1000)),"-")</f>
        <v>568.69493</v>
      </c>
      <c r="J61" s="362"/>
      <c r="K61" s="362"/>
      <c r="L61" s="362"/>
      <c r="M61" s="262">
        <f t="shared" si="33"/>
        <v>454.95594400000004</v>
      </c>
      <c r="N61" s="362"/>
      <c r="O61" s="362"/>
      <c r="P61" s="262">
        <f t="shared" si="36"/>
        <v>1023.650874</v>
      </c>
      <c r="Q61" s="362"/>
      <c r="R61" s="362"/>
      <c r="S61" s="362"/>
      <c r="T61" s="262">
        <f t="shared" si="34"/>
        <v>1023.650874</v>
      </c>
      <c r="U61" s="362"/>
      <c r="V61" s="362"/>
      <c r="W61" s="262">
        <f t="shared" si="37"/>
        <v>2047.3017480000001</v>
      </c>
      <c r="X61" s="362"/>
      <c r="Y61" s="362"/>
      <c r="Z61" s="362"/>
      <c r="AA61" s="262">
        <f t="shared" si="35"/>
        <v>2248.3557479999999</v>
      </c>
      <c r="AB61" s="362"/>
    </row>
    <row r="62" spans="1:30" ht="14.5">
      <c r="A62" s="295" t="str">
        <f t="shared" si="31"/>
        <v>0_2025_NEO1</v>
      </c>
      <c r="B62" s="295">
        <f t="shared" si="31"/>
        <v>0</v>
      </c>
      <c r="C62" s="296" t="str">
        <f>_xll.ciqfunctions.udf.CIQ(B62,"IQ_COMPANY_NAME")</f>
        <v>(Invalid Identifier)</v>
      </c>
      <c r="G62" s="294" t="s">
        <v>398</v>
      </c>
      <c r="H62" s="262" t="str">
        <f t="shared" si="32"/>
        <v>-</v>
      </c>
      <c r="I62" s="262" t="str">
        <f>IFERROR(IF(G62="y",IF(H62&lt;&gt;"-",H62,INDEX(Raw_Data,MATCH($A62,Look_Up,0),MATCH(I$4,Component,0))/1000*(1+'Raw Data'!$H$13)),(INDEX(Raw_Data,MATCH($A62,Look_Up,0),MATCH(I$4,Component,0))/1000)),"-")</f>
        <v>-</v>
      </c>
      <c r="J62" s="362"/>
      <c r="K62" s="362"/>
      <c r="L62" s="362"/>
      <c r="M62" s="262" t="str">
        <f t="shared" si="33"/>
        <v>-</v>
      </c>
      <c r="N62" s="362"/>
      <c r="O62" s="362"/>
      <c r="P62" s="262" t="str">
        <f t="shared" si="36"/>
        <v>-</v>
      </c>
      <c r="Q62" s="362"/>
      <c r="R62" s="362"/>
      <c r="S62" s="362"/>
      <c r="T62" s="262" t="str">
        <f t="shared" si="34"/>
        <v>-</v>
      </c>
      <c r="U62" s="362"/>
      <c r="V62" s="362"/>
      <c r="W62" s="262" t="str">
        <f t="shared" si="37"/>
        <v>-</v>
      </c>
      <c r="X62" s="362"/>
      <c r="Y62" s="362"/>
      <c r="Z62" s="362"/>
      <c r="AA62" s="262" t="str">
        <f t="shared" si="35"/>
        <v>-</v>
      </c>
      <c r="AB62" s="362"/>
    </row>
    <row r="63" spans="1:30" ht="14.5">
      <c r="A63" s="295" t="str">
        <f t="shared" si="31"/>
        <v>0_2025_NEO1</v>
      </c>
      <c r="B63" s="295">
        <f t="shared" si="31"/>
        <v>0</v>
      </c>
      <c r="C63" s="296" t="str">
        <f>_xll.ciqfunctions.udf.CIQ(B63,"IQ_COMPANY_NAME")</f>
        <v>(Invalid Identifier)</v>
      </c>
      <c r="G63" s="294" t="s">
        <v>398</v>
      </c>
      <c r="H63" s="262" t="str">
        <f t="shared" si="32"/>
        <v>-</v>
      </c>
      <c r="I63" s="262" t="str">
        <f>IFERROR(IF(G63="y",IF(H63&lt;&gt;"-",H63,INDEX(Raw_Data,MATCH($A63,Look_Up,0),MATCH(I$4,Component,0))/1000*(1+'Raw Data'!$H$13)),(INDEX(Raw_Data,MATCH($A63,Look_Up,0),MATCH(I$4,Component,0))/1000)),"-")</f>
        <v>-</v>
      </c>
      <c r="J63" s="362"/>
      <c r="K63" s="362"/>
      <c r="L63" s="362"/>
      <c r="M63" s="262" t="str">
        <f t="shared" si="33"/>
        <v>-</v>
      </c>
      <c r="N63" s="362"/>
      <c r="O63" s="362"/>
      <c r="P63" s="262" t="str">
        <f t="shared" si="36"/>
        <v>-</v>
      </c>
      <c r="Q63" s="362"/>
      <c r="R63" s="362"/>
      <c r="S63" s="362"/>
      <c r="T63" s="262" t="str">
        <f t="shared" si="34"/>
        <v>-</v>
      </c>
      <c r="U63" s="362"/>
      <c r="V63" s="362"/>
      <c r="W63" s="262" t="str">
        <f t="shared" si="37"/>
        <v>-</v>
      </c>
      <c r="X63" s="362"/>
      <c r="Y63" s="362"/>
      <c r="Z63" s="362"/>
      <c r="AA63" s="262" t="str">
        <f t="shared" si="35"/>
        <v>-</v>
      </c>
      <c r="AB63" s="362"/>
    </row>
    <row r="64" spans="1:30" ht="14.5">
      <c r="A64" s="295" t="str">
        <f t="shared" si="31"/>
        <v>0_2025_NEO1</v>
      </c>
      <c r="B64" s="295">
        <f t="shared" si="31"/>
        <v>0</v>
      </c>
      <c r="C64" s="296" t="str">
        <f>_xll.ciqfunctions.udf.CIQ(B64,"IQ_COMPANY_NAME")</f>
        <v>(Invalid Identifier)</v>
      </c>
      <c r="G64" s="294" t="s">
        <v>398</v>
      </c>
      <c r="H64" s="262" t="str">
        <f t="shared" si="32"/>
        <v>-</v>
      </c>
      <c r="I64" s="262" t="str">
        <f>IFERROR(IF(G64="y",IF(H64&lt;&gt;"-",H64,INDEX(Raw_Data,MATCH($A64,Look_Up,0),MATCH(I$4,Component,0))/1000*(1+'Raw Data'!$H$13)),(INDEX(Raw_Data,MATCH($A64,Look_Up,0),MATCH(I$4,Component,0))/1000)),"-")</f>
        <v>-</v>
      </c>
      <c r="J64" s="362"/>
      <c r="K64" s="362"/>
      <c r="L64" s="362"/>
      <c r="M64" s="262" t="str">
        <f t="shared" si="33"/>
        <v>-</v>
      </c>
      <c r="N64" s="362"/>
      <c r="O64" s="362"/>
      <c r="P64" s="262" t="str">
        <f t="shared" si="36"/>
        <v>-</v>
      </c>
      <c r="Q64" s="362"/>
      <c r="R64" s="362"/>
      <c r="S64" s="362"/>
      <c r="T64" s="262" t="str">
        <f t="shared" si="34"/>
        <v>-</v>
      </c>
      <c r="U64" s="362"/>
      <c r="V64" s="362"/>
      <c r="W64" s="262" t="str">
        <f t="shared" si="37"/>
        <v>-</v>
      </c>
      <c r="X64" s="362"/>
      <c r="Y64" s="362"/>
      <c r="Z64" s="362"/>
      <c r="AA64" s="262" t="str">
        <f t="shared" si="35"/>
        <v>-</v>
      </c>
      <c r="AB64" s="362"/>
    </row>
    <row r="65" spans="1:28" ht="14.5">
      <c r="A65" s="295" t="str">
        <f t="shared" si="31"/>
        <v>0_2025_NEO1</v>
      </c>
      <c r="B65" s="295">
        <f t="shared" si="31"/>
        <v>0</v>
      </c>
      <c r="C65" s="296" t="str">
        <f>_xll.ciqfunctions.udf.CIQ(B65,"IQ_COMPANY_NAME")</f>
        <v>(Invalid Identifier)</v>
      </c>
      <c r="G65" s="294" t="s">
        <v>398</v>
      </c>
      <c r="H65" s="262" t="str">
        <f t="shared" si="32"/>
        <v>-</v>
      </c>
      <c r="I65" s="262" t="str">
        <f>IFERROR(IF(G65="y",IF(H65&lt;&gt;"-",H65,INDEX(Raw_Data,MATCH($A65,Look_Up,0),MATCH(I$4,Component,0))/1000*(1+'Raw Data'!$H$13)),(INDEX(Raw_Data,MATCH($A65,Look_Up,0),MATCH(I$4,Component,0))/1000)),"-")</f>
        <v>-</v>
      </c>
      <c r="J65" s="362"/>
      <c r="K65" s="362"/>
      <c r="L65" s="362"/>
      <c r="M65" s="262" t="str">
        <f t="shared" si="33"/>
        <v>-</v>
      </c>
      <c r="N65" s="362"/>
      <c r="O65" s="362"/>
      <c r="P65" s="262" t="str">
        <f t="shared" si="36"/>
        <v>-</v>
      </c>
      <c r="Q65" s="362"/>
      <c r="R65" s="362"/>
      <c r="S65" s="362"/>
      <c r="T65" s="262" t="str">
        <f t="shared" si="34"/>
        <v>-</v>
      </c>
      <c r="U65" s="362"/>
      <c r="V65" s="362"/>
      <c r="W65" s="262" t="str">
        <f t="shared" si="37"/>
        <v>-</v>
      </c>
      <c r="X65" s="362"/>
      <c r="Y65" s="362"/>
      <c r="Z65" s="362"/>
      <c r="AA65" s="262" t="str">
        <f t="shared" si="35"/>
        <v>-</v>
      </c>
      <c r="AB65" s="362"/>
    </row>
    <row r="66" spans="1:28" ht="14.5">
      <c r="A66" s="295" t="str">
        <f t="shared" si="31"/>
        <v>0_2025_NEO1</v>
      </c>
      <c r="B66" s="295">
        <f t="shared" si="31"/>
        <v>0</v>
      </c>
      <c r="C66" s="296" t="str">
        <f>_xll.ciqfunctions.udf.CIQ(B66,"IQ_COMPANY_NAME")</f>
        <v>(Invalid Identifier)</v>
      </c>
      <c r="G66" s="294" t="s">
        <v>398</v>
      </c>
      <c r="H66" s="304" t="str">
        <f t="shared" si="32"/>
        <v>-</v>
      </c>
      <c r="I66" s="262" t="str">
        <f>IFERROR(IF(G66="y",IF(H66&lt;&gt;"-",H66,INDEX(Raw_Data,MATCH($A66,Look_Up,0),MATCH(I$4,Component,0))/1000*(1+'Raw Data'!$H$13)),(INDEX(Raw_Data,MATCH($A66,Look_Up,0),MATCH(I$4,Component,0))/1000)),"-")</f>
        <v>-</v>
      </c>
      <c r="J66" s="362"/>
      <c r="K66" s="362"/>
      <c r="L66" s="362"/>
      <c r="M66" s="262" t="str">
        <f t="shared" si="33"/>
        <v>-</v>
      </c>
      <c r="N66" s="362"/>
      <c r="O66" s="362"/>
      <c r="P66" s="304" t="str">
        <f t="shared" si="36"/>
        <v>-</v>
      </c>
      <c r="Q66" s="362"/>
      <c r="R66" s="362"/>
      <c r="S66" s="362"/>
      <c r="T66" s="262" t="str">
        <f t="shared" si="34"/>
        <v>-</v>
      </c>
      <c r="U66" s="362"/>
      <c r="V66" s="362"/>
      <c r="W66" s="304" t="str">
        <f t="shared" si="37"/>
        <v>-</v>
      </c>
      <c r="X66" s="362"/>
      <c r="Y66" s="362"/>
      <c r="Z66" s="362"/>
      <c r="AA66" s="304" t="str">
        <f t="shared" si="35"/>
        <v>-</v>
      </c>
      <c r="AB66" s="362"/>
    </row>
    <row r="67" spans="1:28" ht="14.5">
      <c r="A67" s="15"/>
      <c r="B67" s="15"/>
      <c r="I67" s="288"/>
      <c r="M67" s="288"/>
      <c r="P67" s="288"/>
      <c r="T67" s="288"/>
      <c r="W67" s="288"/>
      <c r="AA67" s="288"/>
    </row>
    <row r="68" spans="1:28" ht="14.5">
      <c r="A68" s="15"/>
      <c r="B68" s="15"/>
      <c r="I68" s="262">
        <f>PERCENTILE(I$47:I$66,$B29)</f>
        <v>823.21205000000009</v>
      </c>
      <c r="M68" s="262">
        <f>PERCENTILE(M$47:M$66,$B29)</f>
        <v>641.91505499999994</v>
      </c>
      <c r="P68" s="262">
        <f>PERCENTILE(P$47:P$66,$B29)</f>
        <v>1511.342175</v>
      </c>
      <c r="T68" s="262">
        <f>PERCENTILE(T$47:T$66,$B29)</f>
        <v>1711.2099734375001</v>
      </c>
      <c r="W68" s="262">
        <f>PERCENTILE(W$47:W$66,$B29)</f>
        <v>3187.5629051559167</v>
      </c>
      <c r="AA68" s="262">
        <f>PERCENTILE(AA$47:AA$66,$B29)</f>
        <v>3276.0797103963368</v>
      </c>
    </row>
    <row r="69" spans="1:28" ht="14.5">
      <c r="A69" s="15"/>
      <c r="B69" s="15"/>
      <c r="I69" s="266">
        <f>PERCENTILE(I$47:I$66,$B30)</f>
        <v>706.79115000000002</v>
      </c>
      <c r="M69" s="266">
        <f>PERCENTILE(M$47:M$66,$B30)</f>
        <v>590.80632634012511</v>
      </c>
      <c r="P69" s="266">
        <f>PERCENTILE(P$47:P$66,$B30)</f>
        <v>1342.9031850000001</v>
      </c>
      <c r="T69" s="266">
        <f>PERCENTILE(T$47:T$66,$B30)</f>
        <v>1201.5449550000001</v>
      </c>
      <c r="W69" s="266">
        <f>PERCENTILE(W$47:W$66,$B30)</f>
        <v>2578.2952500000001</v>
      </c>
      <c r="AA69" s="266">
        <f>PERCENTILE(AA$47:AA$66,$B30)</f>
        <v>2961.0442279500003</v>
      </c>
    </row>
    <row r="70" spans="1:28" ht="14.5">
      <c r="A70" s="15"/>
      <c r="B70" s="15"/>
      <c r="I70" s="262">
        <f>PERCENTILE(I$47:I$66,$B31)</f>
        <v>638.68908320650007</v>
      </c>
      <c r="M70" s="262">
        <f>PERCENTILE(M$47:M$66,$B31)</f>
        <v>487.86852215624998</v>
      </c>
      <c r="P70" s="262">
        <f>PERCENTILE(P$47:P$66,$B31)</f>
        <v>1118.2218489510501</v>
      </c>
      <c r="T70" s="262">
        <f>PERCENTILE(T$47:T$66,$B31)</f>
        <v>1063.4823644999999</v>
      </c>
      <c r="W70" s="262">
        <f>PERCENTILE(W$47:W$66,$B31)</f>
        <v>2360.4660653611645</v>
      </c>
      <c r="AA70" s="262">
        <f>PERCENTILE(AA$47:AA$66,$B31)</f>
        <v>2584.2882735000003</v>
      </c>
    </row>
    <row r="71" spans="1:28" ht="14.5">
      <c r="A71" s="15"/>
      <c r="B71" s="15"/>
      <c r="I71" s="270">
        <f>AVERAGE(I47:I66)</f>
        <v>741.99981898903354</v>
      </c>
      <c r="M71" s="270">
        <f>AVERAGE(M47:M66)</f>
        <v>619.68097065184827</v>
      </c>
      <c r="P71" s="270">
        <f>AVERAGE(P47:P66)</f>
        <v>1361.6807896408818</v>
      </c>
      <c r="T71" s="270">
        <f>AVERAGE(T47:T66)</f>
        <v>1452.7158070596008</v>
      </c>
      <c r="W71" s="270">
        <f>AVERAGE(W47:W66)</f>
        <v>2814.3965967004829</v>
      </c>
      <c r="AA71" s="270">
        <f>AVERAGE(AA47:AA66)</f>
        <v>2988.2314967871494</v>
      </c>
    </row>
    <row r="72" spans="1:28">
      <c r="A72" s="15"/>
      <c r="B72" s="15"/>
    </row>
  </sheetData>
  <mergeCells count="10">
    <mergeCell ref="I6:I7"/>
    <mergeCell ref="X6:X7"/>
    <mergeCell ref="Y6:Y7"/>
    <mergeCell ref="Z6:AA6"/>
    <mergeCell ref="C6:C7"/>
    <mergeCell ref="D6:D7"/>
    <mergeCell ref="E6:E7"/>
    <mergeCell ref="F6:F7"/>
    <mergeCell ref="G6:G7"/>
    <mergeCell ref="H6:H7"/>
  </mergeCells>
  <conditionalFormatting sqref="C8:AA27">
    <cfRule type="expression" dxfId="165" priority="4">
      <formula>MOD(ROW(),2)=0</formula>
    </cfRule>
  </conditionalFormatting>
  <conditionalFormatting sqref="C29:AA32">
    <cfRule type="expression" dxfId="164" priority="5">
      <formula>MOD(ROW(),2)=0</formula>
    </cfRule>
  </conditionalFormatting>
  <conditionalFormatting sqref="C34:AA37">
    <cfRule type="expression" dxfId="163" priority="1">
      <formula>MOD(ROW(),2)=0</formula>
    </cfRule>
  </conditionalFormatting>
  <conditionalFormatting sqref="H47:I66">
    <cfRule type="expression" dxfId="162" priority="15">
      <formula>MOD(ROW(),2)=0</formula>
    </cfRule>
  </conditionalFormatting>
  <conditionalFormatting sqref="I68:I71">
    <cfRule type="expression" dxfId="161" priority="20">
      <formula>MOD(ROW(),2)=0</formula>
    </cfRule>
  </conditionalFormatting>
  <conditionalFormatting sqref="M47:M66">
    <cfRule type="expression" dxfId="160" priority="23">
      <formula>MOD(ROW(),2)=0</formula>
    </cfRule>
  </conditionalFormatting>
  <conditionalFormatting sqref="M68:M71">
    <cfRule type="expression" dxfId="159" priority="19">
      <formula>MOD(ROW(),2)=0</formula>
    </cfRule>
  </conditionalFormatting>
  <conditionalFormatting sqref="P47:P66">
    <cfRule type="expression" dxfId="158" priority="22">
      <formula>MOD(ROW(),2)=0</formula>
    </cfRule>
  </conditionalFormatting>
  <conditionalFormatting sqref="P68:P71">
    <cfRule type="expression" dxfId="157" priority="18">
      <formula>MOD(ROW(),2)=0</formula>
    </cfRule>
  </conditionalFormatting>
  <conditionalFormatting sqref="T47:T66">
    <cfRule type="expression" dxfId="156" priority="21">
      <formula>MOD(ROW(),2)=0</formula>
    </cfRule>
  </conditionalFormatting>
  <conditionalFormatting sqref="T68:T71">
    <cfRule type="expression" dxfId="155" priority="17">
      <formula>MOD(ROW(),2)=0</formula>
    </cfRule>
  </conditionalFormatting>
  <conditionalFormatting sqref="W47:W66">
    <cfRule type="expression" dxfId="154" priority="13">
      <formula>MOD(ROW(),2)=0</formula>
    </cfRule>
  </conditionalFormatting>
  <conditionalFormatting sqref="W68:W71">
    <cfRule type="expression" dxfId="153" priority="16">
      <formula>MOD(ROW(),2)=0</formula>
    </cfRule>
  </conditionalFormatting>
  <conditionalFormatting sqref="AA47:AA66">
    <cfRule type="expression" dxfId="152" priority="10">
      <formula>MOD(ROW(),2)=0</formula>
    </cfRule>
  </conditionalFormatting>
  <conditionalFormatting sqref="AA68:AA71">
    <cfRule type="expression" dxfId="151" priority="11">
      <formula>MOD(ROW(),2)=0</formula>
    </cfRule>
  </conditionalFormatting>
  <conditionalFormatting sqref="AC8:AD27">
    <cfRule type="expression" dxfId="150" priority="14">
      <formula>MOD(ROW(),2)=0</formula>
    </cfRule>
  </conditionalFormatting>
  <conditionalFormatting sqref="AC29:AD33 AD34:AD35 AC36:AD37">
    <cfRule type="expression" dxfId="149" priority="12">
      <formula>MOD(ROW(),2)=0</formula>
    </cfRule>
  </conditionalFormatting>
  <conditionalFormatting sqref="AG8:AN27">
    <cfRule type="expression" dxfId="148" priority="6">
      <formula>MOD(ROW(),2)=0</formula>
    </cfRule>
  </conditionalFormatting>
  <conditionalFormatting sqref="AL29:AM37">
    <cfRule type="expression" dxfId="147" priority="7">
      <formula>MOD(ROW(),2)=0</formula>
    </cfRule>
  </conditionalFormatting>
  <dataValidations count="1">
    <dataValidation type="list" allowBlank="1" showInputMessage="1" showErrorMessage="1" sqref="G47:G66" xr:uid="{A3A0FE5D-AA2D-4F7E-A80C-4CA894FBCC00}">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0A512-F723-44CD-A49E-E4F3C1FE563D}">
  <sheetPr>
    <tabColor theme="3"/>
    <pageSetUpPr fitToPage="1"/>
  </sheetPr>
  <dimension ref="A1:AP67"/>
  <sheetViews>
    <sheetView showGridLines="0" topLeftCell="A9" zoomScale="80" zoomScaleNormal="80" workbookViewId="0">
      <selection activeCell="C23" sqref="C23:W35"/>
    </sheetView>
  </sheetViews>
  <sheetFormatPr defaultColWidth="9.1796875" defaultRowHeight="14" outlineLevelRow="1" outlineLevelCol="3"/>
  <cols>
    <col min="1" max="1" width="10.453125" style="12" bestFit="1" customWidth="1"/>
    <col min="2" max="2" width="8.1796875" style="12" customWidth="1"/>
    <col min="3" max="3" width="32.7265625" style="12" customWidth="1"/>
    <col min="4" max="5" width="14.453125" style="12" hidden="1" customWidth="1" outlineLevel="1"/>
    <col min="6" max="6" width="22" style="12" bestFit="1" customWidth="1" outlineLevel="1"/>
    <col min="7" max="7" width="61.54296875" style="12" bestFit="1" customWidth="1"/>
    <col min="8" max="8" width="5.7265625" style="12" hidden="1" customWidth="1" outlineLevel="1"/>
    <col min="9" max="9" width="10.81640625" style="12" bestFit="1" customWidth="1" collapsed="1"/>
    <col min="10" max="10" width="11.1796875" style="12" hidden="1" customWidth="1" outlineLevel="1"/>
    <col min="11" max="11" width="11.7265625" style="12" hidden="1" customWidth="1" outlineLevel="1"/>
    <col min="12" max="12" width="12.453125" style="12" hidden="1" customWidth="1" outlineLevel="1"/>
    <col min="13" max="13" width="11.1796875" style="12" bestFit="1" customWidth="1" collapsed="1"/>
    <col min="14" max="15" width="11.7265625" style="12" bestFit="1" customWidth="1"/>
    <col min="16" max="16" width="11.1796875" style="12" bestFit="1" customWidth="1"/>
    <col min="17" max="18" width="11.1796875" style="12" hidden="1" customWidth="1" outlineLevel="1"/>
    <col min="19" max="19" width="12.26953125" style="12" hidden="1" customWidth="1" outlineLevel="1"/>
    <col min="20" max="20" width="11.1796875" style="12" bestFit="1" customWidth="1" collapsed="1"/>
    <col min="21" max="21" width="11.7265625" style="12" bestFit="1" customWidth="1"/>
    <col min="22" max="23" width="11.1796875" style="12" bestFit="1" customWidth="1"/>
    <col min="24" max="27" width="13.26953125" style="12" customWidth="1" outlineLevel="3"/>
    <col min="28" max="28" width="9.1796875" style="12" customWidth="1" outlineLevel="2"/>
    <col min="29" max="30" width="13.26953125" style="12" customWidth="1" outlineLevel="2"/>
    <col min="31" max="31" width="8.7265625" style="12" customWidth="1" outlineLevel="1"/>
    <col min="32" max="32" width="2.7265625" style="12" customWidth="1"/>
    <col min="33" max="34" width="15.7265625" style="12" hidden="1" customWidth="1" outlineLevel="1"/>
    <col min="35" max="35" width="15.7265625" style="12" hidden="1" customWidth="1" outlineLevel="2"/>
    <col min="36" max="36" width="15.7265625" style="12" hidden="1" customWidth="1" outlineLevel="3"/>
    <col min="37" max="37" width="28.54296875" style="12" hidden="1" customWidth="1" outlineLevel="1"/>
    <col min="38" max="38" width="11.1796875" style="12" bestFit="1" customWidth="1" collapsed="1"/>
    <col min="39" max="39" width="11.1796875" style="12" bestFit="1" customWidth="1"/>
    <col min="40" max="40" width="16" style="12" bestFit="1" customWidth="1"/>
    <col min="41" max="16384" width="9.1796875" style="12"/>
  </cols>
  <sheetData>
    <row r="1" spans="1:42" s="48" customFormat="1" ht="17.25" customHeight="1">
      <c r="A1" s="111">
        <v>45852</v>
      </c>
    </row>
    <row r="2" spans="1:42">
      <c r="A2" s="12" t="s">
        <v>2</v>
      </c>
      <c r="B2" s="49" t="s">
        <v>24</v>
      </c>
      <c r="C2" s="53" t="s">
        <v>108</v>
      </c>
    </row>
    <row r="3" spans="1:42">
      <c r="B3" s="49" t="s">
        <v>23</v>
      </c>
      <c r="C3" s="53">
        <f>'Raw Data'!$G$9</f>
        <v>2025</v>
      </c>
    </row>
    <row r="4" spans="1:42" s="157" customFormat="1" ht="35.15"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Data'!AR31</f>
        <v>Pension Converted</v>
      </c>
      <c r="Y4" s="157" t="str">
        <f>'Raw Data'!AU31</f>
        <v>Other Converted</v>
      </c>
      <c r="Z4" s="157" t="s">
        <v>247</v>
      </c>
      <c r="AA4" s="157" t="s">
        <v>248</v>
      </c>
      <c r="AC4" s="157" t="s">
        <v>11</v>
      </c>
      <c r="AD4" s="157" t="s">
        <v>10</v>
      </c>
    </row>
    <row r="5" spans="1:42" ht="21">
      <c r="B5" s="26"/>
      <c r="C5" s="256" t="str">
        <f>+C2&amp; " Benchmarking - "&amp;'Raw Data'!H5&amp;" $000s"</f>
        <v>NEO2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370</v>
      </c>
      <c r="AM5" t="s">
        <v>68</v>
      </c>
      <c r="AN5"/>
    </row>
    <row r="6" spans="1:42" ht="40" customHeight="1">
      <c r="B6" s="45"/>
      <c r="C6" s="1264" t="s">
        <v>22</v>
      </c>
      <c r="D6" s="1266" t="s">
        <v>21</v>
      </c>
      <c r="E6" s="1266" t="s">
        <v>20</v>
      </c>
      <c r="F6" s="1266" t="s">
        <v>19</v>
      </c>
      <c r="G6" s="1266" t="s">
        <v>18</v>
      </c>
      <c r="H6" s="1268" t="s">
        <v>114</v>
      </c>
      <c r="I6" s="1268" t="s">
        <v>17</v>
      </c>
      <c r="J6" s="794" t="s">
        <v>16</v>
      </c>
      <c r="K6" s="794"/>
      <c r="L6" s="794"/>
      <c r="M6" s="794" t="s">
        <v>16</v>
      </c>
      <c r="N6" s="794"/>
      <c r="O6" s="794" t="s">
        <v>15</v>
      </c>
      <c r="P6" s="794"/>
      <c r="Q6" s="794" t="s">
        <v>14</v>
      </c>
      <c r="R6" s="794"/>
      <c r="S6" s="794"/>
      <c r="T6" s="794" t="s">
        <v>14</v>
      </c>
      <c r="U6" s="794"/>
      <c r="V6" s="794" t="s">
        <v>670</v>
      </c>
      <c r="W6" s="794"/>
      <c r="X6" s="1270" t="s">
        <v>31</v>
      </c>
      <c r="Y6" s="1272" t="s">
        <v>245</v>
      </c>
      <c r="Z6" s="1272" t="s">
        <v>244</v>
      </c>
      <c r="AA6" s="1274"/>
      <c r="AB6" s="623"/>
      <c r="AC6" s="610" t="s">
        <v>12</v>
      </c>
      <c r="AD6" s="540"/>
      <c r="AE6" s="623">
        <v>2023</v>
      </c>
      <c r="AF6" s="624"/>
      <c r="AG6" s="613" t="s">
        <v>394</v>
      </c>
      <c r="AH6" s="614"/>
      <c r="AI6" s="614"/>
      <c r="AJ6" s="614"/>
      <c r="AK6" s="614"/>
      <c r="AL6" s="613" t="s">
        <v>394</v>
      </c>
      <c r="AM6" s="615"/>
      <c r="AN6" s="608"/>
    </row>
    <row r="7" spans="1:42" ht="20.149999999999999" customHeight="1">
      <c r="A7" s="52" t="s">
        <v>54</v>
      </c>
      <c r="B7" s="52" t="s">
        <v>25</v>
      </c>
      <c r="C7" s="1265"/>
      <c r="D7" s="1267" t="s">
        <v>21</v>
      </c>
      <c r="E7" s="1267" t="s">
        <v>20</v>
      </c>
      <c r="F7" s="1267" t="s">
        <v>19</v>
      </c>
      <c r="G7" s="1267" t="s">
        <v>18</v>
      </c>
      <c r="H7" s="1269" t="s">
        <v>17</v>
      </c>
      <c r="I7" s="1269" t="s">
        <v>17</v>
      </c>
      <c r="J7" s="796" t="s">
        <v>40</v>
      </c>
      <c r="K7" s="797" t="s">
        <v>51</v>
      </c>
      <c r="L7" s="797" t="s">
        <v>104</v>
      </c>
      <c r="M7" s="797" t="s">
        <v>42</v>
      </c>
      <c r="N7" s="796" t="s">
        <v>41</v>
      </c>
      <c r="O7" s="796" t="s">
        <v>53</v>
      </c>
      <c r="P7" s="796" t="s">
        <v>42</v>
      </c>
      <c r="Q7" s="797" t="s">
        <v>40</v>
      </c>
      <c r="R7" s="798" t="s">
        <v>52</v>
      </c>
      <c r="S7" s="798" t="s">
        <v>105</v>
      </c>
      <c r="T7" s="797" t="s">
        <v>42</v>
      </c>
      <c r="U7" s="799" t="s">
        <v>41</v>
      </c>
      <c r="V7" s="796" t="s">
        <v>40</v>
      </c>
      <c r="W7" s="796" t="s">
        <v>42</v>
      </c>
      <c r="X7" s="1271"/>
      <c r="Y7" s="1273"/>
      <c r="Z7" s="541" t="s">
        <v>40</v>
      </c>
      <c r="AA7" s="542" t="s">
        <v>42</v>
      </c>
      <c r="AB7" s="623"/>
      <c r="AC7" s="611" t="s">
        <v>11</v>
      </c>
      <c r="AD7" s="612" t="s">
        <v>10</v>
      </c>
      <c r="AE7" s="624" t="str">
        <f>AE6&amp;" Lookup"</f>
        <v>2023 Lookup</v>
      </c>
      <c r="AF7" s="624"/>
      <c r="AG7" s="616" t="s">
        <v>22</v>
      </c>
      <c r="AH7" s="617" t="s">
        <v>19</v>
      </c>
      <c r="AI7" s="617" t="s">
        <v>397</v>
      </c>
      <c r="AJ7" s="618" t="s">
        <v>395</v>
      </c>
      <c r="AK7" s="617" t="s">
        <v>18</v>
      </c>
      <c r="AL7" s="619" t="s">
        <v>40</v>
      </c>
      <c r="AM7" s="620" t="s">
        <v>42</v>
      </c>
      <c r="AN7" s="609" t="s">
        <v>396</v>
      </c>
    </row>
    <row r="8" spans="1:42" ht="20.25" customHeight="1">
      <c r="A8" s="12" t="str">
        <f t="shared" ref="A8:A21" si="0">$B8&amp;"_"&amp;$C$3&amp;"_"&amp;$C$2</f>
        <v>TSX:FM_2025_NEO2</v>
      </c>
      <c r="B8" s="12" t="str">
        <f>'Peer Group'!A6</f>
        <v>TSX:FM</v>
      </c>
      <c r="C8" s="666" t="str">
        <f t="shared" ref="C8:C21" si="1">IFERROR(INDEX(Raw_Data,MATCH($A8,Look_Up,0),MATCH(C$4,Component,0)),"-")</f>
        <v>First Quantum Minerals Ltd.</v>
      </c>
      <c r="D8" s="667">
        <f>_xll.ciqfunctions.udf.CIQ(B8, "IQ_MARKETCAP", $A$1,$A$2)</f>
        <v>19243.768960000001</v>
      </c>
      <c r="E8" s="667">
        <f>_xll.ciqfunctions.udf.CIQ($B8, "IQ_TEV", $A$1,$A$2)</f>
        <v>30184.87716</v>
      </c>
      <c r="F8" s="668" t="str">
        <f t="shared" ref="F8:G21" si="2">IFERROR(INDEX(Raw_Data,MATCH($A8,Look_Up,0),MATCH(F$4,Component,0)),"-")</f>
        <v>Zenon Wozniak</v>
      </c>
      <c r="G8" s="668" t="str">
        <f t="shared" si="2"/>
        <v>Former Director, Projects</v>
      </c>
      <c r="H8" s="667" t="str">
        <f t="shared" ref="H8:J21" si="3">IFERROR(INDEX(Raw_Data,MATCH($A8,Look_Up,0),MATCH(H$4,Component,0))/1000,"-")</f>
        <v>-</v>
      </c>
      <c r="I8" s="667">
        <f t="shared" si="3"/>
        <v>591.47630229999993</v>
      </c>
      <c r="J8" s="669">
        <f t="shared" si="3"/>
        <v>256.4991526</v>
      </c>
      <c r="K8" s="670">
        <f t="shared" ref="K8:L21" si="4">IFERROR(INDEX(Raw_Data,MATCH($A8,Look_Up,0),MATCH(K$4,Component,0)),"-")</f>
        <v>0.43365922117688199</v>
      </c>
      <c r="L8" s="670">
        <f t="shared" si="4"/>
        <v>0.36406259300419413</v>
      </c>
      <c r="M8" s="671">
        <f t="shared" ref="M8:M21" si="5">IFERROR(INDEX(Raw_Data,MATCH($A8,Look_Up,0),MATCH(M$4,Component,0))/1000,"-")</f>
        <v>295.73815114999996</v>
      </c>
      <c r="N8" s="672">
        <f t="shared" ref="N8:N21" si="6">IFERROR(IF(INDEX(Raw_Data,MATCH($A8,Look_Up,0),MATCH(N$4,Component,0))="-",L8,INDEX(Raw_Data,MATCH($A8,Look_Up,0),MATCH(N$4,Component,0))),"-")</f>
        <v>0.5</v>
      </c>
      <c r="O8" s="669">
        <f t="shared" ref="O8:Q21" si="7">IFERROR(INDEX(Raw_Data,MATCH($A8,Look_Up,0),MATCH(O$4,Component,0))/1000,"-")</f>
        <v>847.97545490000005</v>
      </c>
      <c r="P8" s="673">
        <f t="shared" si="7"/>
        <v>887.21445344999995</v>
      </c>
      <c r="Q8" s="669" t="str">
        <f t="shared" si="7"/>
        <v>-</v>
      </c>
      <c r="R8" s="670" t="str">
        <f t="shared" ref="R8:S21" si="8">IFERROR(INDEX(Raw_Data,MATCH($A8,Look_Up,0),MATCH(R$4,Component,0)),"-")</f>
        <v>-</v>
      </c>
      <c r="S8" s="670">
        <f t="shared" si="8"/>
        <v>1.2375989920231514</v>
      </c>
      <c r="T8" s="671">
        <f t="shared" ref="T8:T21" si="9">IFERROR(INDEX(Raw_Data,MATCH($A8,Look_Up,0),MATCH(T$4,Component,0))/1000,"-")</f>
        <v>443.60722672499998</v>
      </c>
      <c r="U8" s="672">
        <f t="shared" ref="U8:U21" si="10">IFERROR(IF(INDEX(Raw_Data,MATCH($A8,Look_Up,0),MATCH(U$4,Component,0))="-",S8,INDEX(Raw_Data,MATCH($A8,Look_Up,0),MATCH(U$4,Component,0))),"-")</f>
        <v>0.75</v>
      </c>
      <c r="V8" s="669">
        <f t="shared" ref="V8:W21" si="11">IFERROR(INDEX(Raw_Data,MATCH($A8,Look_Up,0),MATCH(V$4,Component,0))/1000,"-")</f>
        <v>847.97545490000005</v>
      </c>
      <c r="W8" s="674">
        <f t="shared" si="11"/>
        <v>1330.821680175</v>
      </c>
      <c r="X8" s="669">
        <f t="shared" ref="X8:Y21" si="12">IFERROR((INDEX(Raw_Data,MATCH($A8,Look_Up,0),MATCH(X$4,Component,0))/1000),"-")</f>
        <v>27.005721250000001</v>
      </c>
      <c r="Y8" s="674">
        <f t="shared" si="12"/>
        <v>35.840400150000001</v>
      </c>
      <c r="Z8" s="669">
        <f t="shared" ref="Z8:AA21" si="13">IFERROR(INDEX(Raw_Data,MATCH($A8,Look_Up,0),MATCH(Z$4,Component,0))/1000,"-")</f>
        <v>910.82157629999995</v>
      </c>
      <c r="AA8" s="674">
        <f t="shared" si="13"/>
        <v>1393.6678015749999</v>
      </c>
      <c r="AB8" s="675"/>
      <c r="AC8" s="676">
        <f t="shared" ref="AC8:AC21" si="14">IFERROR(P8/W8,0)</f>
        <v>0.66666666666666663</v>
      </c>
      <c r="AD8" s="677">
        <f t="shared" ref="AD8:AD21" si="15">IFERROR(T8/W8,0)</f>
        <v>0.33333333333333331</v>
      </c>
      <c r="AE8" s="678" t="str">
        <f t="shared" ref="AE8:AE21" si="16">B8&amp;"_"&amp;$AE$6&amp;"_"&amp;$C$2</f>
        <v>TSX:FM_2023_NEO2</v>
      </c>
      <c r="AF8" s="678"/>
      <c r="AG8" s="679" t="str" cm="1">
        <f t="array" ref="AG8">IFERROR(INDEX(#REF!,_xlfn.XMATCH('NEO4'!$AE8,#REF!),_xlfn.XMATCH('NEO4'!AG$5,#REF!)),"-")</f>
        <v>-</v>
      </c>
      <c r="AH8" s="680" t="str" cm="1">
        <f t="array" ref="AH8">IFERROR(INDEX(#REF!,_xlfn.XMATCH('NEO4'!$AE8,#REF!),_xlfn.XMATCH('NEO4'!AH$5,#REF!)),"-")</f>
        <v>-</v>
      </c>
      <c r="AI8" s="681" t="str">
        <f>IF(ISNUMBER(_xlfn.XMATCH(C8,#REF!)),"N","Y")</f>
        <v>Y</v>
      </c>
      <c r="AJ8" s="681" t="str">
        <f>IFERROR(IF(TRIM(LOWER(AH8))=TRIM(LOWER(F8)),"N","Y"),"-")</f>
        <v>Y</v>
      </c>
      <c r="AK8" s="680" t="str" cm="1">
        <f t="array" ref="AK8">IFERROR(INDEX(#REF!,_xlfn.XMATCH('NEO4'!$AE8,#REF!),_xlfn.XMATCH('NEO4'!AK$5,#REF!)),"-")</f>
        <v>-</v>
      </c>
      <c r="AL8" s="784" t="str" cm="1">
        <f t="array" ref="AL8">IFERROR(INDEX(#REF!,_xlfn.XMATCH('NEO4'!$AE8,#REF!),_xlfn.XMATCH('NEO4'!AL$5,#REF!)),"-")</f>
        <v>-</v>
      </c>
      <c r="AM8" s="785" t="str" cm="1">
        <f t="array" ref="AM8">IFERROR(INDEX(#REF!,_xlfn.XMATCH('NEO4'!$AE8,#REF!),_xlfn.XMATCH('NEO4'!AM$5,#REF!)),"-")</f>
        <v>-</v>
      </c>
      <c r="AN8" s="646" t="str">
        <f>IF(AJ8="N",IFERROR(W8/AM8-1,"-"),"-")</f>
        <v>-</v>
      </c>
    </row>
    <row r="9" spans="1:42" ht="20.25" customHeight="1">
      <c r="A9" s="12" t="str">
        <f t="shared" si="0"/>
        <v>TSX:K_2025_NEO2</v>
      </c>
      <c r="B9" s="12" t="str">
        <f>'Peer Group'!A7</f>
        <v>TSX:K</v>
      </c>
      <c r="C9" s="666" t="str">
        <f t="shared" si="1"/>
        <v>Kinross Gold Corporation</v>
      </c>
      <c r="D9" s="667">
        <f>_xll.ciqfunctions.udf.CIQ(B9, "IQ_MARKETCAP", $A$1,$A$2)</f>
        <v>26179.912</v>
      </c>
      <c r="E9" s="667">
        <f>_xll.ciqfunctions.udf.CIQ($B9, "IQ_TEV", $A$1,$A$2)</f>
        <v>27159.32229</v>
      </c>
      <c r="F9" s="668" t="str">
        <f t="shared" si="2"/>
        <v>Claude J.S. Schimper</v>
      </c>
      <c r="G9" s="668" t="str">
        <f t="shared" si="2"/>
        <v>EVP &amp; COO</v>
      </c>
      <c r="H9" s="667" t="str">
        <f t="shared" si="3"/>
        <v>-</v>
      </c>
      <c r="I9" s="667">
        <f t="shared" si="3"/>
        <v>683.11827840000012</v>
      </c>
      <c r="J9" s="669">
        <f t="shared" si="3"/>
        <v>760.82348565000007</v>
      </c>
      <c r="K9" s="670">
        <f t="shared" si="4"/>
        <v>1.1137507364493322</v>
      </c>
      <c r="L9" s="670">
        <f t="shared" si="4"/>
        <v>1.1100004190189079</v>
      </c>
      <c r="M9" s="671">
        <f t="shared" si="5"/>
        <v>614.80645056000003</v>
      </c>
      <c r="N9" s="672">
        <f t="shared" si="6"/>
        <v>0.9</v>
      </c>
      <c r="O9" s="669">
        <f t="shared" si="7"/>
        <v>1443.9417640500001</v>
      </c>
      <c r="P9" s="673">
        <f t="shared" si="7"/>
        <v>1297.92472896</v>
      </c>
      <c r="Q9" s="669">
        <f t="shared" si="7"/>
        <v>1707.7956959999999</v>
      </c>
      <c r="R9" s="670">
        <f t="shared" si="8"/>
        <v>2.4999999999999996</v>
      </c>
      <c r="S9" s="670">
        <f t="shared" si="8"/>
        <v>2.2866666666666666</v>
      </c>
      <c r="T9" s="671">
        <f t="shared" si="9"/>
        <v>1562.0637966080001</v>
      </c>
      <c r="U9" s="672">
        <f t="shared" si="10"/>
        <v>2.2866666666666666</v>
      </c>
      <c r="V9" s="669">
        <f t="shared" si="11"/>
        <v>3151.7374600499998</v>
      </c>
      <c r="W9" s="674">
        <f t="shared" si="11"/>
        <v>2859.9885255680001</v>
      </c>
      <c r="X9" s="669">
        <f t="shared" si="12"/>
        <v>194.69133655000002</v>
      </c>
      <c r="Y9" s="674">
        <f t="shared" si="12"/>
        <v>106.9496434</v>
      </c>
      <c r="Z9" s="669">
        <f t="shared" si="13"/>
        <v>3453.37844</v>
      </c>
      <c r="AA9" s="674">
        <f t="shared" si="13"/>
        <v>3161.6295055180003</v>
      </c>
      <c r="AB9" s="675"/>
      <c r="AC9" s="676">
        <f t="shared" si="14"/>
        <v>0.45382165605095542</v>
      </c>
      <c r="AD9" s="677">
        <f t="shared" si="15"/>
        <v>0.54617834394904463</v>
      </c>
      <c r="AE9" s="678" t="str">
        <f t="shared" si="16"/>
        <v>TSX:K_2023_NEO2</v>
      </c>
      <c r="AF9" s="678"/>
      <c r="AG9" s="682" t="str" cm="1">
        <f t="array" ref="AG9">IFERROR(INDEX(#REF!,_xlfn.XMATCH('NEO4'!$AE9,#REF!),_xlfn.XMATCH('NEO4'!AG$5,#REF!)),"-")</f>
        <v>-</v>
      </c>
      <c r="AH9" s="678" t="str" cm="1">
        <f t="array" ref="AH9">IFERROR(INDEX(#REF!,_xlfn.XMATCH('NEO4'!$AE9,#REF!),_xlfn.XMATCH('NEO4'!AH$5,#REF!)),"-")</f>
        <v>-</v>
      </c>
      <c r="AI9" s="683" t="str">
        <f>IF(ISNUMBER(_xlfn.XMATCH(C9,#REF!)),"N","Y")</f>
        <v>Y</v>
      </c>
      <c r="AJ9" s="683" t="str">
        <f>IFERROR(IF(TRIM(LOWER(AH9))=TRIM(LOWER(F9)),"N","Y"),"-")</f>
        <v>Y</v>
      </c>
      <c r="AK9" s="678" t="str" cm="1">
        <f t="array" ref="AK9">IFERROR(INDEX(#REF!,_xlfn.XMATCH('NEO4'!$AE9,#REF!),_xlfn.XMATCH('NEO4'!AK$5,#REF!)),"-")</f>
        <v>-</v>
      </c>
      <c r="AL9" s="786" t="str" cm="1">
        <f t="array" ref="AL9">IFERROR(INDEX(#REF!,_xlfn.XMATCH('NEO4'!$AE9,#REF!),_xlfn.XMATCH('NEO4'!AL$5,#REF!)),"-")</f>
        <v>-</v>
      </c>
      <c r="AM9" s="787" t="str" cm="1">
        <f t="array" ref="AM9">IFERROR(INDEX(#REF!,_xlfn.XMATCH('NEO4'!$AE9,#REF!),_xlfn.XMATCH('NEO4'!AM$5,#REF!)),"-")</f>
        <v>-</v>
      </c>
      <c r="AN9" s="780" t="str">
        <f t="shared" ref="AN9:AN21" si="17">IF(AJ9="N",IFERROR(W9/AM9-1,"-"),"-")</f>
        <v>-</v>
      </c>
      <c r="AP9" s="12" t="s">
        <v>463</v>
      </c>
    </row>
    <row r="10" spans="1:42" ht="20.25" customHeight="1">
      <c r="A10" s="12" t="str">
        <f t="shared" si="0"/>
        <v>TSX:LUN_2025_NEO2</v>
      </c>
      <c r="B10" s="12" t="str">
        <f>'Peer Group'!A8</f>
        <v>TSX:LUN</v>
      </c>
      <c r="C10" s="666" t="str">
        <f t="shared" si="1"/>
        <v>Lundin Mining Corporation</v>
      </c>
      <c r="D10" s="667">
        <f>_xll.ciqfunctions.udf.CIQ(B10, "IQ_MARKETCAP", $A$1,$A$2)</f>
        <v>11855.56763</v>
      </c>
      <c r="E10" s="667">
        <f>_xll.ciqfunctions.udf.CIQ($B10, "IQ_TEV", $A$1,$A$2)</f>
        <v>16005.2402</v>
      </c>
      <c r="F10" s="668" t="str">
        <f t="shared" si="2"/>
        <v>Peter Brady</v>
      </c>
      <c r="G10" s="668" t="str">
        <f t="shared" si="2"/>
        <v>General Counsel</v>
      </c>
      <c r="H10" s="667">
        <f t="shared" si="3"/>
        <v>630</v>
      </c>
      <c r="I10" s="667">
        <f t="shared" si="3"/>
        <v>630</v>
      </c>
      <c r="J10" s="669">
        <f t="shared" si="3"/>
        <v>506.98380495000004</v>
      </c>
      <c r="K10" s="670">
        <f t="shared" si="4"/>
        <v>0.80473619833333332</v>
      </c>
      <c r="L10" s="670">
        <f t="shared" si="4"/>
        <v>0.8984166614513952</v>
      </c>
      <c r="M10" s="671">
        <f t="shared" si="5"/>
        <v>472.5</v>
      </c>
      <c r="N10" s="672">
        <f t="shared" si="6"/>
        <v>0.75</v>
      </c>
      <c r="O10" s="669">
        <f t="shared" si="7"/>
        <v>1136.9838049499999</v>
      </c>
      <c r="P10" s="673">
        <f t="shared" si="7"/>
        <v>1102.5</v>
      </c>
      <c r="Q10" s="669">
        <f t="shared" si="7"/>
        <v>1332.0353655000001</v>
      </c>
      <c r="R10" s="670">
        <f t="shared" si="8"/>
        <v>2.1143418500000002</v>
      </c>
      <c r="S10" s="670">
        <f t="shared" si="8"/>
        <v>1.6558519761689148</v>
      </c>
      <c r="T10" s="671">
        <f t="shared" si="9"/>
        <v>1043.1867449864162</v>
      </c>
      <c r="U10" s="672">
        <f t="shared" si="10"/>
        <v>1.6558519761689148</v>
      </c>
      <c r="V10" s="669">
        <f t="shared" si="11"/>
        <v>2469.0191704500003</v>
      </c>
      <c r="W10" s="674">
        <f t="shared" si="11"/>
        <v>2145.6867449864162</v>
      </c>
      <c r="X10" s="669" t="str">
        <f t="shared" si="12"/>
        <v>-</v>
      </c>
      <c r="Y10" s="674">
        <f t="shared" si="12"/>
        <v>144.11622359999998</v>
      </c>
      <c r="Z10" s="669">
        <f t="shared" si="13"/>
        <v>2613.1353940500003</v>
      </c>
      <c r="AA10" s="674">
        <f t="shared" si="13"/>
        <v>2289.8029685864162</v>
      </c>
      <c r="AB10" s="675"/>
      <c r="AC10" s="676">
        <f t="shared" si="14"/>
        <v>0.51382150846393915</v>
      </c>
      <c r="AD10" s="677">
        <f t="shared" si="15"/>
        <v>0.4861784915360608</v>
      </c>
      <c r="AE10" s="678" t="str">
        <f t="shared" si="16"/>
        <v>TSX:LUN_2023_NEO2</v>
      </c>
      <c r="AF10" s="678"/>
      <c r="AG10" s="682" t="str" cm="1">
        <f t="array" ref="AG10">IFERROR(INDEX(#REF!,_xlfn.XMATCH('NEO4'!$AE10,#REF!),_xlfn.XMATCH('NEO4'!AG$5,#REF!)),"-")</f>
        <v>-</v>
      </c>
      <c r="AH10" s="678" t="str" cm="1">
        <f t="array" ref="AH10">IFERROR(INDEX(#REF!,_xlfn.XMATCH('NEO4'!$AE10,#REF!),_xlfn.XMATCH('NEO4'!AH$5,#REF!)),"-")</f>
        <v>-</v>
      </c>
      <c r="AI10" s="683" t="str">
        <f>IF(ISNUMBER(_xlfn.XMATCH(C10,#REF!)),"N","Y")</f>
        <v>Y</v>
      </c>
      <c r="AJ10" s="683" t="str">
        <f t="shared" ref="AJ10:AJ21" si="18">IFERROR(IF(TRIM(LOWER(AH10))=TRIM(LOWER(F10)),"N","Y"),"-")</f>
        <v>Y</v>
      </c>
      <c r="AK10" s="678" t="str" cm="1">
        <f t="array" ref="AK10">IFERROR(INDEX(#REF!,_xlfn.XMATCH('NEO4'!$AE10,#REF!),_xlfn.XMATCH('NEO4'!AK$5,#REF!)),"-")</f>
        <v>-</v>
      </c>
      <c r="AL10" s="788" t="str" cm="1">
        <f t="array" ref="AL10">IFERROR(INDEX(#REF!,_xlfn.XMATCH('NEO4'!$AE10,#REF!),_xlfn.XMATCH('NEO4'!AL$5,#REF!)),"-")</f>
        <v>-</v>
      </c>
      <c r="AM10" s="789" t="str" cm="1">
        <f t="array" ref="AM10">IFERROR(INDEX(#REF!,_xlfn.XMATCH('NEO4'!$AE10,#REF!),_xlfn.XMATCH('NEO4'!AM$5,#REF!)),"-")</f>
        <v>-</v>
      </c>
      <c r="AN10" s="646" t="str">
        <f t="shared" si="17"/>
        <v>-</v>
      </c>
    </row>
    <row r="11" spans="1:42" ht="20.25" customHeight="1">
      <c r="A11" s="12" t="str">
        <f t="shared" si="0"/>
        <v>TSX:PAAS_2025_NEO2</v>
      </c>
      <c r="B11" s="12" t="str">
        <f>'Peer Group'!A9</f>
        <v>TSX:PAAS</v>
      </c>
      <c r="C11" s="666" t="str">
        <f t="shared" si="1"/>
        <v>Pan American Silver Corp.</v>
      </c>
      <c r="D11" s="667">
        <f>_xll.ciqfunctions.udf.CIQ(B11, "IQ_MARKETCAP", $A$1,$A$2)</f>
        <v>14762.84492</v>
      </c>
      <c r="E11" s="667">
        <f>_xll.ciqfunctions.udf.CIQ($B11, "IQ_TEV", $A$1,$A$2)</f>
        <v>14643.113660000001</v>
      </c>
      <c r="F11" s="668" t="str">
        <f t="shared" si="2"/>
        <v>Christopher Lemon</v>
      </c>
      <c r="G11" s="668" t="str">
        <f t="shared" si="2"/>
        <v>General Counsel</v>
      </c>
      <c r="H11" s="667" t="str">
        <f t="shared" si="3"/>
        <v>-</v>
      </c>
      <c r="I11" s="667">
        <f t="shared" si="3"/>
        <v>700</v>
      </c>
      <c r="J11" s="669">
        <f t="shared" si="3"/>
        <v>824.25</v>
      </c>
      <c r="K11" s="670">
        <f t="shared" si="4"/>
        <v>1.1775</v>
      </c>
      <c r="L11" s="670">
        <f t="shared" si="4"/>
        <v>1.0042077214448406</v>
      </c>
      <c r="M11" s="671">
        <f t="shared" si="5"/>
        <v>560</v>
      </c>
      <c r="N11" s="672">
        <f t="shared" si="6"/>
        <v>0.8</v>
      </c>
      <c r="O11" s="669">
        <f t="shared" si="7"/>
        <v>1524.25</v>
      </c>
      <c r="P11" s="673">
        <f t="shared" si="7"/>
        <v>1260</v>
      </c>
      <c r="Q11" s="669">
        <f t="shared" si="7"/>
        <v>1540</v>
      </c>
      <c r="R11" s="670">
        <f t="shared" si="8"/>
        <v>2.2000000000000002</v>
      </c>
      <c r="S11" s="670">
        <f t="shared" si="8"/>
        <v>2.2175094065153234</v>
      </c>
      <c r="T11" s="671">
        <f t="shared" si="9"/>
        <v>1540.0000000000002</v>
      </c>
      <c r="U11" s="672">
        <f t="shared" si="10"/>
        <v>2.2000000000000002</v>
      </c>
      <c r="V11" s="669">
        <f t="shared" si="11"/>
        <v>3064.25</v>
      </c>
      <c r="W11" s="674">
        <f t="shared" si="11"/>
        <v>2800</v>
      </c>
      <c r="X11" s="669">
        <f t="shared" si="12"/>
        <v>315</v>
      </c>
      <c r="Y11" s="674" t="str">
        <f t="shared" si="12"/>
        <v>-</v>
      </c>
      <c r="Z11" s="669">
        <f t="shared" si="13"/>
        <v>3379.25</v>
      </c>
      <c r="AA11" s="674">
        <f t="shared" si="13"/>
        <v>3115</v>
      </c>
      <c r="AB11" s="675"/>
      <c r="AC11" s="676">
        <f t="shared" si="14"/>
        <v>0.45</v>
      </c>
      <c r="AD11" s="677">
        <f t="shared" si="15"/>
        <v>0.55000000000000004</v>
      </c>
      <c r="AE11" s="678" t="str">
        <f t="shared" si="16"/>
        <v>TSX:PAAS_2023_NEO2</v>
      </c>
      <c r="AF11" s="678"/>
      <c r="AG11" s="682" t="str" cm="1">
        <f t="array" ref="AG11">IFERROR(INDEX(#REF!,_xlfn.XMATCH('NEO4'!$AE11,#REF!),_xlfn.XMATCH('NEO4'!AG$5,#REF!)),"-")</f>
        <v>-</v>
      </c>
      <c r="AH11" s="678" t="str" cm="1">
        <f t="array" ref="AH11">IFERROR(INDEX(#REF!,_xlfn.XMATCH('NEO4'!$AE11,#REF!),_xlfn.XMATCH('NEO4'!AH$5,#REF!)),"-")</f>
        <v>-</v>
      </c>
      <c r="AI11" s="683" t="str">
        <f>IF(ISNUMBER(_xlfn.XMATCH(C11,#REF!)),"N","Y")</f>
        <v>Y</v>
      </c>
      <c r="AJ11" s="683" t="str">
        <f t="shared" si="18"/>
        <v>Y</v>
      </c>
      <c r="AK11" s="678" t="str" cm="1">
        <f t="array" ref="AK11">IFERROR(INDEX(#REF!,_xlfn.XMATCH('NEO4'!$AE11,#REF!),_xlfn.XMATCH('NEO4'!AK$5,#REF!)),"-")</f>
        <v>-</v>
      </c>
      <c r="AL11" s="788" t="str" cm="1">
        <f t="array" ref="AL11">IFERROR(INDEX(#REF!,_xlfn.XMATCH('NEO4'!$AE11,#REF!),_xlfn.XMATCH('NEO4'!AL$5,#REF!)),"-")</f>
        <v>-</v>
      </c>
      <c r="AM11" s="789" t="str" cm="1">
        <f t="array" ref="AM11">IFERROR(INDEX(#REF!,_xlfn.XMATCH('NEO4'!$AE11,#REF!),_xlfn.XMATCH('NEO4'!AM$5,#REF!)),"-")</f>
        <v>-</v>
      </c>
      <c r="AN11" s="646" t="str">
        <f t="shared" si="17"/>
        <v>-</v>
      </c>
    </row>
    <row r="12" spans="1:42" ht="20.25" customHeight="1">
      <c r="A12" s="12" t="str">
        <f t="shared" si="0"/>
        <v>TSX:CDE_2025_NEO2</v>
      </c>
      <c r="B12" s="12" t="str">
        <f>'Peer Group'!A10</f>
        <v>TSX:CDE</v>
      </c>
      <c r="C12" s="666" t="str">
        <f t="shared" si="1"/>
        <v>Coeur Mining, Inc.</v>
      </c>
      <c r="D12" s="667">
        <f>_xll.ciqfunctions.udf.CIQ(B12, "IQ_MARKETCAP", $A$1,$A$2)</f>
        <v>8254.4819700000007</v>
      </c>
      <c r="E12" s="667">
        <f>_xll.ciqfunctions.udf.CIQ($B12, "IQ_TEV", $A$1,$A$2)</f>
        <v>8846.5264100000004</v>
      </c>
      <c r="F12" s="668" t="str">
        <f t="shared" si="2"/>
        <v>Casey M. Nault</v>
      </c>
      <c r="G12" s="668" t="str">
        <f t="shared" si="2"/>
        <v>EVP, General Counsel &amp; Secretary</v>
      </c>
      <c r="H12" s="667" t="str">
        <f t="shared" si="3"/>
        <v>-</v>
      </c>
      <c r="I12" s="667">
        <f t="shared" si="3"/>
        <v>593.91624999999999</v>
      </c>
      <c r="J12" s="669">
        <f t="shared" si="3"/>
        <v>780.40595250000001</v>
      </c>
      <c r="K12" s="670">
        <f t="shared" si="4"/>
        <v>1.3140000000000001</v>
      </c>
      <c r="L12" s="670">
        <f t="shared" si="4"/>
        <v>1.0860000000000001</v>
      </c>
      <c r="M12" s="671">
        <f t="shared" si="5"/>
        <v>593.91624999999999</v>
      </c>
      <c r="N12" s="672">
        <f t="shared" si="6"/>
        <v>1</v>
      </c>
      <c r="O12" s="669">
        <f t="shared" si="7"/>
        <v>1374.3222025000002</v>
      </c>
      <c r="P12" s="673">
        <f t="shared" si="7"/>
        <v>1187.8325</v>
      </c>
      <c r="Q12" s="669">
        <f t="shared" si="7"/>
        <v>2012.0079839499999</v>
      </c>
      <c r="R12" s="670">
        <f t="shared" si="8"/>
        <v>3.3876964705882355</v>
      </c>
      <c r="S12" s="670">
        <f t="shared" si="8"/>
        <v>2.4672972549019607</v>
      </c>
      <c r="T12" s="671">
        <f t="shared" si="9"/>
        <v>1336.3115625</v>
      </c>
      <c r="U12" s="672">
        <f t="shared" si="10"/>
        <v>2.25</v>
      </c>
      <c r="V12" s="669">
        <f t="shared" si="11"/>
        <v>3386.3301864499999</v>
      </c>
      <c r="W12" s="674">
        <f t="shared" si="11"/>
        <v>2524.1440625</v>
      </c>
      <c r="X12" s="669">
        <f t="shared" si="12"/>
        <v>29.346450000000001</v>
      </c>
      <c r="Y12" s="674">
        <f t="shared" si="12"/>
        <v>64.333008200000009</v>
      </c>
      <c r="Z12" s="669">
        <f t="shared" si="13"/>
        <v>3480.0096446500002</v>
      </c>
      <c r="AA12" s="674">
        <f t="shared" si="13"/>
        <v>2617.8235207000002</v>
      </c>
      <c r="AB12" s="675"/>
      <c r="AC12" s="676">
        <f t="shared" si="14"/>
        <v>0.47058823529411764</v>
      </c>
      <c r="AD12" s="677">
        <f t="shared" si="15"/>
        <v>0.52941176470588236</v>
      </c>
      <c r="AE12" s="678" t="str">
        <f t="shared" si="16"/>
        <v>TSX:CDE_2023_NEO2</v>
      </c>
      <c r="AF12" s="678"/>
      <c r="AG12" s="682" t="str" cm="1">
        <f t="array" ref="AG12">IFERROR(INDEX(#REF!,_xlfn.XMATCH('NEO4'!$AE12,#REF!),_xlfn.XMATCH('NEO4'!AG$5,#REF!)),"-")</f>
        <v>-</v>
      </c>
      <c r="AH12" s="678" t="str" cm="1">
        <f t="array" ref="AH12">IFERROR(INDEX(#REF!,_xlfn.XMATCH('NEO4'!$AE12,#REF!),_xlfn.XMATCH('NEO4'!AH$5,#REF!)),"-")</f>
        <v>-</v>
      </c>
      <c r="AI12" s="683" t="str">
        <f>IF(ISNUMBER(_xlfn.XMATCH(C12,#REF!)),"N","Y")</f>
        <v>Y</v>
      </c>
      <c r="AJ12" s="683" t="str">
        <f t="shared" si="18"/>
        <v>Y</v>
      </c>
      <c r="AK12" s="678" t="str" cm="1">
        <f t="array" ref="AK12">IFERROR(INDEX(#REF!,_xlfn.XMATCH('NEO4'!$AE12,#REF!),_xlfn.XMATCH('NEO4'!AK$5,#REF!)),"-")</f>
        <v>-</v>
      </c>
      <c r="AL12" s="788" t="str" cm="1">
        <f t="array" ref="AL12">IFERROR(INDEX(#REF!,_xlfn.XMATCH('NEO4'!$AE12,#REF!),_xlfn.XMATCH('NEO4'!AL$5,#REF!)),"-")</f>
        <v>-</v>
      </c>
      <c r="AM12" s="789" t="str" cm="1">
        <f t="array" ref="AM12">IFERROR(INDEX(#REF!,_xlfn.XMATCH('NEO4'!$AE12,#REF!),_xlfn.XMATCH('NEO4'!AM$5,#REF!)),"-")</f>
        <v>-</v>
      </c>
      <c r="AN12" s="646" t="str">
        <f t="shared" si="17"/>
        <v>-</v>
      </c>
    </row>
    <row r="13" spans="1:42" ht="20.25" customHeight="1">
      <c r="A13" s="12" t="str">
        <f t="shared" si="0"/>
        <v>TSX:AGI_2025_NEO2</v>
      </c>
      <c r="B13" s="12" t="str">
        <f>'Peer Group'!A11</f>
        <v>TSX:AGI</v>
      </c>
      <c r="C13" s="666" t="str">
        <f t="shared" si="1"/>
        <v>Alamos Gold Inc.</v>
      </c>
      <c r="D13" s="667">
        <f>_xll.ciqfunctions.udf.CIQ(B13, "IQ_MARKETCAP", $A$1,$A$2)</f>
        <v>15291.758599999999</v>
      </c>
      <c r="E13" s="667">
        <f>_xll.ciqfunctions.udf.CIQ($B13, "IQ_TEV", $A$1,$A$2)</f>
        <v>15239.87026</v>
      </c>
      <c r="F13" s="668" t="str">
        <f t="shared" si="2"/>
        <v>Christopher Bostwick</v>
      </c>
      <c r="G13" s="668" t="str">
        <f t="shared" si="2"/>
        <v>SVP, Technical Services</v>
      </c>
      <c r="H13" s="667" t="str">
        <f t="shared" si="3"/>
        <v>-</v>
      </c>
      <c r="I13" s="667">
        <f t="shared" si="3"/>
        <v>464.87711445000008</v>
      </c>
      <c r="J13" s="669">
        <f t="shared" si="3"/>
        <v>285.23827082999998</v>
      </c>
      <c r="K13" s="670">
        <f t="shared" si="4"/>
        <v>0.61357778639515892</v>
      </c>
      <c r="L13" s="670">
        <f t="shared" si="4"/>
        <v>0.72127570188721146</v>
      </c>
      <c r="M13" s="671">
        <f t="shared" si="5"/>
        <v>325.41398011500002</v>
      </c>
      <c r="N13" s="672">
        <f t="shared" si="6"/>
        <v>0.7</v>
      </c>
      <c r="O13" s="669">
        <f t="shared" si="7"/>
        <v>750.11538528000005</v>
      </c>
      <c r="P13" s="673">
        <f t="shared" si="7"/>
        <v>790.29109456500021</v>
      </c>
      <c r="Q13" s="669">
        <f t="shared" si="7"/>
        <v>743.80254465000007</v>
      </c>
      <c r="R13" s="670">
        <f t="shared" si="8"/>
        <v>1.5999981963620622</v>
      </c>
      <c r="S13" s="670">
        <f t="shared" si="8"/>
        <v>1.4436314527748344</v>
      </c>
      <c r="T13" s="671">
        <f t="shared" si="9"/>
        <v>671.11122409522648</v>
      </c>
      <c r="U13" s="672">
        <f t="shared" si="10"/>
        <v>1.4436314527748344</v>
      </c>
      <c r="V13" s="669">
        <f t="shared" si="11"/>
        <v>1493.9179299300001</v>
      </c>
      <c r="W13" s="674">
        <f t="shared" si="11"/>
        <v>1461.4023186602267</v>
      </c>
      <c r="X13" s="669">
        <f t="shared" si="12"/>
        <v>89.953856500000015</v>
      </c>
      <c r="Y13" s="674">
        <f t="shared" si="12"/>
        <v>29.030626300000002</v>
      </c>
      <c r="Z13" s="669">
        <f t="shared" si="13"/>
        <v>1612.9024127299999</v>
      </c>
      <c r="AA13" s="674">
        <f t="shared" si="13"/>
        <v>1580.3868014602265</v>
      </c>
      <c r="AB13" s="675"/>
      <c r="AC13" s="676">
        <f t="shared" si="14"/>
        <v>0.54077585923739147</v>
      </c>
      <c r="AD13" s="677">
        <f t="shared" si="15"/>
        <v>0.45922414076260859</v>
      </c>
      <c r="AE13" s="678" t="str">
        <f t="shared" si="16"/>
        <v>TSX:AGI_2023_NEO2</v>
      </c>
      <c r="AF13" s="678"/>
      <c r="AG13" s="682" t="str" cm="1">
        <f t="array" ref="AG13">IFERROR(INDEX(#REF!,_xlfn.XMATCH('NEO4'!$AE13,#REF!),_xlfn.XMATCH('NEO4'!AG$5,#REF!)),"-")</f>
        <v>-</v>
      </c>
      <c r="AH13" s="678" t="str" cm="1">
        <f t="array" ref="AH13">IFERROR(INDEX(#REF!,_xlfn.XMATCH('NEO4'!$AE13,#REF!),_xlfn.XMATCH('NEO4'!AH$5,#REF!)),"-")</f>
        <v>-</v>
      </c>
      <c r="AI13" s="683" t="str">
        <f>IF(ISNUMBER(_xlfn.XMATCH(C13,#REF!)),"N","Y")</f>
        <v>Y</v>
      </c>
      <c r="AJ13" s="683" t="str">
        <f t="shared" si="18"/>
        <v>Y</v>
      </c>
      <c r="AK13" s="678" t="str" cm="1">
        <f t="array" ref="AK13">IFERROR(INDEX(#REF!,_xlfn.XMATCH('NEO4'!$AE13,#REF!),_xlfn.XMATCH('NEO4'!AK$5,#REF!)),"-")</f>
        <v>-</v>
      </c>
      <c r="AL13" s="788" t="str" cm="1">
        <f t="array" ref="AL13">IFERROR(INDEX(#REF!,_xlfn.XMATCH('NEO4'!$AE13,#REF!),_xlfn.XMATCH('NEO4'!AL$5,#REF!)),"-")</f>
        <v>-</v>
      </c>
      <c r="AM13" s="789" t="str" cm="1">
        <f t="array" ref="AM13">IFERROR(INDEX(#REF!,_xlfn.XMATCH('NEO4'!$AE13,#REF!),_xlfn.XMATCH('NEO4'!AM$5,#REF!)),"-")</f>
        <v>-</v>
      </c>
      <c r="AN13" s="646" t="str">
        <f t="shared" si="17"/>
        <v>-</v>
      </c>
    </row>
    <row r="14" spans="1:42" ht="20.25" customHeight="1">
      <c r="A14" s="12" t="str">
        <f t="shared" si="0"/>
        <v>NYSE:HL_2025_NEO2</v>
      </c>
      <c r="B14" s="12" t="str">
        <f>'Peer Group'!A12</f>
        <v>NYSE:HL</v>
      </c>
      <c r="C14" s="666" t="str">
        <f t="shared" si="1"/>
        <v>Hecla Mining Company</v>
      </c>
      <c r="D14" s="667">
        <f>_xll.ciqfunctions.udf.CIQ(B14, "IQ_MARKETCAP", $A$1,$A$2)</f>
        <v>5232.0834199999999</v>
      </c>
      <c r="E14" s="667">
        <f>_xll.ciqfunctions.udf.CIQ($B14, "IQ_TEV", $A$1,$A$2)</f>
        <v>5991.3399399999998</v>
      </c>
      <c r="F14" s="668" t="str">
        <f t="shared" si="2"/>
        <v>Carlos Aguiar</v>
      </c>
      <c r="G14" s="668" t="str">
        <f t="shared" si="2"/>
        <v>SVP &amp; COO</v>
      </c>
      <c r="H14" s="667">
        <f t="shared" si="3"/>
        <v>607.89075000000003</v>
      </c>
      <c r="I14" s="667">
        <f t="shared" si="3"/>
        <v>607.89075000000003</v>
      </c>
      <c r="J14" s="669">
        <f t="shared" si="3"/>
        <v>831.59454600000004</v>
      </c>
      <c r="K14" s="670">
        <f t="shared" si="4"/>
        <v>1.3680000000000001</v>
      </c>
      <c r="L14" s="670">
        <f t="shared" si="4"/>
        <v>1.3680000000000001</v>
      </c>
      <c r="M14" s="671">
        <f t="shared" si="5"/>
        <v>486.31260000000003</v>
      </c>
      <c r="N14" s="672">
        <f t="shared" si="6"/>
        <v>0.8</v>
      </c>
      <c r="O14" s="669">
        <f t="shared" si="7"/>
        <v>1439.4852960000001</v>
      </c>
      <c r="P14" s="673">
        <f t="shared" si="7"/>
        <v>1094.20335</v>
      </c>
      <c r="Q14" s="669">
        <f t="shared" si="7"/>
        <v>657.20955540000011</v>
      </c>
      <c r="R14" s="670">
        <f t="shared" si="8"/>
        <v>1.0811310344827587</v>
      </c>
      <c r="S14" s="670">
        <f t="shared" si="8"/>
        <v>1.0811310344827587</v>
      </c>
      <c r="T14" s="671">
        <f t="shared" si="9"/>
        <v>1063.8088124999999</v>
      </c>
      <c r="U14" s="672">
        <f t="shared" si="10"/>
        <v>1.75</v>
      </c>
      <c r="V14" s="669">
        <f t="shared" si="11"/>
        <v>2096.6948514000001</v>
      </c>
      <c r="W14" s="674">
        <f t="shared" si="11"/>
        <v>2158.0121625000002</v>
      </c>
      <c r="X14" s="669">
        <f t="shared" si="12"/>
        <v>204.28902315000002</v>
      </c>
      <c r="Y14" s="674">
        <f t="shared" si="12"/>
        <v>33.215989050000005</v>
      </c>
      <c r="Z14" s="669">
        <f t="shared" si="13"/>
        <v>2334.1998635999998</v>
      </c>
      <c r="AA14" s="674">
        <f t="shared" si="13"/>
        <v>2395.5171747000004</v>
      </c>
      <c r="AB14" s="675"/>
      <c r="AC14" s="676">
        <f t="shared" si="14"/>
        <v>0.50704225352112675</v>
      </c>
      <c r="AD14" s="677">
        <f t="shared" si="15"/>
        <v>0.49295774647887319</v>
      </c>
      <c r="AE14" s="678" t="str">
        <f t="shared" si="16"/>
        <v>NYSE:HL_2023_NEO2</v>
      </c>
      <c r="AF14" s="678"/>
      <c r="AG14" s="682" t="str" cm="1">
        <f t="array" ref="AG14">IFERROR(INDEX(#REF!,_xlfn.XMATCH('NEO4'!$AE14,#REF!),_xlfn.XMATCH('NEO4'!AG$5,#REF!)),"-")</f>
        <v>-</v>
      </c>
      <c r="AH14" s="678" t="str" cm="1">
        <f t="array" ref="AH14">IFERROR(INDEX(#REF!,_xlfn.XMATCH('NEO4'!$AE14,#REF!),_xlfn.XMATCH('NEO4'!AH$5,#REF!)),"-")</f>
        <v>-</v>
      </c>
      <c r="AI14" s="683" t="str">
        <f>IF(ISNUMBER(_xlfn.XMATCH(C14,#REF!)),"N","Y")</f>
        <v>Y</v>
      </c>
      <c r="AJ14" s="683" t="str">
        <f t="shared" si="18"/>
        <v>Y</v>
      </c>
      <c r="AK14" s="678" t="str" cm="1">
        <f t="array" ref="AK14">IFERROR(INDEX(#REF!,_xlfn.XMATCH('NEO4'!$AE14,#REF!),_xlfn.XMATCH('NEO4'!AK$5,#REF!)),"-")</f>
        <v>-</v>
      </c>
      <c r="AL14" s="788" t="str" cm="1">
        <f t="array" ref="AL14">IFERROR(INDEX(#REF!,_xlfn.XMATCH('NEO4'!$AE14,#REF!),_xlfn.XMATCH('NEO4'!AL$5,#REF!)),"-")</f>
        <v>-</v>
      </c>
      <c r="AM14" s="789" t="str" cm="1">
        <f t="array" ref="AM14">IFERROR(INDEX(#REF!,_xlfn.XMATCH('NEO4'!$AE14,#REF!),_xlfn.XMATCH('NEO4'!AM$5,#REF!)),"-")</f>
        <v>-</v>
      </c>
      <c r="AN14" s="646" t="str">
        <f t="shared" si="17"/>
        <v>-</v>
      </c>
    </row>
    <row r="15" spans="1:42" ht="20.25" customHeight="1">
      <c r="A15" s="12" t="str">
        <f t="shared" si="0"/>
        <v>TSX:IMG_2025_NEO2</v>
      </c>
      <c r="B15" s="12" t="str">
        <f>'Peer Group'!A13</f>
        <v>TSX:IMG</v>
      </c>
      <c r="C15" s="666" t="str">
        <f t="shared" si="1"/>
        <v>IAMGOLD Corporation</v>
      </c>
      <c r="D15" s="667">
        <f>_xll.ciqfunctions.udf.CIQ(B15, "IQ_MARKETCAP", $A$1,$A$2)</f>
        <v>5554.9869099999996</v>
      </c>
      <c r="E15" s="667">
        <f>_xll.ciqfunctions.udf.CIQ($B15, "IQ_TEV", $A$1,$A$2)</f>
        <v>6834.0846799999999</v>
      </c>
      <c r="F15" s="668" t="str">
        <f t="shared" si="2"/>
        <v>Annie Torkia Lagacé</v>
      </c>
      <c r="G15" s="668" t="str">
        <f t="shared" si="2"/>
        <v>CLSO</v>
      </c>
      <c r="H15" s="667" t="str">
        <f t="shared" si="3"/>
        <v>-</v>
      </c>
      <c r="I15" s="667">
        <f t="shared" si="3"/>
        <v>470</v>
      </c>
      <c r="J15" s="669">
        <f t="shared" si="3"/>
        <v>363.44685196374621</v>
      </c>
      <c r="K15" s="670">
        <f t="shared" si="4"/>
        <v>0.7732911743909493</v>
      </c>
      <c r="L15" s="670">
        <f t="shared" si="4"/>
        <v>0.7732911743909493</v>
      </c>
      <c r="M15" s="671">
        <f t="shared" si="5"/>
        <v>329</v>
      </c>
      <c r="N15" s="672">
        <f t="shared" si="6"/>
        <v>0.7</v>
      </c>
      <c r="O15" s="669">
        <f t="shared" si="7"/>
        <v>833.4468519637461</v>
      </c>
      <c r="P15" s="673">
        <f t="shared" si="7"/>
        <v>799</v>
      </c>
      <c r="Q15" s="669">
        <f t="shared" si="7"/>
        <v>679.48500000000001</v>
      </c>
      <c r="R15" s="670">
        <f t="shared" si="8"/>
        <v>1.4457127659574469</v>
      </c>
      <c r="S15" s="670">
        <f t="shared" si="8"/>
        <v>1.4457127659574469</v>
      </c>
      <c r="T15" s="671">
        <f t="shared" si="9"/>
        <v>705</v>
      </c>
      <c r="U15" s="672">
        <f t="shared" si="10"/>
        <v>1.5</v>
      </c>
      <c r="V15" s="669">
        <f t="shared" si="11"/>
        <v>1512.9318519637461</v>
      </c>
      <c r="W15" s="674">
        <f t="shared" si="11"/>
        <v>1504</v>
      </c>
      <c r="X15" s="669">
        <f t="shared" si="12"/>
        <v>21.372628398791541</v>
      </c>
      <c r="Y15" s="674">
        <f t="shared" si="12"/>
        <v>41.894090634441085</v>
      </c>
      <c r="Z15" s="669">
        <f t="shared" si="13"/>
        <v>1576.1985709969788</v>
      </c>
      <c r="AA15" s="674">
        <f t="shared" si="13"/>
        <v>1567.2667190332327</v>
      </c>
      <c r="AB15" s="675"/>
      <c r="AC15" s="676">
        <f t="shared" si="14"/>
        <v>0.53125</v>
      </c>
      <c r="AD15" s="677">
        <f t="shared" si="15"/>
        <v>0.46875</v>
      </c>
      <c r="AE15" s="678" t="str">
        <f t="shared" si="16"/>
        <v>TSX:IMG_2023_NEO2</v>
      </c>
      <c r="AF15" s="678"/>
      <c r="AG15" s="682" t="str" cm="1">
        <f t="array" ref="AG15">IFERROR(INDEX(#REF!,_xlfn.XMATCH('NEO4'!$AE15,#REF!),_xlfn.XMATCH('NEO4'!AG$5,#REF!)),"-")</f>
        <v>-</v>
      </c>
      <c r="AH15" s="678" t="str" cm="1">
        <f t="array" ref="AH15">IFERROR(INDEX(#REF!,_xlfn.XMATCH('NEO4'!$AE15,#REF!),_xlfn.XMATCH('NEO4'!AH$5,#REF!)),"-")</f>
        <v>-</v>
      </c>
      <c r="AI15" s="683" t="str">
        <f>IF(ISNUMBER(_xlfn.XMATCH(C15,#REF!)),"N","Y")</f>
        <v>Y</v>
      </c>
      <c r="AJ15" s="683" t="str">
        <f t="shared" si="18"/>
        <v>Y</v>
      </c>
      <c r="AK15" s="678" t="str" cm="1">
        <f t="array" ref="AK15">IFERROR(INDEX(#REF!,_xlfn.XMATCH('NEO4'!$AE15,#REF!),_xlfn.XMATCH('NEO4'!AK$5,#REF!)),"-")</f>
        <v>-</v>
      </c>
      <c r="AL15" s="786" t="str" cm="1">
        <f t="array" ref="AL15">IFERROR(INDEX(#REF!,_xlfn.XMATCH('NEO4'!$AE15,#REF!),_xlfn.XMATCH('NEO4'!AL$5,#REF!)),"-")</f>
        <v>-</v>
      </c>
      <c r="AM15" s="787" t="str" cm="1">
        <f t="array" ref="AM15">IFERROR(INDEX(#REF!,_xlfn.XMATCH('NEO4'!$AE15,#REF!),_xlfn.XMATCH('NEO4'!AM$5,#REF!)),"-")</f>
        <v>-</v>
      </c>
      <c r="AN15" s="646" t="str">
        <f t="shared" si="17"/>
        <v>-</v>
      </c>
    </row>
    <row r="16" spans="1:42" ht="20.25" customHeight="1">
      <c r="A16" s="12" t="str">
        <f t="shared" si="0"/>
        <v>TSX:CS_2025_NEO2</v>
      </c>
      <c r="B16" s="12" t="str">
        <f>'Peer Group'!A14</f>
        <v>TSX:CS</v>
      </c>
      <c r="C16" s="666" t="str">
        <f t="shared" si="1"/>
        <v>Capstone Copper Corp.</v>
      </c>
      <c r="D16" s="667">
        <f>_xll.ciqfunctions.udf.CIQ(B16, "IQ_MARKETCAP", $A$1,$A$2)</f>
        <v>5953.1492900000003</v>
      </c>
      <c r="E16" s="667">
        <f>_xll.ciqfunctions.udf.CIQ($B16, "IQ_TEV", $A$1,$A$2)</f>
        <v>8486.01584</v>
      </c>
      <c r="F16" s="668" t="str">
        <f t="shared" si="2"/>
        <v>Wendy King</v>
      </c>
      <c r="G16" s="668" t="str">
        <f t="shared" si="2"/>
        <v>Senior VP, Risk, ESG, General Counsel &amp; Corporate Secretary</v>
      </c>
      <c r="H16" s="667" t="str">
        <f t="shared" si="3"/>
        <v>-</v>
      </c>
      <c r="I16" s="667">
        <f t="shared" si="3"/>
        <v>475</v>
      </c>
      <c r="J16" s="669">
        <f t="shared" si="3"/>
        <v>448.51900000000001</v>
      </c>
      <c r="K16" s="670">
        <f t="shared" si="4"/>
        <v>0.94425052631578943</v>
      </c>
      <c r="L16" s="670">
        <f t="shared" si="4"/>
        <v>0.75625060652907816</v>
      </c>
      <c r="M16" s="671">
        <f t="shared" si="5"/>
        <v>356.25</v>
      </c>
      <c r="N16" s="672">
        <f t="shared" si="6"/>
        <v>0.75</v>
      </c>
      <c r="O16" s="669">
        <f t="shared" si="7"/>
        <v>923.51900000000001</v>
      </c>
      <c r="P16" s="673">
        <f t="shared" si="7"/>
        <v>831.25</v>
      </c>
      <c r="Q16" s="669">
        <f t="shared" si="7"/>
        <v>712.49839687500003</v>
      </c>
      <c r="R16" s="670">
        <f t="shared" si="8"/>
        <v>1.4999966249999999</v>
      </c>
      <c r="S16" s="670">
        <f t="shared" si="8"/>
        <v>1.4999966250000003</v>
      </c>
      <c r="T16" s="671">
        <f t="shared" si="9"/>
        <v>712.5</v>
      </c>
      <c r="U16" s="672">
        <f t="shared" si="10"/>
        <v>1.5</v>
      </c>
      <c r="V16" s="669">
        <f t="shared" si="11"/>
        <v>1636.017396875</v>
      </c>
      <c r="W16" s="674">
        <f t="shared" si="11"/>
        <v>1543.75</v>
      </c>
      <c r="X16" s="669" t="str">
        <f t="shared" si="12"/>
        <v>-</v>
      </c>
      <c r="Y16" s="674">
        <f t="shared" si="12"/>
        <v>70.742999999999995</v>
      </c>
      <c r="Z16" s="669">
        <f t="shared" si="13"/>
        <v>1706.7603968750002</v>
      </c>
      <c r="AA16" s="674">
        <f t="shared" si="13"/>
        <v>1614.4929999999999</v>
      </c>
      <c r="AB16" s="675"/>
      <c r="AC16" s="676">
        <f t="shared" si="14"/>
        <v>0.53846153846153844</v>
      </c>
      <c r="AD16" s="677">
        <f t="shared" si="15"/>
        <v>0.46153846153846156</v>
      </c>
      <c r="AE16" s="678" t="str">
        <f t="shared" si="16"/>
        <v>TSX:CS_2023_NEO2</v>
      </c>
      <c r="AF16" s="678"/>
      <c r="AG16" s="682" t="str" cm="1">
        <f t="array" ref="AG16">IFERROR(INDEX(#REF!,_xlfn.XMATCH('NEO4'!$AE16,#REF!),_xlfn.XMATCH('NEO4'!AG$5,#REF!)),"-")</f>
        <v>-</v>
      </c>
      <c r="AH16" s="678" t="str" cm="1">
        <f t="array" ref="AH16">IFERROR(INDEX(#REF!,_xlfn.XMATCH('NEO4'!$AE16,#REF!),_xlfn.XMATCH('NEO4'!AH$5,#REF!)),"-")</f>
        <v>-</v>
      </c>
      <c r="AI16" s="683" t="str">
        <f>IF(ISNUMBER(_xlfn.XMATCH(C16,#REF!)),"N","Y")</f>
        <v>Y</v>
      </c>
      <c r="AJ16" s="683" t="str">
        <f t="shared" si="18"/>
        <v>Y</v>
      </c>
      <c r="AK16" s="678" t="str" cm="1">
        <f t="array" ref="AK16">IFERROR(INDEX(#REF!,_xlfn.XMATCH('NEO4'!$AE16,#REF!),_xlfn.XMATCH('NEO4'!AK$5,#REF!)),"-")</f>
        <v>-</v>
      </c>
      <c r="AL16" s="788" t="str" cm="1">
        <f t="array" ref="AL16">IFERROR(INDEX(#REF!,_xlfn.XMATCH('NEO4'!$AE16,#REF!),_xlfn.XMATCH('NEO4'!AL$5,#REF!)),"-")</f>
        <v>-</v>
      </c>
      <c r="AM16" s="789" t="str" cm="1">
        <f t="array" ref="AM16">IFERROR(INDEX(#REF!,_xlfn.XMATCH('NEO4'!$AE16,#REF!),_xlfn.XMATCH('NEO4'!AM$5,#REF!)),"-")</f>
        <v>-</v>
      </c>
      <c r="AN16" s="646" t="str">
        <f t="shared" si="17"/>
        <v>-</v>
      </c>
    </row>
    <row r="17" spans="1:42" ht="20.25" customHeight="1">
      <c r="A17" s="12" t="str">
        <f t="shared" si="0"/>
        <v>TSX:ELD_2025_NEO2</v>
      </c>
      <c r="B17" s="12" t="str">
        <f>'Peer Group'!A15</f>
        <v>TSX:ELD</v>
      </c>
      <c r="C17" s="666" t="str">
        <f t="shared" si="1"/>
        <v>Eldorado Gold Corporation</v>
      </c>
      <c r="D17" s="667">
        <f>_xll.ciqfunctions.udf.CIQ(B17, "IQ_MARKETCAP", $A$1,$A$2)</f>
        <v>5759.9111199999998</v>
      </c>
      <c r="E17" s="667">
        <f>_xll.ciqfunctions.udf.CIQ($B17, "IQ_TEV", $A$1,$A$2)</f>
        <v>5657.0414199999996</v>
      </c>
      <c r="F17" s="668" t="str">
        <f t="shared" si="2"/>
        <v>Simon Hille</v>
      </c>
      <c r="G17" s="668" t="str">
        <f t="shared" si="2"/>
        <v>Executive Vice President, Technical Services &amp; Operations</v>
      </c>
      <c r="H17" s="667" t="str">
        <f t="shared" si="3"/>
        <v>-</v>
      </c>
      <c r="I17" s="667">
        <f t="shared" si="3"/>
        <v>531.9</v>
      </c>
      <c r="J17" s="669">
        <f t="shared" si="3"/>
        <v>489.34800000000001</v>
      </c>
      <c r="K17" s="670">
        <f t="shared" si="4"/>
        <v>0.92</v>
      </c>
      <c r="L17" s="670">
        <f t="shared" si="4"/>
        <v>0.88665424436273732</v>
      </c>
      <c r="M17" s="671">
        <f t="shared" si="5"/>
        <v>425.52</v>
      </c>
      <c r="N17" s="672">
        <f t="shared" si="6"/>
        <v>0.8</v>
      </c>
      <c r="O17" s="669">
        <f t="shared" si="7"/>
        <v>1021.248</v>
      </c>
      <c r="P17" s="673">
        <f t="shared" si="7"/>
        <v>957.42</v>
      </c>
      <c r="Q17" s="669">
        <f t="shared" si="7"/>
        <v>797.833998204875</v>
      </c>
      <c r="R17" s="670">
        <f t="shared" si="8"/>
        <v>1.499969915782807</v>
      </c>
      <c r="S17" s="670">
        <f t="shared" si="8"/>
        <v>1.3922299110485172</v>
      </c>
      <c r="T17" s="671">
        <f t="shared" si="9"/>
        <v>797.85</v>
      </c>
      <c r="U17" s="672">
        <f t="shared" si="10"/>
        <v>1.5</v>
      </c>
      <c r="V17" s="669">
        <f t="shared" si="11"/>
        <v>1819.0819982048749</v>
      </c>
      <c r="W17" s="674">
        <f t="shared" si="11"/>
        <v>1755.27</v>
      </c>
      <c r="X17" s="669">
        <f t="shared" si="12"/>
        <v>95.742000000000004</v>
      </c>
      <c r="Y17" s="674" t="str">
        <f t="shared" si="12"/>
        <v>-</v>
      </c>
      <c r="Z17" s="669">
        <f t="shared" si="13"/>
        <v>1914.8239982048751</v>
      </c>
      <c r="AA17" s="674">
        <f t="shared" si="13"/>
        <v>1851.0119999999999</v>
      </c>
      <c r="AB17" s="675"/>
      <c r="AC17" s="676">
        <f t="shared" si="14"/>
        <v>0.54545454545454541</v>
      </c>
      <c r="AD17" s="677">
        <f t="shared" si="15"/>
        <v>0.45454545454545459</v>
      </c>
      <c r="AE17" s="678" t="str">
        <f t="shared" si="16"/>
        <v>TSX:ELD_2023_NEO2</v>
      </c>
      <c r="AF17" s="678"/>
      <c r="AG17" s="682" t="str" cm="1">
        <f t="array" ref="AG17">IFERROR(INDEX(#REF!,_xlfn.XMATCH('NEO4'!$AE17,#REF!),_xlfn.XMATCH('NEO4'!AG$5,#REF!)),"-")</f>
        <v>-</v>
      </c>
      <c r="AH17" s="678" t="str" cm="1">
        <f t="array" ref="AH17">IFERROR(INDEX(#REF!,_xlfn.XMATCH('NEO4'!$AE17,#REF!),_xlfn.XMATCH('NEO4'!AH$5,#REF!)),"-")</f>
        <v>-</v>
      </c>
      <c r="AI17" s="683" t="str">
        <f>IF(ISNUMBER(_xlfn.XMATCH(C17,#REF!)),"N","Y")</f>
        <v>Y</v>
      </c>
      <c r="AJ17" s="683" t="str">
        <f t="shared" si="18"/>
        <v>Y</v>
      </c>
      <c r="AK17" s="678" t="str" cm="1">
        <f t="array" ref="AK17">IFERROR(INDEX(#REF!,_xlfn.XMATCH('NEO4'!$AE17,#REF!),_xlfn.XMATCH('NEO4'!AK$5,#REF!)),"-")</f>
        <v>-</v>
      </c>
      <c r="AL17" s="788" t="str" cm="1">
        <f t="array" ref="AL17">IFERROR(INDEX(#REF!,_xlfn.XMATCH('NEO4'!$AE17,#REF!),_xlfn.XMATCH('NEO4'!AL$5,#REF!)),"-")</f>
        <v>-</v>
      </c>
      <c r="AM17" s="789" t="str" cm="1">
        <f t="array" ref="AM17">IFERROR(INDEX(#REF!,_xlfn.XMATCH('NEO4'!$AE17,#REF!),_xlfn.XMATCH('NEO4'!AM$5,#REF!)),"-")</f>
        <v>-</v>
      </c>
      <c r="AN17" s="646" t="str">
        <f t="shared" si="17"/>
        <v>-</v>
      </c>
      <c r="AP17" s="12" t="s">
        <v>464</v>
      </c>
    </row>
    <row r="18" spans="1:42" ht="20.25" customHeight="1">
      <c r="A18" s="12" t="str">
        <f t="shared" si="0"/>
        <v>TSX:EQX_2025_NEO2</v>
      </c>
      <c r="B18" s="12" t="str">
        <f>'Peer Group'!A16</f>
        <v>TSX:EQX</v>
      </c>
      <c r="C18" s="666" t="str">
        <f t="shared" si="1"/>
        <v>Equinox Gold Corp.</v>
      </c>
      <c r="D18" s="667">
        <f>_xll.ciqfunctions.udf.CIQ(B18, "IQ_MARKETCAP", $A$1,$A$2)</f>
        <v>6518.4440000000004</v>
      </c>
      <c r="E18" s="667">
        <f>_xll.ciqfunctions.udf.CIQ($B18, "IQ_TEV", $A$1,$A$2)</f>
        <v>8418.0428900000006</v>
      </c>
      <c r="F18" s="668" t="str">
        <f t="shared" si="2"/>
        <v>Daniella Dimitrov</v>
      </c>
      <c r="G18" s="668" t="str">
        <f t="shared" si="2"/>
        <v>EVP, Sustainability, People &amp; Strategy</v>
      </c>
      <c r="H18" s="667" t="str">
        <f t="shared" si="3"/>
        <v>-</v>
      </c>
      <c r="I18" s="667">
        <f t="shared" si="3"/>
        <v>437.19</v>
      </c>
      <c r="J18" s="669">
        <f t="shared" si="3"/>
        <v>501.32400000000001</v>
      </c>
      <c r="K18" s="670">
        <f t="shared" si="4"/>
        <v>1.1466959445549989</v>
      </c>
      <c r="L18" s="670">
        <f t="shared" si="4"/>
        <v>1.1466959445549989</v>
      </c>
      <c r="M18" s="671">
        <f t="shared" si="5"/>
        <v>393.471</v>
      </c>
      <c r="N18" s="672">
        <f t="shared" si="6"/>
        <v>0.9</v>
      </c>
      <c r="O18" s="669">
        <f t="shared" si="7"/>
        <v>938.51400000000001</v>
      </c>
      <c r="P18" s="673">
        <f t="shared" si="7"/>
        <v>830.66099999999994</v>
      </c>
      <c r="Q18" s="669">
        <f t="shared" si="7"/>
        <v>358.428</v>
      </c>
      <c r="R18" s="670">
        <f t="shared" si="8"/>
        <v>0.81984491868523979</v>
      </c>
      <c r="S18" s="670">
        <f t="shared" si="8"/>
        <v>0.81984491868523979</v>
      </c>
      <c r="T18" s="671">
        <f t="shared" si="9"/>
        <v>358.428</v>
      </c>
      <c r="U18" s="672">
        <f t="shared" si="10"/>
        <v>0.81984491868523979</v>
      </c>
      <c r="V18" s="669">
        <f t="shared" si="11"/>
        <v>1296.942</v>
      </c>
      <c r="W18" s="674" t="str">
        <f t="shared" si="11"/>
        <v>-</v>
      </c>
      <c r="X18" s="669" t="str">
        <f t="shared" si="12"/>
        <v>-</v>
      </c>
      <c r="Y18" s="674">
        <f t="shared" si="12"/>
        <v>76.412999999999997</v>
      </c>
      <c r="Z18" s="669">
        <f t="shared" si="13"/>
        <v>1373.355</v>
      </c>
      <c r="AA18" s="674" t="str">
        <f t="shared" si="13"/>
        <v>-</v>
      </c>
      <c r="AB18" s="675"/>
      <c r="AC18" s="676" t="s">
        <v>78</v>
      </c>
      <c r="AD18" s="677" t="s">
        <v>78</v>
      </c>
      <c r="AE18" s="678" t="str">
        <f t="shared" si="16"/>
        <v>TSX:EQX_2023_NEO2</v>
      </c>
      <c r="AF18" s="678"/>
      <c r="AG18" s="682" t="str" cm="1">
        <f t="array" ref="AG18">IFERROR(INDEX(#REF!,_xlfn.XMATCH('NEO4'!$AE18,#REF!),_xlfn.XMATCH('NEO4'!AG$5,#REF!)),"-")</f>
        <v>-</v>
      </c>
      <c r="AH18" s="678" t="str" cm="1">
        <f t="array" ref="AH18">IFERROR(INDEX(#REF!,_xlfn.XMATCH('NEO4'!$AE18,#REF!),_xlfn.XMATCH('NEO4'!AH$5,#REF!)),"-")</f>
        <v>-</v>
      </c>
      <c r="AI18" s="683" t="str">
        <f>IF(ISNUMBER(_xlfn.XMATCH(C18,#REF!)),"N","Y")</f>
        <v>Y</v>
      </c>
      <c r="AJ18" s="683" t="str">
        <f t="shared" si="18"/>
        <v>Y</v>
      </c>
      <c r="AK18" s="678" t="str" cm="1">
        <f t="array" ref="AK18">IFERROR(INDEX(#REF!,_xlfn.XMATCH('NEO4'!$AE18,#REF!),_xlfn.XMATCH('NEO4'!AK$5,#REF!)),"-")</f>
        <v>-</v>
      </c>
      <c r="AL18" s="788" t="str" cm="1">
        <f t="array" ref="AL18">IFERROR(INDEX(#REF!,_xlfn.XMATCH('NEO4'!$AE18,#REF!),_xlfn.XMATCH('NEO4'!AL$5,#REF!)),"-")</f>
        <v>-</v>
      </c>
      <c r="AM18" s="789" t="str" cm="1">
        <f t="array" ref="AM18">IFERROR(INDEX(#REF!,_xlfn.XMATCH('NEO4'!$AE18,#REF!),_xlfn.XMATCH('NEO4'!AM$5,#REF!)),"-")</f>
        <v>-</v>
      </c>
      <c r="AN18" s="646" t="str">
        <f t="shared" si="17"/>
        <v>-</v>
      </c>
    </row>
    <row r="19" spans="1:42" ht="20.25" customHeight="1">
      <c r="A19" s="12" t="str">
        <f t="shared" si="0"/>
        <v>TSX:SSRM_2025_NEO2</v>
      </c>
      <c r="B19" s="12" t="str">
        <f>'Peer Group'!A17</f>
        <v>TSX:SSRM</v>
      </c>
      <c r="C19" s="666" t="str">
        <f t="shared" si="1"/>
        <v>SSR Mining Inc.</v>
      </c>
      <c r="D19" s="667">
        <f>_xll.ciqfunctions.udf.CIQ(B19, "IQ_MARKETCAP", $A$1,$A$2)</f>
        <v>3530.3646100000001</v>
      </c>
      <c r="E19" s="667">
        <f>_xll.ciqfunctions.udf.CIQ($B19, "IQ_TEV", $A$1,$A$2)</f>
        <v>4740.9122799999996</v>
      </c>
      <c r="F19" s="668" t="str">
        <f t="shared" si="2"/>
        <v>F. Edward Farid</v>
      </c>
      <c r="G19" s="668" t="str">
        <f t="shared" si="2"/>
        <v>Executive VP &amp; Chief Strategy Officer</v>
      </c>
      <c r="H19" s="667" t="str">
        <f t="shared" si="3"/>
        <v>-</v>
      </c>
      <c r="I19" s="667">
        <f t="shared" si="3"/>
        <v>810.52099999999996</v>
      </c>
      <c r="J19" s="669">
        <f t="shared" si="3"/>
        <v>749.11564955000006</v>
      </c>
      <c r="K19" s="670">
        <f t="shared" si="4"/>
        <v>0.92423965517241391</v>
      </c>
      <c r="L19" s="670">
        <f t="shared" si="4"/>
        <v>0.8033698275862069</v>
      </c>
      <c r="M19" s="671">
        <f t="shared" si="5"/>
        <v>607.89075000000003</v>
      </c>
      <c r="N19" s="672">
        <f t="shared" si="6"/>
        <v>0.75</v>
      </c>
      <c r="O19" s="669">
        <f t="shared" si="7"/>
        <v>1559.6366495500001</v>
      </c>
      <c r="P19" s="673">
        <f t="shared" si="7"/>
        <v>1418.41175</v>
      </c>
      <c r="Q19" s="669">
        <f t="shared" si="7"/>
        <v>1418.41175</v>
      </c>
      <c r="R19" s="670">
        <f t="shared" si="8"/>
        <v>1.75</v>
      </c>
      <c r="S19" s="670">
        <f t="shared" si="8"/>
        <v>1.75</v>
      </c>
      <c r="T19" s="671">
        <f t="shared" si="9"/>
        <v>1418.41175</v>
      </c>
      <c r="U19" s="672">
        <f t="shared" si="10"/>
        <v>1.75</v>
      </c>
      <c r="V19" s="669">
        <f t="shared" si="11"/>
        <v>2978.0483995500003</v>
      </c>
      <c r="W19" s="674">
        <f t="shared" si="11"/>
        <v>2836.8235</v>
      </c>
      <c r="X19" s="669">
        <f t="shared" si="12"/>
        <v>39.128600000000006</v>
      </c>
      <c r="Y19" s="674">
        <f t="shared" si="12"/>
        <v>54.708770050000005</v>
      </c>
      <c r="Z19" s="669">
        <f t="shared" si="13"/>
        <v>3071.8857696000005</v>
      </c>
      <c r="AA19" s="674">
        <f t="shared" si="13"/>
        <v>2930.6608700500001</v>
      </c>
      <c r="AB19" s="675"/>
      <c r="AC19" s="676">
        <f t="shared" si="14"/>
        <v>0.5</v>
      </c>
      <c r="AD19" s="677">
        <f t="shared" si="15"/>
        <v>0.5</v>
      </c>
      <c r="AE19" s="678" t="str">
        <f t="shared" si="16"/>
        <v>TSX:SSRM_2023_NEO2</v>
      </c>
      <c r="AF19" s="678" t="s">
        <v>466</v>
      </c>
      <c r="AG19" s="682" t="str" cm="1">
        <f t="array" ref="AG19">IFERROR(INDEX(#REF!,_xlfn.XMATCH('NEO4'!$AE19,#REF!),_xlfn.XMATCH('NEO4'!AG$5,#REF!)),"-")</f>
        <v>-</v>
      </c>
      <c r="AH19" s="678" t="str" cm="1">
        <f t="array" ref="AH19">IFERROR(INDEX(#REF!,_xlfn.XMATCH('NEO4'!$AE19,#REF!),_xlfn.XMATCH('NEO4'!AH$5,#REF!)),"-")</f>
        <v>-</v>
      </c>
      <c r="AI19" s="683" t="str">
        <f>IF(ISNUMBER(_xlfn.XMATCH(C19,#REF!)),"N","Y")</f>
        <v>Y</v>
      </c>
      <c r="AJ19" s="683" t="s">
        <v>442</v>
      </c>
      <c r="AK19" s="678" t="str" cm="1">
        <f t="array" ref="AK19">IFERROR(INDEX(#REF!,_xlfn.XMATCH('NEO4'!$AE19,#REF!),_xlfn.XMATCH('NEO4'!AK$5,#REF!)),"-")</f>
        <v>-</v>
      </c>
      <c r="AL19" s="788" t="str" cm="1">
        <f t="array" ref="AL19">IFERROR(INDEX(#REF!,_xlfn.XMATCH('NEO4'!$AE19,#REF!),_xlfn.XMATCH('NEO4'!AL$5,#REF!)),"-")</f>
        <v>-</v>
      </c>
      <c r="AM19" s="789" t="str" cm="1">
        <f t="array" ref="AM19">IFERROR(INDEX(#REF!,_xlfn.XMATCH('NEO4'!$AE19,#REF!),_xlfn.XMATCH('NEO4'!AM$5,#REF!)),"-")</f>
        <v>-</v>
      </c>
      <c r="AN19" s="646" t="str">
        <f t="shared" si="17"/>
        <v>-</v>
      </c>
      <c r="AP19" s="12" t="s">
        <v>465</v>
      </c>
    </row>
    <row r="20" spans="1:42" ht="20.25" customHeight="1">
      <c r="A20" s="12" t="str">
        <f t="shared" si="0"/>
        <v>TSX:BTO_2025_NEO2</v>
      </c>
      <c r="B20" s="12" t="str">
        <f>'Peer Group'!A18</f>
        <v>TSX:BTO</v>
      </c>
      <c r="C20" s="666" t="str">
        <f t="shared" si="1"/>
        <v>B2Gold Corp.</v>
      </c>
      <c r="D20" s="667">
        <f>_xll.ciqfunctions.udf.CIQ(B20, "IQ_MARKETCAP", $A$1,$A$2)</f>
        <v>6289.7347200000004</v>
      </c>
      <c r="E20" s="667">
        <f>_xll.ciqfunctions.udf.CIQ($B20, "IQ_TEV", $A$1,$A$2)</f>
        <v>6472.2609199999997</v>
      </c>
      <c r="F20" s="668" t="str">
        <f t="shared" si="2"/>
        <v>Randall Chatwin</v>
      </c>
      <c r="G20" s="668" t="str">
        <f t="shared" si="2"/>
        <v>Senior VP Legal &amp; Corporate Communications</v>
      </c>
      <c r="H20" s="667" t="str">
        <f t="shared" si="3"/>
        <v>-</v>
      </c>
      <c r="I20" s="667">
        <f t="shared" si="3"/>
        <v>637.58656250000001</v>
      </c>
      <c r="J20" s="669">
        <f t="shared" si="3"/>
        <v>509.27270349999998</v>
      </c>
      <c r="K20" s="670">
        <f t="shared" si="4"/>
        <v>0.7987506849315068</v>
      </c>
      <c r="L20" s="670">
        <f t="shared" si="4"/>
        <v>0.68125041095890404</v>
      </c>
      <c r="M20" s="671">
        <f t="shared" si="5"/>
        <v>478.18992187499998</v>
      </c>
      <c r="N20" s="672">
        <f t="shared" si="6"/>
        <v>0.75</v>
      </c>
      <c r="O20" s="669">
        <f t="shared" si="7"/>
        <v>1146.8592660000002</v>
      </c>
      <c r="P20" s="673">
        <f t="shared" si="7"/>
        <v>1115.7764843750001</v>
      </c>
      <c r="Q20" s="669">
        <f t="shared" si="7"/>
        <v>2111.4323591000002</v>
      </c>
      <c r="R20" s="670">
        <f t="shared" si="8"/>
        <v>3.3116010958904107</v>
      </c>
      <c r="S20" s="670">
        <f t="shared" si="8"/>
        <v>2.9272003652968035</v>
      </c>
      <c r="T20" s="671">
        <f t="shared" si="9"/>
        <v>1866.3436186583333</v>
      </c>
      <c r="U20" s="672">
        <f t="shared" si="10"/>
        <v>2.9272003652968035</v>
      </c>
      <c r="V20" s="669">
        <f t="shared" si="11"/>
        <v>3258.2916250999997</v>
      </c>
      <c r="W20" s="674">
        <f t="shared" si="11"/>
        <v>2982.1201030333332</v>
      </c>
      <c r="X20" s="669" t="str">
        <f t="shared" si="12"/>
        <v>-</v>
      </c>
      <c r="Y20" s="674">
        <f t="shared" si="12"/>
        <v>7.3114584000000002</v>
      </c>
      <c r="Z20" s="669">
        <f t="shared" si="13"/>
        <v>3265.6030834999997</v>
      </c>
      <c r="AA20" s="674">
        <f t="shared" si="13"/>
        <v>2989.4315614333332</v>
      </c>
      <c r="AB20" s="675"/>
      <c r="AC20" s="676">
        <f t="shared" si="14"/>
        <v>0.37415544841405346</v>
      </c>
      <c r="AD20" s="677">
        <f t="shared" si="15"/>
        <v>0.62584455158594665</v>
      </c>
      <c r="AE20" s="678" t="str">
        <f t="shared" si="16"/>
        <v>TSX:BTO_2023_NEO2</v>
      </c>
      <c r="AF20" s="678"/>
      <c r="AG20" s="682" t="str" cm="1">
        <f t="array" ref="AG20">IFERROR(INDEX(#REF!,_xlfn.XMATCH('NEO4'!$AE20,#REF!),_xlfn.XMATCH('NEO4'!AG$5,#REF!)),"-")</f>
        <v>-</v>
      </c>
      <c r="AH20" s="678" t="str" cm="1">
        <f t="array" ref="AH20">IFERROR(INDEX(#REF!,_xlfn.XMATCH('NEO4'!$AE20,#REF!),_xlfn.XMATCH('NEO4'!AH$5,#REF!)),"-")</f>
        <v>-</v>
      </c>
      <c r="AI20" s="683" t="str">
        <f>IF(ISNUMBER(_xlfn.XMATCH(C20,#REF!)),"N","Y")</f>
        <v>Y</v>
      </c>
      <c r="AJ20" s="683" t="str">
        <f t="shared" si="18"/>
        <v>Y</v>
      </c>
      <c r="AK20" s="678" t="str" cm="1">
        <f t="array" ref="AK20">IFERROR(INDEX(#REF!,_xlfn.XMATCH('NEO4'!$AE20,#REF!),_xlfn.XMATCH('NEO4'!AK$5,#REF!)),"-")</f>
        <v>-</v>
      </c>
      <c r="AL20" s="788" t="str" cm="1">
        <f t="array" ref="AL20">IFERROR(INDEX(#REF!,_xlfn.XMATCH('NEO4'!$AE20,#REF!),_xlfn.XMATCH('NEO4'!AL$5,#REF!)),"-")</f>
        <v>-</v>
      </c>
      <c r="AM20" s="789" t="str" cm="1">
        <f t="array" ref="AM20">IFERROR(INDEX(#REF!,_xlfn.XMATCH('NEO4'!$AE20,#REF!),_xlfn.XMATCH('NEO4'!AM$5,#REF!)),"-")</f>
        <v>-</v>
      </c>
      <c r="AN20" s="646" t="str">
        <f t="shared" si="17"/>
        <v>-</v>
      </c>
    </row>
    <row r="21" spans="1:42" ht="20.25" customHeight="1">
      <c r="A21" s="12" t="str">
        <f t="shared" si="0"/>
        <v>TSX:OGC_2025_NEO2</v>
      </c>
      <c r="B21" s="12" t="str">
        <f>'Peer Group'!A19</f>
        <v>TSX:OGC</v>
      </c>
      <c r="C21" s="666" t="str">
        <f t="shared" si="1"/>
        <v>OceanaGold Corporation</v>
      </c>
      <c r="D21" s="667">
        <f>_xll.ciqfunctions.udf.CIQ(B21, "IQ_MARKETCAP", $A$1,$A$2)</f>
        <v>4453.8089300000001</v>
      </c>
      <c r="E21" s="667">
        <f>_xll.ciqfunctions.udf.CIQ($B21, "IQ_TEV", $A$1,$A$2)</f>
        <v>4363.2558799999997</v>
      </c>
      <c r="F21" s="668" t="str">
        <f t="shared" si="2"/>
        <v>Michelle Edelson</v>
      </c>
      <c r="G21" s="668" t="str">
        <f t="shared" si="2"/>
        <v>EVP &amp; CPO &amp; CTO</v>
      </c>
      <c r="H21" s="667" t="str">
        <f t="shared" si="3"/>
        <v>-</v>
      </c>
      <c r="I21" s="667">
        <f t="shared" si="3"/>
        <v>488.25365805000001</v>
      </c>
      <c r="J21" s="669">
        <f t="shared" si="3"/>
        <v>488.90067740000006</v>
      </c>
      <c r="K21" s="670">
        <f t="shared" si="4"/>
        <v>1.0013251705119508</v>
      </c>
      <c r="L21" s="670">
        <f t="shared" si="4"/>
        <v>0.75371441910430881</v>
      </c>
      <c r="M21" s="671">
        <f t="shared" si="5"/>
        <v>292.95219483</v>
      </c>
      <c r="N21" s="672">
        <f t="shared" si="6"/>
        <v>0.6</v>
      </c>
      <c r="O21" s="669">
        <f t="shared" si="7"/>
        <v>977.15433545000008</v>
      </c>
      <c r="P21" s="673">
        <f t="shared" si="7"/>
        <v>781.20585288000007</v>
      </c>
      <c r="Q21" s="669">
        <f t="shared" si="7"/>
        <v>1226.3546067000002</v>
      </c>
      <c r="R21" s="670">
        <f t="shared" si="8"/>
        <v>2.5117161673664596</v>
      </c>
      <c r="S21" s="670">
        <f t="shared" si="8"/>
        <v>2.6136371303019379</v>
      </c>
      <c r="T21" s="671">
        <f t="shared" si="9"/>
        <v>1276.1178896852257</v>
      </c>
      <c r="U21" s="672">
        <f t="shared" si="10"/>
        <v>2.6136371303019379</v>
      </c>
      <c r="V21" s="669">
        <f t="shared" si="11"/>
        <v>2203.5089421500006</v>
      </c>
      <c r="W21" s="674">
        <f t="shared" si="11"/>
        <v>2057.323742565226</v>
      </c>
      <c r="X21" s="669">
        <f t="shared" si="12"/>
        <v>34.922275500000005</v>
      </c>
      <c r="Y21" s="674" t="str">
        <f t="shared" si="12"/>
        <v>-</v>
      </c>
      <c r="Z21" s="669">
        <f t="shared" si="13"/>
        <v>2238.4312176500007</v>
      </c>
      <c r="AA21" s="674">
        <f t="shared" si="13"/>
        <v>2092.2460180652256</v>
      </c>
      <c r="AB21" s="675"/>
      <c r="AC21" s="676">
        <f t="shared" si="14"/>
        <v>0.37971945626113945</v>
      </c>
      <c r="AD21" s="677">
        <f t="shared" si="15"/>
        <v>0.62028054373886043</v>
      </c>
      <c r="AE21" s="678" t="str">
        <f t="shared" si="16"/>
        <v>TSX:OGC_2023_NEO2</v>
      </c>
      <c r="AF21" s="678"/>
      <c r="AG21" s="684" t="str" cm="1">
        <f t="array" ref="AG21">IFERROR(INDEX(#REF!,_xlfn.XMATCH('NEO4'!$AE21,#REF!),_xlfn.XMATCH('NEO4'!AG$5,#REF!)),"-")</f>
        <v>-</v>
      </c>
      <c r="AH21" s="685" t="str" cm="1">
        <f t="array" ref="AH21">IFERROR(INDEX(#REF!,_xlfn.XMATCH('NEO4'!$AE21,#REF!),_xlfn.XMATCH('NEO4'!AH$5,#REF!)),"-")</f>
        <v>-</v>
      </c>
      <c r="AI21" s="686" t="str">
        <f>IF(ISNUMBER(_xlfn.XMATCH(C21,#REF!)),"N","Y")</f>
        <v>Y</v>
      </c>
      <c r="AJ21" s="686" t="str">
        <f t="shared" si="18"/>
        <v>Y</v>
      </c>
      <c r="AK21" s="685" t="str" cm="1">
        <f t="array" ref="AK21">IFERROR(INDEX(#REF!,_xlfn.XMATCH('NEO4'!$AE21,#REF!),_xlfn.XMATCH('NEO4'!AK$5,#REF!)),"-")</f>
        <v>-</v>
      </c>
      <c r="AL21" s="792" t="str" cm="1">
        <f t="array" ref="AL21">IFERROR(INDEX(#REF!,_xlfn.XMATCH('NEO4'!$AE21,#REF!),_xlfn.XMATCH('NEO4'!AL$5,#REF!)),"-")</f>
        <v>-</v>
      </c>
      <c r="AM21" s="793" t="str" cm="1">
        <f t="array" ref="AM21">IFERROR(INDEX(#REF!,_xlfn.XMATCH('NEO4'!$AE21,#REF!),_xlfn.XMATCH('NEO4'!AM$5,#REF!)),"-")</f>
        <v>-</v>
      </c>
      <c r="AN21" s="779" t="str">
        <f t="shared" si="17"/>
        <v>-</v>
      </c>
    </row>
    <row r="22" spans="1:42" ht="20.25" customHeight="1" outlineLevel="1">
      <c r="A22" s="12" t="str">
        <f t="shared" ref="A22" si="19">$B22&amp;"_"&amp;$C$3&amp;"_"&amp;$C$2</f>
        <v>TSX:CG_2025_NEO2</v>
      </c>
      <c r="B22" s="12" t="str">
        <f>'Peer Group'!A20</f>
        <v>TSX:CG</v>
      </c>
      <c r="C22" s="666" t="str">
        <f t="shared" ref="C22" si="20">IFERROR(INDEX(Raw_Data,MATCH($A22,Look_Up,0),MATCH(C$4,Component,0)),"-")</f>
        <v>Centerra Gold Inc.</v>
      </c>
      <c r="D22" s="667">
        <f>_xll.ciqfunctions.udf.CIQ(B22, "IQ_MARKETCAP", $A$1,$A$2)</f>
        <v>2054.8528000000001</v>
      </c>
      <c r="E22" s="667">
        <f>_xll.ciqfunctions.udf.CIQ($B22, "IQ_TEV", $A$1,$A$2)</f>
        <v>1190.4233200000001</v>
      </c>
      <c r="F22" s="668" t="str">
        <f t="shared" ref="F22:G22" si="21">IFERROR(INDEX(Raw_Data,MATCH($A22,Look_Up,0),MATCH(F$4,Component,0)),"-")</f>
        <v>Yousef Rehman</v>
      </c>
      <c r="G22" s="668" t="str">
        <f t="shared" si="21"/>
        <v>EVP, Legal &amp; Public Affairs</v>
      </c>
      <c r="H22" s="667" t="str">
        <f t="shared" ref="H22:J22" si="22">IFERROR(INDEX(Raw_Data,MATCH($A22,Look_Up,0),MATCH(H$4,Component,0))/1000,"-")</f>
        <v>-</v>
      </c>
      <c r="I22" s="667">
        <f t="shared" si="22"/>
        <v>459</v>
      </c>
      <c r="J22" s="669">
        <f t="shared" si="22"/>
        <v>325.202</v>
      </c>
      <c r="K22" s="670">
        <f t="shared" ref="K22:L22" si="23">IFERROR(INDEX(Raw_Data,MATCH($A22,Look_Up,0),MATCH(K$4,Component,0)),"-")</f>
        <v>0.70850108932461875</v>
      </c>
      <c r="L22" s="670">
        <f t="shared" si="23"/>
        <v>0.66386665524303767</v>
      </c>
      <c r="M22" s="671">
        <f t="shared" ref="M22" si="24">IFERROR(INDEX(Raw_Data,MATCH($A22,Look_Up,0),MATCH(M$4,Component,0))/1000,"-")</f>
        <v>298.35000000000002</v>
      </c>
      <c r="N22" s="672">
        <f t="shared" ref="N22" si="25">IFERROR(IF(INDEX(Raw_Data,MATCH($A22,Look_Up,0),MATCH(N$4,Component,0))="-",L22,INDEX(Raw_Data,MATCH($A22,Look_Up,0),MATCH(N$4,Component,0))),"-")</f>
        <v>0.65</v>
      </c>
      <c r="O22" s="669">
        <f t="shared" ref="O22:Q22" si="26">IFERROR(INDEX(Raw_Data,MATCH($A22,Look_Up,0),MATCH(O$4,Component,0))/1000,"-")</f>
        <v>784.202</v>
      </c>
      <c r="P22" s="673">
        <f t="shared" si="26"/>
        <v>757.35</v>
      </c>
      <c r="Q22" s="669">
        <f t="shared" si="26"/>
        <v>734.4</v>
      </c>
      <c r="R22" s="670">
        <f t="shared" ref="R22:S22" si="27">IFERROR(INDEX(Raw_Data,MATCH($A22,Look_Up,0),MATCH(R$4,Component,0)),"-")</f>
        <v>1.6</v>
      </c>
      <c r="S22" s="670">
        <f t="shared" si="27"/>
        <v>1.6000000000000003</v>
      </c>
      <c r="T22" s="671">
        <f t="shared" ref="T22" si="28">IFERROR(INDEX(Raw_Data,MATCH($A22,Look_Up,0),MATCH(T$4,Component,0))/1000,"-")</f>
        <v>734.4</v>
      </c>
      <c r="U22" s="672">
        <f t="shared" ref="U22" si="29">IFERROR(IF(INDEX(Raw_Data,MATCH($A22,Look_Up,0),MATCH(U$4,Component,0))="-",S22,INDEX(Raw_Data,MATCH($A22,Look_Up,0),MATCH(U$4,Component,0))),"-")</f>
        <v>1.6</v>
      </c>
      <c r="V22" s="669">
        <f t="shared" ref="V22:AA22" si="30">IFERROR(INDEX(Raw_Data,MATCH($A22,Look_Up,0),MATCH(V$4,Component,0))/1000,"-")</f>
        <v>1518.6020000000001</v>
      </c>
      <c r="W22" s="674">
        <f t="shared" si="30"/>
        <v>1491.75</v>
      </c>
      <c r="X22" s="669" t="str">
        <f t="shared" ref="X22:Y22" si="31">IFERROR((INDEX(Raw_Data,MATCH($A22,Look_Up,0),MATCH(X$4,Component,0))/1000),"-")</f>
        <v>-</v>
      </c>
      <c r="Y22" s="674">
        <f t="shared" si="31"/>
        <v>197.02099999999999</v>
      </c>
      <c r="Z22" s="669">
        <f t="shared" si="30"/>
        <v>1715.623</v>
      </c>
      <c r="AA22" s="674">
        <f t="shared" si="30"/>
        <v>1688.771</v>
      </c>
      <c r="AB22" s="675"/>
      <c r="AC22" s="676"/>
      <c r="AD22" s="677"/>
      <c r="AE22" s="678" t="str">
        <f t="shared" ref="AE22" si="32">B22&amp;"_"&amp;$AE$6&amp;"_"&amp;$C$2</f>
        <v>TSX:CG_2023_NEO2</v>
      </c>
      <c r="AF22" s="678"/>
      <c r="AG22" s="682" t="str" cm="1">
        <f t="array" ref="AG22">IFERROR(INDEX(#REF!,_xlfn.XMATCH('NEO4'!$AE22,#REF!),_xlfn.XMATCH('NEO4'!AG$5,#REF!)),"-")</f>
        <v>-</v>
      </c>
      <c r="AH22" s="678" t="str" cm="1">
        <f t="array" ref="AH22">IFERROR(INDEX(#REF!,_xlfn.XMATCH('NEO4'!$AE22,#REF!),_xlfn.XMATCH('NEO4'!AH$5,#REF!)),"-")</f>
        <v>-</v>
      </c>
      <c r="AI22" s="678"/>
      <c r="AJ22" s="683" t="str">
        <f t="shared" ref="AJ22" si="33">IFERROR(IF(TRIM(LOWER(AH22))=TRIM(LOWER(F22)),"N","Y"),"-")</f>
        <v>Y</v>
      </c>
      <c r="AK22" s="678" t="str" cm="1">
        <f t="array" ref="AK22">IFERROR(INDEX(#REF!,_xlfn.XMATCH('NEO4'!$AE22,#REF!),_xlfn.XMATCH('NEO4'!AK$5,#REF!)),"-")</f>
        <v>-</v>
      </c>
      <c r="AL22" s="675" t="str" cm="1">
        <f t="array" ref="AL22">IFERROR(INDEX(#REF!,_xlfn.XMATCH('NEO4'!$AE22,#REF!),_xlfn.XMATCH('NEO4'!AL$5,#REF!)),"-")</f>
        <v>-</v>
      </c>
      <c r="AM22" s="675" t="str" cm="1">
        <f t="array" ref="AM22">IFERROR(INDEX(#REF!,_xlfn.XMATCH('NEO4'!$AE22,#REF!),_xlfn.XMATCH('NEO4'!AM$5,#REF!)),"-")</f>
        <v>-</v>
      </c>
      <c r="AN22" s="460" t="str">
        <f t="shared" ref="AN22" si="34">IFERROR(IF(AJ22="Y","New Incumbent",W22/AM22-1),"-")</f>
        <v>New Incumbent</v>
      </c>
    </row>
    <row r="23" spans="1:42" ht="20.25" customHeight="1">
      <c r="C23" s="688" t="str">
        <f>$C$3&amp;" Summary Statistics"</f>
        <v>2025 Summary Statistics</v>
      </c>
      <c r="D23" s="689"/>
      <c r="E23" s="689"/>
      <c r="F23" s="689"/>
      <c r="G23" s="689"/>
      <c r="H23" s="689"/>
      <c r="I23" s="689"/>
      <c r="J23" s="689"/>
      <c r="K23" s="690"/>
      <c r="L23" s="690"/>
      <c r="M23" s="689"/>
      <c r="N23" s="690"/>
      <c r="O23" s="689"/>
      <c r="P23" s="689"/>
      <c r="Q23" s="689"/>
      <c r="R23" s="690"/>
      <c r="S23" s="690"/>
      <c r="T23" s="689"/>
      <c r="U23" s="690"/>
      <c r="V23" s="689"/>
      <c r="W23" s="691"/>
      <c r="X23" s="689"/>
      <c r="Y23" s="691"/>
      <c r="Z23" s="689"/>
      <c r="AA23" s="691"/>
      <c r="AB23" s="675"/>
      <c r="AC23" s="692"/>
      <c r="AD23" s="693"/>
      <c r="AE23" s="678"/>
      <c r="AF23" s="678"/>
      <c r="AG23" s="678"/>
      <c r="AH23" s="678"/>
      <c r="AI23" s="678"/>
      <c r="AJ23" s="678"/>
      <c r="AK23" s="678"/>
      <c r="AL23" s="694"/>
      <c r="AM23" s="695"/>
    </row>
    <row r="24" spans="1:42" s="17" customFormat="1" ht="20.25" customHeight="1">
      <c r="B24" s="17">
        <v>0.75</v>
      </c>
      <c r="C24" s="696" t="s">
        <v>9</v>
      </c>
      <c r="D24" s="697">
        <f t="shared" ref="D24:E26" si="35">PERCENTILE(D$8:D$22,$B24)</f>
        <v>13309.206275</v>
      </c>
      <c r="E24" s="697">
        <f t="shared" si="35"/>
        <v>14941.491959999999</v>
      </c>
      <c r="F24" s="698"/>
      <c r="G24" s="698"/>
      <c r="H24" s="698"/>
      <c r="I24" s="697">
        <f t="shared" ref="I24:R26" si="36">PERCENTILE(I$8:I$22,$B24)</f>
        <v>633.79328125000006</v>
      </c>
      <c r="J24" s="699">
        <f t="shared" si="36"/>
        <v>754.96956760000012</v>
      </c>
      <c r="K24" s="700">
        <f t="shared" si="36"/>
        <v>1.1302233405021656</v>
      </c>
      <c r="L24" s="700">
        <f t="shared" si="36"/>
        <v>1.0451038607224203</v>
      </c>
      <c r="M24" s="701">
        <f t="shared" si="36"/>
        <v>523.15629999999999</v>
      </c>
      <c r="N24" s="677">
        <f t="shared" si="36"/>
        <v>0.8</v>
      </c>
      <c r="O24" s="699">
        <f t="shared" si="36"/>
        <v>1406.9037492500001</v>
      </c>
      <c r="P24" s="702">
        <f t="shared" si="36"/>
        <v>1151.8044921875</v>
      </c>
      <c r="Q24" s="699">
        <f t="shared" si="36"/>
        <v>1509.6029375000001</v>
      </c>
      <c r="R24" s="700">
        <f t="shared" si="36"/>
        <v>2.4249999999999998</v>
      </c>
      <c r="S24" s="700">
        <f t="shared" ref="S24:AA26" si="37">PERCENTILE(S$8:S$22,$B24)</f>
        <v>2.2520880365909948</v>
      </c>
      <c r="T24" s="701">
        <f t="shared" si="37"/>
        <v>1377.3616562500001</v>
      </c>
      <c r="U24" s="677">
        <f t="shared" si="37"/>
        <v>2.2250000000000001</v>
      </c>
      <c r="V24" s="699">
        <f t="shared" si="37"/>
        <v>3021.1491997749999</v>
      </c>
      <c r="W24" s="702">
        <f t="shared" si="37"/>
        <v>2731.0360156249999</v>
      </c>
      <c r="X24" s="699">
        <f t="shared" si="37"/>
        <v>169.95400241250002</v>
      </c>
      <c r="Y24" s="702">
        <f t="shared" si="37"/>
        <v>84.047160849999997</v>
      </c>
      <c r="Z24" s="699">
        <f t="shared" si="37"/>
        <v>3168.7444265499998</v>
      </c>
      <c r="AA24" s="702">
        <f t="shared" si="37"/>
        <v>2852.4515327125</v>
      </c>
      <c r="AB24" s="703"/>
      <c r="AC24" s="676">
        <f t="shared" ref="AC24:AD26" si="38">PERCENTILE(AC$8:AC$22,$B24)</f>
        <v>0.53846153846153844</v>
      </c>
      <c r="AD24" s="677">
        <f t="shared" si="38"/>
        <v>0.54617834394904463</v>
      </c>
      <c r="AE24" s="678"/>
      <c r="AF24" s="678"/>
      <c r="AG24" s="678"/>
      <c r="AH24" s="678"/>
      <c r="AI24" s="678"/>
      <c r="AJ24" s="678"/>
      <c r="AK24" s="678"/>
      <c r="AL24" s="704">
        <v>2409.639770195</v>
      </c>
      <c r="AM24" s="705">
        <v>2379.4356749999997</v>
      </c>
    </row>
    <row r="25" spans="1:42" s="17" customFormat="1" ht="20.25" customHeight="1">
      <c r="B25" s="17">
        <v>0.5</v>
      </c>
      <c r="C25" s="706" t="s">
        <v>8</v>
      </c>
      <c r="D25" s="707">
        <f t="shared" si="35"/>
        <v>6289.7347200000004</v>
      </c>
      <c r="E25" s="707">
        <f t="shared" si="35"/>
        <v>8418.0428900000006</v>
      </c>
      <c r="F25" s="708"/>
      <c r="G25" s="708"/>
      <c r="H25" s="708"/>
      <c r="I25" s="707">
        <f t="shared" si="36"/>
        <v>591.47630229999993</v>
      </c>
      <c r="J25" s="709">
        <f t="shared" si="36"/>
        <v>501.32400000000001</v>
      </c>
      <c r="K25" s="710">
        <f t="shared" si="36"/>
        <v>0.92423965517241391</v>
      </c>
      <c r="L25" s="710">
        <f t="shared" si="36"/>
        <v>0.8033698275862069</v>
      </c>
      <c r="M25" s="711">
        <f t="shared" si="36"/>
        <v>425.52</v>
      </c>
      <c r="N25" s="712">
        <f t="shared" si="36"/>
        <v>0.75</v>
      </c>
      <c r="O25" s="709">
        <f t="shared" si="36"/>
        <v>1021.248</v>
      </c>
      <c r="P25" s="713">
        <f t="shared" si="36"/>
        <v>957.42</v>
      </c>
      <c r="Q25" s="709">
        <f t="shared" si="36"/>
        <v>1012.0943024524377</v>
      </c>
      <c r="R25" s="710">
        <f t="shared" si="36"/>
        <v>1.675</v>
      </c>
      <c r="S25" s="710">
        <f t="shared" si="37"/>
        <v>1.6000000000000003</v>
      </c>
      <c r="T25" s="711">
        <f t="shared" si="37"/>
        <v>1043.1867449864162</v>
      </c>
      <c r="U25" s="712">
        <f t="shared" si="37"/>
        <v>1.6558519761689148</v>
      </c>
      <c r="V25" s="709">
        <f t="shared" si="37"/>
        <v>2096.6948514000001</v>
      </c>
      <c r="W25" s="713">
        <f t="shared" si="37"/>
        <v>2101.5052437758213</v>
      </c>
      <c r="X25" s="709">
        <f t="shared" si="37"/>
        <v>64.541228250000017</v>
      </c>
      <c r="Y25" s="713">
        <f t="shared" si="37"/>
        <v>59.520889125000011</v>
      </c>
      <c r="Z25" s="709">
        <f t="shared" si="37"/>
        <v>2238.4312176500007</v>
      </c>
      <c r="AA25" s="713">
        <f t="shared" si="37"/>
        <v>2191.0244933258209</v>
      </c>
      <c r="AB25" s="703"/>
      <c r="AC25" s="714">
        <f t="shared" si="38"/>
        <v>0.50704225352112675</v>
      </c>
      <c r="AD25" s="712">
        <f t="shared" si="38"/>
        <v>0.49295774647887319</v>
      </c>
      <c r="AE25" s="678"/>
      <c r="AF25" s="678"/>
      <c r="AG25" s="678"/>
      <c r="AH25" s="678"/>
      <c r="AI25" s="678"/>
      <c r="AJ25" s="678"/>
      <c r="AK25" s="678">
        <f>W25/AM25</f>
        <v>1.3032303901743774</v>
      </c>
      <c r="AL25" s="709">
        <v>1629.6473393399999</v>
      </c>
      <c r="AM25" s="713">
        <v>1612.5354807714634</v>
      </c>
      <c r="AN25" s="17">
        <f>W25/AM25-1</f>
        <v>0.30323039017437736</v>
      </c>
    </row>
    <row r="26" spans="1:42" s="17" customFormat="1" ht="20.25" customHeight="1">
      <c r="B26" s="17">
        <v>0.25</v>
      </c>
      <c r="C26" s="696" t="s">
        <v>7</v>
      </c>
      <c r="D26" s="697">
        <f t="shared" si="35"/>
        <v>5393.5351649999993</v>
      </c>
      <c r="E26" s="697">
        <f t="shared" si="35"/>
        <v>5824.1906799999997</v>
      </c>
      <c r="F26" s="698"/>
      <c r="G26" s="698"/>
      <c r="H26" s="698"/>
      <c r="I26" s="697">
        <f t="shared" si="36"/>
        <v>472.5</v>
      </c>
      <c r="J26" s="699">
        <f t="shared" si="36"/>
        <v>405.98292598187311</v>
      </c>
      <c r="K26" s="700">
        <f t="shared" si="36"/>
        <v>0.78602092966122805</v>
      </c>
      <c r="L26" s="700">
        <f t="shared" si="36"/>
        <v>0.73749506049576019</v>
      </c>
      <c r="M26" s="701">
        <f t="shared" si="36"/>
        <v>327.20699005749998</v>
      </c>
      <c r="N26" s="677">
        <f t="shared" si="36"/>
        <v>0.7</v>
      </c>
      <c r="O26" s="699">
        <f t="shared" si="36"/>
        <v>885.74722745000008</v>
      </c>
      <c r="P26" s="702">
        <f t="shared" si="36"/>
        <v>814.83050000000003</v>
      </c>
      <c r="Q26" s="699">
        <f t="shared" si="36"/>
        <v>717.97379765624999</v>
      </c>
      <c r="R26" s="700">
        <f t="shared" si="36"/>
        <v>1.4999765930871052</v>
      </c>
      <c r="S26" s="700">
        <f t="shared" si="37"/>
        <v>1.4179306819116757</v>
      </c>
      <c r="T26" s="701">
        <f t="shared" si="37"/>
        <v>708.75</v>
      </c>
      <c r="U26" s="677">
        <f t="shared" si="37"/>
        <v>1.5</v>
      </c>
      <c r="V26" s="699">
        <f t="shared" si="37"/>
        <v>1515.7669259818731</v>
      </c>
      <c r="W26" s="702">
        <f t="shared" si="37"/>
        <v>1513.9375</v>
      </c>
      <c r="X26" s="699">
        <f t="shared" si="37"/>
        <v>30.740406375000003</v>
      </c>
      <c r="Y26" s="702">
        <f t="shared" si="37"/>
        <v>35.184297375</v>
      </c>
      <c r="Z26" s="699">
        <f t="shared" si="37"/>
        <v>1659.8314048024999</v>
      </c>
      <c r="AA26" s="702">
        <f t="shared" si="37"/>
        <v>1633.0625</v>
      </c>
      <c r="AB26" s="703"/>
      <c r="AC26" s="676">
        <f t="shared" si="38"/>
        <v>0.45382165605095542</v>
      </c>
      <c r="AD26" s="677">
        <f t="shared" si="38"/>
        <v>0.46153846153846156</v>
      </c>
      <c r="AE26" s="678"/>
      <c r="AF26" s="678"/>
      <c r="AG26" s="678"/>
      <c r="AH26" s="678"/>
      <c r="AI26" s="678"/>
      <c r="AJ26" s="678"/>
      <c r="AK26" s="678"/>
      <c r="AL26" s="699">
        <v>1386.627</v>
      </c>
      <c r="AM26" s="702">
        <v>1455.9375</v>
      </c>
    </row>
    <row r="27" spans="1:42" s="17" customFormat="1" ht="20.25" customHeight="1">
      <c r="A27" s="12"/>
      <c r="B27" s="12"/>
      <c r="C27" s="715" t="s">
        <v>6</v>
      </c>
      <c r="D27" s="716">
        <f>AVERAGE(D8:D22)</f>
        <v>9395.7113253333337</v>
      </c>
      <c r="E27" s="716">
        <f>AVERAGE(E8:E22)</f>
        <v>10948.821810000001</v>
      </c>
      <c r="F27" s="715"/>
      <c r="G27" s="715"/>
      <c r="H27" s="715"/>
      <c r="I27" s="716">
        <f t="shared" ref="I27:AA27" si="39">AVERAGE(I8:I22)</f>
        <v>572.04866104666655</v>
      </c>
      <c r="J27" s="717">
        <f t="shared" si="39"/>
        <v>541.39493966291639</v>
      </c>
      <c r="K27" s="718">
        <f t="shared" si="39"/>
        <v>0.93615187917046228</v>
      </c>
      <c r="L27" s="718">
        <f t="shared" si="39"/>
        <v>0.86780375863578485</v>
      </c>
      <c r="M27" s="719">
        <f t="shared" si="39"/>
        <v>435.35408656866667</v>
      </c>
      <c r="N27" s="720">
        <f t="shared" si="39"/>
        <v>0.7566666666666666</v>
      </c>
      <c r="O27" s="717">
        <f t="shared" si="39"/>
        <v>1113.4436007095831</v>
      </c>
      <c r="P27" s="721">
        <f t="shared" si="39"/>
        <v>1007.4027476153333</v>
      </c>
      <c r="Q27" s="717">
        <f t="shared" si="39"/>
        <v>1145.1210897414196</v>
      </c>
      <c r="R27" s="718">
        <f t="shared" si="39"/>
        <v>1.9515720742939586</v>
      </c>
      <c r="S27" s="718">
        <f t="shared" si="39"/>
        <v>1.7625538999882375</v>
      </c>
      <c r="T27" s="719">
        <f t="shared" si="39"/>
        <v>1035.2760417172133</v>
      </c>
      <c r="U27" s="720">
        <f t="shared" si="39"/>
        <v>1.7697888339929599</v>
      </c>
      <c r="V27" s="717">
        <f t="shared" si="39"/>
        <v>2182.2232844682412</v>
      </c>
      <c r="W27" s="721">
        <f t="shared" si="39"/>
        <v>2103.6494885705856</v>
      </c>
      <c r="X27" s="717">
        <f t="shared" si="39"/>
        <v>105.14518913487916</v>
      </c>
      <c r="Y27" s="721">
        <f t="shared" si="39"/>
        <v>71.798100815370077</v>
      </c>
      <c r="Z27" s="717">
        <f t="shared" si="39"/>
        <v>2309.7585578771236</v>
      </c>
      <c r="AA27" s="721">
        <f t="shared" si="39"/>
        <v>2234.836352937245</v>
      </c>
      <c r="AB27" s="703"/>
      <c r="AC27" s="722">
        <f>AVERAGE(AC8:AC22)</f>
        <v>0.49782747444811343</v>
      </c>
      <c r="AD27" s="720">
        <f>AVERAGE(AD8:AD22)</f>
        <v>0.50217252555188652</v>
      </c>
      <c r="AE27" s="678"/>
      <c r="AF27" s="678"/>
      <c r="AG27" s="678"/>
      <c r="AH27" s="678"/>
      <c r="AI27" s="678"/>
      <c r="AJ27" s="678"/>
      <c r="AK27" s="678"/>
      <c r="AL27" s="717">
        <v>1863.7291424957143</v>
      </c>
      <c r="AM27" s="721">
        <v>1863.5116129900366</v>
      </c>
    </row>
    <row r="28" spans="1:42" s="17" customFormat="1" ht="20.25" customHeight="1" outlineLevel="1">
      <c r="A28" s="12"/>
      <c r="B28" s="12"/>
      <c r="C28" s="688" t="str">
        <f>$C$3+1&amp;" Estimated Summary Statistics "</f>
        <v xml:space="preserve">2026 Estimated Summary Statistics </v>
      </c>
      <c r="D28" s="689"/>
      <c r="E28" s="689"/>
      <c r="F28" s="689"/>
      <c r="G28" s="689"/>
      <c r="H28" s="689"/>
      <c r="I28" s="689"/>
      <c r="J28" s="689"/>
      <c r="K28" s="690"/>
      <c r="L28" s="690"/>
      <c r="M28" s="689"/>
      <c r="N28" s="690"/>
      <c r="O28" s="689"/>
      <c r="P28" s="689"/>
      <c r="Q28" s="689"/>
      <c r="R28" s="690"/>
      <c r="S28" s="690"/>
      <c r="T28" s="689"/>
      <c r="U28" s="690"/>
      <c r="V28" s="689"/>
      <c r="W28" s="691"/>
      <c r="X28" s="688"/>
      <c r="Y28" s="688"/>
      <c r="Z28" s="688"/>
      <c r="AA28" s="688"/>
      <c r="AB28" s="703"/>
      <c r="AC28" s="724"/>
      <c r="AD28" s="724"/>
      <c r="AE28" s="678"/>
      <c r="AF28" s="678"/>
      <c r="AG28" s="678"/>
      <c r="AH28" s="678"/>
      <c r="AI28" s="678"/>
      <c r="AJ28" s="678"/>
      <c r="AK28" s="678"/>
      <c r="AL28" s="723"/>
      <c r="AM28" s="637"/>
    </row>
    <row r="29" spans="1:42" s="17" customFormat="1" ht="20.25" customHeight="1" outlineLevel="1">
      <c r="A29" s="12"/>
      <c r="B29" s="17">
        <v>0.75</v>
      </c>
      <c r="C29" s="696" t="s">
        <v>9</v>
      </c>
      <c r="D29" s="697">
        <f t="shared" ref="D29:E31" si="40">PERCENTILE(D$8:D$22,$B29)</f>
        <v>13309.206275</v>
      </c>
      <c r="E29" s="697">
        <f t="shared" si="40"/>
        <v>14941.491959999999</v>
      </c>
      <c r="F29" s="698"/>
      <c r="G29" s="698"/>
      <c r="H29" s="698"/>
      <c r="I29" s="697">
        <f>I63</f>
        <v>643.3570796875</v>
      </c>
      <c r="J29" s="699">
        <f>J63</f>
        <v>0</v>
      </c>
      <c r="K29" s="700">
        <f>K63</f>
        <v>0</v>
      </c>
      <c r="L29" s="700">
        <f>L63</f>
        <v>0</v>
      </c>
      <c r="M29" s="701">
        <f>M63</f>
        <v>534.66780976562507</v>
      </c>
      <c r="N29" s="677">
        <f>PERCENTILE(N$8:N$22,$B29)</f>
        <v>0.8</v>
      </c>
      <c r="O29" s="699" t="s">
        <v>78</v>
      </c>
      <c r="P29" s="697">
        <f>P63</f>
        <v>1186.3586269531249</v>
      </c>
      <c r="Q29" s="699">
        <f>Q63</f>
        <v>0</v>
      </c>
      <c r="R29" s="700">
        <f>R63</f>
        <v>0</v>
      </c>
      <c r="S29" s="700">
        <f>S63</f>
        <v>0</v>
      </c>
      <c r="T29" s="701">
        <f>T63</f>
        <v>1418.6825059375001</v>
      </c>
      <c r="U29" s="677">
        <f>PERCENTILE(U$8:U$22,$B29)</f>
        <v>2.2250000000000001</v>
      </c>
      <c r="V29" s="699" t="s">
        <v>78</v>
      </c>
      <c r="W29" s="702">
        <f>W63</f>
        <v>2741.9341921874998</v>
      </c>
      <c r="X29" s="863">
        <f>X24</f>
        <v>169.95400241250002</v>
      </c>
      <c r="Y29" s="867">
        <f>Y24</f>
        <v>84.047160849999997</v>
      </c>
      <c r="Z29" s="699" t="s">
        <v>78</v>
      </c>
      <c r="AA29" s="702">
        <f>AA63</f>
        <v>2854.6567088125003</v>
      </c>
      <c r="AB29" s="703"/>
      <c r="AC29" s="724"/>
      <c r="AD29" s="724"/>
      <c r="AE29" s="678"/>
      <c r="AF29" s="678"/>
      <c r="AG29" s="678"/>
      <c r="AH29" s="678"/>
      <c r="AI29" s="678"/>
      <c r="AJ29" s="678"/>
      <c r="AK29" s="678"/>
      <c r="AL29"/>
      <c r="AM29"/>
    </row>
    <row r="30" spans="1:42" s="17" customFormat="1" ht="20.25" customHeight="1" outlineLevel="1">
      <c r="A30" s="12"/>
      <c r="B30" s="17">
        <v>0.5</v>
      </c>
      <c r="C30" s="706" t="s">
        <v>8</v>
      </c>
      <c r="D30" s="707">
        <f t="shared" si="40"/>
        <v>6289.7347200000004</v>
      </c>
      <c r="E30" s="707">
        <f t="shared" si="40"/>
        <v>8418.0428900000006</v>
      </c>
      <c r="F30" s="708"/>
      <c r="G30" s="708"/>
      <c r="H30" s="708"/>
      <c r="I30" s="707">
        <f t="shared" ref="I30:M32" si="41">I64</f>
        <v>607.89075000000003</v>
      </c>
      <c r="J30" s="709">
        <f t="shared" si="41"/>
        <v>0</v>
      </c>
      <c r="K30" s="710">
        <f t="shared" si="41"/>
        <v>0</v>
      </c>
      <c r="L30" s="710">
        <f t="shared" si="41"/>
        <v>0</v>
      </c>
      <c r="M30" s="711">
        <f t="shared" si="41"/>
        <v>438.28559999999999</v>
      </c>
      <c r="N30" s="712">
        <f>PERCENTILE(N$8:N$22,$B30)</f>
        <v>0.75</v>
      </c>
      <c r="O30" s="709" t="s">
        <v>78</v>
      </c>
      <c r="P30" s="707">
        <f t="shared" ref="P30:T32" si="42">P64</f>
        <v>986.1425999999999</v>
      </c>
      <c r="Q30" s="709">
        <f t="shared" si="42"/>
        <v>0</v>
      </c>
      <c r="R30" s="710">
        <f t="shared" si="42"/>
        <v>0</v>
      </c>
      <c r="S30" s="710">
        <f t="shared" si="42"/>
        <v>0</v>
      </c>
      <c r="T30" s="711">
        <f t="shared" si="42"/>
        <v>1043.1867449864162</v>
      </c>
      <c r="U30" s="712">
        <f>PERCENTILE(U$8:U$22,$B30)</f>
        <v>1.6558519761689148</v>
      </c>
      <c r="V30" s="709" t="s">
        <v>78</v>
      </c>
      <c r="W30" s="713">
        <f>W64</f>
        <v>2119.0434548421827</v>
      </c>
      <c r="X30" s="871">
        <f t="shared" ref="X30:Y32" si="43">X25</f>
        <v>64.541228250000017</v>
      </c>
      <c r="Y30" s="875">
        <f t="shared" si="43"/>
        <v>59.520889125000011</v>
      </c>
      <c r="Z30" s="709" t="s">
        <v>78</v>
      </c>
      <c r="AA30" s="713">
        <f>AA64</f>
        <v>2153.9657303421827</v>
      </c>
      <c r="AB30" s="703"/>
      <c r="AC30" s="724"/>
      <c r="AD30" s="724"/>
      <c r="AE30" s="678"/>
      <c r="AF30" s="678"/>
      <c r="AG30" s="678"/>
      <c r="AH30" s="678"/>
      <c r="AI30" s="678"/>
      <c r="AJ30" s="678"/>
      <c r="AK30" s="678"/>
      <c r="AL30"/>
      <c r="AM30"/>
    </row>
    <row r="31" spans="1:42" s="17" customFormat="1" ht="20.25" customHeight="1" outlineLevel="1">
      <c r="A31" s="12"/>
      <c r="B31" s="17">
        <v>0.25</v>
      </c>
      <c r="C31" s="696" t="s">
        <v>7</v>
      </c>
      <c r="D31" s="697">
        <f t="shared" si="40"/>
        <v>5393.5351649999993</v>
      </c>
      <c r="E31" s="697">
        <f t="shared" si="40"/>
        <v>5824.1906799999997</v>
      </c>
      <c r="F31" s="698"/>
      <c r="G31" s="698"/>
      <c r="H31" s="698"/>
      <c r="I31" s="697">
        <f t="shared" si="41"/>
        <v>486.67500000000001</v>
      </c>
      <c r="J31" s="699">
        <f t="shared" si="41"/>
        <v>0</v>
      </c>
      <c r="K31" s="700">
        <f t="shared" si="41"/>
        <v>0</v>
      </c>
      <c r="L31" s="700">
        <f t="shared" si="41"/>
        <v>0</v>
      </c>
      <c r="M31" s="701">
        <f t="shared" si="41"/>
        <v>337.02319975922501</v>
      </c>
      <c r="N31" s="677">
        <f>PERCENTILE(N$8:N$22,$B31)</f>
        <v>0.7</v>
      </c>
      <c r="O31" s="699" t="s">
        <v>78</v>
      </c>
      <c r="P31" s="697">
        <f t="shared" si="42"/>
        <v>839.27541500000007</v>
      </c>
      <c r="Q31" s="699">
        <f t="shared" si="42"/>
        <v>0</v>
      </c>
      <c r="R31" s="700">
        <f t="shared" si="42"/>
        <v>0</v>
      </c>
      <c r="S31" s="700">
        <f t="shared" si="42"/>
        <v>0</v>
      </c>
      <c r="T31" s="701">
        <f t="shared" si="42"/>
        <v>730.01250000000005</v>
      </c>
      <c r="U31" s="677">
        <f>PERCENTILE(U$8:U$22,$B31)</f>
        <v>1.5</v>
      </c>
      <c r="V31" s="699" t="s">
        <v>78</v>
      </c>
      <c r="W31" s="702">
        <f>W65</f>
        <v>1542.8112500000002</v>
      </c>
      <c r="X31" s="863">
        <f t="shared" si="43"/>
        <v>30.740406375000003</v>
      </c>
      <c r="Y31" s="867">
        <f t="shared" si="43"/>
        <v>35.184297375</v>
      </c>
      <c r="Z31" s="699" t="s">
        <v>78</v>
      </c>
      <c r="AA31" s="702">
        <f>AA65</f>
        <v>1642.5171855100168</v>
      </c>
      <c r="AB31" s="703"/>
      <c r="AC31" s="724"/>
      <c r="AD31" s="724"/>
      <c r="AE31" s="678"/>
      <c r="AF31" s="678"/>
      <c r="AG31" s="678"/>
      <c r="AH31" s="678"/>
      <c r="AI31" s="678"/>
      <c r="AJ31" s="678"/>
      <c r="AK31" s="678"/>
      <c r="AL31"/>
      <c r="AM31"/>
    </row>
    <row r="32" spans="1:42" s="17" customFormat="1" ht="20.25" customHeight="1" outlineLevel="1">
      <c r="A32" s="12"/>
      <c r="B32" s="12"/>
      <c r="C32" s="715" t="s">
        <v>6</v>
      </c>
      <c r="D32" s="716">
        <f>AVERAGE(D13:D27)</f>
        <v>6787.662991809525</v>
      </c>
      <c r="E32" s="716">
        <f>AVERAGE(E13:E27)</f>
        <v>7680.413912142858</v>
      </c>
      <c r="F32" s="715"/>
      <c r="G32" s="715"/>
      <c r="H32" s="715"/>
      <c r="I32" s="716">
        <f t="shared" si="41"/>
        <v>586.73433937806669</v>
      </c>
      <c r="J32" s="717">
        <f t="shared" si="41"/>
        <v>0</v>
      </c>
      <c r="K32" s="718">
        <f t="shared" si="41"/>
        <v>0</v>
      </c>
      <c r="L32" s="718">
        <f t="shared" si="41"/>
        <v>0</v>
      </c>
      <c r="M32" s="719">
        <f t="shared" si="41"/>
        <v>446.49708396572674</v>
      </c>
      <c r="N32" s="720">
        <f>AVERAGE(N13:N27)</f>
        <v>0.74333333333333329</v>
      </c>
      <c r="O32" s="717" t="s">
        <v>78</v>
      </c>
      <c r="P32" s="716">
        <f t="shared" si="42"/>
        <v>1033.2314233437933</v>
      </c>
      <c r="Q32" s="717">
        <f t="shared" si="42"/>
        <v>0</v>
      </c>
      <c r="R32" s="718">
        <f t="shared" si="42"/>
        <v>0</v>
      </c>
      <c r="S32" s="718">
        <f t="shared" si="42"/>
        <v>0</v>
      </c>
      <c r="T32" s="719">
        <f t="shared" si="42"/>
        <v>1062.1203318537569</v>
      </c>
      <c r="U32" s="720">
        <f>AVERAGE(U13:U27)</f>
        <v>1.7539253340871923</v>
      </c>
      <c r="V32" s="717" t="s">
        <v>78</v>
      </c>
      <c r="W32" s="721">
        <f>W66</f>
        <v>2095.3517551975506</v>
      </c>
      <c r="X32" s="878">
        <f t="shared" si="43"/>
        <v>105.14518913487916</v>
      </c>
      <c r="Y32" s="882">
        <f t="shared" si="43"/>
        <v>71.798100815370077</v>
      </c>
      <c r="Z32" s="717" t="s">
        <v>78</v>
      </c>
      <c r="AA32" s="721">
        <f>AA66</f>
        <v>2222.887028606433</v>
      </c>
      <c r="AB32" s="703"/>
      <c r="AC32" s="724"/>
      <c r="AD32" s="724"/>
      <c r="AE32" s="678"/>
      <c r="AF32" s="678"/>
      <c r="AG32" s="678"/>
      <c r="AH32" s="678"/>
      <c r="AI32" s="678"/>
      <c r="AJ32" s="678"/>
      <c r="AK32" s="678"/>
      <c r="AL32"/>
      <c r="AM32"/>
    </row>
    <row r="33" spans="1:39" ht="7.5" customHeight="1">
      <c r="C33" s="725"/>
      <c r="D33" s="725"/>
      <c r="E33" s="725"/>
      <c r="F33" s="725"/>
      <c r="G33" s="725"/>
      <c r="H33" s="725"/>
      <c r="I33" s="726"/>
      <c r="J33" s="727"/>
      <c r="K33" s="728"/>
      <c r="L33" s="728"/>
      <c r="M33" s="726"/>
      <c r="N33" s="729"/>
      <c r="O33" s="727"/>
      <c r="P33" s="726"/>
      <c r="Q33" s="726"/>
      <c r="R33" s="729"/>
      <c r="S33" s="729"/>
      <c r="T33" s="727"/>
      <c r="U33" s="728"/>
      <c r="V33" s="727"/>
      <c r="W33" s="726"/>
      <c r="X33" s="728"/>
      <c r="Y33" s="727"/>
      <c r="Z33" s="726"/>
      <c r="AA33" s="726"/>
      <c r="AB33" s="675"/>
      <c r="AC33" s="725"/>
      <c r="AD33" s="725"/>
      <c r="AE33" s="678"/>
      <c r="AF33" s="678"/>
      <c r="AG33" s="678"/>
      <c r="AH33" s="678"/>
      <c r="AI33" s="678"/>
      <c r="AJ33" s="678"/>
      <c r="AK33" s="678"/>
      <c r="AL33"/>
      <c r="AM33"/>
    </row>
    <row r="34" spans="1:39" s="35" customFormat="1" ht="20.25" customHeight="1">
      <c r="A34" s="35" t="str">
        <f>$B34&amp;"_"&amp;$C$3&amp;"_"&amp;$C$2</f>
        <v>TSX:HBM_2025_NEO2</v>
      </c>
      <c r="B34" s="35" t="str">
        <f>'Raw Data'!H6</f>
        <v>TSX:HBM</v>
      </c>
      <c r="C34" s="730" t="str">
        <f>IFERROR(INDEX(Raw_Data,MATCH($A34,Look_Up,0),MATCH(C$4,Component,0)),"-")</f>
        <v>Hudbay Minerals Inc.</v>
      </c>
      <c r="D34" s="731">
        <f>_xll.ciqfunctions.udf.CIQ(B34, "IQ_MARKETCAP", $A$1,$A$2)</f>
        <v>5664.3295799999996</v>
      </c>
      <c r="E34" s="731">
        <f>_xll.ciqfunctions.udf.CIQ($B34, "IQ_TEV", $A$1,$A$2)</f>
        <v>6773.8200500000003</v>
      </c>
      <c r="F34" s="732" t="str">
        <f>IFERROR(INDEX(Raw_Data,MATCH($A34,Look_Up,0),MATCH(F$4,Component,0)),"-")</f>
        <v>Javier Del Rio</v>
      </c>
      <c r="G34" s="732" t="str">
        <f>IFERROR(INDEX(Raw_Data,MATCH($A34,Look_Up,0),MATCH(G$4,Component,0)),"-")</f>
        <v>SVP, US Business Unit</v>
      </c>
      <c r="H34" s="732">
        <f>IFERROR(INDEX(Raw_Data,MATCH($A34,Look_Up,0),MATCH(H$4,Component,0))/1000,"-")</f>
        <v>639.90499999999997</v>
      </c>
      <c r="I34" s="731">
        <f>IFERROR(INDEX(Raw_Data,MATCH($A34,Look_Up,0),MATCH(I$4,Component,0))/1000,"-")</f>
        <v>639.90499999999997</v>
      </c>
      <c r="J34" s="731">
        <f>IFERROR(INDEX(Raw_Data,MATCH($A34,Look_Up,0),MATCH(J$4,Component,0))/1000,"-")</f>
        <v>468.48</v>
      </c>
      <c r="K34" s="733">
        <f>IFERROR(INDEX(Raw_Data,MATCH($A34,Look_Up,0),MATCH(K$4,Component,0)),"-")</f>
        <v>0.73210867238105659</v>
      </c>
      <c r="L34" s="733">
        <f>IFERROR(INDEX(Raw_Data,MATCH($A34,Look_Up,0),MATCH(L$4,Component,0)),"-")</f>
        <v>0.75223656256731275</v>
      </c>
      <c r="M34" s="731">
        <f>IFERROR(INDEX(Raw_Data,MATCH($A34,Look_Up,0),MATCH(M$4,Component,0))/1000,"-")</f>
        <v>383.94299999999998</v>
      </c>
      <c r="N34" s="733">
        <f>IFERROR(IF(INDEX(Raw_Data,MATCH($A34,Look_Up,0),MATCH(N$4,Component,0))="-",L34,INDEX(Raw_Data,MATCH($A34,Look_Up,0),MATCH(N$4,Component,0))),"-")</f>
        <v>0.6</v>
      </c>
      <c r="O34" s="731" t="s">
        <v>78</v>
      </c>
      <c r="P34" s="731">
        <f>IFERROR(INDEX(Raw_Data,MATCH($A34,Look_Up,0),MATCH(P$4,Component,0))/1000,"-")</f>
        <v>1023.848</v>
      </c>
      <c r="Q34" s="731">
        <f>IFERROR(INDEX(Raw_Data,MATCH($A34,Look_Up,0),MATCH(Q$4,Component,0))/1000,"-")</f>
        <v>753.952</v>
      </c>
      <c r="R34" s="733" t="str">
        <f>IFERROR(INDEX(Raw_Data,MATCH($A34,Look_Up,0),MATCH(R$4,Component,0)),"-")</f>
        <v>-</v>
      </c>
      <c r="S34" s="733" t="str">
        <f>IFERROR(INDEX(Raw_Data,MATCH($A34,Look_Up,0),MATCH(S$4,Component,0)),"-")</f>
        <v>N/A</v>
      </c>
      <c r="T34" s="731">
        <f>IFERROR(INDEX(Raw_Data,MATCH($A34,Look_Up,0),MATCH(T$4,Component,0))/1000,"-")</f>
        <v>767.88599999999997</v>
      </c>
      <c r="U34" s="733">
        <f>IFERROR(IF(INDEX(Raw_Data,MATCH($A34,Look_Up,0),MATCH(U$4,Component,0))="-",S34,INDEX(Raw_Data,MATCH($A34,Look_Up,0),MATCH(U$4,Component,0))),"-")</f>
        <v>1.2</v>
      </c>
      <c r="V34" s="731" t="s">
        <v>78</v>
      </c>
      <c r="W34" s="731">
        <f>IFERROR(INDEX(Raw_Data,MATCH($A34,Look_Up,0),MATCH(W$4,Component,0))/1000,"-")</f>
        <v>1791.7339999999999</v>
      </c>
      <c r="X34" s="735">
        <f>IFERROR((INDEX(Raw_Data,MATCH($A34,Look_Up,0),MATCH(X$4,Component,0))/1000),"-")</f>
        <v>14.385</v>
      </c>
      <c r="Y34" s="731" t="str">
        <f>IFERROR((INDEX(Raw_Data,MATCH($A34,Look_Up,0),MATCH(Y$4,Component,0))/1000),"-")</f>
        <v>-</v>
      </c>
      <c r="Z34" s="731">
        <f>IFERROR(INDEX(Raw_Data,MATCH($A34,Look_Up,0),MATCH(Z$4,Component,0))/1000,"-")</f>
        <v>1876.722</v>
      </c>
      <c r="AA34" s="734">
        <f>IFERROR(INDEX(Raw_Data,MATCH($A34,Look_Up,0),MATCH(AA$4,Component,0))/1000,"-")</f>
        <v>1806.1189999999999</v>
      </c>
      <c r="AB34" s="736"/>
      <c r="AC34" s="737">
        <f>IFERROR(P34/W34,0)</f>
        <v>0.5714285714285714</v>
      </c>
      <c r="AD34" s="738">
        <f>IFERROR(T34/W34,0)</f>
        <v>0.42857142857142855</v>
      </c>
      <c r="AE34" s="678" t="str">
        <f>B34&amp;"_"&amp;$AE$6&amp;"_"&amp;$C$2</f>
        <v>TSX:HBM_2023_NEO2</v>
      </c>
      <c r="AF34" s="678"/>
      <c r="AG34" s="678"/>
      <c r="AH34" s="678"/>
      <c r="AI34" s="678"/>
      <c r="AJ34" s="678"/>
      <c r="AK34" s="678"/>
      <c r="AL34"/>
      <c r="AM34"/>
    </row>
    <row r="35" spans="1:39" ht="20.25" customHeight="1">
      <c r="B35" s="33"/>
      <c r="C35" s="739" t="s">
        <v>5</v>
      </c>
      <c r="D35" s="740">
        <f>IF(D$34&gt;=MAX(D$8:D$22),"max",IF(D$34&lt;=MIN(D$8:D$22),"min",PERCENTRANK(D$8:D$22,D$34)))</f>
        <v>0.32300000000000001</v>
      </c>
      <c r="E35" s="740">
        <f>IF(E$34&gt;=MAX(E$8:E$22),"max",IF(E$34&lt;=MIN(E$8:E$22),"min",PERCENTRANK(E$8:E$22,E$34)))</f>
        <v>0.41599999999999998</v>
      </c>
      <c r="F35" s="741"/>
      <c r="G35" s="741"/>
      <c r="H35" s="741"/>
      <c r="I35" s="740">
        <f>IF(I$34&gt;=MAX(I$42:I$61),"max",IF(I$34&lt;=MIN(I$42:I$61),"min",PERCENTRANK(I$42:I$61,I$34)))</f>
        <v>0.74</v>
      </c>
      <c r="J35" s="740">
        <f>IF(J$34&gt;=MAX(J$8:J$22),"max",IF(J$34&lt;=MIN(J$8:J$22),"min",PERCENTRANK(J$8:J$22,J$34)))</f>
        <v>0.32100000000000001</v>
      </c>
      <c r="K35" s="740">
        <f>IF(K$34&gt;=MAX(K$8:K$22),"max",IF(K$34&lt;=MIN(K$8:K$22),"min",PERCENTRANK(K$8:K$22,K$34)))</f>
        <v>0.16800000000000001</v>
      </c>
      <c r="L35" s="740">
        <f>IF(L$34&gt;=MAX(L$8:L$22),"max",IF(L$34&lt;=MIN(L$8:L$22),"min",PERCENTRANK(L$8:L$22,L$34)))</f>
        <v>0.28199999999999997</v>
      </c>
      <c r="M35" s="740">
        <f>IF(M$34&gt;=MAX(M$42:M$61),"max",IF(M$34&lt;=MIN(M$42:M$61),"min",PERCENTRANK(M$42:M$61,M$34)))</f>
        <v>0.38800000000000001</v>
      </c>
      <c r="N35" s="740">
        <f>IF(N$34&gt;=MAX(N$8:N$22),"max",IF(N$34&lt;=MIN(N$8:N$22),"min",PERCENTRANK(N$8:N$22,N$34)))</f>
        <v>7.0999999999999994E-2</v>
      </c>
      <c r="O35" s="740" t="s">
        <v>78</v>
      </c>
      <c r="P35" s="740">
        <f>IF(P$34&gt;=MAX(P$42:P$61),"max",IF(P$34&lt;=MIN(P$42:P$61),"min",PERCENTRANK(P$42:P$61,P$34)))</f>
        <v>0.52400000000000002</v>
      </c>
      <c r="Q35" s="740">
        <f>IF(Q$34&gt;=MAX(Q$8:Q$22),"max",IF(Q$34&lt;=MIN(Q$8:Q$22),"min",PERCENTRANK(Q$8:Q$22,Q$34)))</f>
        <v>0.39900000000000002</v>
      </c>
      <c r="R35" s="740" t="str">
        <f>IF(R$34&gt;=MAX(R$8:R$22),"max",IF(R$34&lt;=MIN(R$8:R$22),"min",PERCENTRANK(R$8:R$22,R$34)))</f>
        <v>max</v>
      </c>
      <c r="S35" s="740" t="str">
        <f>IF(S$34&gt;=MAX(S$8:S$22),"max",IF(S$34&lt;=MIN(S$8:S$22),"min",PERCENTRANK(S$8:S$22,S$34)))</f>
        <v>max</v>
      </c>
      <c r="T35" s="740">
        <f>IF(T$34&gt;=MAX(T$42:T$61),"max",IF(T$34&lt;=MIN(T$42:T$61),"min",PERCENTRANK(T$42:T$61,T$34)))</f>
        <v>0.36899999999999999</v>
      </c>
      <c r="U35" s="740">
        <f>IF(U$34&gt;=MAX(U$8:U$22),"max",IF(U$34&lt;=MIN(U$8:U$22),"min",PERCENTRANK(U$8:U$22,U$34)))</f>
        <v>0.114</v>
      </c>
      <c r="V35" s="740" t="s">
        <v>78</v>
      </c>
      <c r="W35" s="740">
        <f>IF(W$34&gt;=MAX(W$42:W$61),"max",IF(W$34&lt;=MIN(W$42:W$61),"min",PERCENTRANK(W$42:W$61,W$34)))</f>
        <v>0.42299999999999999</v>
      </c>
      <c r="X35" s="740" t="str">
        <f>IF(X$34&gt;=MAX(X$8:X$22),"max",IF(X$34&lt;=MIN(X$8:X$22),"min",PERCENTRANK(X$8:X$22,X$34)))</f>
        <v>min</v>
      </c>
      <c r="Y35" s="740" t="str">
        <f>IF(Y$34&gt;=MAX(Y$8:Y$22),"max",IF(Y$34&lt;=MIN(Y$8:Y$22),"min",PERCENTRANK(Y$8:Y$22,Y$34)))</f>
        <v>max</v>
      </c>
      <c r="Z35" s="740">
        <f>IF(Z$34&gt;=MAX(Z$8:Z$22),"max",IF(Z$34&lt;=MIN(Z$8:Z$22),"min",PERCENTRANK(Z$8:Z$22,Z$34)))</f>
        <v>0.41399999999999998</v>
      </c>
      <c r="AA35" s="742">
        <f>IF(AA$34&gt;=MAX(AA$42:AA$61),"max",IF(AA$34&lt;=MIN(AA$42:AA$61),"min",PERCENTRANK(AA$42:AA$61,AA$34)))</f>
        <v>0.38700000000000001</v>
      </c>
      <c r="AB35" s="675"/>
      <c r="AC35" s="743">
        <f>IF(AC$34&gt;=MAX(AC$8:AC22),"max",IF(AC$34&lt;=MIN(AC$8:AC22),"min",PERCENTRANK(AC$8:AC22,AC$34)))</f>
        <v>0.93400000000000005</v>
      </c>
      <c r="AD35" s="744">
        <f>IF(AD$34&gt;=MAX(AD$8:AD22),"max",IF(AD$34&lt;=MIN(AD$8:AD22),"min",PERCENTRANK(AD$8:AD22,AD$34)))</f>
        <v>6.5000000000000002E-2</v>
      </c>
      <c r="AE35" s="678"/>
      <c r="AF35" s="678"/>
      <c r="AG35" s="678"/>
      <c r="AH35" s="678"/>
      <c r="AI35" s="678"/>
      <c r="AJ35" s="678"/>
      <c r="AK35" s="678"/>
      <c r="AL35"/>
      <c r="AM35"/>
    </row>
    <row r="36" spans="1:39" ht="21.75" customHeight="1">
      <c r="B36" s="33"/>
      <c r="C36" s="286"/>
      <c r="D36" s="286"/>
      <c r="E36" s="259"/>
      <c r="F36" s="259"/>
      <c r="G36" s="259"/>
      <c r="H36" s="259"/>
      <c r="I36" s="275"/>
      <c r="J36" s="275"/>
      <c r="K36" s="275"/>
      <c r="L36" s="275"/>
      <c r="M36" s="275"/>
      <c r="N36" s="275"/>
      <c r="O36" s="275"/>
      <c r="P36" s="275"/>
      <c r="Q36" s="275"/>
      <c r="R36" s="275"/>
      <c r="S36" s="275"/>
      <c r="T36" s="275"/>
      <c r="U36" s="275"/>
      <c r="V36" s="1085" t="s">
        <v>779</v>
      </c>
      <c r="W36" s="1101">
        <f>W34</f>
        <v>1791.7339999999999</v>
      </c>
      <c r="X36" s="275" t="s">
        <v>796</v>
      </c>
      <c r="Y36" s="275">
        <v>1698.922012984</v>
      </c>
      <c r="Z36" s="275"/>
      <c r="AA36" s="275"/>
      <c r="AC36" s="259"/>
      <c r="AD36" s="259"/>
      <c r="AE36" s="316"/>
      <c r="AF36" s="316"/>
      <c r="AG36" s="316"/>
      <c r="AH36" s="316"/>
      <c r="AI36" s="316"/>
      <c r="AJ36" s="316"/>
      <c r="AK36" s="316"/>
    </row>
    <row r="37" spans="1:39" ht="15" customHeight="1">
      <c r="B37" s="33"/>
      <c r="C37" s="286" t="s">
        <v>243</v>
      </c>
      <c r="D37" s="286"/>
      <c r="E37" s="259"/>
      <c r="F37" s="259"/>
      <c r="G37" s="259"/>
      <c r="H37" s="259"/>
      <c r="I37" s="275"/>
      <c r="J37" s="275"/>
      <c r="K37" s="275"/>
      <c r="L37" s="275"/>
      <c r="M37" s="275"/>
      <c r="N37" s="275"/>
      <c r="O37" s="275"/>
      <c r="P37" s="275"/>
      <c r="Q37" s="275"/>
      <c r="R37" s="275"/>
      <c r="S37" s="275"/>
      <c r="T37" s="275"/>
      <c r="U37" s="275"/>
      <c r="V37" s="1085" t="s">
        <v>780</v>
      </c>
      <c r="W37" s="1086">
        <f>PERCENTRANK(W42:W61,W36)</f>
        <v>0.42299999999999999</v>
      </c>
      <c r="X37" s="275" t="s">
        <v>797</v>
      </c>
      <c r="Y37" s="275">
        <f>42-30</f>
        <v>12</v>
      </c>
      <c r="Z37" s="275"/>
      <c r="AA37" s="275"/>
      <c r="AC37" s="259"/>
      <c r="AD37" s="259"/>
      <c r="AE37" s="316"/>
      <c r="AF37" s="316"/>
      <c r="AG37" s="316"/>
      <c r="AH37" s="316"/>
      <c r="AI37" s="316"/>
      <c r="AJ37" s="316"/>
      <c r="AK37" s="316"/>
    </row>
    <row r="38" spans="1:39" ht="25">
      <c r="B38" s="15"/>
      <c r="C38" s="284"/>
      <c r="D38" s="284"/>
      <c r="E38" s="284"/>
      <c r="F38" s="284"/>
      <c r="G38" s="284"/>
      <c r="H38" s="284"/>
      <c r="I38" s="284"/>
      <c r="J38" s="284"/>
      <c r="K38" s="284"/>
      <c r="L38" s="284"/>
      <c r="M38" s="284"/>
      <c r="N38" s="284"/>
      <c r="O38" s="284"/>
      <c r="P38" s="284"/>
      <c r="Q38" s="284"/>
      <c r="R38" s="284"/>
      <c r="S38" s="284"/>
      <c r="T38" s="284"/>
      <c r="U38" s="284"/>
      <c r="V38" s="1087" t="s">
        <v>781</v>
      </c>
      <c r="W38" s="1088">
        <f>W36-W25</f>
        <v>-309.7712437758214</v>
      </c>
      <c r="X38" s="284"/>
      <c r="Y38" s="284"/>
      <c r="Z38" s="284"/>
      <c r="AA38" s="284"/>
      <c r="AC38" s="258"/>
      <c r="AD38" s="258"/>
    </row>
    <row r="39" spans="1:39">
      <c r="B39" s="15"/>
      <c r="C39" s="14"/>
      <c r="D39" s="14"/>
      <c r="E39" s="14"/>
      <c r="F39" s="14"/>
      <c r="G39" s="14"/>
      <c r="H39" s="14"/>
      <c r="I39" s="14"/>
      <c r="J39" s="14"/>
      <c r="K39" s="14"/>
      <c r="L39" s="14"/>
      <c r="M39" s="14"/>
      <c r="N39" s="14"/>
      <c r="O39" s="14"/>
      <c r="P39" s="14"/>
      <c r="Q39" s="14"/>
      <c r="R39" s="14"/>
      <c r="S39" s="14"/>
      <c r="T39" s="14"/>
      <c r="U39" s="14"/>
      <c r="V39" s="1089" t="s">
        <v>782</v>
      </c>
      <c r="W39" s="1090">
        <f>W34/W30 -1</f>
        <v>-0.15446094514685604</v>
      </c>
      <c r="X39" s="14"/>
      <c r="Y39" s="14"/>
      <c r="Z39" s="14"/>
      <c r="AA39" s="14"/>
      <c r="AC39" s="27"/>
      <c r="AD39" s="27"/>
    </row>
    <row r="40" spans="1:39">
      <c r="B40" s="15"/>
      <c r="C40" s="305" t="s">
        <v>110</v>
      </c>
      <c r="D40" s="313"/>
      <c r="E40" s="306"/>
      <c r="F40" s="306"/>
      <c r="G40" s="306"/>
      <c r="H40" s="306"/>
      <c r="I40" s="306"/>
      <c r="J40" s="306"/>
      <c r="K40" s="306"/>
      <c r="L40" s="306"/>
      <c r="M40" s="306"/>
      <c r="N40" s="306"/>
      <c r="O40" s="306"/>
      <c r="P40" s="306"/>
      <c r="Q40" s="306"/>
      <c r="R40" s="306"/>
      <c r="S40" s="306"/>
      <c r="T40" s="306"/>
      <c r="U40" s="306"/>
      <c r="V40" s="306"/>
      <c r="W40" s="306"/>
      <c r="X40" s="306"/>
      <c r="Y40" s="306"/>
      <c r="Z40" s="306"/>
      <c r="AA40" s="306"/>
      <c r="AC40" s="307"/>
      <c r="AD40" s="307"/>
      <c r="AE40" s="308"/>
      <c r="AF40" s="308"/>
      <c r="AG40" s="308"/>
      <c r="AH40" s="308"/>
      <c r="AI40" s="308"/>
      <c r="AJ40" s="308"/>
      <c r="AK40" s="308"/>
    </row>
    <row r="41" spans="1:39" ht="50">
      <c r="B41" s="15"/>
      <c r="C41" s="297" t="s">
        <v>111</v>
      </c>
      <c r="E41" s="14"/>
      <c r="F41" s="14"/>
      <c r="G41" s="315" t="s">
        <v>119</v>
      </c>
      <c r="H41" s="314" t="s">
        <v>115</v>
      </c>
      <c r="I41" s="314" t="s">
        <v>116</v>
      </c>
      <c r="J41" s="314"/>
      <c r="K41" s="314"/>
      <c r="L41" s="314"/>
      <c r="M41" s="314" t="s">
        <v>16</v>
      </c>
      <c r="O41" s="314"/>
      <c r="P41" s="314" t="s">
        <v>117</v>
      </c>
      <c r="Q41" s="314"/>
      <c r="R41" s="314"/>
      <c r="S41" s="314"/>
      <c r="T41" s="314" t="s">
        <v>14</v>
      </c>
      <c r="V41" s="314"/>
      <c r="W41" s="314" t="s">
        <v>118</v>
      </c>
      <c r="Y41" s="314"/>
      <c r="Z41" s="314"/>
      <c r="AA41" s="314" t="s">
        <v>246</v>
      </c>
      <c r="AC41" s="27"/>
      <c r="AD41" s="27"/>
    </row>
    <row r="42" spans="1:39" ht="14.5">
      <c r="A42" s="295" t="str">
        <f t="shared" ref="A42:B56" si="44">A8</f>
        <v>TSX:FM_2025_NEO2</v>
      </c>
      <c r="B42" s="295" t="str">
        <f t="shared" si="44"/>
        <v>TSX:FM</v>
      </c>
      <c r="C42" s="296" t="str">
        <f>_xll.ciqfunctions.udf.CIQ(B42,"IQ_COMPANY_NAME")</f>
        <v>First Quantum Minerals Ltd.</v>
      </c>
      <c r="E42" s="14"/>
      <c r="F42" s="14"/>
      <c r="G42" s="294" t="s">
        <v>398</v>
      </c>
      <c r="H42" s="303" t="str">
        <f t="shared" ref="H42:H61" si="45">IFERROR(INDEX(Raw_Data,MATCH($A42,Look_Up,0),MATCH(H$4,Component,0))/1000,"-")</f>
        <v>-</v>
      </c>
      <c r="I42" s="303">
        <f>IFERROR(IF(G42="y",IF(H42&lt;&gt;"-",H42,INDEX(Raw_Data,MATCH($A42,Look_Up,0),MATCH(I$4,Component,0))/1000*(1+'Raw Data'!$H$13)),(INDEX(Raw_Data,MATCH($A42,Look_Up,0),MATCH(I$4,Component,0))/1000)),"-")</f>
        <v>609.22059136899998</v>
      </c>
      <c r="J42" s="361"/>
      <c r="K42" s="361"/>
      <c r="L42" s="361"/>
      <c r="M42" s="303">
        <f t="shared" ref="M42:M56" si="46">IFERROR(I42*N8,"-")</f>
        <v>304.61029568449999</v>
      </c>
      <c r="N42" s="362"/>
      <c r="O42" s="361"/>
      <c r="P42" s="303">
        <f>IFERROR(IF(SUM(M42,I42)=0,"-",SUM(M42,I42)),"-")</f>
        <v>913.83088705349996</v>
      </c>
      <c r="Q42" s="361"/>
      <c r="R42" s="361"/>
      <c r="S42" s="361"/>
      <c r="T42" s="303">
        <f t="shared" ref="T42:T56" si="47">IFERROR(I42*U8,"-")</f>
        <v>456.91544352674998</v>
      </c>
      <c r="U42" s="362"/>
      <c r="V42" s="361"/>
      <c r="W42" s="303">
        <f>IFERROR(IF(SUM(T42,P42)=0,"-",SUM(T42,P42)),"-")</f>
        <v>1370.7463305802498</v>
      </c>
      <c r="X42" s="362"/>
      <c r="Y42" s="361"/>
      <c r="Z42" s="361"/>
      <c r="AA42" s="303">
        <f t="shared" ref="AA42:AA56" si="48">IFERROR(IF(SUM(W42,X8,Y8)=0,"-",SUM(W42,X8,Y8)),"-")</f>
        <v>1433.59245198025</v>
      </c>
      <c r="AB42" s="362"/>
    </row>
    <row r="43" spans="1:39" ht="14.5">
      <c r="A43" s="295" t="str">
        <f t="shared" si="44"/>
        <v>TSX:K_2025_NEO2</v>
      </c>
      <c r="B43" s="295" t="str">
        <f t="shared" si="44"/>
        <v>TSX:K</v>
      </c>
      <c r="C43" s="296" t="str">
        <f>_xll.ciqfunctions.udf.CIQ(B43,"IQ_COMPANY_NAME")</f>
        <v>Kinross Gold Corporation</v>
      </c>
      <c r="E43" s="14"/>
      <c r="F43" s="14"/>
      <c r="G43" s="294" t="s">
        <v>398</v>
      </c>
      <c r="H43" s="262" t="str">
        <f t="shared" si="45"/>
        <v>-</v>
      </c>
      <c r="I43" s="262">
        <f>IFERROR(IF(G43="y",IF(H43&lt;&gt;"-",H43,INDEX(Raw_Data,MATCH($A43,Look_Up,0),MATCH(I$4,Component,0))/1000*(1+'Raw Data'!$H$13)),(INDEX(Raw_Data,MATCH($A43,Look_Up,0),MATCH(I$4,Component,0))/1000)),"-")</f>
        <v>703.61182675200018</v>
      </c>
      <c r="J43" s="361"/>
      <c r="K43" s="361"/>
      <c r="L43" s="361"/>
      <c r="M43" s="262">
        <f t="shared" si="46"/>
        <v>633.2506440768002</v>
      </c>
      <c r="N43" s="362"/>
      <c r="O43" s="361"/>
      <c r="P43" s="262">
        <f t="shared" ref="P43:P61" si="49">IFERROR(IF(SUM(M43,I43)=0,"-",SUM(M43,I43)),"-")</f>
        <v>1336.8624708288003</v>
      </c>
      <c r="Q43" s="361"/>
      <c r="R43" s="361"/>
      <c r="S43" s="361"/>
      <c r="T43" s="262">
        <f t="shared" si="47"/>
        <v>1608.9257105062404</v>
      </c>
      <c r="U43" s="362"/>
      <c r="V43" s="361"/>
      <c r="W43" s="262">
        <f t="shared" ref="W43:W61" si="50">IFERROR(IF(SUM(T43,P43)=0,"-",SUM(T43,P43)),"-")</f>
        <v>2945.7881813350405</v>
      </c>
      <c r="X43" s="362"/>
      <c r="Y43" s="361"/>
      <c r="Z43" s="361"/>
      <c r="AA43" s="262">
        <f t="shared" si="48"/>
        <v>3247.4291612850402</v>
      </c>
      <c r="AB43" s="362"/>
    </row>
    <row r="44" spans="1:39" ht="14.5">
      <c r="A44" s="295" t="str">
        <f t="shared" si="44"/>
        <v>TSX:LUN_2025_NEO2</v>
      </c>
      <c r="B44" s="295" t="str">
        <f t="shared" si="44"/>
        <v>TSX:LUN</v>
      </c>
      <c r="C44" s="296" t="str">
        <f>_xll.ciqfunctions.udf.CIQ(B44,"IQ_COMPANY_NAME")</f>
        <v>Lundin Mining Corporation</v>
      </c>
      <c r="E44" s="14"/>
      <c r="F44" s="14"/>
      <c r="G44" s="294" t="s">
        <v>398</v>
      </c>
      <c r="H44" s="262">
        <f t="shared" si="45"/>
        <v>630</v>
      </c>
      <c r="I44" s="262">
        <f>IFERROR(IF(G44="y",IF(H44&lt;&gt;"-",H44,INDEX(Raw_Data,MATCH($A44,Look_Up,0),MATCH(I$4,Component,0))/1000*(1+'Raw Data'!$H$13)),(INDEX(Raw_Data,MATCH($A44,Look_Up,0),MATCH(I$4,Component,0))/1000)),"-")</f>
        <v>630</v>
      </c>
      <c r="J44" s="361"/>
      <c r="K44" s="361"/>
      <c r="L44" s="361"/>
      <c r="M44" s="262">
        <f t="shared" si="46"/>
        <v>472.5</v>
      </c>
      <c r="N44" s="362"/>
      <c r="O44" s="361"/>
      <c r="P44" s="262">
        <f t="shared" si="49"/>
        <v>1102.5</v>
      </c>
      <c r="Q44" s="361"/>
      <c r="R44" s="361"/>
      <c r="S44" s="361"/>
      <c r="T44" s="262">
        <f t="shared" si="47"/>
        <v>1043.1867449864162</v>
      </c>
      <c r="U44" s="362"/>
      <c r="V44" s="361"/>
      <c r="W44" s="262">
        <f t="shared" si="50"/>
        <v>2145.6867449864162</v>
      </c>
      <c r="X44" s="362"/>
      <c r="Y44" s="361"/>
      <c r="Z44" s="361"/>
      <c r="AA44" s="262">
        <f t="shared" si="48"/>
        <v>2289.8029685864162</v>
      </c>
      <c r="AB44" s="362"/>
    </row>
    <row r="45" spans="1:39" ht="14.5">
      <c r="A45" s="295" t="str">
        <f t="shared" si="44"/>
        <v>TSX:PAAS_2025_NEO2</v>
      </c>
      <c r="B45" s="295" t="str">
        <f t="shared" si="44"/>
        <v>TSX:PAAS</v>
      </c>
      <c r="C45" s="296" t="str">
        <f>_xll.ciqfunctions.udf.CIQ(B45,"IQ_COMPANY_NAME")</f>
        <v>Pan American Silver Corp.</v>
      </c>
      <c r="G45" s="294" t="s">
        <v>398</v>
      </c>
      <c r="H45" s="262" t="str">
        <f t="shared" si="45"/>
        <v>-</v>
      </c>
      <c r="I45" s="262">
        <f>IFERROR(IF(G45="y",IF(H45&lt;&gt;"-",H45,INDEX(Raw_Data,MATCH($A45,Look_Up,0),MATCH(I$4,Component,0))/1000*(1+'Raw Data'!$H$13)),(INDEX(Raw_Data,MATCH($A45,Look_Up,0),MATCH(I$4,Component,0))/1000)),"-")</f>
        <v>721</v>
      </c>
      <c r="J45" s="362"/>
      <c r="K45" s="362"/>
      <c r="L45" s="362"/>
      <c r="M45" s="262">
        <f t="shared" si="46"/>
        <v>576.80000000000007</v>
      </c>
      <c r="N45" s="362"/>
      <c r="O45" s="362"/>
      <c r="P45" s="262">
        <f t="shared" si="49"/>
        <v>1297.8000000000002</v>
      </c>
      <c r="Q45" s="362"/>
      <c r="R45" s="362"/>
      <c r="S45" s="362"/>
      <c r="T45" s="262">
        <f t="shared" si="47"/>
        <v>1586.2</v>
      </c>
      <c r="U45" s="362"/>
      <c r="V45" s="362"/>
      <c r="W45" s="262">
        <f t="shared" si="50"/>
        <v>2884</v>
      </c>
      <c r="X45" s="362"/>
      <c r="Y45" s="362"/>
      <c r="Z45" s="362"/>
      <c r="AA45" s="262">
        <f t="shared" si="48"/>
        <v>3199</v>
      </c>
      <c r="AB45" s="362"/>
    </row>
    <row r="46" spans="1:39" ht="14.5">
      <c r="A46" s="295" t="str">
        <f t="shared" si="44"/>
        <v>TSX:CDE_2025_NEO2</v>
      </c>
      <c r="B46" s="295" t="str">
        <f t="shared" si="44"/>
        <v>TSX:CDE</v>
      </c>
      <c r="C46" s="296" t="str">
        <f>_xll.ciqfunctions.udf.CIQ(B46,"IQ_COMPANY_NAME")</f>
        <v>Coeur Mining, Inc.</v>
      </c>
      <c r="G46" s="294" t="s">
        <v>398</v>
      </c>
      <c r="H46" s="262" t="str">
        <f t="shared" si="45"/>
        <v>-</v>
      </c>
      <c r="I46" s="262">
        <f>IFERROR(IF(G46="y",IF(H46&lt;&gt;"-",H46,INDEX(Raw_Data,MATCH($A46,Look_Up,0),MATCH(I$4,Component,0))/1000*(1+'Raw Data'!$H$13)),(INDEX(Raw_Data,MATCH($A46,Look_Up,0),MATCH(I$4,Component,0))/1000)),"-")</f>
        <v>611.73373749999996</v>
      </c>
      <c r="J46" s="362"/>
      <c r="K46" s="362"/>
      <c r="L46" s="362"/>
      <c r="M46" s="262">
        <f t="shared" si="46"/>
        <v>611.73373749999996</v>
      </c>
      <c r="N46" s="362"/>
      <c r="O46" s="362"/>
      <c r="P46" s="262">
        <f t="shared" si="49"/>
        <v>1223.4674749999999</v>
      </c>
      <c r="Q46" s="362"/>
      <c r="R46" s="362"/>
      <c r="S46" s="362"/>
      <c r="T46" s="262">
        <f t="shared" si="47"/>
        <v>1376.4009093749999</v>
      </c>
      <c r="U46" s="362"/>
      <c r="V46" s="362"/>
      <c r="W46" s="262">
        <f t="shared" si="50"/>
        <v>2599.8683843749996</v>
      </c>
      <c r="X46" s="362"/>
      <c r="Y46" s="362"/>
      <c r="Z46" s="362"/>
      <c r="AA46" s="262">
        <f t="shared" si="48"/>
        <v>2693.5478425749998</v>
      </c>
      <c r="AB46" s="362"/>
    </row>
    <row r="47" spans="1:39" ht="14.5">
      <c r="A47" s="295" t="str">
        <f t="shared" si="44"/>
        <v>TSX:AGI_2025_NEO2</v>
      </c>
      <c r="B47" s="295" t="str">
        <f t="shared" si="44"/>
        <v>TSX:AGI</v>
      </c>
      <c r="C47" s="296" t="str">
        <f>_xll.ciqfunctions.udf.CIQ(B47,"IQ_COMPANY_NAME")</f>
        <v>Alamos Gold Inc.</v>
      </c>
      <c r="G47" s="294" t="s">
        <v>398</v>
      </c>
      <c r="H47" s="262" t="str">
        <f t="shared" si="45"/>
        <v>-</v>
      </c>
      <c r="I47" s="262">
        <f>IFERROR(IF(G47="y",IF(H47&lt;&gt;"-",H47,INDEX(Raw_Data,MATCH($A47,Look_Up,0),MATCH(I$4,Component,0))/1000*(1+'Raw Data'!$H$13)),(INDEX(Raw_Data,MATCH($A47,Look_Up,0),MATCH(I$4,Component,0))/1000)),"-")</f>
        <v>478.82342788350007</v>
      </c>
      <c r="J47" s="362"/>
      <c r="K47" s="362"/>
      <c r="L47" s="362"/>
      <c r="M47" s="262">
        <f t="shared" si="46"/>
        <v>335.17639951845001</v>
      </c>
      <c r="N47" s="362"/>
      <c r="O47" s="362"/>
      <c r="P47" s="262">
        <f t="shared" si="49"/>
        <v>813.99982740195014</v>
      </c>
      <c r="Q47" s="362"/>
      <c r="R47" s="362"/>
      <c r="S47" s="362"/>
      <c r="T47" s="262">
        <f t="shared" si="47"/>
        <v>691.24456081808341</v>
      </c>
      <c r="U47" s="362"/>
      <c r="V47" s="362"/>
      <c r="W47" s="262">
        <f t="shared" si="50"/>
        <v>1505.2443882200337</v>
      </c>
      <c r="X47" s="362"/>
      <c r="Y47" s="362"/>
      <c r="Z47" s="362"/>
      <c r="AA47" s="262">
        <f t="shared" si="48"/>
        <v>1624.2288710200337</v>
      </c>
      <c r="AB47" s="362"/>
    </row>
    <row r="48" spans="1:39" ht="14.5">
      <c r="A48" s="295" t="str">
        <f t="shared" si="44"/>
        <v>NYSE:HL_2025_NEO2</v>
      </c>
      <c r="B48" s="295" t="str">
        <f t="shared" si="44"/>
        <v>NYSE:HL</v>
      </c>
      <c r="C48" s="296" t="str">
        <f>_xll.ciqfunctions.udf.CIQ(B48,"IQ_COMPANY_NAME")</f>
        <v>Hecla Mining Company</v>
      </c>
      <c r="G48" s="294" t="s">
        <v>398</v>
      </c>
      <c r="H48" s="262">
        <f t="shared" si="45"/>
        <v>607.89075000000003</v>
      </c>
      <c r="I48" s="262">
        <f>IFERROR(IF(G48="y",IF(H48&lt;&gt;"-",H48,INDEX(Raw_Data,MATCH($A48,Look_Up,0),MATCH(I$4,Component,0))/1000*(1+'Raw Data'!$H$13)),(INDEX(Raw_Data,MATCH($A48,Look_Up,0),MATCH(I$4,Component,0))/1000)),"-")</f>
        <v>607.89075000000003</v>
      </c>
      <c r="J48" s="362"/>
      <c r="K48" s="362"/>
      <c r="L48" s="362"/>
      <c r="M48" s="262">
        <f t="shared" si="46"/>
        <v>486.31260000000003</v>
      </c>
      <c r="N48" s="362"/>
      <c r="O48" s="362"/>
      <c r="P48" s="262">
        <f t="shared" si="49"/>
        <v>1094.20335</v>
      </c>
      <c r="Q48" s="362"/>
      <c r="R48" s="362"/>
      <c r="S48" s="362"/>
      <c r="T48" s="262">
        <f t="shared" si="47"/>
        <v>1063.8088124999999</v>
      </c>
      <c r="U48" s="362"/>
      <c r="V48" s="362"/>
      <c r="W48" s="262">
        <f t="shared" si="50"/>
        <v>2158.0121625000002</v>
      </c>
      <c r="X48" s="362"/>
      <c r="Y48" s="362"/>
      <c r="Z48" s="362"/>
      <c r="AA48" s="262">
        <f t="shared" si="48"/>
        <v>2395.5171747000004</v>
      </c>
      <c r="AB48" s="362"/>
    </row>
    <row r="49" spans="1:30" s="17" customFormat="1" ht="14.5">
      <c r="A49" s="295" t="str">
        <f t="shared" si="44"/>
        <v>TSX:IMG_2025_NEO2</v>
      </c>
      <c r="B49" s="295" t="str">
        <f t="shared" si="44"/>
        <v>TSX:IMG</v>
      </c>
      <c r="C49" s="296" t="str">
        <f>_xll.ciqfunctions.udf.CIQ(B49,"IQ_COMPANY_NAME")</f>
        <v>IAMGOLD Corporation</v>
      </c>
      <c r="E49" s="22"/>
      <c r="F49" s="20"/>
      <c r="G49" s="294" t="s">
        <v>398</v>
      </c>
      <c r="H49" s="262" t="str">
        <f t="shared" si="45"/>
        <v>-</v>
      </c>
      <c r="I49" s="262">
        <f>IFERROR(IF(G49="y",IF(H49&lt;&gt;"-",H49,INDEX(Raw_Data,MATCH($A49,Look_Up,0),MATCH(I$4,Component,0))/1000*(1+'Raw Data'!$H$13)),(INDEX(Raw_Data,MATCH($A49,Look_Up,0),MATCH(I$4,Component,0))/1000)),"-")</f>
        <v>484.1</v>
      </c>
      <c r="J49" s="22"/>
      <c r="K49" s="363"/>
      <c r="L49" s="363"/>
      <c r="M49" s="262">
        <f t="shared" si="46"/>
        <v>338.87</v>
      </c>
      <c r="N49" s="364"/>
      <c r="O49" s="22"/>
      <c r="P49" s="262">
        <f t="shared" si="49"/>
        <v>822.97</v>
      </c>
      <c r="Q49" s="21"/>
      <c r="R49" s="365"/>
      <c r="S49" s="365"/>
      <c r="T49" s="262">
        <f t="shared" si="47"/>
        <v>726.15000000000009</v>
      </c>
      <c r="U49" s="364"/>
      <c r="V49" s="22"/>
      <c r="W49" s="262">
        <f t="shared" si="50"/>
        <v>1549.1200000000001</v>
      </c>
      <c r="X49" s="364"/>
      <c r="Y49" s="22"/>
      <c r="Z49" s="22"/>
      <c r="AA49" s="262">
        <f t="shared" si="48"/>
        <v>1612.3867190332326</v>
      </c>
      <c r="AB49" s="364"/>
      <c r="AC49" s="19"/>
      <c r="AD49" s="19"/>
    </row>
    <row r="50" spans="1:30" ht="14.5">
      <c r="A50" s="295" t="str">
        <f t="shared" si="44"/>
        <v>TSX:CS_2025_NEO2</v>
      </c>
      <c r="B50" s="295" t="str">
        <f t="shared" si="44"/>
        <v>TSX:CS</v>
      </c>
      <c r="C50" s="296" t="str">
        <f>_xll.ciqfunctions.udf.CIQ(B50,"IQ_COMPANY_NAME")</f>
        <v>Capstone Copper Corp.</v>
      </c>
      <c r="G50" s="294" t="s">
        <v>398</v>
      </c>
      <c r="H50" s="262" t="str">
        <f t="shared" si="45"/>
        <v>-</v>
      </c>
      <c r="I50" s="262">
        <f>IFERROR(IF(G50="y",IF(H50&lt;&gt;"-",H50,INDEX(Raw_Data,MATCH($A50,Look_Up,0),MATCH(I$4,Component,0))/1000*(1+'Raw Data'!$H$13)),(INDEX(Raw_Data,MATCH($A50,Look_Up,0),MATCH(I$4,Component,0))/1000)),"-")</f>
        <v>489.25</v>
      </c>
      <c r="J50" s="366"/>
      <c r="K50" s="366"/>
      <c r="L50" s="366"/>
      <c r="M50" s="262">
        <f t="shared" si="46"/>
        <v>366.9375</v>
      </c>
      <c r="N50" s="362"/>
      <c r="O50" s="366"/>
      <c r="P50" s="262">
        <f t="shared" si="49"/>
        <v>856.1875</v>
      </c>
      <c r="Q50" s="366"/>
      <c r="R50" s="366"/>
      <c r="S50" s="366"/>
      <c r="T50" s="262">
        <f t="shared" si="47"/>
        <v>733.875</v>
      </c>
      <c r="U50" s="362"/>
      <c r="V50" s="366"/>
      <c r="W50" s="262">
        <f t="shared" si="50"/>
        <v>1590.0625</v>
      </c>
      <c r="X50" s="362"/>
      <c r="Y50" s="366"/>
      <c r="Z50" s="366"/>
      <c r="AA50" s="262">
        <f t="shared" si="48"/>
        <v>1660.8054999999999</v>
      </c>
      <c r="AB50" s="362"/>
    </row>
    <row r="51" spans="1:30" ht="14.5">
      <c r="A51" s="295" t="str">
        <f t="shared" si="44"/>
        <v>TSX:ELD_2025_NEO2</v>
      </c>
      <c r="B51" s="295" t="str">
        <f t="shared" si="44"/>
        <v>TSX:ELD</v>
      </c>
      <c r="C51" s="296" t="str">
        <f>_xll.ciqfunctions.udf.CIQ(B51,"IQ_COMPANY_NAME")</f>
        <v>Eldorado Gold Corporation</v>
      </c>
      <c r="G51" s="294" t="s">
        <v>398</v>
      </c>
      <c r="H51" s="262" t="str">
        <f t="shared" si="45"/>
        <v>-</v>
      </c>
      <c r="I51" s="262">
        <f>IFERROR(IF(G51="y",IF(H51&lt;&gt;"-",H51,INDEX(Raw_Data,MATCH($A51,Look_Up,0),MATCH(I$4,Component,0))/1000*(1+'Raw Data'!$H$13)),(INDEX(Raw_Data,MATCH($A51,Look_Up,0),MATCH(I$4,Component,0))/1000)),"-")</f>
        <v>547.85699999999997</v>
      </c>
      <c r="J51" s="362"/>
      <c r="K51" s="362"/>
      <c r="L51" s="362"/>
      <c r="M51" s="262">
        <f t="shared" si="46"/>
        <v>438.28559999999999</v>
      </c>
      <c r="N51" s="362"/>
      <c r="O51" s="362"/>
      <c r="P51" s="262">
        <f t="shared" si="49"/>
        <v>986.1425999999999</v>
      </c>
      <c r="Q51" s="362"/>
      <c r="R51" s="362"/>
      <c r="S51" s="362"/>
      <c r="T51" s="262">
        <f t="shared" si="47"/>
        <v>821.78549999999996</v>
      </c>
      <c r="U51" s="362"/>
      <c r="V51" s="362"/>
      <c r="W51" s="262">
        <f t="shared" si="50"/>
        <v>1807.9280999999999</v>
      </c>
      <c r="X51" s="362"/>
      <c r="Y51" s="362"/>
      <c r="Z51" s="362"/>
      <c r="AA51" s="262">
        <f t="shared" si="48"/>
        <v>1903.6700999999998</v>
      </c>
      <c r="AB51" s="362"/>
    </row>
    <row r="52" spans="1:30" ht="14.5">
      <c r="A52" s="295" t="str">
        <f t="shared" si="44"/>
        <v>TSX:EQX_2025_NEO2</v>
      </c>
      <c r="B52" s="295" t="str">
        <f t="shared" si="44"/>
        <v>TSX:EQX</v>
      </c>
      <c r="C52" s="296" t="str">
        <f>_xll.ciqfunctions.udf.CIQ(B52,"IQ_COMPANY_NAME")</f>
        <v>Equinox Gold Corp.</v>
      </c>
      <c r="G52" s="294" t="s">
        <v>398</v>
      </c>
      <c r="H52" s="262" t="str">
        <f t="shared" si="45"/>
        <v>-</v>
      </c>
      <c r="I52" s="262">
        <f>IFERROR(IF(G52="y",IF(H52&lt;&gt;"-",H52,INDEX(Raw_Data,MATCH($A52,Look_Up,0),MATCH(I$4,Component,0))/1000*(1+'Raw Data'!$H$13)),(INDEX(Raw_Data,MATCH($A52,Look_Up,0),MATCH(I$4,Component,0))/1000)),"-")</f>
        <v>450.3057</v>
      </c>
      <c r="J52" s="362"/>
      <c r="K52" s="362"/>
      <c r="L52" s="362"/>
      <c r="M52" s="262">
        <f t="shared" si="46"/>
        <v>405.27512999999999</v>
      </c>
      <c r="N52" s="362"/>
      <c r="O52" s="362"/>
      <c r="P52" s="262">
        <f t="shared" si="49"/>
        <v>855.58082999999999</v>
      </c>
      <c r="Q52" s="362"/>
      <c r="R52" s="362"/>
      <c r="S52" s="362"/>
      <c r="T52" s="262">
        <f t="shared" si="47"/>
        <v>369.18083999999999</v>
      </c>
      <c r="U52" s="362"/>
      <c r="V52" s="362"/>
      <c r="W52" s="262">
        <f t="shared" si="50"/>
        <v>1224.7616699999999</v>
      </c>
      <c r="X52" s="362"/>
      <c r="Y52" s="362"/>
      <c r="Z52" s="362"/>
      <c r="AA52" s="262">
        <f t="shared" si="48"/>
        <v>1301.1746699999999</v>
      </c>
      <c r="AB52" s="362"/>
    </row>
    <row r="53" spans="1:30" ht="14.5">
      <c r="A53" s="295" t="str">
        <f t="shared" si="44"/>
        <v>TSX:SSRM_2025_NEO2</v>
      </c>
      <c r="B53" s="295" t="str">
        <f t="shared" si="44"/>
        <v>TSX:SSRM</v>
      </c>
      <c r="C53" s="296" t="str">
        <f>_xll.ciqfunctions.udf.CIQ(B53,"IQ_COMPANY_NAME")</f>
        <v>SSR Mining Inc.</v>
      </c>
      <c r="G53" s="294" t="s">
        <v>398</v>
      </c>
      <c r="H53" s="262" t="str">
        <f t="shared" si="45"/>
        <v>-</v>
      </c>
      <c r="I53" s="262">
        <f>IFERROR(IF(G53="y",IF(H53&lt;&gt;"-",H53,INDEX(Raw_Data,MATCH($A53,Look_Up,0),MATCH(I$4,Component,0))/1000*(1+'Raw Data'!$H$13)),(INDEX(Raw_Data,MATCH($A53,Look_Up,0),MATCH(I$4,Component,0))/1000)),"-")</f>
        <v>834.83663000000001</v>
      </c>
      <c r="J53" s="362"/>
      <c r="K53" s="362"/>
      <c r="L53" s="362"/>
      <c r="M53" s="262">
        <f t="shared" si="46"/>
        <v>626.12747250000007</v>
      </c>
      <c r="N53" s="362"/>
      <c r="O53" s="362"/>
      <c r="P53" s="262">
        <f t="shared" si="49"/>
        <v>1460.9641025000001</v>
      </c>
      <c r="Q53" s="362"/>
      <c r="R53" s="362"/>
      <c r="S53" s="362"/>
      <c r="T53" s="262">
        <f t="shared" si="47"/>
        <v>1460.9641025000001</v>
      </c>
      <c r="U53" s="362"/>
      <c r="V53" s="362"/>
      <c r="W53" s="262">
        <f t="shared" si="50"/>
        <v>2921.9282050000002</v>
      </c>
      <c r="X53" s="362"/>
      <c r="Y53" s="362"/>
      <c r="Z53" s="362"/>
      <c r="AA53" s="262">
        <f t="shared" si="48"/>
        <v>3015.7655750500003</v>
      </c>
      <c r="AB53" s="362"/>
    </row>
    <row r="54" spans="1:30" ht="14.5">
      <c r="A54" s="295" t="str">
        <f t="shared" si="44"/>
        <v>TSX:BTO_2025_NEO2</v>
      </c>
      <c r="B54" s="295" t="str">
        <f t="shared" si="44"/>
        <v>TSX:BTO</v>
      </c>
      <c r="C54" s="296" t="str">
        <f>_xll.ciqfunctions.udf.CIQ(B54,"IQ_COMPANY_NAME")</f>
        <v>B2Gold Corp.</v>
      </c>
      <c r="G54" s="294" t="s">
        <v>398</v>
      </c>
      <c r="H54" s="262" t="str">
        <f t="shared" si="45"/>
        <v>-</v>
      </c>
      <c r="I54" s="262">
        <f>IFERROR(IF(G54="y",IF(H54&lt;&gt;"-",H54,INDEX(Raw_Data,MATCH($A54,Look_Up,0),MATCH(I$4,Component,0))/1000*(1+'Raw Data'!$H$13)),(INDEX(Raw_Data,MATCH($A54,Look_Up,0),MATCH(I$4,Component,0))/1000)),"-")</f>
        <v>656.71415937500001</v>
      </c>
      <c r="J54" s="362"/>
      <c r="K54" s="362"/>
      <c r="L54" s="362"/>
      <c r="M54" s="262">
        <f t="shared" si="46"/>
        <v>492.53561953125001</v>
      </c>
      <c r="N54" s="362"/>
      <c r="O54" s="362"/>
      <c r="P54" s="262">
        <f t="shared" si="49"/>
        <v>1149.24977890625</v>
      </c>
      <c r="Q54" s="362"/>
      <c r="R54" s="362"/>
      <c r="S54" s="362"/>
      <c r="T54" s="262">
        <f t="shared" si="47"/>
        <v>1922.3339272180833</v>
      </c>
      <c r="U54" s="362"/>
      <c r="V54" s="362"/>
      <c r="W54" s="262">
        <f t="shared" si="50"/>
        <v>3071.5837061243333</v>
      </c>
      <c r="X54" s="362"/>
      <c r="Y54" s="362"/>
      <c r="Z54" s="362"/>
      <c r="AA54" s="262">
        <f t="shared" si="48"/>
        <v>3078.8951645243333</v>
      </c>
      <c r="AB54" s="362"/>
    </row>
    <row r="55" spans="1:30" ht="14.5">
      <c r="A55" s="295" t="str">
        <f t="shared" si="44"/>
        <v>TSX:OGC_2025_NEO2</v>
      </c>
      <c r="B55" s="295" t="str">
        <f t="shared" si="44"/>
        <v>TSX:OGC</v>
      </c>
      <c r="C55" s="296" t="str">
        <f>_xll.ciqfunctions.udf.CIQ(B55,"IQ_COMPANY_NAME")</f>
        <v>OceanaGold Corporation</v>
      </c>
      <c r="G55" s="294" t="s">
        <v>398</v>
      </c>
      <c r="H55" s="262" t="str">
        <f t="shared" si="45"/>
        <v>-</v>
      </c>
      <c r="I55" s="262">
        <f>IFERROR(IF(G55="y",IF(H55&lt;&gt;"-",H55,INDEX(Raw_Data,MATCH($A55,Look_Up,0),MATCH(I$4,Component,0))/1000*(1+'Raw Data'!$H$13)),(INDEX(Raw_Data,MATCH($A55,Look_Up,0),MATCH(I$4,Component,0))/1000)),"-")</f>
        <v>502.9012677915</v>
      </c>
      <c r="J55" s="362"/>
      <c r="K55" s="362"/>
      <c r="L55" s="362"/>
      <c r="M55" s="262">
        <f t="shared" si="46"/>
        <v>301.7407606749</v>
      </c>
      <c r="N55" s="362"/>
      <c r="O55" s="362"/>
      <c r="P55" s="262">
        <f t="shared" si="49"/>
        <v>804.64202846640001</v>
      </c>
      <c r="Q55" s="362"/>
      <c r="R55" s="362"/>
      <c r="S55" s="362"/>
      <c r="T55" s="262">
        <f t="shared" si="47"/>
        <v>1314.4014263757824</v>
      </c>
      <c r="U55" s="362"/>
      <c r="V55" s="362"/>
      <c r="W55" s="262">
        <f t="shared" si="50"/>
        <v>2119.0434548421827</v>
      </c>
      <c r="X55" s="362"/>
      <c r="Y55" s="362"/>
      <c r="Z55" s="362"/>
      <c r="AA55" s="262">
        <f t="shared" si="48"/>
        <v>2153.9657303421827</v>
      </c>
      <c r="AB55" s="362"/>
    </row>
    <row r="56" spans="1:30" ht="14.5">
      <c r="A56" s="295" t="str">
        <f t="shared" si="44"/>
        <v>TSX:CG_2025_NEO2</v>
      </c>
      <c r="B56" s="295" t="str">
        <f t="shared" si="44"/>
        <v>TSX:CG</v>
      </c>
      <c r="C56" s="296" t="str">
        <f>_xll.ciqfunctions.udf.CIQ(B56,"IQ_COMPANY_NAME")</f>
        <v>Centerra Gold Inc.</v>
      </c>
      <c r="G56" s="294" t="s">
        <v>398</v>
      </c>
      <c r="H56" s="262" t="str">
        <f t="shared" si="45"/>
        <v>-</v>
      </c>
      <c r="I56" s="262">
        <f>IFERROR(IF(G56="y",IF(H56&lt;&gt;"-",H56,INDEX(Raw_Data,MATCH($A56,Look_Up,0),MATCH(I$4,Component,0))/1000*(1+'Raw Data'!$H$13)),(INDEX(Raw_Data,MATCH($A56,Look_Up,0),MATCH(I$4,Component,0))/1000)),"-")</f>
        <v>472.77000000000004</v>
      </c>
      <c r="J56" s="362"/>
      <c r="K56" s="362"/>
      <c r="L56" s="362"/>
      <c r="M56" s="262">
        <f t="shared" si="46"/>
        <v>307.30050000000006</v>
      </c>
      <c r="N56" s="362"/>
      <c r="O56" s="362"/>
      <c r="P56" s="262">
        <f t="shared" si="49"/>
        <v>780.07050000000004</v>
      </c>
      <c r="Q56" s="362"/>
      <c r="R56" s="362"/>
      <c r="S56" s="362"/>
      <c r="T56" s="262">
        <f t="shared" si="47"/>
        <v>756.43200000000013</v>
      </c>
      <c r="U56" s="362"/>
      <c r="V56" s="362"/>
      <c r="W56" s="262">
        <f t="shared" si="50"/>
        <v>1536.5025000000001</v>
      </c>
      <c r="X56" s="362"/>
      <c r="Y56" s="362"/>
      <c r="Z56" s="362"/>
      <c r="AA56" s="262">
        <f t="shared" si="48"/>
        <v>1733.5235</v>
      </c>
      <c r="AB56" s="362"/>
    </row>
    <row r="57" spans="1:30" ht="14.5">
      <c r="A57" s="295" t="e">
        <f>#REF!</f>
        <v>#REF!</v>
      </c>
      <c r="B57" s="295" t="e">
        <f>#REF!</f>
        <v>#REF!</v>
      </c>
      <c r="C57" s="296" t="str">
        <f>_xll.ciqfunctions.udf.CIQ(B57,"IQ_COMPANY_NAME")</f>
        <v>#NA</v>
      </c>
      <c r="G57" s="294" t="s">
        <v>398</v>
      </c>
      <c r="H57" s="262" t="str">
        <f t="shared" si="45"/>
        <v>-</v>
      </c>
      <c r="I57" s="262" t="str">
        <f>IFERROR(IF(G57="y",IF(H57&lt;&gt;"-",H57,INDEX(Raw_Data,MATCH($A57,Look_Up,0),MATCH(I$4,Component,0))/1000*(1+'Raw Data'!$H$13)),(INDEX(Raw_Data,MATCH($A57,Look_Up,0),MATCH(I$4,Component,0))/1000)),"-")</f>
        <v>-</v>
      </c>
      <c r="J57" s="362"/>
      <c r="K57" s="362"/>
      <c r="L57" s="362"/>
      <c r="M57" s="262" t="str">
        <f>IFERROR(I57*#REF!,"-")</f>
        <v>-</v>
      </c>
      <c r="N57" s="362"/>
      <c r="O57" s="362"/>
      <c r="P57" s="262" t="str">
        <f t="shared" si="49"/>
        <v>-</v>
      </c>
      <c r="Q57" s="362"/>
      <c r="R57" s="362"/>
      <c r="S57" s="362"/>
      <c r="T57" s="262" t="str">
        <f>IFERROR(I57*#REF!,"-")</f>
        <v>-</v>
      </c>
      <c r="U57" s="362"/>
      <c r="V57" s="362"/>
      <c r="W57" s="262" t="str">
        <f t="shared" si="50"/>
        <v>-</v>
      </c>
      <c r="X57" s="362"/>
      <c r="Y57" s="362"/>
      <c r="Z57" s="362"/>
      <c r="AA57" s="262" t="str">
        <f>IFERROR(IF(SUM(W57,#REF!,#REF!)=0,"-",SUM(W57,#REF!,#REF!)),"-")</f>
        <v>-</v>
      </c>
      <c r="AB57" s="362"/>
    </row>
    <row r="58" spans="1:30" ht="14.5">
      <c r="A58" s="295" t="e">
        <f>#REF!</f>
        <v>#REF!</v>
      </c>
      <c r="B58" s="295" t="e">
        <f>#REF!</f>
        <v>#REF!</v>
      </c>
      <c r="C58" s="296" t="str">
        <f>_xll.ciqfunctions.udf.CIQ(B58,"IQ_COMPANY_NAME")</f>
        <v>#NA</v>
      </c>
      <c r="G58" s="294" t="s">
        <v>398</v>
      </c>
      <c r="H58" s="262" t="str">
        <f t="shared" si="45"/>
        <v>-</v>
      </c>
      <c r="I58" s="262" t="str">
        <f>IFERROR(IF(G58="y",IF(H58&lt;&gt;"-",H58,INDEX(Raw_Data,MATCH($A58,Look_Up,0),MATCH(I$4,Component,0))/1000*(1+'Raw Data'!$H$13)),(INDEX(Raw_Data,MATCH($A58,Look_Up,0),MATCH(I$4,Component,0))/1000)),"-")</f>
        <v>-</v>
      </c>
      <c r="J58" s="362"/>
      <c r="K58" s="362"/>
      <c r="L58" s="362"/>
      <c r="M58" s="262" t="str">
        <f>IFERROR(I58*#REF!,"-")</f>
        <v>-</v>
      </c>
      <c r="N58" s="362"/>
      <c r="O58" s="362"/>
      <c r="P58" s="262" t="str">
        <f t="shared" si="49"/>
        <v>-</v>
      </c>
      <c r="Q58" s="362"/>
      <c r="R58" s="362"/>
      <c r="S58" s="362"/>
      <c r="T58" s="262" t="str">
        <f>IFERROR(I58*#REF!,"-")</f>
        <v>-</v>
      </c>
      <c r="U58" s="362"/>
      <c r="V58" s="362"/>
      <c r="W58" s="262" t="str">
        <f t="shared" si="50"/>
        <v>-</v>
      </c>
      <c r="X58" s="362"/>
      <c r="Y58" s="362"/>
      <c r="Z58" s="362"/>
      <c r="AA58" s="262" t="str">
        <f>IFERROR(IF(SUM(W58,#REF!,#REF!)=0,"-",SUM(W58,#REF!,#REF!)),"-")</f>
        <v>-</v>
      </c>
      <c r="AB58" s="362"/>
    </row>
    <row r="59" spans="1:30" ht="14.5">
      <c r="A59" s="295" t="e">
        <f>#REF!</f>
        <v>#REF!</v>
      </c>
      <c r="B59" s="295" t="e">
        <f>#REF!</f>
        <v>#REF!</v>
      </c>
      <c r="C59" s="296" t="str">
        <f>_xll.ciqfunctions.udf.CIQ(B59,"IQ_COMPANY_NAME")</f>
        <v>#NA</v>
      </c>
      <c r="G59" s="294" t="s">
        <v>398</v>
      </c>
      <c r="H59" s="262" t="str">
        <f t="shared" si="45"/>
        <v>-</v>
      </c>
      <c r="I59" s="262" t="str">
        <f>IFERROR(IF(G59="y",IF(H59&lt;&gt;"-",H59,INDEX(Raw_Data,MATCH($A59,Look_Up,0),MATCH(I$4,Component,0))/1000*(1+'Raw Data'!$H$13)),(INDEX(Raw_Data,MATCH($A59,Look_Up,0),MATCH(I$4,Component,0))/1000)),"-")</f>
        <v>-</v>
      </c>
      <c r="J59" s="362"/>
      <c r="K59" s="362"/>
      <c r="L59" s="362"/>
      <c r="M59" s="262" t="str">
        <f>IFERROR(I59*#REF!,"-")</f>
        <v>-</v>
      </c>
      <c r="N59" s="362"/>
      <c r="O59" s="362"/>
      <c r="P59" s="262" t="str">
        <f t="shared" si="49"/>
        <v>-</v>
      </c>
      <c r="Q59" s="362"/>
      <c r="R59" s="362"/>
      <c r="S59" s="362"/>
      <c r="T59" s="262" t="str">
        <f>IFERROR(I59*#REF!,"-")</f>
        <v>-</v>
      </c>
      <c r="U59" s="362"/>
      <c r="V59" s="362"/>
      <c r="W59" s="262" t="str">
        <f t="shared" si="50"/>
        <v>-</v>
      </c>
      <c r="X59" s="362"/>
      <c r="Y59" s="362"/>
      <c r="Z59" s="362"/>
      <c r="AA59" s="262" t="str">
        <f>IFERROR(IF(SUM(W59,#REF!,#REF!)=0,"-",SUM(W59,#REF!,#REF!)),"-")</f>
        <v>-</v>
      </c>
      <c r="AB59" s="362"/>
    </row>
    <row r="60" spans="1:30" ht="14.5">
      <c r="A60" s="295" t="e">
        <f>#REF!</f>
        <v>#REF!</v>
      </c>
      <c r="B60" s="295" t="e">
        <f>#REF!</f>
        <v>#REF!</v>
      </c>
      <c r="C60" s="296" t="str">
        <f>_xll.ciqfunctions.udf.CIQ(B60,"IQ_COMPANY_NAME")</f>
        <v>#NA</v>
      </c>
      <c r="G60" s="294" t="s">
        <v>398</v>
      </c>
      <c r="H60" s="262" t="str">
        <f t="shared" si="45"/>
        <v>-</v>
      </c>
      <c r="I60" s="262" t="str">
        <f>IFERROR(IF(G60="y",IF(H60&lt;&gt;"-",H60,INDEX(Raw_Data,MATCH($A60,Look_Up,0),MATCH(I$4,Component,0))/1000*(1+'Raw Data'!$H$13)),(INDEX(Raw_Data,MATCH($A60,Look_Up,0),MATCH(I$4,Component,0))/1000)),"-")</f>
        <v>-</v>
      </c>
      <c r="J60" s="362"/>
      <c r="K60" s="362"/>
      <c r="L60" s="362"/>
      <c r="M60" s="262" t="str">
        <f>IFERROR(I60*#REF!,"-")</f>
        <v>-</v>
      </c>
      <c r="N60" s="362"/>
      <c r="O60" s="362"/>
      <c r="P60" s="262" t="str">
        <f t="shared" si="49"/>
        <v>-</v>
      </c>
      <c r="Q60" s="362"/>
      <c r="R60" s="362"/>
      <c r="S60" s="362"/>
      <c r="T60" s="262" t="str">
        <f>IFERROR(I60*#REF!,"-")</f>
        <v>-</v>
      </c>
      <c r="U60" s="362"/>
      <c r="V60" s="362"/>
      <c r="W60" s="262" t="str">
        <f t="shared" si="50"/>
        <v>-</v>
      </c>
      <c r="X60" s="362"/>
      <c r="Y60" s="362"/>
      <c r="Z60" s="362"/>
      <c r="AA60" s="262" t="str">
        <f>IFERROR(IF(SUM(W60,#REF!,#REF!)=0,"-",SUM(W60,#REF!,#REF!)),"-")</f>
        <v>-</v>
      </c>
      <c r="AB60" s="362"/>
    </row>
    <row r="61" spans="1:30" ht="14.5">
      <c r="A61" s="295" t="e">
        <f>#REF!</f>
        <v>#REF!</v>
      </c>
      <c r="B61" s="295" t="e">
        <f>#REF!</f>
        <v>#REF!</v>
      </c>
      <c r="C61" s="296" t="str">
        <f>_xll.ciqfunctions.udf.CIQ(B61,"IQ_COMPANY_NAME")</f>
        <v>#NA</v>
      </c>
      <c r="G61" s="294" t="s">
        <v>398</v>
      </c>
      <c r="H61" s="304" t="str">
        <f t="shared" si="45"/>
        <v>-</v>
      </c>
      <c r="I61" s="262" t="str">
        <f>IFERROR(IF(G61="y",IF(H61&lt;&gt;"-",H61,INDEX(Raw_Data,MATCH($A61,Look_Up,0),MATCH(I$4,Component,0))/1000*(1+'Raw Data'!$H$13)),(INDEX(Raw_Data,MATCH($A61,Look_Up,0),MATCH(I$4,Component,0))/1000)),"-")</f>
        <v>-</v>
      </c>
      <c r="J61" s="362"/>
      <c r="K61" s="362"/>
      <c r="L61" s="362"/>
      <c r="M61" s="262" t="str">
        <f>IFERROR(I61*#REF!,"-")</f>
        <v>-</v>
      </c>
      <c r="N61" s="362"/>
      <c r="O61" s="362"/>
      <c r="P61" s="304" t="str">
        <f t="shared" si="49"/>
        <v>-</v>
      </c>
      <c r="Q61" s="362"/>
      <c r="R61" s="362"/>
      <c r="S61" s="362"/>
      <c r="T61" s="262" t="str">
        <f>IFERROR(I61*#REF!,"-")</f>
        <v>-</v>
      </c>
      <c r="U61" s="362"/>
      <c r="V61" s="362"/>
      <c r="W61" s="304" t="str">
        <f t="shared" si="50"/>
        <v>-</v>
      </c>
      <c r="X61" s="362"/>
      <c r="Y61" s="362"/>
      <c r="Z61" s="362"/>
      <c r="AA61" s="304" t="str">
        <f>IFERROR(IF(SUM(W61,#REF!,#REF!)=0,"-",SUM(W61,#REF!,#REF!)),"-")</f>
        <v>-</v>
      </c>
      <c r="AB61" s="362"/>
    </row>
    <row r="62" spans="1:30" ht="14.5">
      <c r="A62" s="15"/>
      <c r="B62" s="15"/>
      <c r="I62" s="288"/>
      <c r="M62" s="288"/>
      <c r="P62" s="288"/>
      <c r="T62" s="288"/>
      <c r="W62" s="288"/>
      <c r="AA62" s="288"/>
    </row>
    <row r="63" spans="1:30" ht="14.5">
      <c r="A63" s="15"/>
      <c r="B63" s="15"/>
      <c r="I63" s="262">
        <f>PERCENTILE(I$42:I$61,$B24)</f>
        <v>643.3570796875</v>
      </c>
      <c r="M63" s="262">
        <f>PERCENTILE(M$42:M$61,$B24)</f>
        <v>534.66780976562507</v>
      </c>
      <c r="P63" s="262">
        <f>PERCENTILE(P$42:P$61,$B24)</f>
        <v>1186.3586269531249</v>
      </c>
      <c r="T63" s="262">
        <f>PERCENTILE(T$42:T$61,$B24)</f>
        <v>1418.6825059375001</v>
      </c>
      <c r="W63" s="262">
        <f>PERCENTILE(W$42:W$61,$B24)</f>
        <v>2741.9341921874998</v>
      </c>
      <c r="AA63" s="262">
        <f>PERCENTILE(AA$42:AA$61,$B24)</f>
        <v>2854.6567088125003</v>
      </c>
    </row>
    <row r="64" spans="1:30" ht="14.5">
      <c r="A64" s="15"/>
      <c r="B64" s="15"/>
      <c r="I64" s="266">
        <f>PERCENTILE(I$42:I$61,$B25)</f>
        <v>607.89075000000003</v>
      </c>
      <c r="M64" s="266">
        <f>PERCENTILE(M$42:M$61,$B25)</f>
        <v>438.28559999999999</v>
      </c>
      <c r="P64" s="266">
        <f>PERCENTILE(P$42:P$61,$B25)</f>
        <v>986.1425999999999</v>
      </c>
      <c r="T64" s="266">
        <f>PERCENTILE(T$42:T$61,$B25)</f>
        <v>1043.1867449864162</v>
      </c>
      <c r="W64" s="266">
        <f>PERCENTILE(W$42:W$61,$B25)</f>
        <v>2119.0434548421827</v>
      </c>
      <c r="AA64" s="266">
        <f>PERCENTILE(AA$42:AA$61,$B25)</f>
        <v>2153.9657303421827</v>
      </c>
    </row>
    <row r="65" spans="1:27" ht="14.5">
      <c r="A65" s="15"/>
      <c r="B65" s="15"/>
      <c r="I65" s="262">
        <f>PERCENTILE(I$42:I$61,$B26)</f>
        <v>486.67500000000001</v>
      </c>
      <c r="M65" s="262">
        <f>PERCENTILE(M$42:M$61,$B26)</f>
        <v>337.02319975922501</v>
      </c>
      <c r="P65" s="262">
        <f>PERCENTILE(P$42:P$61,$B26)</f>
        <v>839.27541500000007</v>
      </c>
      <c r="T65" s="262">
        <f>PERCENTILE(T$42:T$61,$B26)</f>
        <v>730.01250000000005</v>
      </c>
      <c r="W65" s="262">
        <f>PERCENTILE(W$42:W$61,$B26)</f>
        <v>1542.8112500000002</v>
      </c>
      <c r="AA65" s="262">
        <f>PERCENTILE(AA$42:AA$61,$B26)</f>
        <v>1642.5171855100168</v>
      </c>
    </row>
    <row r="66" spans="1:27" ht="14.5">
      <c r="A66" s="15"/>
      <c r="B66" s="15"/>
      <c r="I66" s="270">
        <f>AVERAGE(I42:I61)</f>
        <v>586.73433937806669</v>
      </c>
      <c r="M66" s="270">
        <f>AVERAGE(M42:M61)</f>
        <v>446.49708396572674</v>
      </c>
      <c r="P66" s="270">
        <f>AVERAGE(P42:P61)</f>
        <v>1033.2314233437933</v>
      </c>
      <c r="T66" s="270">
        <f>AVERAGE(T42:T61)</f>
        <v>1062.1203318537569</v>
      </c>
      <c r="W66" s="270">
        <f>AVERAGE(W42:W61)</f>
        <v>2095.3517551975506</v>
      </c>
      <c r="AA66" s="270">
        <f>AVERAGE(AA42:AA61)</f>
        <v>2222.887028606433</v>
      </c>
    </row>
    <row r="67" spans="1:27">
      <c r="A67" s="15"/>
      <c r="B67" s="15"/>
    </row>
  </sheetData>
  <sortState xmlns:xlrd2="http://schemas.microsoft.com/office/spreadsheetml/2017/richdata2" ref="A8:AP21">
    <sortCondition descending="1" ref="E8:E21"/>
  </sortState>
  <mergeCells count="10">
    <mergeCell ref="C6:C7"/>
    <mergeCell ref="D6:D7"/>
    <mergeCell ref="E6:E7"/>
    <mergeCell ref="F6:F7"/>
    <mergeCell ref="G6:G7"/>
    <mergeCell ref="I6:I7"/>
    <mergeCell ref="X6:X7"/>
    <mergeCell ref="Y6:Y7"/>
    <mergeCell ref="Z6:AA6"/>
    <mergeCell ref="H6:H7"/>
  </mergeCells>
  <conditionalFormatting sqref="C8:AA22">
    <cfRule type="expression" dxfId="146" priority="3">
      <formula>MOD(ROW(),2)=0</formula>
    </cfRule>
  </conditionalFormatting>
  <conditionalFormatting sqref="C24:AA27">
    <cfRule type="expression" dxfId="145" priority="2">
      <formula>MOD(ROW(),2)=0</formula>
    </cfRule>
  </conditionalFormatting>
  <conditionalFormatting sqref="C29:AA32">
    <cfRule type="expression" dxfId="144" priority="1">
      <formula>MOD(ROW(),2)=0</formula>
    </cfRule>
  </conditionalFormatting>
  <conditionalFormatting sqref="H42:I61">
    <cfRule type="expression" dxfId="143" priority="103">
      <formula>MOD(ROW(),2)=0</formula>
    </cfRule>
  </conditionalFormatting>
  <conditionalFormatting sqref="I63:I66">
    <cfRule type="expression" dxfId="142" priority="108">
      <formula>MOD(ROW(),2)=0</formula>
    </cfRule>
  </conditionalFormatting>
  <conditionalFormatting sqref="M42:M61">
    <cfRule type="expression" dxfId="141" priority="111">
      <formula>MOD(ROW(),2)=0</formula>
    </cfRule>
  </conditionalFormatting>
  <conditionalFormatting sqref="M63:M66">
    <cfRule type="expression" dxfId="140" priority="107">
      <formula>MOD(ROW(),2)=0</formula>
    </cfRule>
  </conditionalFormatting>
  <conditionalFormatting sqref="P42:P61">
    <cfRule type="expression" dxfId="139" priority="110">
      <formula>MOD(ROW(),2)=0</formula>
    </cfRule>
  </conditionalFormatting>
  <conditionalFormatting sqref="P63:P66">
    <cfRule type="expression" dxfId="138" priority="106">
      <formula>MOD(ROW(),2)=0</formula>
    </cfRule>
  </conditionalFormatting>
  <conditionalFormatting sqref="T42:T61">
    <cfRule type="expression" dxfId="137" priority="109">
      <formula>MOD(ROW(),2)=0</formula>
    </cfRule>
  </conditionalFormatting>
  <conditionalFormatting sqref="T63:T66">
    <cfRule type="expression" dxfId="136" priority="105">
      <formula>MOD(ROW(),2)=0</formula>
    </cfRule>
  </conditionalFormatting>
  <conditionalFormatting sqref="W42:W61">
    <cfRule type="expression" dxfId="135" priority="101">
      <formula>MOD(ROW(),2)=0</formula>
    </cfRule>
  </conditionalFormatting>
  <conditionalFormatting sqref="W63:W66">
    <cfRule type="expression" dxfId="134" priority="104">
      <formula>MOD(ROW(),2)=0</formula>
    </cfRule>
  </conditionalFormatting>
  <conditionalFormatting sqref="AA42:AA61">
    <cfRule type="expression" dxfId="133" priority="98">
      <formula>MOD(ROW(),2)=0</formula>
    </cfRule>
  </conditionalFormatting>
  <conditionalFormatting sqref="AA63:AA66">
    <cfRule type="expression" dxfId="132" priority="99">
      <formula>MOD(ROW(),2)=0</formula>
    </cfRule>
  </conditionalFormatting>
  <conditionalFormatting sqref="AC8:AD22">
    <cfRule type="expression" dxfId="131" priority="27">
      <formula>MOD(ROW(),2)=0</formula>
    </cfRule>
  </conditionalFormatting>
  <conditionalFormatting sqref="AC24:AD32">
    <cfRule type="expression" dxfId="130" priority="26">
      <formula>MOD(ROW(),2)=0</formula>
    </cfRule>
  </conditionalFormatting>
  <conditionalFormatting sqref="AG8:AK21 AN8:AN21 AG22:AN22">
    <cfRule type="expression" dxfId="129" priority="21">
      <formula>MOD(ROW(),2)=0</formula>
    </cfRule>
  </conditionalFormatting>
  <conditionalFormatting sqref="AL8:AM8 AL9 AL10:AM14 AL15 AL16:AM21">
    <cfRule type="expression" dxfId="128" priority="20">
      <formula>MOD(ROW(),2)=0</formula>
    </cfRule>
  </conditionalFormatting>
  <dataValidations disablePrompts="1" count="1">
    <dataValidation type="list" allowBlank="1" showInputMessage="1" showErrorMessage="1" sqref="G42:G61" xr:uid="{DE3C3CA9-2AE3-4B4B-B045-863E67CF5738}">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5B567-3106-47EC-B06B-B5D1FE213673}">
  <sheetPr>
    <tabColor theme="3"/>
    <pageSetUpPr fitToPage="1"/>
  </sheetPr>
  <dimension ref="A1:AP72"/>
  <sheetViews>
    <sheetView showGridLines="0" topLeftCell="A4" zoomScale="70" zoomScaleNormal="70" workbookViewId="0">
      <selection activeCell="C6" sqref="C6:AA7"/>
    </sheetView>
  </sheetViews>
  <sheetFormatPr defaultColWidth="9.1796875" defaultRowHeight="14" outlineLevelRow="1" outlineLevelCol="3"/>
  <cols>
    <col min="1" max="1" width="10.453125" style="12" bestFit="1" customWidth="1"/>
    <col min="2" max="2" width="8.1796875" style="12" customWidth="1"/>
    <col min="3" max="3" width="30.7265625" style="12" customWidth="1"/>
    <col min="4" max="5" width="14.453125" style="12" hidden="1" customWidth="1" outlineLevel="1"/>
    <col min="6" max="6" width="23.453125" style="12" customWidth="1" outlineLevel="1"/>
    <col min="7" max="7" width="55.453125" style="12" bestFit="1" customWidth="1"/>
    <col min="8" max="8" width="5.7265625" style="12" hidden="1" customWidth="1" outlineLevel="1"/>
    <col min="9" max="9" width="10.81640625" style="12" bestFit="1" customWidth="1" collapsed="1"/>
    <col min="10" max="10" width="11.1796875" style="12" hidden="1" customWidth="1" outlineLevel="1"/>
    <col min="11" max="11" width="11.7265625" style="12" hidden="1" customWidth="1" outlineLevel="1"/>
    <col min="12" max="12" width="12.453125" style="12" hidden="1" customWidth="1" outlineLevel="1"/>
    <col min="13" max="13" width="11.1796875" style="12" bestFit="1" customWidth="1" collapsed="1"/>
    <col min="14" max="15" width="11.7265625" style="12" bestFit="1" customWidth="1"/>
    <col min="16" max="16" width="11.1796875" style="12" bestFit="1" customWidth="1"/>
    <col min="17" max="18" width="11.1796875" style="12" hidden="1" customWidth="1" outlineLevel="1"/>
    <col min="19" max="19" width="12.26953125" style="12" hidden="1" customWidth="1" outlineLevel="1"/>
    <col min="20" max="20" width="11.1796875" style="12" bestFit="1" customWidth="1" collapsed="1"/>
    <col min="21" max="21" width="11.7265625" style="12" bestFit="1" customWidth="1"/>
    <col min="22" max="23" width="11.1796875" style="12" bestFit="1" customWidth="1"/>
    <col min="24" max="27" width="13.26953125" style="12" customWidth="1" outlineLevel="3"/>
    <col min="28" max="28" width="13.453125" style="12" customWidth="1" outlineLevel="2"/>
    <col min="29" max="30" width="13.26953125" style="12" customWidth="1" outlineLevel="2"/>
    <col min="31" max="31" width="8.7265625" style="12" customWidth="1" outlineLevel="1"/>
    <col min="32" max="32" width="2.7265625" style="12" customWidth="1"/>
    <col min="33" max="34" width="15.7265625" style="12" hidden="1" customWidth="1" outlineLevel="1"/>
    <col min="35" max="35" width="15.7265625" style="12" hidden="1" customWidth="1" outlineLevel="2"/>
    <col min="36" max="36" width="15.7265625" style="12" hidden="1" customWidth="1" outlineLevel="3"/>
    <col min="37" max="37" width="28.54296875" style="12" hidden="1" customWidth="1" outlineLevel="1"/>
    <col min="38" max="38" width="11.1796875" style="12" bestFit="1" customWidth="1" collapsed="1"/>
    <col min="39" max="39" width="11.1796875" style="12" bestFit="1" customWidth="1"/>
    <col min="40" max="40" width="16" style="12" bestFit="1" customWidth="1"/>
    <col min="41" max="16384" width="9.1796875" style="12"/>
  </cols>
  <sheetData>
    <row r="1" spans="1:42" s="48" customFormat="1" ht="17.25" customHeight="1">
      <c r="A1" s="111">
        <v>45852</v>
      </c>
    </row>
    <row r="2" spans="1:42">
      <c r="A2" s="12" t="s">
        <v>2</v>
      </c>
      <c r="B2" s="49" t="s">
        <v>24</v>
      </c>
      <c r="C2" s="53" t="s">
        <v>109</v>
      </c>
      <c r="W2" s="362"/>
    </row>
    <row r="3" spans="1:42">
      <c r="B3" s="49" t="s">
        <v>23</v>
      </c>
      <c r="C3" s="53">
        <f>'Raw Data'!$G$9</f>
        <v>2025</v>
      </c>
    </row>
    <row r="4" spans="1:42" s="157" customFormat="1" ht="35.15"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Data'!AR31</f>
        <v>Pension Converted</v>
      </c>
      <c r="Y4" s="157" t="str">
        <f>'Raw Data'!AU31</f>
        <v>Other Converted</v>
      </c>
      <c r="Z4" s="157" t="s">
        <v>247</v>
      </c>
      <c r="AA4" s="157" t="s">
        <v>248</v>
      </c>
      <c r="AC4" s="157" t="s">
        <v>11</v>
      </c>
      <c r="AD4" s="157" t="s">
        <v>10</v>
      </c>
    </row>
    <row r="5" spans="1:42" ht="21">
      <c r="B5" s="26"/>
      <c r="C5" s="256" t="str">
        <f>+C2&amp; " Benchmarking - "&amp;'Raw Data'!H5&amp;" $000s"</f>
        <v>NEO3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370</v>
      </c>
      <c r="AM5" t="s">
        <v>68</v>
      </c>
      <c r="AN5"/>
    </row>
    <row r="6" spans="1:42" ht="40" customHeight="1">
      <c r="B6" s="45"/>
      <c r="C6" s="1264" t="s">
        <v>22</v>
      </c>
      <c r="D6" s="1266" t="s">
        <v>21</v>
      </c>
      <c r="E6" s="1266" t="s">
        <v>20</v>
      </c>
      <c r="F6" s="1266" t="s">
        <v>19</v>
      </c>
      <c r="G6" s="1266" t="s">
        <v>18</v>
      </c>
      <c r="H6" s="1268" t="s">
        <v>114</v>
      </c>
      <c r="I6" s="1268" t="s">
        <v>17</v>
      </c>
      <c r="J6" s="794" t="s">
        <v>16</v>
      </c>
      <c r="K6" s="794"/>
      <c r="L6" s="794"/>
      <c r="M6" s="794" t="s">
        <v>16</v>
      </c>
      <c r="N6" s="794"/>
      <c r="O6" s="794" t="s">
        <v>15</v>
      </c>
      <c r="P6" s="794"/>
      <c r="Q6" s="794" t="s">
        <v>14</v>
      </c>
      <c r="R6" s="794"/>
      <c r="S6" s="794"/>
      <c r="T6" s="794" t="s">
        <v>14</v>
      </c>
      <c r="U6" s="794"/>
      <c r="V6" s="794" t="s">
        <v>670</v>
      </c>
      <c r="W6" s="795"/>
      <c r="X6" s="1342" t="s">
        <v>31</v>
      </c>
      <c r="Y6" s="1279" t="s">
        <v>245</v>
      </c>
      <c r="Z6" s="1279" t="s">
        <v>244</v>
      </c>
      <c r="AA6" s="1281"/>
      <c r="AB6" s="803"/>
      <c r="AC6" s="811" t="s">
        <v>12</v>
      </c>
      <c r="AD6" s="810"/>
      <c r="AE6" s="803">
        <v>2023</v>
      </c>
      <c r="AF6" s="805"/>
      <c r="AG6" s="812" t="s">
        <v>394</v>
      </c>
      <c r="AH6" s="813"/>
      <c r="AI6" s="813"/>
      <c r="AJ6" s="813"/>
      <c r="AK6" s="813"/>
      <c r="AL6" s="812" t="s">
        <v>394</v>
      </c>
      <c r="AM6" s="814"/>
      <c r="AN6" s="607"/>
    </row>
    <row r="7" spans="1:42" ht="20.149999999999999" customHeight="1">
      <c r="A7" s="52" t="s">
        <v>54</v>
      </c>
      <c r="B7" s="52" t="s">
        <v>25</v>
      </c>
      <c r="C7" s="1265"/>
      <c r="D7" s="1267" t="s">
        <v>21</v>
      </c>
      <c r="E7" s="1267" t="s">
        <v>20</v>
      </c>
      <c r="F7" s="1267" t="s">
        <v>19</v>
      </c>
      <c r="G7" s="1267" t="s">
        <v>18</v>
      </c>
      <c r="H7" s="1269" t="s">
        <v>17</v>
      </c>
      <c r="I7" s="1269" t="s">
        <v>17</v>
      </c>
      <c r="J7" s="796" t="s">
        <v>40</v>
      </c>
      <c r="K7" s="797" t="s">
        <v>51</v>
      </c>
      <c r="L7" s="797" t="s">
        <v>104</v>
      </c>
      <c r="M7" s="797" t="s">
        <v>42</v>
      </c>
      <c r="N7" s="796" t="s">
        <v>41</v>
      </c>
      <c r="O7" s="796" t="s">
        <v>53</v>
      </c>
      <c r="P7" s="796" t="s">
        <v>42</v>
      </c>
      <c r="Q7" s="797" t="s">
        <v>40</v>
      </c>
      <c r="R7" s="798" t="s">
        <v>52</v>
      </c>
      <c r="S7" s="798" t="s">
        <v>105</v>
      </c>
      <c r="T7" s="797" t="s">
        <v>42</v>
      </c>
      <c r="U7" s="799" t="s">
        <v>41</v>
      </c>
      <c r="V7" s="796" t="s">
        <v>40</v>
      </c>
      <c r="W7" s="800" t="s">
        <v>42</v>
      </c>
      <c r="X7" s="1343"/>
      <c r="Y7" s="1280"/>
      <c r="Z7" s="796" t="s">
        <v>40</v>
      </c>
      <c r="AA7" s="800" t="s">
        <v>42</v>
      </c>
      <c r="AB7" s="803"/>
      <c r="AC7" s="815" t="s">
        <v>11</v>
      </c>
      <c r="AD7" s="816" t="s">
        <v>10</v>
      </c>
      <c r="AE7" s="805" t="str">
        <f>AE6&amp;" Lookup"</f>
        <v>2023 Lookup</v>
      </c>
      <c r="AF7" s="805"/>
      <c r="AG7" s="817" t="s">
        <v>22</v>
      </c>
      <c r="AH7" s="818" t="s">
        <v>19</v>
      </c>
      <c r="AI7" s="818" t="s">
        <v>397</v>
      </c>
      <c r="AJ7" s="819" t="s">
        <v>395</v>
      </c>
      <c r="AK7" s="818" t="s">
        <v>18</v>
      </c>
      <c r="AL7" s="820" t="s">
        <v>40</v>
      </c>
      <c r="AM7" s="821" t="s">
        <v>42</v>
      </c>
      <c r="AN7" s="457" t="s">
        <v>396</v>
      </c>
    </row>
    <row r="8" spans="1:42" ht="19.5" customHeight="1">
      <c r="A8" s="12" t="str">
        <f t="shared" ref="A8:A21" si="0">$B8&amp;"_"&amp;$C$3&amp;"_"&amp;$C$2</f>
        <v>TSX:FM_2025_NEO3</v>
      </c>
      <c r="B8" s="12" t="str">
        <f>'Peer Group'!A6</f>
        <v>TSX:FM</v>
      </c>
      <c r="C8" s="666" t="str">
        <f t="shared" ref="C8:C21" si="1">IFERROR(INDEX(Raw_Data,MATCH($A8,Look_Up,0),MATCH(C$4,Component,0)),"-")</f>
        <v>First Quantum Minerals Ltd.</v>
      </c>
      <c r="D8" s="667" t="str">
        <f>_xll.ciqfunctions.udf.CIQ(B8, "IQ_MARKETCAP", $A$1,$A$2)</f>
        <v>#PEND</v>
      </c>
      <c r="E8" s="667" t="str">
        <f>_xll.ciqfunctions.udf.CIQ($B8, "IQ_TEV", $A$1,$A$2)</f>
        <v>#PEND</v>
      </c>
      <c r="F8" s="668" t="str">
        <f t="shared" ref="F8:G21" si="2">IFERROR(INDEX(Raw_Data,MATCH($A8,Look_Up,0),MATCH(F$4,Component,0)),"-")</f>
        <v>Gavin Ashley</v>
      </c>
      <c r="G8" s="668" t="str">
        <f t="shared" si="2"/>
        <v>Director, Technical Reporting</v>
      </c>
      <c r="H8" s="667">
        <f t="shared" ref="H8:J21" si="3">IFERROR(INDEX(Raw_Data,MATCH($A8,Look_Up,0),MATCH(H$4,Component,0))/1000,"-")</f>
        <v>594.80223330000013</v>
      </c>
      <c r="I8" s="667">
        <f t="shared" si="3"/>
        <v>594.80223330000013</v>
      </c>
      <c r="J8" s="669">
        <f t="shared" si="3"/>
        <v>249.56780060000003</v>
      </c>
      <c r="K8" s="670">
        <f t="shared" ref="K8:L21" si="4">IFERROR(INDEX(Raw_Data,MATCH($A8,Look_Up,0),MATCH(K$4,Component,0)),"-")</f>
        <v>0.41958114248391809</v>
      </c>
      <c r="L8" s="670">
        <f t="shared" si="4"/>
        <v>0.34293980686893</v>
      </c>
      <c r="M8" s="671">
        <f t="shared" ref="M8:M21" si="5">IFERROR(INDEX(Raw_Data,MATCH($A8,Look_Up,0),MATCH(M$4,Component,0))/1000,"-")</f>
        <v>297.40111665000006</v>
      </c>
      <c r="N8" s="672">
        <f t="shared" ref="N8:N21" si="6">IFERROR(IF(INDEX(Raw_Data,MATCH($A8,Look_Up,0),MATCH(N$4,Component,0))="-",L8,INDEX(Raw_Data,MATCH($A8,Look_Up,0),MATCH(N$4,Component,0))),"-")</f>
        <v>0.5</v>
      </c>
      <c r="O8" s="669">
        <f t="shared" ref="O8:Q21" si="7">IFERROR(INDEX(Raw_Data,MATCH($A8,Look_Up,0),MATCH(O$4,Component,0))/1000,"-")</f>
        <v>844.37003390000018</v>
      </c>
      <c r="P8" s="673">
        <f t="shared" si="7"/>
        <v>892.20334995000019</v>
      </c>
      <c r="Q8" s="669">
        <f t="shared" si="7"/>
        <v>405.54697725</v>
      </c>
      <c r="R8" s="670">
        <f t="shared" ref="R8:S21" si="8">IFERROR(INDEX(Raw_Data,MATCH($A8,Look_Up,0),MATCH(R$4,Component,0)),"-")</f>
        <v>0.68181818181818177</v>
      </c>
      <c r="S8" s="670">
        <f t="shared" si="8"/>
        <v>0.91985758824873953</v>
      </c>
      <c r="T8" s="671">
        <f t="shared" ref="T8:T21" si="9">IFERROR(INDEX(Raw_Data,MATCH($A8,Look_Up,0),MATCH(T$4,Component,0))/1000,"-")</f>
        <v>446.10167497500009</v>
      </c>
      <c r="U8" s="672">
        <f t="shared" ref="U8:U21" si="10">IFERROR(IF(INDEX(Raw_Data,MATCH($A8,Look_Up,0),MATCH(U$4,Component,0))="-",S8,INDEX(Raw_Data,MATCH($A8,Look_Up,0),MATCH(U$4,Component,0))),"-")</f>
        <v>0.75</v>
      </c>
      <c r="V8" s="669">
        <f t="shared" ref="V8:W21" si="11">IFERROR(INDEX(Raw_Data,MATCH($A8,Look_Up,0),MATCH(V$4,Component,0))/1000,"-")</f>
        <v>1249.9170111500002</v>
      </c>
      <c r="W8" s="674">
        <f t="shared" si="11"/>
        <v>1338.3050249250002</v>
      </c>
      <c r="X8" s="899">
        <f t="shared" ref="X8:Y21" si="12">IFERROR((INDEX(Raw_Data,MATCH($A8,Look_Up,0),MATCH(X$4,Component,0))/1000),"-")</f>
        <v>27.005721250000001</v>
      </c>
      <c r="Y8" s="674">
        <f t="shared" si="12"/>
        <v>24.690146599999999</v>
      </c>
      <c r="Z8" s="669">
        <f t="shared" ref="Z8:AA21" si="13">IFERROR(INDEX(Raw_Data,MATCH($A8,Look_Up,0),MATCH(Z$4,Component,0))/1000,"-")</f>
        <v>1301.6128790000002</v>
      </c>
      <c r="AA8" s="674">
        <f t="shared" si="13"/>
        <v>1390.0008927750002</v>
      </c>
      <c r="AB8" s="675"/>
      <c r="AC8" s="676">
        <f t="shared" ref="AC8:AC21" si="14">IFERROR(P8/W8,0)</f>
        <v>0.66666666666666674</v>
      </c>
      <c r="AD8" s="677">
        <f t="shared" ref="AD8:AD21" si="15">IFERROR(T8/W8,0)</f>
        <v>0.33333333333333337</v>
      </c>
      <c r="AE8" s="678" t="str">
        <f t="shared" ref="AE8:AE10" si="16">B8&amp;"_"&amp;$AE$6&amp;"_"&amp;$C$2</f>
        <v>TSX:FM_2023_NEO3</v>
      </c>
      <c r="AF8" s="678"/>
      <c r="AG8" s="679" t="str" cm="1">
        <f t="array" ref="AG8">IFERROR(INDEX(#REF!,_xlfn.XMATCH('NEO5'!$AE8,#REF!),_xlfn.XMATCH('NEO5'!AG$5,#REF!)),"-")</f>
        <v>-</v>
      </c>
      <c r="AH8" s="680" t="str" cm="1">
        <f t="array" ref="AH8">IFERROR(INDEX(#REF!,_xlfn.XMATCH('NEO5'!$AE8,#REF!),_xlfn.XMATCH('NEO5'!AH$5,#REF!)),"-")</f>
        <v>-</v>
      </c>
      <c r="AI8" s="681" t="str">
        <f>IF(ISNUMBER(_xlfn.XMATCH(C8,#REF!)),"N","Y")</f>
        <v>Y</v>
      </c>
      <c r="AJ8" s="681" t="str">
        <f t="shared" ref="AJ8:AJ21" si="17">IFERROR(IF(TRIM(LOWER(AH8))=TRIM(LOWER(F8)),"N","Y"),"-")</f>
        <v>Y</v>
      </c>
      <c r="AK8" s="680" t="str" cm="1">
        <f t="array" ref="AK8">IFERROR(INDEX(#REF!,_xlfn.XMATCH('NEO5'!$AE8,#REF!),_xlfn.XMATCH('NEO5'!AK$5,#REF!)),"-")</f>
        <v>-</v>
      </c>
      <c r="AL8" s="784" t="str" cm="1">
        <f t="array" ref="AL8">IFERROR(INDEX(#REF!,_xlfn.XMATCH('NEO5'!$AE8,#REF!),_xlfn.XMATCH('NEO5'!AL$5,#REF!)),"-")</f>
        <v>-</v>
      </c>
      <c r="AM8" s="785" t="str" cm="1">
        <f t="array" ref="AM8">IFERROR(INDEX(#REF!,_xlfn.XMATCH('NEO5'!$AE8,#REF!),_xlfn.XMATCH('NEO5'!AM$5,#REF!)),"-")</f>
        <v>-</v>
      </c>
      <c r="AN8" s="646" t="str">
        <f>IF(AJ8="N",IFERROR(W8/AM8-1,"-"),"-")</f>
        <v>-</v>
      </c>
      <c r="AP8" s="12" t="s">
        <v>467</v>
      </c>
    </row>
    <row r="9" spans="1:42" ht="19.5" customHeight="1">
      <c r="A9" s="12" t="str">
        <f t="shared" si="0"/>
        <v>TSX:K_2025_NEO3</v>
      </c>
      <c r="B9" s="12" t="str">
        <f>'Peer Group'!A7</f>
        <v>TSX:K</v>
      </c>
      <c r="C9" s="666" t="str">
        <f t="shared" si="1"/>
        <v>Kinross Gold Corporation</v>
      </c>
      <c r="D9" s="667" t="str">
        <f>_xll.ciqfunctions.udf.CIQ(B9, "IQ_MARKETCAP", $A$1,$A$2)</f>
        <v>#PEND</v>
      </c>
      <c r="E9" s="667" t="str">
        <f>_xll.ciqfunctions.udf.CIQ($B9, "IQ_TEV", $A$1,$A$2)</f>
        <v>#PEND</v>
      </c>
      <c r="F9" s="668" t="str">
        <f t="shared" si="2"/>
        <v>Ryan J. Latinovich</v>
      </c>
      <c r="G9" s="668" t="str">
        <f t="shared" si="2"/>
        <v>EVP, Corporate Development</v>
      </c>
      <c r="H9" s="667" t="str">
        <f t="shared" si="3"/>
        <v>-</v>
      </c>
      <c r="I9" s="667">
        <f t="shared" si="3"/>
        <v>662.72668800000008</v>
      </c>
      <c r="J9" s="669">
        <f t="shared" si="3"/>
        <v>723.1999393000001</v>
      </c>
      <c r="K9" s="670">
        <f t="shared" si="4"/>
        <v>1.0912491565452092</v>
      </c>
      <c r="L9" s="670">
        <f t="shared" si="4"/>
        <v>1.0912491565452092</v>
      </c>
      <c r="M9" s="671">
        <f t="shared" si="5"/>
        <v>596.45401920000006</v>
      </c>
      <c r="N9" s="672">
        <f t="shared" si="6"/>
        <v>0.9</v>
      </c>
      <c r="O9" s="669">
        <f t="shared" si="7"/>
        <v>1385.9266273000003</v>
      </c>
      <c r="P9" s="673">
        <f t="shared" si="7"/>
        <v>1259.1807072000001</v>
      </c>
      <c r="Q9" s="669">
        <f t="shared" si="7"/>
        <v>1358.5897104000003</v>
      </c>
      <c r="R9" s="670">
        <f t="shared" si="8"/>
        <v>2.0500000000000003</v>
      </c>
      <c r="S9" s="670">
        <f t="shared" si="8"/>
        <v>2.0500000000000003</v>
      </c>
      <c r="T9" s="671">
        <f t="shared" si="9"/>
        <v>1358.5897104000005</v>
      </c>
      <c r="U9" s="672">
        <f t="shared" si="10"/>
        <v>2.0500000000000003</v>
      </c>
      <c r="V9" s="669">
        <f t="shared" si="11"/>
        <v>2744.5163377000003</v>
      </c>
      <c r="W9" s="674">
        <f t="shared" si="11"/>
        <v>2617.7704176000002</v>
      </c>
      <c r="X9" s="899">
        <f t="shared" si="12"/>
        <v>188.87934200000001</v>
      </c>
      <c r="Y9" s="674">
        <f t="shared" si="12"/>
        <v>99.171436700000001</v>
      </c>
      <c r="Z9" s="669">
        <f t="shared" si="13"/>
        <v>3032.5671164000005</v>
      </c>
      <c r="AA9" s="674">
        <f t="shared" si="13"/>
        <v>2905.8211963000003</v>
      </c>
      <c r="AB9" s="675"/>
      <c r="AC9" s="676">
        <f t="shared" si="14"/>
        <v>0.48101265822784811</v>
      </c>
      <c r="AD9" s="677">
        <f t="shared" si="15"/>
        <v>0.518987341772152</v>
      </c>
      <c r="AE9" s="678" t="str">
        <f t="shared" si="16"/>
        <v>TSX:K_2023_NEO3</v>
      </c>
      <c r="AF9" s="678"/>
      <c r="AG9" s="682" t="str" cm="1">
        <f t="array" ref="AG9">IFERROR(INDEX(#REF!,_xlfn.XMATCH('NEO5'!$AE9,#REF!),_xlfn.XMATCH('NEO5'!AG$5,#REF!)),"-")</f>
        <v>-</v>
      </c>
      <c r="AH9" s="678" t="str" cm="1">
        <f t="array" ref="AH9">IFERROR(INDEX(#REF!,_xlfn.XMATCH('NEO5'!$AE9,#REF!),_xlfn.XMATCH('NEO5'!AH$5,#REF!)),"-")</f>
        <v>-</v>
      </c>
      <c r="AI9" s="683" t="str">
        <f>IF(ISNUMBER(_xlfn.XMATCH(C9,#REF!)),"N","Y")</f>
        <v>Y</v>
      </c>
      <c r="AJ9" s="683" t="str">
        <f t="shared" si="17"/>
        <v>Y</v>
      </c>
      <c r="AK9" s="678" t="str" cm="1">
        <f t="array" ref="AK9">IFERROR(INDEX(#REF!,_xlfn.XMATCH('NEO5'!$AE9,#REF!),_xlfn.XMATCH('NEO5'!AK$5,#REF!)),"-")</f>
        <v>-</v>
      </c>
      <c r="AL9" s="786" t="str" cm="1">
        <f t="array" ref="AL9">IFERROR(INDEX(#REF!,_xlfn.XMATCH('NEO5'!$AE9,#REF!),_xlfn.XMATCH('NEO5'!AL$5,#REF!)),"-")</f>
        <v>-</v>
      </c>
      <c r="AM9" s="787" t="str" cm="1">
        <f t="array" ref="AM9">IFERROR(INDEX(#REF!,_xlfn.XMATCH('NEO5'!$AE9,#REF!),_xlfn.XMATCH('NEO5'!AM$5,#REF!)),"-")</f>
        <v>-</v>
      </c>
      <c r="AN9" s="646" t="str">
        <f t="shared" ref="AN9:AN21" si="18">IF(AJ9="N",IFERROR(W9/AM9-1,"-"),"-")</f>
        <v>-</v>
      </c>
      <c r="AP9" s="12" t="s">
        <v>462</v>
      </c>
    </row>
    <row r="10" spans="1:42" ht="19.5" customHeight="1">
      <c r="A10" s="12" t="str">
        <f t="shared" si="0"/>
        <v>TSX:LUN_2025_NEO3</v>
      </c>
      <c r="B10" s="12" t="str">
        <f>'Peer Group'!A8</f>
        <v>TSX:LUN</v>
      </c>
      <c r="C10" s="666" t="str">
        <f t="shared" si="1"/>
        <v>Lundin Mining Corporation</v>
      </c>
      <c r="D10" s="667" t="str">
        <f>_xll.ciqfunctions.udf.CIQ(B10, "IQ_MARKETCAP", $A$1,$A$2)</f>
        <v>#PEND</v>
      </c>
      <c r="E10" s="667" t="str">
        <f>_xll.ciqfunctions.udf.CIQ($B10, "IQ_TEV", $A$1,$A$2)</f>
        <v>#PEND</v>
      </c>
      <c r="F10" s="668" t="str">
        <f t="shared" si="2"/>
        <v>Nathan Monash</v>
      </c>
      <c r="G10" s="668" t="str">
        <f t="shared" si="2"/>
        <v>VP, Sustainability</v>
      </c>
      <c r="H10" s="667">
        <f t="shared" si="3"/>
        <v>425</v>
      </c>
      <c r="I10" s="667">
        <f t="shared" si="3"/>
        <v>420</v>
      </c>
      <c r="J10" s="669">
        <f t="shared" si="3"/>
        <v>99.893406450000015</v>
      </c>
      <c r="K10" s="670">
        <f t="shared" si="4"/>
        <v>0.23784144392857146</v>
      </c>
      <c r="L10" s="670">
        <f t="shared" si="4"/>
        <v>0.26079993620726949</v>
      </c>
      <c r="M10" s="671">
        <f t="shared" si="5"/>
        <v>210</v>
      </c>
      <c r="N10" s="672">
        <f t="shared" si="6"/>
        <v>0.5</v>
      </c>
      <c r="O10" s="669">
        <f t="shared" si="7"/>
        <v>519.89340645000004</v>
      </c>
      <c r="P10" s="673">
        <f t="shared" si="7"/>
        <v>630</v>
      </c>
      <c r="Q10" s="669">
        <f t="shared" si="7"/>
        <v>733.89741891786969</v>
      </c>
      <c r="R10" s="670">
        <f t="shared" si="8"/>
        <v>1.7473748069473087</v>
      </c>
      <c r="S10" s="670">
        <f t="shared" si="8"/>
        <v>1.3776224912405859</v>
      </c>
      <c r="T10" s="671">
        <f t="shared" si="9"/>
        <v>578.60144632104607</v>
      </c>
      <c r="U10" s="672">
        <f t="shared" si="10"/>
        <v>1.3776224912405859</v>
      </c>
      <c r="V10" s="669">
        <f t="shared" si="11"/>
        <v>1253.7908253678697</v>
      </c>
      <c r="W10" s="674">
        <f t="shared" si="11"/>
        <v>1208.6014463210461</v>
      </c>
      <c r="X10" s="899" t="str">
        <f t="shared" si="12"/>
        <v>-</v>
      </c>
      <c r="Y10" s="674">
        <f t="shared" si="12"/>
        <v>233.24139225000002</v>
      </c>
      <c r="Z10" s="669">
        <f t="shared" si="13"/>
        <v>1487.0322176178699</v>
      </c>
      <c r="AA10" s="674">
        <f t="shared" si="13"/>
        <v>1441.8428385710461</v>
      </c>
      <c r="AB10" s="675"/>
      <c r="AC10" s="676">
        <f t="shared" si="14"/>
        <v>0.52126364892058086</v>
      </c>
      <c r="AD10" s="677">
        <f t="shared" si="15"/>
        <v>0.47873635107941914</v>
      </c>
      <c r="AE10" s="678" t="str">
        <f t="shared" si="16"/>
        <v>TSX:LUN_2023_NEO3</v>
      </c>
      <c r="AF10" s="678"/>
      <c r="AG10" s="682" t="str" cm="1">
        <f t="array" ref="AG10">IFERROR(INDEX(#REF!,_xlfn.XMATCH('NEO5'!$AE10,#REF!),_xlfn.XMATCH('NEO5'!AG$5,#REF!)),"-")</f>
        <v>-</v>
      </c>
      <c r="AH10" s="678" t="str" cm="1">
        <f t="array" ref="AH10">IFERROR(INDEX(#REF!,_xlfn.XMATCH('NEO5'!$AE10,#REF!),_xlfn.XMATCH('NEO5'!AH$5,#REF!)),"-")</f>
        <v>-</v>
      </c>
      <c r="AI10" s="683" t="str">
        <f>IF(ISNUMBER(_xlfn.XMATCH(C10,#REF!)),"N","Y")</f>
        <v>Y</v>
      </c>
      <c r="AJ10" s="683" t="str">
        <f t="shared" si="17"/>
        <v>Y</v>
      </c>
      <c r="AK10" s="678" t="str" cm="1">
        <f t="array" ref="AK10">IFERROR(INDEX(#REF!,_xlfn.XMATCH('NEO5'!$AE10,#REF!),_xlfn.XMATCH('NEO5'!AK$5,#REF!)),"-")</f>
        <v>-</v>
      </c>
      <c r="AL10" s="788" t="str" cm="1">
        <f t="array" ref="AL10">IFERROR(INDEX(#REF!,_xlfn.XMATCH('NEO5'!$AE10,#REF!),_xlfn.XMATCH('NEO5'!AL$5,#REF!)),"-")</f>
        <v>-</v>
      </c>
      <c r="AM10" s="789" t="str" cm="1">
        <f t="array" ref="AM10">IFERROR(INDEX(#REF!,_xlfn.XMATCH('NEO5'!$AE10,#REF!),_xlfn.XMATCH('NEO5'!AM$5,#REF!)),"-")</f>
        <v>-</v>
      </c>
      <c r="AN10" s="646" t="str">
        <f t="shared" si="18"/>
        <v>-</v>
      </c>
    </row>
    <row r="11" spans="1:42" ht="19.5" customHeight="1">
      <c r="A11" s="12" t="str">
        <f t="shared" si="0"/>
        <v>TSX:CDE_2025_NEO3</v>
      </c>
      <c r="B11" s="12" t="str">
        <f>'Peer Group'!A10</f>
        <v>TSX:CDE</v>
      </c>
      <c r="C11" s="666" t="str">
        <f t="shared" si="1"/>
        <v>Coeur Mining, Inc.</v>
      </c>
      <c r="D11" s="667" t="str">
        <f>_xll.ciqfunctions.udf.CIQ(#REF!, "IQ_MARKETCAP", $A$1,$A$2)</f>
        <v>#PEND</v>
      </c>
      <c r="E11" s="667" t="str">
        <f>_xll.ciqfunctions.udf.CIQ(#REF!, "IQ_TEV", $A$1,$A$2)</f>
        <v>#PEND</v>
      </c>
      <c r="F11" s="668" t="str">
        <f t="shared" si="2"/>
        <v>Aoife McGrath</v>
      </c>
      <c r="G11" s="668" t="str">
        <f t="shared" si="2"/>
        <v>EVP, Exploration</v>
      </c>
      <c r="H11" s="667" t="str">
        <f t="shared" si="3"/>
        <v>-</v>
      </c>
      <c r="I11" s="667">
        <f t="shared" si="3"/>
        <v>503.08200000000005</v>
      </c>
      <c r="J11" s="669">
        <f t="shared" si="3"/>
        <v>476.92173600000001</v>
      </c>
      <c r="K11" s="670">
        <f t="shared" si="4"/>
        <v>0.94799999999999995</v>
      </c>
      <c r="L11" s="670">
        <f t="shared" si="4"/>
        <v>0.94799999999999995</v>
      </c>
      <c r="M11" s="671">
        <f t="shared" si="5"/>
        <v>377.31150000000008</v>
      </c>
      <c r="N11" s="672">
        <f t="shared" si="6"/>
        <v>0.75</v>
      </c>
      <c r="O11" s="669">
        <f t="shared" si="7"/>
        <v>980.003736</v>
      </c>
      <c r="P11" s="673">
        <f t="shared" si="7"/>
        <v>880.39350000000013</v>
      </c>
      <c r="Q11" s="669">
        <f t="shared" si="7"/>
        <v>1439.1666774000003</v>
      </c>
      <c r="R11" s="670">
        <f t="shared" si="8"/>
        <v>2.8607</v>
      </c>
      <c r="S11" s="670">
        <f t="shared" si="8"/>
        <v>2.8607</v>
      </c>
      <c r="T11" s="671">
        <f t="shared" si="9"/>
        <v>955.85580000000004</v>
      </c>
      <c r="U11" s="672">
        <f t="shared" si="10"/>
        <v>1.9</v>
      </c>
      <c r="V11" s="669">
        <f t="shared" si="11"/>
        <v>2419.1704134000001</v>
      </c>
      <c r="W11" s="674">
        <f t="shared" si="11"/>
        <v>1836.2493000000002</v>
      </c>
      <c r="X11" s="899">
        <f t="shared" si="12"/>
        <v>29.346450000000001</v>
      </c>
      <c r="Y11" s="674">
        <f t="shared" si="12"/>
        <v>48.139357600000004</v>
      </c>
      <c r="Z11" s="669">
        <f t="shared" si="13"/>
        <v>2496.6562210000002</v>
      </c>
      <c r="AA11" s="674">
        <f t="shared" si="13"/>
        <v>1913.7351076000002</v>
      </c>
      <c r="AB11" s="675"/>
      <c r="AC11" s="676" t="s">
        <v>78</v>
      </c>
      <c r="AD11" s="677" t="s">
        <v>78</v>
      </c>
      <c r="AE11" s="678" t="e">
        <f>#REF!&amp;"_"&amp;$AE$6&amp;"_"&amp;$C$2</f>
        <v>#REF!</v>
      </c>
      <c r="AF11" s="678"/>
      <c r="AG11" s="682" t="str" cm="1">
        <f t="array" ref="AG11">IFERROR(INDEX(#REF!,_xlfn.XMATCH('NEO5'!$AE11,#REF!),_xlfn.XMATCH('NEO5'!AG$5,#REF!)),"-")</f>
        <v>-</v>
      </c>
      <c r="AH11" s="678" t="str" cm="1">
        <f t="array" ref="AH11">IFERROR(INDEX(#REF!,_xlfn.XMATCH('NEO5'!$AE11,#REF!),_xlfn.XMATCH('NEO5'!AH$5,#REF!)),"-")</f>
        <v>-</v>
      </c>
      <c r="AI11" s="683" t="str">
        <f>IF(ISNUMBER(_xlfn.XMATCH(C11,#REF!)),"N","Y")</f>
        <v>Y</v>
      </c>
      <c r="AJ11" s="683" t="str">
        <f t="shared" si="17"/>
        <v>Y</v>
      </c>
      <c r="AK11" s="678" t="str" cm="1">
        <f t="array" ref="AK11">IFERROR(INDEX(#REF!,_xlfn.XMATCH('NEO5'!$AE11,#REF!),_xlfn.XMATCH('NEO5'!AK$5,#REF!)),"-")</f>
        <v>-</v>
      </c>
      <c r="AL11" s="788" t="str" cm="1">
        <f t="array" ref="AL11">IFERROR(INDEX(#REF!,_xlfn.XMATCH('NEO5'!$AE11,#REF!),_xlfn.XMATCH('NEO5'!AL$5,#REF!)),"-")</f>
        <v>-</v>
      </c>
      <c r="AM11" s="789" t="str" cm="1">
        <f t="array" ref="AM11">IFERROR(INDEX(#REF!,_xlfn.XMATCH('NEO5'!$AE11,#REF!),_xlfn.XMATCH('NEO5'!AM$5,#REF!)),"-")</f>
        <v>-</v>
      </c>
      <c r="AN11" s="646" t="str">
        <f t="shared" si="18"/>
        <v>-</v>
      </c>
      <c r="AP11" s="12" t="s">
        <v>468</v>
      </c>
    </row>
    <row r="12" spans="1:42" ht="19.5" customHeight="1">
      <c r="A12" s="12" t="str">
        <f t="shared" si="0"/>
        <v>TSX:AGI_2025_NEO3</v>
      </c>
      <c r="B12" s="12" t="str">
        <f>'Peer Group'!A11</f>
        <v>TSX:AGI</v>
      </c>
      <c r="C12" s="666" t="str">
        <f t="shared" si="1"/>
        <v>Alamos Gold Inc.</v>
      </c>
      <c r="D12" s="667" t="str">
        <f>_xll.ciqfunctions.udf.CIQ(B11, "IQ_MARKETCAP", $A$1,$A$2)</f>
        <v>#PEND</v>
      </c>
      <c r="E12" s="667" t="str">
        <f>_xll.ciqfunctions.udf.CIQ($B11, "IQ_TEV", $A$1,$A$2)</f>
        <v>#PEND</v>
      </c>
      <c r="F12" s="668" t="str">
        <f t="shared" si="2"/>
        <v>Scott R.G. Parsons</v>
      </c>
      <c r="G12" s="668" t="str">
        <f t="shared" si="2"/>
        <v>VP Exploration</v>
      </c>
      <c r="H12" s="667" t="str">
        <f t="shared" si="3"/>
        <v>-</v>
      </c>
      <c r="I12" s="667">
        <f t="shared" si="3"/>
        <v>399.89429200000001</v>
      </c>
      <c r="J12" s="669">
        <f t="shared" si="3"/>
        <v>272.9275748</v>
      </c>
      <c r="K12" s="670">
        <f t="shared" si="4"/>
        <v>0.6824993010902991</v>
      </c>
      <c r="L12" s="670">
        <f t="shared" si="4"/>
        <v>0.75762847677570522</v>
      </c>
      <c r="M12" s="671">
        <f t="shared" si="5"/>
        <v>279.92600439999995</v>
      </c>
      <c r="N12" s="672">
        <f t="shared" si="6"/>
        <v>0.7</v>
      </c>
      <c r="O12" s="669">
        <f t="shared" si="7"/>
        <v>672.82186679999995</v>
      </c>
      <c r="P12" s="673">
        <f t="shared" si="7"/>
        <v>679.82029639999996</v>
      </c>
      <c r="Q12" s="669">
        <f t="shared" si="7"/>
        <v>639.83086720000006</v>
      </c>
      <c r="R12" s="670">
        <f t="shared" si="8"/>
        <v>1.6</v>
      </c>
      <c r="S12" s="670">
        <f t="shared" si="8"/>
        <v>1.4524921826176567</v>
      </c>
      <c r="T12" s="671">
        <f t="shared" si="9"/>
        <v>580.84333300342257</v>
      </c>
      <c r="U12" s="672">
        <f t="shared" si="10"/>
        <v>1.4524921826176567</v>
      </c>
      <c r="V12" s="669">
        <f t="shared" si="11"/>
        <v>1312.6527340000002</v>
      </c>
      <c r="W12" s="674">
        <f t="shared" si="11"/>
        <v>1260.6636294034226</v>
      </c>
      <c r="X12" s="899">
        <f t="shared" si="12"/>
        <v>80.739071200000012</v>
      </c>
      <c r="Y12" s="674">
        <f t="shared" si="12"/>
        <v>29.449861300000002</v>
      </c>
      <c r="Z12" s="669">
        <f t="shared" si="13"/>
        <v>1422.8416665000002</v>
      </c>
      <c r="AA12" s="674">
        <f t="shared" si="13"/>
        <v>1370.8525619034226</v>
      </c>
      <c r="AB12" s="675"/>
      <c r="AC12" s="676">
        <f t="shared" si="14"/>
        <v>0.53925589708787569</v>
      </c>
      <c r="AD12" s="677">
        <f t="shared" si="15"/>
        <v>0.4607441029121242</v>
      </c>
      <c r="AE12" s="678" t="str">
        <f t="shared" ref="AE12:AE21" si="19">B11&amp;"_"&amp;$AE$6&amp;"_"&amp;$C$2</f>
        <v>TSX:CDE_2023_NEO3</v>
      </c>
      <c r="AF12" s="678"/>
      <c r="AG12" s="682" t="str" cm="1">
        <f t="array" ref="AG12">IFERROR(INDEX(#REF!,_xlfn.XMATCH('NEO5'!$AE12,#REF!),_xlfn.XMATCH('NEO5'!AG$5,#REF!)),"-")</f>
        <v>-</v>
      </c>
      <c r="AH12" s="678" t="str" cm="1">
        <f t="array" ref="AH12">IFERROR(INDEX(#REF!,_xlfn.XMATCH('NEO5'!$AE12,#REF!),_xlfn.XMATCH('NEO5'!AH$5,#REF!)),"-")</f>
        <v>-</v>
      </c>
      <c r="AI12" s="683" t="str">
        <f>IF(ISNUMBER(_xlfn.XMATCH(C12,#REF!)),"N","Y")</f>
        <v>Y</v>
      </c>
      <c r="AJ12" s="683" t="str">
        <f t="shared" si="17"/>
        <v>Y</v>
      </c>
      <c r="AK12" s="678" t="str" cm="1">
        <f t="array" ref="AK12">IFERROR(INDEX(#REF!,_xlfn.XMATCH('NEO5'!$AE12,#REF!),_xlfn.XMATCH('NEO5'!AK$5,#REF!)),"-")</f>
        <v>-</v>
      </c>
      <c r="AL12" s="788" t="str" cm="1">
        <f t="array" ref="AL12">IFERROR(INDEX(#REF!,_xlfn.XMATCH('NEO5'!$AE12,#REF!),_xlfn.XMATCH('NEO5'!AL$5,#REF!)),"-")</f>
        <v>-</v>
      </c>
      <c r="AM12" s="789" t="str" cm="1">
        <f t="array" ref="AM12">IFERROR(INDEX(#REF!,_xlfn.XMATCH('NEO5'!$AE12,#REF!),_xlfn.XMATCH('NEO5'!AM$5,#REF!)),"-")</f>
        <v>-</v>
      </c>
      <c r="AN12" s="646" t="str">
        <f t="shared" si="18"/>
        <v>-</v>
      </c>
    </row>
    <row r="13" spans="1:42" ht="19.5" customHeight="1">
      <c r="A13" s="12" t="str">
        <f t="shared" si="0"/>
        <v>NYSE:HL_2025_NEO3</v>
      </c>
      <c r="B13" s="12" t="str">
        <f>'Peer Group'!A12</f>
        <v>NYSE:HL</v>
      </c>
      <c r="C13" s="666" t="str">
        <f t="shared" si="1"/>
        <v>Hecla Mining Company</v>
      </c>
      <c r="D13" s="667" t="str">
        <f>_xll.ciqfunctions.udf.CIQ(B12, "IQ_MARKETCAP", $A$1,$A$2)</f>
        <v>#PEND</v>
      </c>
      <c r="E13" s="667" t="str">
        <f>_xll.ciqfunctions.udf.CIQ($B12, "IQ_TEV", $A$1,$A$2)</f>
        <v>#PEND</v>
      </c>
      <c r="F13" s="668" t="str">
        <f t="shared" si="2"/>
        <v>David C. Sienko</v>
      </c>
      <c r="G13" s="668" t="str">
        <f t="shared" si="2"/>
        <v>SVP &amp; General Counsel &amp; Secretary</v>
      </c>
      <c r="H13" s="667">
        <f t="shared" si="3"/>
        <v>558.98</v>
      </c>
      <c r="I13" s="667">
        <f t="shared" si="3"/>
        <v>558.98</v>
      </c>
      <c r="J13" s="669">
        <f t="shared" si="3"/>
        <v>764.68464000000006</v>
      </c>
      <c r="K13" s="670">
        <f t="shared" si="4"/>
        <v>1.3680000000000001</v>
      </c>
      <c r="L13" s="670">
        <f t="shared" si="4"/>
        <v>1.1451854684512428</v>
      </c>
      <c r="M13" s="671">
        <f t="shared" si="5"/>
        <v>447.18400000000003</v>
      </c>
      <c r="N13" s="672">
        <f t="shared" si="6"/>
        <v>0.8</v>
      </c>
      <c r="O13" s="669">
        <f t="shared" si="7"/>
        <v>1323.6646400000002</v>
      </c>
      <c r="P13" s="673">
        <f t="shared" si="7"/>
        <v>1006.164</v>
      </c>
      <c r="Q13" s="669">
        <f t="shared" si="7"/>
        <v>891.49763770000004</v>
      </c>
      <c r="R13" s="670">
        <f t="shared" si="8"/>
        <v>1.5948650000000002</v>
      </c>
      <c r="S13" s="670">
        <f t="shared" si="8"/>
        <v>2.008026763862333</v>
      </c>
      <c r="T13" s="671">
        <f t="shared" si="9"/>
        <v>978.21500000000003</v>
      </c>
      <c r="U13" s="672">
        <f t="shared" si="10"/>
        <v>1.75</v>
      </c>
      <c r="V13" s="669">
        <f t="shared" si="11"/>
        <v>2215.1622777000002</v>
      </c>
      <c r="W13" s="674">
        <f t="shared" si="11"/>
        <v>1984.3789999999999</v>
      </c>
      <c r="X13" s="899">
        <f t="shared" si="12"/>
        <v>164.92565155</v>
      </c>
      <c r="Y13" s="674">
        <f t="shared" si="12"/>
        <v>33.215989050000005</v>
      </c>
      <c r="Z13" s="669">
        <f t="shared" si="13"/>
        <v>2413.3039183000005</v>
      </c>
      <c r="AA13" s="674">
        <f t="shared" si="13"/>
        <v>2182.5206406000002</v>
      </c>
      <c r="AB13" s="675"/>
      <c r="AC13" s="676">
        <f t="shared" si="14"/>
        <v>0.50704225352112675</v>
      </c>
      <c r="AD13" s="677">
        <f t="shared" si="15"/>
        <v>0.4929577464788733</v>
      </c>
      <c r="AE13" s="678" t="str">
        <f t="shared" si="19"/>
        <v>TSX:AGI_2023_NEO3</v>
      </c>
      <c r="AF13" s="678"/>
      <c r="AG13" s="682" t="str" cm="1">
        <f t="array" ref="AG13">IFERROR(INDEX(#REF!,_xlfn.XMATCH('NEO5'!$AE13,#REF!),_xlfn.XMATCH('NEO5'!AG$5,#REF!)),"-")</f>
        <v>-</v>
      </c>
      <c r="AH13" s="678" t="str" cm="1">
        <f t="array" ref="AH13">IFERROR(INDEX(#REF!,_xlfn.XMATCH('NEO5'!$AE13,#REF!),_xlfn.XMATCH('NEO5'!AH$5,#REF!)),"-")</f>
        <v>-</v>
      </c>
      <c r="AI13" s="683" t="str">
        <f>IF(ISNUMBER(_xlfn.XMATCH(C13,#REF!)),"N","Y")</f>
        <v>Y</v>
      </c>
      <c r="AJ13" s="683" t="str">
        <f t="shared" si="17"/>
        <v>Y</v>
      </c>
      <c r="AK13" s="678" t="str" cm="1">
        <f t="array" ref="AK13">IFERROR(INDEX(#REF!,_xlfn.XMATCH('NEO5'!$AE13,#REF!),_xlfn.XMATCH('NEO5'!AK$5,#REF!)),"-")</f>
        <v>-</v>
      </c>
      <c r="AL13" s="788" t="str" cm="1">
        <f t="array" ref="AL13">IFERROR(INDEX(#REF!,_xlfn.XMATCH('NEO5'!$AE13,#REF!),_xlfn.XMATCH('NEO5'!AL$5,#REF!)),"-")</f>
        <v>-</v>
      </c>
      <c r="AM13" s="789" t="str" cm="1">
        <f t="array" ref="AM13">IFERROR(INDEX(#REF!,_xlfn.XMATCH('NEO5'!$AE13,#REF!),_xlfn.XMATCH('NEO5'!AM$5,#REF!)),"-")</f>
        <v>-</v>
      </c>
      <c r="AN13" s="646" t="str">
        <f t="shared" si="18"/>
        <v>-</v>
      </c>
      <c r="AP13" s="12" t="s">
        <v>469</v>
      </c>
    </row>
    <row r="14" spans="1:42" ht="19.5" customHeight="1">
      <c r="A14" s="12" t="str">
        <f t="shared" si="0"/>
        <v>TSX:IMG_2025_NEO3</v>
      </c>
      <c r="B14" s="12" t="str">
        <f>'Peer Group'!A13</f>
        <v>TSX:IMG</v>
      </c>
      <c r="C14" s="666" t="str">
        <f t="shared" si="1"/>
        <v>IAMGOLD Corporation</v>
      </c>
      <c r="D14" s="667" t="str">
        <f>_xll.ciqfunctions.udf.CIQ(B13, "IQ_MARKETCAP", $A$1,$A$2)</f>
        <v>#PEND</v>
      </c>
      <c r="E14" s="667" t="str">
        <f>_xll.ciqfunctions.udf.CIQ($B13, "IQ_TEV", $A$1,$A$2)</f>
        <v>#PEND</v>
      </c>
      <c r="F14" s="668" t="str">
        <f t="shared" si="2"/>
        <v>Dorena Quinn</v>
      </c>
      <c r="G14" s="668" t="str">
        <f t="shared" si="2"/>
        <v>CPO</v>
      </c>
      <c r="H14" s="667" t="str">
        <f t="shared" si="3"/>
        <v>-</v>
      </c>
      <c r="I14" s="667">
        <f t="shared" si="3"/>
        <v>420.14699999999999</v>
      </c>
      <c r="J14" s="669">
        <f t="shared" si="3"/>
        <v>324.80700000000002</v>
      </c>
      <c r="K14" s="670">
        <f t="shared" si="4"/>
        <v>0.77307942220222925</v>
      </c>
      <c r="L14" s="670">
        <f t="shared" si="4"/>
        <v>0.77307942220222925</v>
      </c>
      <c r="M14" s="671">
        <f t="shared" si="5"/>
        <v>294.10289999999998</v>
      </c>
      <c r="N14" s="672">
        <f t="shared" si="6"/>
        <v>0.7</v>
      </c>
      <c r="O14" s="669">
        <f t="shared" si="7"/>
        <v>744.95399999999995</v>
      </c>
      <c r="P14" s="673">
        <f t="shared" si="7"/>
        <v>714.24989999999991</v>
      </c>
      <c r="Q14" s="669">
        <f t="shared" si="7"/>
        <v>677.476</v>
      </c>
      <c r="R14" s="670">
        <f t="shared" si="8"/>
        <v>1.6124737294327938</v>
      </c>
      <c r="S14" s="670">
        <f t="shared" si="8"/>
        <v>1.6124737294327938</v>
      </c>
      <c r="T14" s="671">
        <f t="shared" si="9"/>
        <v>630.22050000000002</v>
      </c>
      <c r="U14" s="672">
        <f t="shared" si="10"/>
        <v>1.5</v>
      </c>
      <c r="V14" s="669">
        <f t="shared" si="11"/>
        <v>1422.43</v>
      </c>
      <c r="W14" s="674">
        <f t="shared" si="11"/>
        <v>1344.4703999999999</v>
      </c>
      <c r="X14" s="899">
        <f t="shared" si="12"/>
        <v>24.931999999999999</v>
      </c>
      <c r="Y14" s="674">
        <f t="shared" si="12"/>
        <v>61.466000000000001</v>
      </c>
      <c r="Z14" s="669">
        <f t="shared" si="13"/>
        <v>1508.828</v>
      </c>
      <c r="AA14" s="674">
        <f t="shared" si="13"/>
        <v>1430.8683999999998</v>
      </c>
      <c r="AB14" s="675"/>
      <c r="AC14" s="676">
        <f t="shared" si="14"/>
        <v>0.53125</v>
      </c>
      <c r="AD14" s="677">
        <f t="shared" si="15"/>
        <v>0.46875000000000006</v>
      </c>
      <c r="AE14" s="678" t="str">
        <f t="shared" si="19"/>
        <v>NYSE:HL_2023_NEO3</v>
      </c>
      <c r="AF14" s="678"/>
      <c r="AG14" s="682" t="str" cm="1">
        <f t="array" ref="AG14">IFERROR(INDEX(#REF!,_xlfn.XMATCH('NEO5'!$AE14,#REF!),_xlfn.XMATCH('NEO5'!AG$5,#REF!)),"-")</f>
        <v>-</v>
      </c>
      <c r="AH14" s="678" t="str" cm="1">
        <f t="array" ref="AH14">IFERROR(INDEX(#REF!,_xlfn.XMATCH('NEO5'!$AE14,#REF!),_xlfn.XMATCH('NEO5'!AH$5,#REF!)),"-")</f>
        <v>-</v>
      </c>
      <c r="AI14" s="683" t="str">
        <f>IF(ISNUMBER(_xlfn.XMATCH(C14,#REF!)),"N","Y")</f>
        <v>Y</v>
      </c>
      <c r="AJ14" s="683" t="str">
        <f t="shared" si="17"/>
        <v>Y</v>
      </c>
      <c r="AK14" s="678" t="str" cm="1">
        <f t="array" ref="AK14">IFERROR(INDEX(#REF!,_xlfn.XMATCH('NEO5'!$AE14,#REF!),_xlfn.XMATCH('NEO5'!AK$5,#REF!)),"-")</f>
        <v>-</v>
      </c>
      <c r="AL14" s="788" t="str" cm="1">
        <f t="array" ref="AL14">IFERROR(INDEX(#REF!,_xlfn.XMATCH('NEO5'!$AE14,#REF!),_xlfn.XMATCH('NEO5'!AL$5,#REF!)),"-")</f>
        <v>-</v>
      </c>
      <c r="AM14" s="789" t="str" cm="1">
        <f t="array" ref="AM14">IFERROR(INDEX(#REF!,_xlfn.XMATCH('NEO5'!$AE14,#REF!),_xlfn.XMATCH('NEO5'!AM$5,#REF!)),"-")</f>
        <v>-</v>
      </c>
      <c r="AN14" s="646" t="str">
        <f t="shared" si="18"/>
        <v>-</v>
      </c>
    </row>
    <row r="15" spans="1:42" ht="19.5" customHeight="1">
      <c r="A15" s="12" t="str">
        <f t="shared" si="0"/>
        <v>TSX:CS_2025_NEO3</v>
      </c>
      <c r="B15" s="12" t="str">
        <f>'Peer Group'!A14</f>
        <v>TSX:CS</v>
      </c>
      <c r="C15" s="666" t="str">
        <f t="shared" si="1"/>
        <v>Capstone Copper Corp.</v>
      </c>
      <c r="D15" s="667" t="str">
        <f>_xll.ciqfunctions.udf.CIQ(B14, "IQ_MARKETCAP", $A$1,$A$2)</f>
        <v>#PEND</v>
      </c>
      <c r="E15" s="667" t="str">
        <f>_xll.ciqfunctions.udf.CIQ($B14, "IQ_TEV", $A$1,$A$2)</f>
        <v>#PEND</v>
      </c>
      <c r="F15" s="668" t="str">
        <f t="shared" si="2"/>
        <v>Chris Richter</v>
      </c>
      <c r="G15" s="668" t="str">
        <f t="shared" si="2"/>
        <v>Senior VP, Corporate Development</v>
      </c>
      <c r="H15" s="667" t="str">
        <f t="shared" si="3"/>
        <v>-</v>
      </c>
      <c r="I15" s="667">
        <f t="shared" si="3"/>
        <v>436.98</v>
      </c>
      <c r="J15" s="669">
        <f t="shared" si="3"/>
        <v>412.61799999999999</v>
      </c>
      <c r="K15" s="670">
        <f t="shared" si="4"/>
        <v>0.94424916472149756</v>
      </c>
      <c r="L15" s="670">
        <f t="shared" si="4"/>
        <v>0.76000027042049234</v>
      </c>
      <c r="M15" s="671">
        <f t="shared" si="5"/>
        <v>327.73500000000001</v>
      </c>
      <c r="N15" s="672">
        <f t="shared" si="6"/>
        <v>0.75</v>
      </c>
      <c r="O15" s="669">
        <f t="shared" si="7"/>
        <v>849.59799999999996</v>
      </c>
      <c r="P15" s="673">
        <f t="shared" si="7"/>
        <v>764.71500000000003</v>
      </c>
      <c r="Q15" s="669">
        <f t="shared" si="7"/>
        <v>655.469525191</v>
      </c>
      <c r="R15" s="670">
        <f t="shared" si="8"/>
        <v>1.4999989134308205</v>
      </c>
      <c r="S15" s="670">
        <f t="shared" si="8"/>
        <v>1.499997792861518</v>
      </c>
      <c r="T15" s="671">
        <f t="shared" si="9"/>
        <v>655.47</v>
      </c>
      <c r="U15" s="672">
        <f t="shared" si="10"/>
        <v>1.5</v>
      </c>
      <c r="V15" s="669">
        <f t="shared" si="11"/>
        <v>1505.067525191</v>
      </c>
      <c r="W15" s="674">
        <f t="shared" si="11"/>
        <v>1420.1849999999999</v>
      </c>
      <c r="X15" s="899" t="str">
        <f t="shared" si="12"/>
        <v>-</v>
      </c>
      <c r="Y15" s="674">
        <f t="shared" si="12"/>
        <v>65.025999999999996</v>
      </c>
      <c r="Z15" s="669">
        <f t="shared" si="13"/>
        <v>1570.093525191</v>
      </c>
      <c r="AA15" s="674">
        <f t="shared" si="13"/>
        <v>1485.211</v>
      </c>
      <c r="AB15" s="675"/>
      <c r="AC15" s="676">
        <f t="shared" si="14"/>
        <v>0.53846153846153855</v>
      </c>
      <c r="AD15" s="677">
        <f t="shared" si="15"/>
        <v>0.46153846153846156</v>
      </c>
      <c r="AE15" s="678" t="str">
        <f t="shared" si="19"/>
        <v>TSX:IMG_2023_NEO3</v>
      </c>
      <c r="AF15" s="678"/>
      <c r="AG15" s="682" t="str" cm="1">
        <f t="array" ref="AG15">IFERROR(INDEX(#REF!,_xlfn.XMATCH('NEO5'!$AE15,#REF!),_xlfn.XMATCH('NEO5'!AG$5,#REF!)),"-")</f>
        <v>-</v>
      </c>
      <c r="AH15" s="678" t="str" cm="1">
        <f t="array" ref="AH15">IFERROR(INDEX(#REF!,_xlfn.XMATCH('NEO5'!$AE15,#REF!),_xlfn.XMATCH('NEO5'!AH$5,#REF!)),"-")</f>
        <v>-</v>
      </c>
      <c r="AI15" s="683" t="str">
        <f>IF(ISNUMBER(_xlfn.XMATCH(C15,#REF!)),"N","Y")</f>
        <v>Y</v>
      </c>
      <c r="AJ15" s="683" t="str">
        <f t="shared" si="17"/>
        <v>Y</v>
      </c>
      <c r="AK15" s="678" t="str" cm="1">
        <f t="array" ref="AK15">IFERROR(INDEX(#REF!,_xlfn.XMATCH('NEO5'!$AE15,#REF!),_xlfn.XMATCH('NEO5'!AK$5,#REF!)),"-")</f>
        <v>-</v>
      </c>
      <c r="AL15" s="786" t="str" cm="1">
        <f t="array" ref="AL15">IFERROR(INDEX(#REF!,_xlfn.XMATCH('NEO5'!$AE15,#REF!),_xlfn.XMATCH('NEO5'!AL$5,#REF!)),"-")</f>
        <v>-</v>
      </c>
      <c r="AM15" s="787" t="str" cm="1">
        <f t="array" ref="AM15">IFERROR(INDEX(#REF!,_xlfn.XMATCH('NEO5'!$AE15,#REF!),_xlfn.XMATCH('NEO5'!AM$5,#REF!)),"-")</f>
        <v>-</v>
      </c>
      <c r="AN15" s="646" t="str">
        <f t="shared" si="18"/>
        <v>-</v>
      </c>
    </row>
    <row r="16" spans="1:42" ht="19.5" customHeight="1">
      <c r="A16" s="12" t="str">
        <f t="shared" si="0"/>
        <v>TSX:ELD_2025_NEO3</v>
      </c>
      <c r="B16" s="12" t="str">
        <f>'Peer Group'!A15</f>
        <v>TSX:ELD</v>
      </c>
      <c r="C16" s="666" t="str">
        <f t="shared" si="1"/>
        <v>Eldorado Gold Corporation</v>
      </c>
      <c r="D16" s="667" t="str">
        <f>_xll.ciqfunctions.udf.CIQ(B15, "IQ_MARKETCAP", $A$1,$A$2)</f>
        <v>#PEND</v>
      </c>
      <c r="E16" s="667" t="str">
        <f>_xll.ciqfunctions.udf.CIQ($B15, "IQ_TEV", $A$1,$A$2)</f>
        <v>#PEND</v>
      </c>
      <c r="F16" s="668" t="str">
        <f t="shared" si="2"/>
        <v>Frank Herbert</v>
      </c>
      <c r="G16" s="668" t="str">
        <f t="shared" si="2"/>
        <v>EVP, General Counsel &amp; Chief Compliance Officer</v>
      </c>
      <c r="H16" s="667" t="str">
        <f t="shared" si="3"/>
        <v>-</v>
      </c>
      <c r="I16" s="667">
        <f t="shared" si="3"/>
        <v>492.2</v>
      </c>
      <c r="J16" s="669">
        <f t="shared" si="3"/>
        <v>452.82400000000001</v>
      </c>
      <c r="K16" s="670">
        <f t="shared" si="4"/>
        <v>0.92</v>
      </c>
      <c r="L16" s="670">
        <f t="shared" si="4"/>
        <v>0.93598309740122543</v>
      </c>
      <c r="M16" s="671">
        <f t="shared" si="5"/>
        <v>393.76</v>
      </c>
      <c r="N16" s="672">
        <f t="shared" si="6"/>
        <v>0.8</v>
      </c>
      <c r="O16" s="669">
        <f t="shared" si="7"/>
        <v>945.024</v>
      </c>
      <c r="P16" s="673">
        <f t="shared" si="7"/>
        <v>885.96</v>
      </c>
      <c r="Q16" s="669">
        <f t="shared" si="7"/>
        <v>738.268998338909</v>
      </c>
      <c r="R16" s="670">
        <f t="shared" si="8"/>
        <v>1.4999370140977428</v>
      </c>
      <c r="S16" s="670">
        <f t="shared" si="8"/>
        <v>1.4999462890344655</v>
      </c>
      <c r="T16" s="671">
        <f t="shared" si="9"/>
        <v>738.3</v>
      </c>
      <c r="U16" s="672">
        <f t="shared" si="10"/>
        <v>1.5</v>
      </c>
      <c r="V16" s="669">
        <f t="shared" si="11"/>
        <v>1683.292998338909</v>
      </c>
      <c r="W16" s="674">
        <f t="shared" si="11"/>
        <v>1624.26</v>
      </c>
      <c r="X16" s="899">
        <f t="shared" si="12"/>
        <v>88.596000000000004</v>
      </c>
      <c r="Y16" s="674" t="str">
        <f t="shared" si="12"/>
        <v>-</v>
      </c>
      <c r="Z16" s="669">
        <f t="shared" si="13"/>
        <v>1771.8889983389088</v>
      </c>
      <c r="AA16" s="674">
        <f t="shared" si="13"/>
        <v>1712.856</v>
      </c>
      <c r="AB16" s="675"/>
      <c r="AC16" s="676">
        <f t="shared" si="14"/>
        <v>0.54545454545454553</v>
      </c>
      <c r="AD16" s="677">
        <f t="shared" si="15"/>
        <v>0.45454545454545453</v>
      </c>
      <c r="AE16" s="678" t="str">
        <f t="shared" si="19"/>
        <v>TSX:CS_2023_NEO3</v>
      </c>
      <c r="AF16" s="678"/>
      <c r="AG16" s="682" t="str" cm="1">
        <f t="array" ref="AG16">IFERROR(INDEX(#REF!,_xlfn.XMATCH('NEO5'!$AE17,#REF!),_xlfn.XMATCH('NEO5'!AG$5,#REF!)),"-")</f>
        <v>-</v>
      </c>
      <c r="AH16" s="678" t="str" cm="1">
        <f t="array" ref="AH16">IFERROR(INDEX(#REF!,_xlfn.XMATCH('NEO5'!$AE17,#REF!),_xlfn.XMATCH('NEO5'!AH$5,#REF!)),"-")</f>
        <v>-</v>
      </c>
      <c r="AI16" s="683" t="str">
        <f>IF(ISNUMBER(_xlfn.XMATCH(C16,#REF!)),"N","Y")</f>
        <v>Y</v>
      </c>
      <c r="AJ16" s="683" t="str">
        <f t="shared" si="17"/>
        <v>Y</v>
      </c>
      <c r="AK16" s="678" t="str" cm="1">
        <f t="array" ref="AK16">IFERROR(INDEX(#REF!,_xlfn.XMATCH('NEO5'!$AE17,#REF!),_xlfn.XMATCH('NEO5'!AK$5,#REF!)),"-")</f>
        <v>-</v>
      </c>
      <c r="AL16" s="788" t="str" cm="1">
        <f t="array" ref="AL16">IFERROR(INDEX(#REF!,_xlfn.XMATCH('NEO5'!$AE16,#REF!),_xlfn.XMATCH('NEO5'!AL$5,#REF!)),"-")</f>
        <v>-</v>
      </c>
      <c r="AM16" s="789" t="str" cm="1">
        <f t="array" ref="AM16">IFERROR(INDEX(#REF!,_xlfn.XMATCH('NEO5'!$AE16,#REF!),_xlfn.XMATCH('NEO5'!AM$5,#REF!)),"-")</f>
        <v>-</v>
      </c>
      <c r="AN16" s="646" t="str">
        <f t="shared" si="18"/>
        <v>-</v>
      </c>
    </row>
    <row r="17" spans="1:40" ht="19.5" customHeight="1">
      <c r="A17" s="12" t="str">
        <f t="shared" si="0"/>
        <v>TSX:EQX_2025_NEO3</v>
      </c>
      <c r="B17" s="12" t="str">
        <f>'Peer Group'!A16</f>
        <v>TSX:EQX</v>
      </c>
      <c r="C17" s="666" t="str">
        <f t="shared" si="1"/>
        <v>Equinox Gold Corp.</v>
      </c>
      <c r="D17" s="667" t="str">
        <f>_xll.ciqfunctions.udf.CIQ(B16, "IQ_MARKETCAP", $A$1,$A$2)</f>
        <v>#PEND</v>
      </c>
      <c r="E17" s="667" t="str">
        <f>_xll.ciqfunctions.udf.CIQ($B16, "IQ_TEV", $A$1,$A$2)</f>
        <v>#PEND</v>
      </c>
      <c r="F17" s="668" t="str">
        <f t="shared" si="2"/>
        <v>Susan Toews</v>
      </c>
      <c r="G17" s="668" t="str">
        <f t="shared" si="2"/>
        <v>Former General Counsel &amp; Corporate Secretary</v>
      </c>
      <c r="H17" s="667" t="str">
        <f t="shared" si="3"/>
        <v>-</v>
      </c>
      <c r="I17" s="667">
        <f t="shared" si="3"/>
        <v>355.72699999999998</v>
      </c>
      <c r="J17" s="669">
        <f t="shared" si="3"/>
        <v>368.89100000000002</v>
      </c>
      <c r="K17" s="670">
        <f t="shared" si="4"/>
        <v>1.0370059062145971</v>
      </c>
      <c r="L17" s="670">
        <f t="shared" si="4"/>
        <v>0.90528206300378422</v>
      </c>
      <c r="M17" s="671">
        <f t="shared" si="5"/>
        <v>284.58160000000004</v>
      </c>
      <c r="N17" s="672">
        <f t="shared" si="6"/>
        <v>0.8</v>
      </c>
      <c r="O17" s="669">
        <f t="shared" si="7"/>
        <v>724.61800000000005</v>
      </c>
      <c r="P17" s="673">
        <f t="shared" si="7"/>
        <v>640.30860000000007</v>
      </c>
      <c r="Q17" s="669">
        <f t="shared" si="7"/>
        <v>320.34399999999999</v>
      </c>
      <c r="R17" s="670">
        <f t="shared" si="8"/>
        <v>0.90053327411188921</v>
      </c>
      <c r="S17" s="670">
        <f t="shared" si="8"/>
        <v>1.34316294993715</v>
      </c>
      <c r="T17" s="671">
        <f t="shared" si="9"/>
        <v>320.15429999999998</v>
      </c>
      <c r="U17" s="672">
        <f t="shared" si="10"/>
        <v>0.9</v>
      </c>
      <c r="V17" s="669">
        <f t="shared" si="11"/>
        <v>1044.962</v>
      </c>
      <c r="W17" s="674">
        <f t="shared" si="11"/>
        <v>960.4629000000001</v>
      </c>
      <c r="X17" s="899" t="str">
        <f t="shared" si="12"/>
        <v>-</v>
      </c>
      <c r="Y17" s="674">
        <f t="shared" si="12"/>
        <v>23.315000000000001</v>
      </c>
      <c r="Z17" s="669">
        <f t="shared" si="13"/>
        <v>1068.277</v>
      </c>
      <c r="AA17" s="674">
        <f t="shared" si="13"/>
        <v>983.77790000000016</v>
      </c>
      <c r="AB17" s="675"/>
      <c r="AC17" s="676">
        <f t="shared" si="14"/>
        <v>0.66666666666666663</v>
      </c>
      <c r="AD17" s="677">
        <f t="shared" si="15"/>
        <v>0.33333333333333326</v>
      </c>
      <c r="AE17" s="678" t="str">
        <f t="shared" si="19"/>
        <v>TSX:ELD_2023_NEO3</v>
      </c>
      <c r="AF17" s="678"/>
      <c r="AG17" s="682" t="str" cm="1">
        <f t="array" ref="AG17">IFERROR(INDEX(#REF!,_xlfn.XMATCH('NEO5'!$AE16,#REF!),_xlfn.XMATCH('NEO5'!AG$5,#REF!)),"-")</f>
        <v>-</v>
      </c>
      <c r="AH17" s="678" t="str" cm="1">
        <f t="array" ref="AH17">IFERROR(INDEX(#REF!,_xlfn.XMATCH('NEO5'!$AE16,#REF!),_xlfn.XMATCH('NEO5'!AH$5,#REF!)),"-")</f>
        <v>-</v>
      </c>
      <c r="AI17" s="683" t="str">
        <f>IF(ISNUMBER(_xlfn.XMATCH(C17,#REF!)),"N","Y")</f>
        <v>Y</v>
      </c>
      <c r="AJ17" s="683" t="str">
        <f t="shared" si="17"/>
        <v>Y</v>
      </c>
      <c r="AK17" s="678" t="str" cm="1">
        <f t="array" ref="AK17">IFERROR(INDEX(#REF!,_xlfn.XMATCH('NEO5'!$AE16,#REF!),_xlfn.XMATCH('NEO5'!AK$5,#REF!)),"-")</f>
        <v>-</v>
      </c>
      <c r="AL17" s="788" t="str" cm="1">
        <f t="array" ref="AL17">IFERROR(INDEX(#REF!,_xlfn.XMATCH('NEO5'!$AE17,#REF!),_xlfn.XMATCH('NEO5'!AL$5,#REF!)),"-")</f>
        <v>-</v>
      </c>
      <c r="AM17" s="789" t="str" cm="1">
        <f t="array" ref="AM17">IFERROR(INDEX(#REF!,_xlfn.XMATCH('NEO5'!$AE17,#REF!),_xlfn.XMATCH('NEO5'!AM$5,#REF!)),"-")</f>
        <v>-</v>
      </c>
      <c r="AN17" s="646" t="str">
        <f t="shared" si="18"/>
        <v>-</v>
      </c>
    </row>
    <row r="18" spans="1:40" ht="19.5" customHeight="1">
      <c r="A18" s="12" t="str">
        <f t="shared" si="0"/>
        <v>TSX:SSRM_2025_NEO3</v>
      </c>
      <c r="B18" s="12" t="str">
        <f>'Peer Group'!A17</f>
        <v>TSX:SSRM</v>
      </c>
      <c r="C18" s="666" t="str">
        <f t="shared" si="1"/>
        <v>SSR Mining Inc.</v>
      </c>
      <c r="D18" s="667" t="str">
        <f>_xll.ciqfunctions.udf.CIQ(B17, "IQ_MARKETCAP", $A$1,$A$2)</f>
        <v>#PEND</v>
      </c>
      <c r="E18" s="667" t="str">
        <f>_xll.ciqfunctions.udf.CIQ($B17, "IQ_TEV", $A$1,$A$2)</f>
        <v>#PEND</v>
      </c>
      <c r="F18" s="668" t="str">
        <f t="shared" si="2"/>
        <v>John Ebbett</v>
      </c>
      <c r="G18" s="668" t="str">
        <f t="shared" si="2"/>
        <v>Executive VP, Growth and Innovation</v>
      </c>
      <c r="H18" s="667" t="str">
        <f t="shared" si="3"/>
        <v>-</v>
      </c>
      <c r="I18" s="667">
        <f t="shared" si="3"/>
        <v>684.75049999999999</v>
      </c>
      <c r="J18" s="669">
        <f t="shared" si="3"/>
        <v>638.00998985000001</v>
      </c>
      <c r="K18" s="670">
        <f t="shared" si="4"/>
        <v>0.93174081632653061</v>
      </c>
      <c r="L18" s="670">
        <f t="shared" si="4"/>
        <v>0.7432602721088436</v>
      </c>
      <c r="M18" s="671">
        <f t="shared" si="5"/>
        <v>513.56287499999996</v>
      </c>
      <c r="N18" s="672">
        <f t="shared" si="6"/>
        <v>0.75</v>
      </c>
      <c r="O18" s="669">
        <f t="shared" si="7"/>
        <v>1322.7604898500001</v>
      </c>
      <c r="P18" s="673">
        <f t="shared" si="7"/>
        <v>1198.313375</v>
      </c>
      <c r="Q18" s="669">
        <f t="shared" si="7"/>
        <v>1198.313375</v>
      </c>
      <c r="R18" s="670">
        <f t="shared" si="8"/>
        <v>1.75</v>
      </c>
      <c r="S18" s="670">
        <f t="shared" si="8"/>
        <v>1.5833333333333333</v>
      </c>
      <c r="T18" s="671">
        <f t="shared" si="9"/>
        <v>1198.313375</v>
      </c>
      <c r="U18" s="672">
        <f t="shared" si="10"/>
        <v>1.75</v>
      </c>
      <c r="V18" s="669">
        <f t="shared" si="11"/>
        <v>2521.0738648500001</v>
      </c>
      <c r="W18" s="674">
        <f t="shared" si="11"/>
        <v>2396.6267499999999</v>
      </c>
      <c r="X18" s="899">
        <f t="shared" si="12"/>
        <v>39.128600000000006</v>
      </c>
      <c r="Y18" s="674">
        <f t="shared" si="12"/>
        <v>23.566596800000003</v>
      </c>
      <c r="Z18" s="669">
        <f t="shared" si="13"/>
        <v>2583.7690616499999</v>
      </c>
      <c r="AA18" s="674">
        <f t="shared" si="13"/>
        <v>2459.3219468000002</v>
      </c>
      <c r="AB18" s="675"/>
      <c r="AC18" s="676">
        <f t="shared" si="14"/>
        <v>0.5</v>
      </c>
      <c r="AD18" s="677">
        <f t="shared" si="15"/>
        <v>0.5</v>
      </c>
      <c r="AE18" s="678" t="str">
        <f t="shared" si="19"/>
        <v>TSX:EQX_2023_NEO3</v>
      </c>
      <c r="AF18" s="678"/>
      <c r="AG18" s="682" t="str" cm="1">
        <f t="array" ref="AG18">IFERROR(INDEX(#REF!,_xlfn.XMATCH('NEO5'!$AE18,#REF!),_xlfn.XMATCH('NEO5'!AG$5,#REF!)),"-")</f>
        <v>-</v>
      </c>
      <c r="AH18" s="678" t="str" cm="1">
        <f t="array" ref="AH18">IFERROR(INDEX(#REF!,_xlfn.XMATCH('NEO5'!$AE18,#REF!),_xlfn.XMATCH('NEO5'!AH$5,#REF!)),"-")</f>
        <v>-</v>
      </c>
      <c r="AI18" s="683" t="str">
        <f>IF(ISNUMBER(_xlfn.XMATCH(C18,#REF!)),"N","Y")</f>
        <v>Y</v>
      </c>
      <c r="AJ18" s="683" t="str">
        <f t="shared" si="17"/>
        <v>Y</v>
      </c>
      <c r="AK18" s="678" t="str" cm="1">
        <f t="array" ref="AK18">IFERROR(INDEX(#REF!,_xlfn.XMATCH('NEO5'!$AE18,#REF!),_xlfn.XMATCH('NEO5'!AK$5,#REF!)),"-")</f>
        <v>-</v>
      </c>
      <c r="AL18" s="788" t="str" cm="1">
        <f t="array" ref="AL18">IFERROR(INDEX(#REF!,_xlfn.XMATCH('NEO5'!$AE18,#REF!),_xlfn.XMATCH('NEO5'!AL$5,#REF!)),"-")</f>
        <v>-</v>
      </c>
      <c r="AM18" s="789" t="str" cm="1">
        <f t="array" ref="AM18">IFERROR(INDEX(#REF!,_xlfn.XMATCH('NEO5'!$AE18,#REF!),_xlfn.XMATCH('NEO5'!AM$5,#REF!)),"-")</f>
        <v>-</v>
      </c>
      <c r="AN18" s="646" t="str">
        <f t="shared" si="18"/>
        <v>-</v>
      </c>
    </row>
    <row r="19" spans="1:40" ht="19.5" customHeight="1">
      <c r="A19" s="12" t="str">
        <f t="shared" si="0"/>
        <v>TSX:BTO_2025_NEO3</v>
      </c>
      <c r="B19" s="12" t="str">
        <f>'Peer Group'!A18</f>
        <v>TSX:BTO</v>
      </c>
      <c r="C19" s="666" t="str">
        <f t="shared" si="1"/>
        <v>B2Gold Corp.</v>
      </c>
      <c r="D19" s="667" t="str">
        <f>_xll.ciqfunctions.udf.CIQ(B18, "IQ_MARKETCAP", $A$1,$A$2)</f>
        <v>#PEND</v>
      </c>
      <c r="E19" s="667" t="str">
        <f>_xll.ciqfunctions.udf.CIQ($B18, "IQ_TEV", $A$1,$A$2)</f>
        <v>#PEND</v>
      </c>
      <c r="F19" s="668" t="str">
        <f t="shared" si="2"/>
        <v>Victor King</v>
      </c>
      <c r="G19" s="668" t="str">
        <f t="shared" si="2"/>
        <v>Senior VP Exploration</v>
      </c>
      <c r="H19" s="667" t="str">
        <f t="shared" si="3"/>
        <v>-</v>
      </c>
      <c r="I19" s="667">
        <f t="shared" si="3"/>
        <v>612.08310000000006</v>
      </c>
      <c r="J19" s="669">
        <f t="shared" si="3"/>
        <v>488.90207485000002</v>
      </c>
      <c r="K19" s="670">
        <f t="shared" si="4"/>
        <v>0.79875114155251137</v>
      </c>
      <c r="L19" s="670">
        <f t="shared" si="4"/>
        <v>0.64791704718417042</v>
      </c>
      <c r="M19" s="671">
        <f t="shared" si="5"/>
        <v>459.06232500000004</v>
      </c>
      <c r="N19" s="672">
        <f t="shared" si="6"/>
        <v>0.75</v>
      </c>
      <c r="O19" s="669">
        <f t="shared" si="7"/>
        <v>1100.98517485</v>
      </c>
      <c r="P19" s="673">
        <f t="shared" si="7"/>
        <v>1071.1454250000004</v>
      </c>
      <c r="Q19" s="669">
        <f t="shared" si="7"/>
        <v>1856.3977341</v>
      </c>
      <c r="R19" s="670">
        <f t="shared" si="8"/>
        <v>3.0329178082191777</v>
      </c>
      <c r="S19" s="670">
        <f t="shared" si="8"/>
        <v>2.6220837138508366</v>
      </c>
      <c r="T19" s="671">
        <f t="shared" si="9"/>
        <v>1604.9331280333333</v>
      </c>
      <c r="U19" s="672">
        <f t="shared" si="10"/>
        <v>2.6220837138508366</v>
      </c>
      <c r="V19" s="669">
        <f t="shared" si="11"/>
        <v>2957.38290895</v>
      </c>
      <c r="W19" s="674">
        <f t="shared" si="11"/>
        <v>2676.0785530333333</v>
      </c>
      <c r="X19" s="899" t="str">
        <f t="shared" si="12"/>
        <v>-</v>
      </c>
      <c r="Y19" s="674">
        <f t="shared" si="12"/>
        <v>7.3142533000000007</v>
      </c>
      <c r="Z19" s="669">
        <f t="shared" si="13"/>
        <v>2964.69716225</v>
      </c>
      <c r="AA19" s="674">
        <f t="shared" si="13"/>
        <v>2683.3928063333333</v>
      </c>
      <c r="AB19" s="675"/>
      <c r="AC19" s="676">
        <f t="shared" si="14"/>
        <v>0.40026680972644013</v>
      </c>
      <c r="AD19" s="677">
        <f t="shared" si="15"/>
        <v>0.59973319027356009</v>
      </c>
      <c r="AE19" s="678" t="str">
        <f t="shared" si="19"/>
        <v>TSX:SSRM_2023_NEO3</v>
      </c>
      <c r="AF19" s="678"/>
      <c r="AG19" s="682" t="str" cm="1">
        <f t="array" ref="AG19">IFERROR(INDEX(#REF!,_xlfn.XMATCH('NEO5'!$AE19,#REF!),_xlfn.XMATCH('NEO5'!AG$5,#REF!)),"-")</f>
        <v>-</v>
      </c>
      <c r="AH19" s="678" t="str" cm="1">
        <f t="array" ref="AH19">IFERROR(INDEX(#REF!,_xlfn.XMATCH('NEO5'!$AE19,#REF!),_xlfn.XMATCH('NEO5'!AH$5,#REF!)),"-")</f>
        <v>-</v>
      </c>
      <c r="AI19" s="683" t="str">
        <f>IF(ISNUMBER(_xlfn.XMATCH(C19,#REF!)),"N","Y")</f>
        <v>Y</v>
      </c>
      <c r="AJ19" s="683" t="str">
        <f t="shared" si="17"/>
        <v>Y</v>
      </c>
      <c r="AK19" s="678" t="str" cm="1">
        <f t="array" ref="AK19">IFERROR(INDEX(#REF!,_xlfn.XMATCH('NEO5'!$AE19,#REF!),_xlfn.XMATCH('NEO5'!AK$5,#REF!)),"-")</f>
        <v>-</v>
      </c>
      <c r="AL19" s="788" t="str" cm="1">
        <f t="array" ref="AL19">IFERROR(INDEX(#REF!,_xlfn.XMATCH('NEO5'!$AE19,#REF!),_xlfn.XMATCH('NEO5'!AL$5,#REF!)),"-")</f>
        <v>-</v>
      </c>
      <c r="AM19" s="789" t="str" cm="1">
        <f t="array" ref="AM19">IFERROR(INDEX(#REF!,_xlfn.XMATCH('NEO5'!$AE19,#REF!),_xlfn.XMATCH('NEO5'!AM$5,#REF!)),"-")</f>
        <v>-</v>
      </c>
      <c r="AN19" s="646" t="str">
        <f t="shared" si="18"/>
        <v>-</v>
      </c>
    </row>
    <row r="20" spans="1:40" ht="19.5" customHeight="1">
      <c r="A20" s="12" t="str">
        <f t="shared" si="0"/>
        <v>TSX:OGC_2025_NEO3</v>
      </c>
      <c r="B20" s="12" t="str">
        <f>'Peer Group'!A19</f>
        <v>TSX:OGC</v>
      </c>
      <c r="C20" s="666" t="str">
        <f t="shared" si="1"/>
        <v>OceanaGold Corporation</v>
      </c>
      <c r="D20" s="667" t="str">
        <f>_xll.ciqfunctions.udf.CIQ(B19, "IQ_MARKETCAP", $A$1,$A$2)</f>
        <v>#PEND</v>
      </c>
      <c r="E20" s="667" t="str">
        <f>_xll.ciqfunctions.udf.CIQ($B19, "IQ_TEV", $A$1,$A$2)</f>
        <v>#PEND</v>
      </c>
      <c r="F20" s="668" t="str">
        <f t="shared" si="2"/>
        <v>Liang Tang</v>
      </c>
      <c r="G20" s="668" t="str">
        <f t="shared" si="2"/>
        <v>EVP, General Counsel &amp; Company Secretary</v>
      </c>
      <c r="H20" s="667" t="str">
        <f t="shared" si="3"/>
        <v>-</v>
      </c>
      <c r="I20" s="667">
        <f t="shared" si="3"/>
        <v>503.93444450000004</v>
      </c>
      <c r="J20" s="669">
        <f t="shared" si="3"/>
        <v>468.33300830000002</v>
      </c>
      <c r="K20" s="670">
        <f t="shared" si="4"/>
        <v>0.92935304068106817</v>
      </c>
      <c r="L20" s="670">
        <f t="shared" si="4"/>
        <v>0.57692680335042512</v>
      </c>
      <c r="M20" s="671">
        <f t="shared" si="5"/>
        <v>302.36066670000002</v>
      </c>
      <c r="N20" s="672">
        <f t="shared" si="6"/>
        <v>0.6</v>
      </c>
      <c r="O20" s="669">
        <f t="shared" si="7"/>
        <v>972.26745280000011</v>
      </c>
      <c r="P20" s="673">
        <f t="shared" si="7"/>
        <v>806.29511120000006</v>
      </c>
      <c r="Q20" s="669">
        <f t="shared" si="7"/>
        <v>600.79449890000001</v>
      </c>
      <c r="R20" s="670">
        <f t="shared" si="8"/>
        <v>1.1922076481517427</v>
      </c>
      <c r="S20" s="670">
        <f t="shared" si="8"/>
        <v>1.602804585703711</v>
      </c>
      <c r="T20" s="671">
        <f t="shared" si="9"/>
        <v>807.70843853865222</v>
      </c>
      <c r="U20" s="672">
        <f t="shared" si="10"/>
        <v>1.602804585703711</v>
      </c>
      <c r="V20" s="669">
        <f t="shared" si="11"/>
        <v>1573.0619517</v>
      </c>
      <c r="W20" s="674">
        <f t="shared" si="11"/>
        <v>1614.0035497386523</v>
      </c>
      <c r="X20" s="899">
        <f t="shared" si="12"/>
        <v>20.669682950000002</v>
      </c>
      <c r="Y20" s="674">
        <f t="shared" si="12"/>
        <v>258.11600225000001</v>
      </c>
      <c r="Z20" s="669">
        <f t="shared" si="13"/>
        <v>1851.8476369000002</v>
      </c>
      <c r="AA20" s="674">
        <f t="shared" si="13"/>
        <v>1892.7892349386523</v>
      </c>
      <c r="AB20" s="675"/>
      <c r="AC20" s="676">
        <f t="shared" si="14"/>
        <v>0.4995621672149107</v>
      </c>
      <c r="AD20" s="677">
        <f t="shared" si="15"/>
        <v>0.50043783278508924</v>
      </c>
      <c r="AE20" s="678" t="str">
        <f t="shared" si="19"/>
        <v>TSX:BTO_2023_NEO3</v>
      </c>
      <c r="AF20" s="678"/>
      <c r="AG20" s="682" t="str" cm="1">
        <f t="array" ref="AG20">IFERROR(INDEX(#REF!,_xlfn.XMATCH('NEO5'!$AE20,#REF!),_xlfn.XMATCH('NEO5'!AG$5,#REF!)),"-")</f>
        <v>-</v>
      </c>
      <c r="AH20" s="678" t="str" cm="1">
        <f t="array" ref="AH20">IFERROR(INDEX(#REF!,_xlfn.XMATCH('NEO5'!$AE20,#REF!),_xlfn.XMATCH('NEO5'!AH$5,#REF!)),"-")</f>
        <v>-</v>
      </c>
      <c r="AI20" s="683" t="str">
        <f>IF(ISNUMBER(_xlfn.XMATCH(C20,#REF!)),"N","Y")</f>
        <v>Y</v>
      </c>
      <c r="AJ20" s="683" t="str">
        <f t="shared" si="17"/>
        <v>Y</v>
      </c>
      <c r="AK20" s="678" t="str" cm="1">
        <f t="array" ref="AK20">IFERROR(INDEX(#REF!,_xlfn.XMATCH('NEO5'!$AE20,#REF!),_xlfn.XMATCH('NEO5'!AK$5,#REF!)),"-")</f>
        <v>-</v>
      </c>
      <c r="AL20" s="788" t="str" cm="1">
        <f t="array" ref="AL20">IFERROR(INDEX(#REF!,_xlfn.XMATCH('NEO5'!$AE20,#REF!),_xlfn.XMATCH('NEO5'!AL$5,#REF!)),"-")</f>
        <v>-</v>
      </c>
      <c r="AM20" s="789" t="str" cm="1">
        <f t="array" ref="AM20">IFERROR(INDEX(#REF!,_xlfn.XMATCH('NEO5'!$AE20,#REF!),_xlfn.XMATCH('NEO5'!AM$5,#REF!)),"-")</f>
        <v>-</v>
      </c>
      <c r="AN20" s="646" t="str">
        <f t="shared" si="18"/>
        <v>-</v>
      </c>
    </row>
    <row r="21" spans="1:40" ht="19.5" customHeight="1">
      <c r="A21" s="12" t="str">
        <f t="shared" si="0"/>
        <v>TSX:CG_2025_NEO3</v>
      </c>
      <c r="B21" s="12" t="str">
        <f>'Peer Group'!A20</f>
        <v>TSX:CG</v>
      </c>
      <c r="C21" s="666" t="str">
        <f t="shared" si="1"/>
        <v>Centerra Gold Inc.</v>
      </c>
      <c r="D21" s="667" t="str">
        <f>_xll.ciqfunctions.udf.CIQ(B20, "IQ_MARKETCAP", $A$1,$A$2)</f>
        <v>#PEND</v>
      </c>
      <c r="E21" s="667" t="str">
        <f>_xll.ciqfunctions.udf.CIQ($B20, "IQ_TEV", $A$1,$A$2)</f>
        <v>#PEND</v>
      </c>
      <c r="F21" s="668" t="str">
        <f t="shared" si="2"/>
        <v>Claudia D'Orazio</v>
      </c>
      <c r="G21" s="668" t="str">
        <f t="shared" si="2"/>
        <v>EVP, People, Technology &amp; Supply Chain</v>
      </c>
      <c r="H21" s="667" t="str">
        <f t="shared" si="3"/>
        <v>-</v>
      </c>
      <c r="I21" s="667">
        <f t="shared" si="3"/>
        <v>465</v>
      </c>
      <c r="J21" s="669">
        <f t="shared" si="3"/>
        <v>329.45299999999997</v>
      </c>
      <c r="K21" s="670">
        <f t="shared" si="4"/>
        <v>0.70850107526881723</v>
      </c>
      <c r="L21" s="670">
        <f t="shared" si="4"/>
        <v>0.70286780028340401</v>
      </c>
      <c r="M21" s="671">
        <f t="shared" si="5"/>
        <v>302.25</v>
      </c>
      <c r="N21" s="672">
        <f t="shared" si="6"/>
        <v>0.65</v>
      </c>
      <c r="O21" s="669">
        <f t="shared" si="7"/>
        <v>794.45299999999997</v>
      </c>
      <c r="P21" s="673">
        <f t="shared" si="7"/>
        <v>767.25</v>
      </c>
      <c r="Q21" s="669">
        <f t="shared" si="7"/>
        <v>744</v>
      </c>
      <c r="R21" s="670">
        <f t="shared" si="8"/>
        <v>1.6</v>
      </c>
      <c r="S21" s="670">
        <f t="shared" si="8"/>
        <v>1.6000000000000003</v>
      </c>
      <c r="T21" s="671">
        <f t="shared" si="9"/>
        <v>744</v>
      </c>
      <c r="U21" s="672">
        <f t="shared" si="10"/>
        <v>1.6</v>
      </c>
      <c r="V21" s="669">
        <f t="shared" si="11"/>
        <v>1538.453</v>
      </c>
      <c r="W21" s="674">
        <f t="shared" si="11"/>
        <v>1511.25</v>
      </c>
      <c r="X21" s="899" t="str">
        <f t="shared" si="12"/>
        <v>-</v>
      </c>
      <c r="Y21" s="674">
        <f t="shared" si="12"/>
        <v>145.44399999999999</v>
      </c>
      <c r="Z21" s="669">
        <f t="shared" si="13"/>
        <v>1683.8969999999999</v>
      </c>
      <c r="AA21" s="674">
        <f t="shared" si="13"/>
        <v>1656.694</v>
      </c>
      <c r="AB21" s="675"/>
      <c r="AC21" s="676">
        <f t="shared" si="14"/>
        <v>0.50769230769230766</v>
      </c>
      <c r="AD21" s="677">
        <f t="shared" si="15"/>
        <v>0.49230769230769234</v>
      </c>
      <c r="AE21" s="678" t="str">
        <f t="shared" si="19"/>
        <v>TSX:OGC_2023_NEO3</v>
      </c>
      <c r="AF21" s="678"/>
      <c r="AG21" s="684" t="str" cm="1">
        <f t="array" ref="AG21">IFERROR(INDEX(#REF!,_xlfn.XMATCH('NEO5'!$AE21,#REF!),_xlfn.XMATCH('NEO5'!AG$5,#REF!)),"-")</f>
        <v>-</v>
      </c>
      <c r="AH21" s="685" t="str" cm="1">
        <f t="array" ref="AH21">IFERROR(INDEX(#REF!,_xlfn.XMATCH('NEO5'!$AE21,#REF!),_xlfn.XMATCH('NEO5'!AH$5,#REF!)),"-")</f>
        <v>-</v>
      </c>
      <c r="AI21" s="686" t="str">
        <f>IF(ISNUMBER(_xlfn.XMATCH(C21,#REF!)),"N","Y")</f>
        <v>Y</v>
      </c>
      <c r="AJ21" s="686" t="str">
        <f t="shared" si="17"/>
        <v>Y</v>
      </c>
      <c r="AK21" s="685" t="str" cm="1">
        <f t="array" ref="AK21">IFERROR(INDEX(#REF!,_xlfn.XMATCH('NEO5'!$AE21,#REF!),_xlfn.XMATCH('NEO5'!AK$5,#REF!)),"-")</f>
        <v>-</v>
      </c>
      <c r="AL21" s="792" t="str" cm="1">
        <f t="array" ref="AL21">IFERROR(INDEX(#REF!,_xlfn.XMATCH('NEO5'!$AE21,#REF!),_xlfn.XMATCH('NEO5'!AL$5,#REF!)),"-")</f>
        <v>-</v>
      </c>
      <c r="AM21" s="793" t="str" cm="1">
        <f t="array" ref="AM21">IFERROR(INDEX(#REF!,_xlfn.XMATCH('NEO5'!$AE21,#REF!),_xlfn.XMATCH('NEO5'!AM$5,#REF!)),"-")</f>
        <v>-</v>
      </c>
      <c r="AN21" s="646" t="str">
        <f t="shared" si="18"/>
        <v>-</v>
      </c>
    </row>
    <row r="22" spans="1:40" ht="20.25" customHeight="1">
      <c r="C22" s="688" t="str">
        <f>$C$3&amp;" Summary Statistics"</f>
        <v>2025 Summary Statistics</v>
      </c>
      <c r="D22" s="689"/>
      <c r="E22" s="689"/>
      <c r="F22" s="689"/>
      <c r="G22" s="689"/>
      <c r="H22" s="689"/>
      <c r="I22" s="689"/>
      <c r="J22" s="689"/>
      <c r="K22" s="690"/>
      <c r="L22" s="690"/>
      <c r="M22" s="689"/>
      <c r="N22" s="690"/>
      <c r="O22" s="689"/>
      <c r="P22" s="689"/>
      <c r="Q22" s="689"/>
      <c r="R22" s="690"/>
      <c r="S22" s="690"/>
      <c r="T22" s="689"/>
      <c r="U22" s="690"/>
      <c r="V22" s="689"/>
      <c r="W22" s="691"/>
      <c r="X22" s="689"/>
      <c r="Y22" s="691"/>
      <c r="Z22" s="689"/>
      <c r="AA22" s="691"/>
      <c r="AB22" s="675"/>
      <c r="AC22" s="692"/>
      <c r="AD22" s="693"/>
      <c r="AE22" s="678"/>
      <c r="AF22" s="678"/>
      <c r="AG22" s="678"/>
      <c r="AH22" s="678"/>
      <c r="AI22" s="678"/>
      <c r="AJ22" s="678"/>
      <c r="AK22" s="678"/>
      <c r="AL22" s="694"/>
      <c r="AM22" s="695"/>
    </row>
    <row r="23" spans="1:40" s="17" customFormat="1" ht="17.25" customHeight="1">
      <c r="B23" s="17">
        <v>0.75</v>
      </c>
      <c r="C23" s="696" t="s">
        <v>9</v>
      </c>
      <c r="D23" s="697" t="e">
        <f t="shared" ref="D23:E25" si="20">PERCENTILE(D$8:D$21,$B23)</f>
        <v>#NUM!</v>
      </c>
      <c r="E23" s="697" t="e">
        <f t="shared" si="20"/>
        <v>#NUM!</v>
      </c>
      <c r="F23" s="698"/>
      <c r="G23" s="698"/>
      <c r="H23" s="698"/>
      <c r="I23" s="697">
        <f t="shared" ref="I23:R25" si="21">PERCENTILE(I$8:I$21,$B23)</f>
        <v>585.84667497500004</v>
      </c>
      <c r="J23" s="699">
        <f t="shared" si="21"/>
        <v>485.90699013750003</v>
      </c>
      <c r="K23" s="700">
        <f t="shared" si="21"/>
        <v>0.94706229118037433</v>
      </c>
      <c r="L23" s="700">
        <f t="shared" si="21"/>
        <v>0.92830783880186507</v>
      </c>
      <c r="M23" s="701">
        <f t="shared" si="21"/>
        <v>433.82800000000003</v>
      </c>
      <c r="N23" s="677">
        <f t="shared" si="21"/>
        <v>0.78750000000000009</v>
      </c>
      <c r="O23" s="699">
        <f t="shared" si="21"/>
        <v>1070.7398151375</v>
      </c>
      <c r="P23" s="702">
        <f t="shared" si="21"/>
        <v>977.67383748750001</v>
      </c>
      <c r="Q23" s="699">
        <f t="shared" si="21"/>
        <v>1121.6094406749999</v>
      </c>
      <c r="R23" s="700">
        <f t="shared" si="21"/>
        <v>1.7493437017368272</v>
      </c>
      <c r="S23" s="700">
        <f t="shared" ref="S23:AA25" si="22">PERCENTILE(S$8:S$21,$B23)</f>
        <v>1.9091385052549481</v>
      </c>
      <c r="T23" s="701">
        <f t="shared" si="22"/>
        <v>972.62520000000006</v>
      </c>
      <c r="U23" s="677">
        <f t="shared" si="22"/>
        <v>1.75</v>
      </c>
      <c r="V23" s="699">
        <f t="shared" si="22"/>
        <v>2368.1683794750002</v>
      </c>
      <c r="W23" s="702">
        <f t="shared" si="22"/>
        <v>1947.346575</v>
      </c>
      <c r="X23" s="900">
        <f t="shared" si="22"/>
        <v>88.596000000000004</v>
      </c>
      <c r="Y23" s="702">
        <f t="shared" si="22"/>
        <v>99.171436700000001</v>
      </c>
      <c r="Z23" s="699">
        <f t="shared" si="22"/>
        <v>2475.8181453250004</v>
      </c>
      <c r="AA23" s="702">
        <f t="shared" si="22"/>
        <v>2115.3242573500002</v>
      </c>
      <c r="AB23" s="703"/>
      <c r="AC23" s="676">
        <f t="shared" ref="AC23:AD25" si="23">PERCENTILE(AC$8:AC$21,$B23)</f>
        <v>0.53925589708787569</v>
      </c>
      <c r="AD23" s="677">
        <f t="shared" si="23"/>
        <v>0.5</v>
      </c>
      <c r="AE23" s="678"/>
      <c r="AF23" s="678"/>
      <c r="AG23" s="678"/>
      <c r="AH23" s="678"/>
      <c r="AI23" s="678"/>
      <c r="AJ23" s="678"/>
      <c r="AK23" s="678"/>
      <c r="AL23" s="704">
        <v>2010.900806979394</v>
      </c>
      <c r="AM23" s="705">
        <v>1927.9014840480907</v>
      </c>
    </row>
    <row r="24" spans="1:40" s="17" customFormat="1" ht="17.25" customHeight="1">
      <c r="B24" s="17">
        <v>0.5</v>
      </c>
      <c r="C24" s="706" t="s">
        <v>8</v>
      </c>
      <c r="D24" s="707" t="e">
        <f t="shared" si="20"/>
        <v>#NUM!</v>
      </c>
      <c r="E24" s="707" t="e">
        <f t="shared" si="20"/>
        <v>#NUM!</v>
      </c>
      <c r="F24" s="708"/>
      <c r="G24" s="708"/>
      <c r="H24" s="708"/>
      <c r="I24" s="707">
        <f t="shared" si="21"/>
        <v>497.64100000000002</v>
      </c>
      <c r="J24" s="709">
        <f t="shared" si="21"/>
        <v>432.721</v>
      </c>
      <c r="K24" s="710">
        <f t="shared" si="21"/>
        <v>0.92467652034053405</v>
      </c>
      <c r="L24" s="710">
        <f t="shared" si="21"/>
        <v>0.75881437359809878</v>
      </c>
      <c r="M24" s="711">
        <f t="shared" si="21"/>
        <v>315.04783335000002</v>
      </c>
      <c r="N24" s="712">
        <f t="shared" si="21"/>
        <v>0.75</v>
      </c>
      <c r="O24" s="709">
        <f t="shared" si="21"/>
        <v>897.31099999999992</v>
      </c>
      <c r="P24" s="713">
        <f t="shared" si="21"/>
        <v>843.3443056000001</v>
      </c>
      <c r="Q24" s="709">
        <f t="shared" si="21"/>
        <v>736.08320862838934</v>
      </c>
      <c r="R24" s="710">
        <f t="shared" si="21"/>
        <v>1.6</v>
      </c>
      <c r="S24" s="710">
        <f t="shared" si="22"/>
        <v>1.5916666666666668</v>
      </c>
      <c r="T24" s="711">
        <f t="shared" si="22"/>
        <v>741.15</v>
      </c>
      <c r="U24" s="712">
        <f t="shared" si="22"/>
        <v>1.55</v>
      </c>
      <c r="V24" s="709">
        <f t="shared" si="22"/>
        <v>1555.75747585</v>
      </c>
      <c r="W24" s="713">
        <f t="shared" si="22"/>
        <v>1562.6267748693263</v>
      </c>
      <c r="X24" s="901">
        <f t="shared" si="22"/>
        <v>39.128600000000006</v>
      </c>
      <c r="Y24" s="713">
        <f t="shared" si="22"/>
        <v>48.139357600000004</v>
      </c>
      <c r="Z24" s="709">
        <f t="shared" si="22"/>
        <v>1727.8929991694545</v>
      </c>
      <c r="AA24" s="713">
        <f t="shared" si="22"/>
        <v>1684.7750000000001</v>
      </c>
      <c r="AB24" s="703"/>
      <c r="AC24" s="714">
        <f t="shared" si="23"/>
        <v>0.52126364892058086</v>
      </c>
      <c r="AD24" s="712">
        <f t="shared" si="23"/>
        <v>0.47873635107941914</v>
      </c>
      <c r="AE24" s="678"/>
      <c r="AF24" s="678"/>
      <c r="AG24" s="678"/>
      <c r="AH24" s="678"/>
      <c r="AI24" s="678"/>
      <c r="AJ24" s="678"/>
      <c r="AK24" s="678">
        <f>W24/AM24</f>
        <v>1.0905476243110857</v>
      </c>
      <c r="AL24" s="709">
        <v>1417.1199714899999</v>
      </c>
      <c r="AM24" s="713">
        <v>1432.8826545805</v>
      </c>
      <c r="AN24" s="17">
        <f>W24/AM24-1</f>
        <v>9.054762431108565E-2</v>
      </c>
    </row>
    <row r="25" spans="1:40" s="17" customFormat="1" ht="17.25" customHeight="1">
      <c r="B25" s="17">
        <v>0.25</v>
      </c>
      <c r="C25" s="696" t="s">
        <v>7</v>
      </c>
      <c r="D25" s="697" t="e">
        <f t="shared" si="20"/>
        <v>#NUM!</v>
      </c>
      <c r="E25" s="697" t="e">
        <f t="shared" si="20"/>
        <v>#NUM!</v>
      </c>
      <c r="F25" s="698"/>
      <c r="G25" s="698"/>
      <c r="H25" s="698"/>
      <c r="I25" s="697">
        <f t="shared" si="21"/>
        <v>424.35525000000001</v>
      </c>
      <c r="J25" s="699">
        <f t="shared" si="21"/>
        <v>325.96850000000001</v>
      </c>
      <c r="K25" s="700">
        <f t="shared" si="21"/>
        <v>0.72464566200217018</v>
      </c>
      <c r="L25" s="700">
        <f t="shared" si="21"/>
        <v>0.66165473545897879</v>
      </c>
      <c r="M25" s="701">
        <f t="shared" si="21"/>
        <v>294.9274541625</v>
      </c>
      <c r="N25" s="677">
        <f t="shared" si="21"/>
        <v>0.66249999999999998</v>
      </c>
      <c r="O25" s="699">
        <f t="shared" si="21"/>
        <v>757.3287499999999</v>
      </c>
      <c r="P25" s="702">
        <f t="shared" si="21"/>
        <v>726.86617499999988</v>
      </c>
      <c r="Q25" s="699">
        <f t="shared" si="21"/>
        <v>643.74053169775004</v>
      </c>
      <c r="R25" s="700">
        <f t="shared" si="21"/>
        <v>1.4999524889310123</v>
      </c>
      <c r="S25" s="700">
        <f t="shared" si="22"/>
        <v>1.4643557092218589</v>
      </c>
      <c r="T25" s="701">
        <f t="shared" si="22"/>
        <v>593.18762475256699</v>
      </c>
      <c r="U25" s="677">
        <f t="shared" si="22"/>
        <v>1.4643691369632426</v>
      </c>
      <c r="V25" s="699">
        <f t="shared" si="22"/>
        <v>1340.0970505000003</v>
      </c>
      <c r="W25" s="702">
        <f t="shared" si="22"/>
        <v>1339.8463686937503</v>
      </c>
      <c r="X25" s="900">
        <f t="shared" si="22"/>
        <v>27.005721250000001</v>
      </c>
      <c r="Y25" s="702">
        <f t="shared" si="22"/>
        <v>24.690146599999999</v>
      </c>
      <c r="Z25" s="699">
        <f t="shared" si="22"/>
        <v>1492.4811632134024</v>
      </c>
      <c r="AA25" s="702">
        <f t="shared" si="22"/>
        <v>1433.6120096427614</v>
      </c>
      <c r="AB25" s="703"/>
      <c r="AC25" s="676">
        <f t="shared" si="23"/>
        <v>0.5</v>
      </c>
      <c r="AD25" s="677">
        <f t="shared" si="23"/>
        <v>0.4607441029121242</v>
      </c>
      <c r="AE25" s="678"/>
      <c r="AF25" s="678"/>
      <c r="AG25" s="678"/>
      <c r="AH25" s="678"/>
      <c r="AI25" s="678"/>
      <c r="AJ25" s="678"/>
      <c r="AK25" s="678"/>
      <c r="AL25" s="699">
        <v>1275.06792782</v>
      </c>
      <c r="AM25" s="702">
        <v>1305.9778587325</v>
      </c>
      <c r="AN25" s="17">
        <f>W25/AM25</f>
        <v>1.0259334488213461</v>
      </c>
    </row>
    <row r="26" spans="1:40" s="17" customFormat="1" ht="17.25" customHeight="1">
      <c r="A26" s="12"/>
      <c r="B26" s="12"/>
      <c r="C26" s="715" t="s">
        <v>6</v>
      </c>
      <c r="D26" s="716" t="e">
        <f>AVERAGE(D8:D21)</f>
        <v>#DIV/0!</v>
      </c>
      <c r="E26" s="716" t="e">
        <f>AVERAGE(E8:E21)</f>
        <v>#DIV/0!</v>
      </c>
      <c r="F26" s="715"/>
      <c r="G26" s="715"/>
      <c r="H26" s="715"/>
      <c r="I26" s="716">
        <f t="shared" ref="I26:AA26" si="24">AVERAGE(I8:I21)</f>
        <v>507.87908984285707</v>
      </c>
      <c r="J26" s="717">
        <f t="shared" si="24"/>
        <v>433.64522643928569</v>
      </c>
      <c r="K26" s="718">
        <f t="shared" si="24"/>
        <v>0.84213225792966073</v>
      </c>
      <c r="L26" s="718">
        <f t="shared" si="24"/>
        <v>0.75650854434306647</v>
      </c>
      <c r="M26" s="719">
        <f t="shared" si="24"/>
        <v>363.26371478214287</v>
      </c>
      <c r="N26" s="720">
        <f t="shared" si="24"/>
        <v>0.71071428571428563</v>
      </c>
      <c r="O26" s="717">
        <f t="shared" si="24"/>
        <v>941.52431628214288</v>
      </c>
      <c r="P26" s="721">
        <f t="shared" si="24"/>
        <v>871.14280462500005</v>
      </c>
      <c r="Q26" s="717">
        <f t="shared" si="24"/>
        <v>875.68524431412709</v>
      </c>
      <c r="R26" s="718">
        <f t="shared" si="24"/>
        <v>1.6873447411578328</v>
      </c>
      <c r="S26" s="718">
        <f t="shared" si="24"/>
        <v>1.7166072442945091</v>
      </c>
      <c r="T26" s="719">
        <f t="shared" si="24"/>
        <v>828.37905044796116</v>
      </c>
      <c r="U26" s="720">
        <f t="shared" si="24"/>
        <v>1.5896430695294852</v>
      </c>
      <c r="V26" s="717">
        <f t="shared" si="24"/>
        <v>1817.2095605962702</v>
      </c>
      <c r="W26" s="721">
        <f t="shared" si="24"/>
        <v>1699.521855072961</v>
      </c>
      <c r="X26" s="902">
        <f t="shared" si="24"/>
        <v>73.802502105555561</v>
      </c>
      <c r="Y26" s="721">
        <f t="shared" si="24"/>
        <v>80.935079680769221</v>
      </c>
      <c r="Z26" s="717">
        <f t="shared" si="24"/>
        <v>1939.80802879627</v>
      </c>
      <c r="AA26" s="721">
        <f t="shared" si="24"/>
        <v>1822.1203232729608</v>
      </c>
      <c r="AB26" s="703"/>
      <c r="AC26" s="722">
        <f>AVERAGE(AC8:AC21)</f>
        <v>0.53112270458773136</v>
      </c>
      <c r="AD26" s="720">
        <f>AVERAGE(AD8:AD21)</f>
        <v>0.46887729541226875</v>
      </c>
      <c r="AE26" s="678"/>
      <c r="AF26" s="678"/>
      <c r="AG26" s="678"/>
      <c r="AH26" s="678"/>
      <c r="AI26" s="678"/>
      <c r="AJ26" s="678"/>
      <c r="AK26" s="678"/>
      <c r="AL26" s="717">
        <v>1611.3810864493771</v>
      </c>
      <c r="AM26" s="721">
        <v>1626.2010226289901</v>
      </c>
    </row>
    <row r="27" spans="1:40" s="17" customFormat="1" ht="17.25" customHeight="1" outlineLevel="1">
      <c r="A27" s="12"/>
      <c r="B27" s="12"/>
      <c r="C27" s="688" t="str">
        <f>$C$3+1&amp;" Estimated Summary Statistics "</f>
        <v xml:space="preserve">2026 Estimated Summary Statistics </v>
      </c>
      <c r="D27" s="689"/>
      <c r="E27" s="689"/>
      <c r="F27" s="689"/>
      <c r="G27" s="689"/>
      <c r="H27" s="689"/>
      <c r="I27" s="689"/>
      <c r="J27" s="689"/>
      <c r="K27" s="690"/>
      <c r="L27" s="690"/>
      <c r="M27" s="689"/>
      <c r="N27" s="690"/>
      <c r="O27" s="689"/>
      <c r="P27" s="689"/>
      <c r="Q27" s="689"/>
      <c r="R27" s="690"/>
      <c r="S27" s="690"/>
      <c r="T27" s="689"/>
      <c r="U27" s="690"/>
      <c r="V27" s="689"/>
      <c r="W27" s="691"/>
      <c r="X27" s="689"/>
      <c r="Y27" s="688"/>
      <c r="Z27" s="688"/>
      <c r="AA27" s="688"/>
      <c r="AB27" s="703"/>
      <c r="AC27" s="724"/>
      <c r="AD27" s="724"/>
      <c r="AE27" s="678"/>
      <c r="AF27" s="678"/>
      <c r="AG27" s="678"/>
      <c r="AH27" s="678"/>
      <c r="AI27" s="678"/>
      <c r="AJ27" s="678"/>
      <c r="AK27" s="678"/>
      <c r="AL27" s="723"/>
      <c r="AM27" s="723"/>
    </row>
    <row r="28" spans="1:40" s="17" customFormat="1" ht="17.25" customHeight="1" outlineLevel="1">
      <c r="A28" s="12"/>
      <c r="B28" s="17">
        <v>0.75</v>
      </c>
      <c r="C28" s="696" t="s">
        <v>9</v>
      </c>
      <c r="D28" s="697" t="e">
        <f t="shared" ref="D28:E30" si="25">PERCENTILE(D$8:D$21,$B28)</f>
        <v>#NUM!</v>
      </c>
      <c r="E28" s="697" t="e">
        <f t="shared" si="25"/>
        <v>#NUM!</v>
      </c>
      <c r="F28" s="698"/>
      <c r="G28" s="698"/>
      <c r="H28" s="698"/>
      <c r="I28" s="697">
        <f>I68</f>
        <v>585.84667497500004</v>
      </c>
      <c r="J28" s="699">
        <f>J68</f>
        <v>0</v>
      </c>
      <c r="K28" s="700">
        <f>K68</f>
        <v>0</v>
      </c>
      <c r="L28" s="700">
        <f>L68</f>
        <v>0</v>
      </c>
      <c r="M28" s="701">
        <f>M68</f>
        <v>436.78120000000001</v>
      </c>
      <c r="N28" s="677">
        <f>PERCENTILE(N$8:N$21,$B28)</f>
        <v>0.78750000000000009</v>
      </c>
      <c r="O28" s="699" t="s">
        <v>78</v>
      </c>
      <c r="P28" s="697">
        <f>P68</f>
        <v>982.7577</v>
      </c>
      <c r="Q28" s="699">
        <f>Q68</f>
        <v>0</v>
      </c>
      <c r="R28" s="700">
        <f>R68</f>
        <v>0</v>
      </c>
      <c r="S28" s="700">
        <f>S68</f>
        <v>0</v>
      </c>
      <c r="T28" s="701">
        <f>T68</f>
        <v>982.95235550000007</v>
      </c>
      <c r="U28" s="677">
        <f>PERCENTILE(U$8:U$21,$B28)</f>
        <v>1.75</v>
      </c>
      <c r="V28" s="699" t="s">
        <v>78</v>
      </c>
      <c r="W28" s="702">
        <f>W68</f>
        <v>1961.11844475</v>
      </c>
      <c r="X28" s="903">
        <f>X23</f>
        <v>88.596000000000004</v>
      </c>
      <c r="Y28" s="867">
        <f>Y23</f>
        <v>99.171436700000001</v>
      </c>
      <c r="Z28" s="699" t="s">
        <v>78</v>
      </c>
      <c r="AA28" s="702">
        <f>AA68</f>
        <v>2129.0961271000001</v>
      </c>
      <c r="AB28" s="703"/>
      <c r="AC28" s="724"/>
      <c r="AD28" s="724"/>
      <c r="AE28" s="678"/>
      <c r="AF28" s="678"/>
      <c r="AG28" s="678"/>
      <c r="AH28" s="678"/>
      <c r="AI28" s="678"/>
      <c r="AJ28" s="678"/>
      <c r="AK28" s="678"/>
      <c r="AL28" s="639"/>
      <c r="AM28" s="639"/>
    </row>
    <row r="29" spans="1:40" s="17" customFormat="1" ht="17.25" customHeight="1" outlineLevel="1">
      <c r="A29" s="12"/>
      <c r="B29" s="17">
        <v>0.5</v>
      </c>
      <c r="C29" s="706" t="s">
        <v>8</v>
      </c>
      <c r="D29" s="707" t="e">
        <f t="shared" si="25"/>
        <v>#NUM!</v>
      </c>
      <c r="E29" s="707" t="e">
        <f t="shared" si="25"/>
        <v>#NUM!</v>
      </c>
      <c r="F29" s="708"/>
      <c r="G29" s="708"/>
      <c r="H29" s="708"/>
      <c r="I29" s="707">
        <f t="shared" ref="I29:M31" si="26">I69</f>
        <v>512.57023000000004</v>
      </c>
      <c r="J29" s="709">
        <f t="shared" si="26"/>
        <v>0</v>
      </c>
      <c r="K29" s="710">
        <f t="shared" si="26"/>
        <v>0</v>
      </c>
      <c r="L29" s="710">
        <f t="shared" si="26"/>
        <v>0</v>
      </c>
      <c r="M29" s="711">
        <f t="shared" si="26"/>
        <v>324.49926835050002</v>
      </c>
      <c r="N29" s="712">
        <f>PERCENTILE(N$8:N$21,$B29)</f>
        <v>0.75</v>
      </c>
      <c r="O29" s="709" t="s">
        <v>78</v>
      </c>
      <c r="P29" s="707">
        <f t="shared" ref="P29:T31" si="27">P69</f>
        <v>861.34365724300017</v>
      </c>
      <c r="Q29" s="709">
        <f t="shared" si="27"/>
        <v>0</v>
      </c>
      <c r="R29" s="710">
        <f t="shared" si="27"/>
        <v>0</v>
      </c>
      <c r="S29" s="710">
        <f t="shared" si="27"/>
        <v>0</v>
      </c>
      <c r="T29" s="711">
        <f t="shared" si="27"/>
        <v>763.38450000000012</v>
      </c>
      <c r="U29" s="712">
        <f>PERCENTILE(U$8:U$21,$B29)</f>
        <v>1.55</v>
      </c>
      <c r="V29" s="709" t="s">
        <v>78</v>
      </c>
      <c r="W29" s="713">
        <f>W69</f>
        <v>1609.505578115406</v>
      </c>
      <c r="X29" s="904">
        <f t="shared" ref="X29:Y31" si="28">X24</f>
        <v>39.128600000000006</v>
      </c>
      <c r="Y29" s="875">
        <f t="shared" si="28"/>
        <v>48.139357600000004</v>
      </c>
      <c r="Z29" s="709" t="s">
        <v>78</v>
      </c>
      <c r="AA29" s="713">
        <f>AA69</f>
        <v>1731.8076500000002</v>
      </c>
      <c r="AB29" s="703"/>
      <c r="AC29" s="724"/>
      <c r="AD29" s="724"/>
      <c r="AE29" s="678"/>
      <c r="AF29" s="678"/>
      <c r="AG29" s="678"/>
      <c r="AH29" s="678"/>
      <c r="AI29" s="678"/>
      <c r="AJ29" s="678"/>
      <c r="AK29" s="678"/>
      <c r="AL29" s="639"/>
      <c r="AM29" s="639"/>
    </row>
    <row r="30" spans="1:40" s="17" customFormat="1" ht="17.25" customHeight="1" outlineLevel="1">
      <c r="A30" s="12"/>
      <c r="B30" s="17">
        <v>0.25</v>
      </c>
      <c r="C30" s="696" t="s">
        <v>7</v>
      </c>
      <c r="D30" s="697" t="e">
        <f t="shared" si="25"/>
        <v>#NUM!</v>
      </c>
      <c r="E30" s="697" t="e">
        <f t="shared" si="25"/>
        <v>#NUM!</v>
      </c>
      <c r="F30" s="698"/>
      <c r="G30" s="698"/>
      <c r="H30" s="698"/>
      <c r="I30" s="697">
        <f t="shared" si="26"/>
        <v>437.08590750000002</v>
      </c>
      <c r="J30" s="699">
        <f t="shared" si="26"/>
        <v>0</v>
      </c>
      <c r="K30" s="700">
        <f t="shared" si="26"/>
        <v>0</v>
      </c>
      <c r="L30" s="700">
        <f t="shared" si="26"/>
        <v>0</v>
      </c>
      <c r="M30" s="701">
        <f t="shared" si="26"/>
        <v>298.78233423750004</v>
      </c>
      <c r="N30" s="677">
        <f>PERCENTILE(N$8:N$21,$B30)</f>
        <v>0.66249999999999998</v>
      </c>
      <c r="O30" s="699" t="s">
        <v>78</v>
      </c>
      <c r="P30" s="697">
        <f t="shared" si="27"/>
        <v>748.67216025000005</v>
      </c>
      <c r="Q30" s="699">
        <f t="shared" si="27"/>
        <v>0</v>
      </c>
      <c r="R30" s="700">
        <f t="shared" si="27"/>
        <v>0</v>
      </c>
      <c r="S30" s="700">
        <f t="shared" si="27"/>
        <v>0</v>
      </c>
      <c r="T30" s="701">
        <f t="shared" si="27"/>
        <v>610.98325349514391</v>
      </c>
      <c r="U30" s="677">
        <f>PERCENTILE(U$8:U$21,$B30)</f>
        <v>1.4643691369632426</v>
      </c>
      <c r="V30" s="699" t="s">
        <v>78</v>
      </c>
      <c r="W30" s="702">
        <f>W70</f>
        <v>1349.9298966937502</v>
      </c>
      <c r="X30" s="903">
        <f t="shared" si="28"/>
        <v>27.005721250000001</v>
      </c>
      <c r="Y30" s="867">
        <f t="shared" si="28"/>
        <v>24.690146599999999</v>
      </c>
      <c r="Z30" s="699" t="s">
        <v>78</v>
      </c>
      <c r="AA30" s="702">
        <f>AA70</f>
        <v>1459.9738412704367</v>
      </c>
      <c r="AB30" s="703"/>
      <c r="AC30" s="724"/>
      <c r="AD30" s="724"/>
      <c r="AE30" s="678"/>
      <c r="AF30" s="678"/>
      <c r="AG30" s="678"/>
      <c r="AH30" s="678"/>
      <c r="AI30" s="678"/>
      <c r="AJ30" s="678"/>
      <c r="AK30" s="678"/>
      <c r="AL30" s="639"/>
      <c r="AM30" s="639"/>
    </row>
    <row r="31" spans="1:40" s="17" customFormat="1" ht="17.25" customHeight="1" outlineLevel="1">
      <c r="A31" s="12"/>
      <c r="B31" s="12"/>
      <c r="C31" s="715" t="s">
        <v>6</v>
      </c>
      <c r="D31" s="716" t="e">
        <f>AVERAGE(D13:D26)</f>
        <v>#NUM!</v>
      </c>
      <c r="E31" s="716" t="e">
        <f>AVERAGE(E13:E26)</f>
        <v>#NUM!</v>
      </c>
      <c r="F31" s="715"/>
      <c r="G31" s="715"/>
      <c r="H31" s="715"/>
      <c r="I31" s="716">
        <f t="shared" si="26"/>
        <v>520.10021489535723</v>
      </c>
      <c r="J31" s="717">
        <f t="shared" si="26"/>
        <v>0</v>
      </c>
      <c r="K31" s="718">
        <f t="shared" si="26"/>
        <v>0</v>
      </c>
      <c r="L31" s="718">
        <f t="shared" si="26"/>
        <v>0</v>
      </c>
      <c r="M31" s="719">
        <f t="shared" si="26"/>
        <v>372.29465811850008</v>
      </c>
      <c r="N31" s="720">
        <f>AVERAGE(N13:N26)</f>
        <v>0.73159340659340644</v>
      </c>
      <c r="O31" s="717" t="s">
        <v>78</v>
      </c>
      <c r="P31" s="716">
        <f t="shared" si="27"/>
        <v>892.39487301385725</v>
      </c>
      <c r="Q31" s="717">
        <f t="shared" si="27"/>
        <v>0</v>
      </c>
      <c r="R31" s="718">
        <f t="shared" si="27"/>
        <v>0</v>
      </c>
      <c r="S31" s="718">
        <f t="shared" si="27"/>
        <v>0</v>
      </c>
      <c r="T31" s="719">
        <f t="shared" si="27"/>
        <v>849.43046259120842</v>
      </c>
      <c r="U31" s="720">
        <f>AVERAGE(U13:U26)</f>
        <v>1.6214538850805598</v>
      </c>
      <c r="V31" s="717" t="s">
        <v>78</v>
      </c>
      <c r="W31" s="721">
        <f>W71</f>
        <v>1741.8253356050659</v>
      </c>
      <c r="X31" s="905">
        <f t="shared" si="28"/>
        <v>73.802502105555561</v>
      </c>
      <c r="Y31" s="882">
        <f t="shared" si="28"/>
        <v>80.935079680769221</v>
      </c>
      <c r="Z31" s="717" t="s">
        <v>78</v>
      </c>
      <c r="AA31" s="721">
        <f>AA71</f>
        <v>1864.4238038050657</v>
      </c>
      <c r="AB31" s="703"/>
      <c r="AC31" s="724"/>
      <c r="AD31" s="724"/>
      <c r="AE31" s="678"/>
      <c r="AF31" s="678"/>
      <c r="AG31" s="678"/>
      <c r="AH31" s="678"/>
      <c r="AI31" s="678"/>
      <c r="AJ31" s="678"/>
      <c r="AK31" s="678"/>
      <c r="AL31" s="639"/>
      <c r="AM31" s="639"/>
    </row>
    <row r="32" spans="1:40" ht="7.5" customHeight="1">
      <c r="C32" s="836"/>
      <c r="D32" s="725"/>
      <c r="E32" s="725"/>
      <c r="F32" s="725"/>
      <c r="G32" s="725"/>
      <c r="H32" s="725"/>
      <c r="I32" s="726"/>
      <c r="J32" s="727"/>
      <c r="K32" s="728"/>
      <c r="L32" s="728"/>
      <c r="M32" s="726"/>
      <c r="N32" s="729"/>
      <c r="O32" s="727"/>
      <c r="P32" s="726"/>
      <c r="Q32" s="726"/>
      <c r="R32" s="729"/>
      <c r="S32" s="729"/>
      <c r="T32" s="727"/>
      <c r="U32" s="728"/>
      <c r="V32" s="727"/>
      <c r="W32" s="726"/>
      <c r="X32" s="728"/>
      <c r="Y32" s="727"/>
      <c r="Z32" s="726"/>
      <c r="AA32" s="837"/>
      <c r="AB32" s="675"/>
      <c r="AC32" s="725"/>
      <c r="AD32" s="725"/>
      <c r="AE32" s="678"/>
      <c r="AF32" s="678"/>
      <c r="AG32" s="678"/>
      <c r="AH32" s="678"/>
      <c r="AI32" s="678"/>
      <c r="AJ32" s="678"/>
      <c r="AK32" s="678"/>
      <c r="AL32" s="639"/>
      <c r="AM32" s="639"/>
    </row>
    <row r="33" spans="1:39" s="35" customFormat="1" ht="17.25" customHeight="1">
      <c r="A33" s="35" t="str">
        <f>$B33&amp;"_"&amp;$C$3&amp;"_"&amp;$C$2</f>
        <v>TSX:HBM_2025_NEO3</v>
      </c>
      <c r="B33" s="35" t="str">
        <f>'Raw Data'!H6</f>
        <v>TSX:HBM</v>
      </c>
      <c r="C33" s="730" t="str">
        <f>IFERROR(INDEX(Raw_Data,MATCH($A33,Look_Up,0),MATCH(C$4,Component,0)),"-")</f>
        <v>Hudbay Minerals Inc.</v>
      </c>
      <c r="D33" s="731">
        <f>_xll.ciqfunctions.udf.CIQ(B33, "IQ_MARKETCAP", $A$1,$A$2)</f>
        <v>5664.3295799999996</v>
      </c>
      <c r="E33" s="731">
        <f>_xll.ciqfunctions.udf.CIQ($B33, "IQ_TEV", $A$1,$A$2)</f>
        <v>6773.8200500000003</v>
      </c>
      <c r="F33" s="732" t="str">
        <f>IFERROR(INDEX(Raw_Data,MATCH($A33,Look_Up,0),MATCH(F$4,Component,0)),"-")</f>
        <v>Patrick Donnelly</v>
      </c>
      <c r="G33" s="732" t="str">
        <f>IFERROR(INDEX(Raw_Data,MATCH($A33,Look_Up,0),MATCH(G$4,Component,0)),"-")</f>
        <v>SVP, Legal and Organizational Effectiveness</v>
      </c>
      <c r="H33" s="732">
        <f>IFERROR(INDEX(Raw_Data,MATCH($A33,Look_Up,0),MATCH(H$4,Component,0))/1000,"-")</f>
        <v>526.74300000000005</v>
      </c>
      <c r="I33" s="731">
        <f>IFERROR(INDEX(Raw_Data,MATCH($A33,Look_Up,0),MATCH(I$4,Component,0))/1000,"-")</f>
        <v>526.74300000000005</v>
      </c>
      <c r="J33" s="731">
        <f>IFERROR(INDEX(Raw_Data,MATCH($A33,Look_Up,0),MATCH(J$4,Component,0))/1000,"-")</f>
        <v>478.58300000000003</v>
      </c>
      <c r="K33" s="733">
        <f>IFERROR(INDEX(Raw_Data,MATCH($A33,Look_Up,0),MATCH(K$4,Component,0)),"-")</f>
        <v>0.90857021355765522</v>
      </c>
      <c r="L33" s="733">
        <f>IFERROR(INDEX(Raw_Data,MATCH($A33,Look_Up,0),MATCH(L$4,Component,0)),"-")</f>
        <v>0.91062428836452636</v>
      </c>
      <c r="M33" s="731">
        <f>IFERROR(INDEX(Raw_Data,MATCH($A33,Look_Up,0),MATCH(M$4,Component,0))/1000,"-")</f>
        <v>395.05725000000001</v>
      </c>
      <c r="N33" s="733">
        <f>IFERROR(IF(INDEX(Raw_Data,MATCH($A33,Look_Up,0),MATCH(N$4,Component,0))="-",L33,INDEX(Raw_Data,MATCH($A33,Look_Up,0),MATCH(N$4,Component,0))),"-")</f>
        <v>0.75</v>
      </c>
      <c r="O33" s="733" t="s">
        <v>78</v>
      </c>
      <c r="P33" s="731">
        <f>IFERROR(INDEX(Raw_Data,MATCH($A33,Look_Up,0),MATCH(P$4,Component,0))/1000,"-")</f>
        <v>921.80025000000001</v>
      </c>
      <c r="Q33" s="731">
        <f>IFERROR(INDEX(Raw_Data,MATCH($A33,Look_Up,0),MATCH(Q$4,Component,0))/1000,"-")</f>
        <v>752.48900000000003</v>
      </c>
      <c r="R33" s="733" t="str">
        <f>IFERROR(INDEX(Raw_Data,MATCH($A33,Look_Up,0),MATCH(R$4,Component,0)),"-")</f>
        <v>-</v>
      </c>
      <c r="S33" s="733" t="str">
        <f>IFERROR(INDEX(Raw_Data,MATCH($A33,Look_Up,0),MATCH(S$4,Component,0)),"-")</f>
        <v>N/A</v>
      </c>
      <c r="T33" s="731">
        <f>IFERROR(INDEX(Raw_Data,MATCH($A33,Look_Up,0),MATCH(T$4,Component,0))/1000,"-")</f>
        <v>790.11450000000002</v>
      </c>
      <c r="U33" s="733">
        <f>IFERROR(IF(INDEX(Raw_Data,MATCH($A33,Look_Up,0),MATCH(U$4,Component,0))="-",S33,INDEX(Raw_Data,MATCH($A33,Look_Up,0),MATCH(U$4,Component,0))),"-")</f>
        <v>1.5</v>
      </c>
      <c r="V33" s="733" t="s">
        <v>78</v>
      </c>
      <c r="W33" s="734">
        <f>IFERROR(INDEX(Raw_Data,MATCH($A33,Look_Up,0),MATCH(W$4,Component,0))/1000,"-")</f>
        <v>1711.9147499999999</v>
      </c>
      <c r="X33" s="914">
        <f>IFERROR((INDEX(Raw_Data,MATCH($A33,Look_Up,0),MATCH(X$4,Component,0))/1000),"-")</f>
        <v>91.935000000000002</v>
      </c>
      <c r="Y33" s="731" t="str">
        <f>IFERROR((INDEX(Raw_Data,MATCH($A33,Look_Up,0),MATCH(Y$4,Component,0))/1000),"-")</f>
        <v>-</v>
      </c>
      <c r="Z33" s="731">
        <f>IFERROR(INDEX(Raw_Data,MATCH($A33,Look_Up,0),MATCH(Z$4,Component,0))/1000,"-")</f>
        <v>1849.75</v>
      </c>
      <c r="AA33" s="734">
        <f>IFERROR(INDEX(Raw_Data,MATCH($A33,Look_Up,0),MATCH(AA$4,Component,0))/1000,"-")</f>
        <v>1803.8497500000001</v>
      </c>
      <c r="AB33" s="898">
        <f>AA33-421713/1000</f>
        <v>1382.1367500000001</v>
      </c>
      <c r="AC33" s="737">
        <f>IFERROR(P33/W33,0)</f>
        <v>0.53846153846153855</v>
      </c>
      <c r="AD33" s="738">
        <f>IFERROR(T33/W33,0)</f>
        <v>0.46153846153846156</v>
      </c>
      <c r="AE33" s="678" t="str">
        <f>B33&amp;"_"&amp;$AE$6&amp;"_"&amp;$C$2</f>
        <v>TSX:HBM_2023_NEO3</v>
      </c>
      <c r="AF33" s="678"/>
      <c r="AG33" s="678"/>
      <c r="AH33" s="678"/>
      <c r="AI33" s="678"/>
      <c r="AJ33" s="678"/>
      <c r="AK33" s="678"/>
      <c r="AL33" s="639"/>
      <c r="AM33" s="639"/>
    </row>
    <row r="34" spans="1:39" ht="17.25" customHeight="1">
      <c r="B34" s="33"/>
      <c r="C34" s="755" t="s">
        <v>5</v>
      </c>
      <c r="D34" s="756" t="str">
        <f>IF(D$33&gt;=MAX(D$8:D$21),"max",IF(D$33&lt;=MIN(D$8:D$21),"min",PERCENTRANK(D$8:D$21,D$33)))</f>
        <v>max</v>
      </c>
      <c r="E34" s="756" t="str">
        <f>IF(E$33&gt;=MAX(E$8:E$21),"max",IF(E$33&lt;=MIN(E$8:E$21),"min",PERCENTRANK(E$8:E$21,E$33)))</f>
        <v>max</v>
      </c>
      <c r="F34" s="757"/>
      <c r="G34" s="757"/>
      <c r="H34" s="757"/>
      <c r="I34" s="756">
        <f>IF(I$33&gt;=MAX(I$47:I$66),"max",IF(I$33&lt;=MIN(I$47:I$66),"min",PERCENTRANK(I$47:I$66,I$33)))</f>
        <v>0.63</v>
      </c>
      <c r="J34" s="756">
        <f>IF(J$33&gt;=MAX(J$8:J$21),"max",IF(J$33&lt;=MIN(J$8:J$21),"min",PERCENTRANK(J$8:J$21,J$33)))</f>
        <v>0.70199999999999996</v>
      </c>
      <c r="K34" s="756">
        <f>IF(K$33&gt;=MAX(K$8:K$21),"max",IF(K$33&lt;=MIN(K$8:K$21),"min",PERCENTRANK(K$8:K$21,K$33)))</f>
        <v>0.45400000000000001</v>
      </c>
      <c r="L34" s="756">
        <f>IF(L$33&gt;=MAX(L$8:L$21),"max",IF(L$33&lt;=MIN(L$8:L$21),"min",PERCENTRANK(L$8:L$21,L$33)))</f>
        <v>0.70499999999999996</v>
      </c>
      <c r="M34" s="756">
        <f>IF(M$33&gt;=MAX(M$47:M$66),"max",IF(M$33&lt;=MIN(M$47:M$66),"min",PERCENTRANK(M$47:M$66,M$33)))</f>
        <v>0.64400000000000002</v>
      </c>
      <c r="N34" s="756">
        <f>IF(N$33&gt;=MAX(N$8:N$21),"max",IF(N$33&lt;=MIN(N$8:N$21),"min",PERCENTRANK(N$8:N$21,N$33)))</f>
        <v>0.46100000000000002</v>
      </c>
      <c r="O34" s="756" t="s">
        <v>78</v>
      </c>
      <c r="P34" s="756">
        <f>IF(P$33&gt;=MAX(P$47:P$66),"max",IF(P$33&lt;=MIN(P$47:P$66),"min",PERCENTRANK(P$47:P$66,P$33)))</f>
        <v>0.69899999999999995</v>
      </c>
      <c r="Q34" s="756">
        <f>IF(Q$33&gt;=MAX(Q$8:Q$21),"max",IF(Q$33&lt;=MIN(Q$8:Q$21),"min",PERCENTRANK(Q$8:Q$21,Q$33)))</f>
        <v>0.61899999999999999</v>
      </c>
      <c r="R34" s="756" t="str">
        <f>IF(R$33&gt;=MAX(R$8:R$21),"max",IF(R$33&lt;=MIN(R$8:R$21),"min",PERCENTRANK(R$8:R$21,R$33)))</f>
        <v>max</v>
      </c>
      <c r="S34" s="756" t="str">
        <f>IF(S$33&gt;=MAX(S$8:S$21),"max",IF(S$33&lt;=MIN(S$8:S$21),"min",PERCENTRANK(S$8:S$21,S$33)))</f>
        <v>max</v>
      </c>
      <c r="T34" s="756">
        <f>IF(T$33&gt;=MAX(T$47:T$66),"max",IF(T$33&lt;=MIN(T$47:T$66),"min",PERCENTRANK(T$47:T$66,T$33)))</f>
        <v>0.56599999999999995</v>
      </c>
      <c r="U34" s="756">
        <f>IF(U33&gt;=MAX(U$8:U$21),"max",IF(U33&lt;=MIN(U$8:U$21),"min",PERCENTRANK(U$8:U$21,U33)))</f>
        <v>0.307</v>
      </c>
      <c r="V34" s="756" t="s">
        <v>78</v>
      </c>
      <c r="W34" s="758">
        <f>IF(W$33&gt;=MAX(W$47:W$66),"max",IF(W$33&lt;=MIN(W$47:W$66),"min",PERCENTRANK(W$47:W$66,W$33)))</f>
        <v>0.629</v>
      </c>
      <c r="X34" s="915">
        <f>IF(X$33&gt;=MAX(X$8:X$21),"max",IF(X$33&lt;=MIN(X$8:X$21),"min",PERCENTRANK(X$8:X$21,X$33)))</f>
        <v>0.755</v>
      </c>
      <c r="Y34" s="756" t="str">
        <f>IF(Y$33&gt;=MAX(Y$8:Y$21),"max",IF(Y$33&lt;=MIN(Y$8:Y$21),"min",PERCENTRANK(Y$8:Y$21,Y$33)))</f>
        <v>max</v>
      </c>
      <c r="Z34" s="756">
        <f>IF(Z$33&gt;=MAX(Z$8:Z$21),"max",IF(Z$33&lt;=MIN(Z$8:Z$21),"min",PERCENTRANK(Z$8:Z$21,Z$33)))</f>
        <v>0.61299999999999999</v>
      </c>
      <c r="AA34" s="758">
        <f>IF(AA$33&gt;=MAX(AA$47:AA$66),"max",IF(AA$33&lt;=MIN(AA$47:AA$66),"min",PERCENTRANK(AA$47:AA$66,AA$33)))</f>
        <v>0.55600000000000005</v>
      </c>
      <c r="AB34" s="758">
        <f>IF(AB$33&gt;=MAX(AA$47:AA$66),"max",IF(AB$33&lt;=MIN(AA$47:AA$66),"min",PERCENTRANK(AA$47:AA$66,AB$33)))</f>
        <v>7.4999999999999997E-2</v>
      </c>
      <c r="AC34" s="743">
        <f>IF(AC$33&gt;=MAX(AC$8:AC21),"max",IF(AC$33&lt;=MIN(AC$8:AC21),"min",PERCENTRANK(AC$8:AC21,AC$33)))</f>
        <v>0.66600000000000004</v>
      </c>
      <c r="AD34" s="744">
        <f>IF(AD$33&gt;=MAX(AD$8:AD21),"max",IF(AD$33&lt;=MIN(AD$8:AD21),"min",PERCENTRANK(AD$8:AD21,AD$33)))</f>
        <v>0.33300000000000002</v>
      </c>
      <c r="AE34" s="678"/>
      <c r="AF34" s="678"/>
      <c r="AG34" s="678"/>
      <c r="AH34" s="678"/>
      <c r="AI34" s="678"/>
      <c r="AJ34" s="678"/>
      <c r="AK34" s="678"/>
      <c r="AL34" s="639"/>
      <c r="AM34" s="639"/>
    </row>
    <row r="35" spans="1:39" ht="17.25" customHeight="1">
      <c r="A35" s="35" t="str">
        <f>$B35&amp;"_"&amp;$C$3&amp;"_"&amp;"NEO4"</f>
        <v>TSX:HBM_2025_NEO4</v>
      </c>
      <c r="B35" s="35" t="str">
        <f>B33</f>
        <v>TSX:HBM</v>
      </c>
      <c r="C35" s="759" t="str">
        <f>IFERROR(INDEX(Raw_Data,MATCH($A35,Look_Up,0),MATCH(C$4,Component,0)),"-")</f>
        <v>Hudbay Minerals Inc.</v>
      </c>
      <c r="D35" s="760">
        <f>_xll.ciqfunctions.udf.CIQ(B35, "IQ_MARKETCAP", $A$1,$A$2)</f>
        <v>5664.3295799999996</v>
      </c>
      <c r="E35" s="760">
        <f>_xll.ciqfunctions.udf.CIQ($B35, "IQ_TEV", $A$1,$A$2)</f>
        <v>6773.8200500000003</v>
      </c>
      <c r="F35" s="761" t="str">
        <f>IFERROR(INDEX(Raw_Data,MATCH($A35,Look_Up,0),MATCH(F$4,Component,0)),"-")</f>
        <v>Olivier Tavchandjian</v>
      </c>
      <c r="G35" s="761" t="str">
        <f>IFERROR(INDEX(Raw_Data,MATCH($A35,Look_Up,0),MATCH(G$4,Component,0)),"-")</f>
        <v>SVP, Exploration &amp; Technical Services</v>
      </c>
      <c r="H35" s="761">
        <f>IFERROR(INDEX(Raw_Data,MATCH($A35,Look_Up,0),MATCH(H$4,Component,0))/1000,"-")</f>
        <v>484.48399999999998</v>
      </c>
      <c r="I35" s="760">
        <f>IFERROR(INDEX(Raw_Data,MATCH($A35,Look_Up,0),MATCH(I$4,Component,0))/1000,"-")</f>
        <v>484.48399999999998</v>
      </c>
      <c r="J35" s="760">
        <f>IFERROR(INDEX(Raw_Data,MATCH($A35,Look_Up,0),MATCH(J$4,Component,0))/1000,"-")</f>
        <v>0</v>
      </c>
      <c r="K35" s="762">
        <f>IFERROR(INDEX(Raw_Data,MATCH($A35,Look_Up,0),MATCH(K$4,Component,0)),"-")</f>
        <v>0</v>
      </c>
      <c r="L35" s="762">
        <f>IFERROR(INDEX(Raw_Data,MATCH($A35,Look_Up,0),MATCH(L$4,Component,0)),"-")</f>
        <v>0</v>
      </c>
      <c r="M35" s="760">
        <f>IFERROR(INDEX(Raw_Data,MATCH($A35,Look_Up,0),MATCH(M$4,Component,0))/1000,"-")</f>
        <v>290.69039999999995</v>
      </c>
      <c r="N35" s="762">
        <f>IFERROR(IF(INDEX(Raw_Data,MATCH($A35,Look_Up,0),MATCH(N$4,Component,0))="-",L35,INDEX(Raw_Data,MATCH($A35,Look_Up,0),MATCH(N$4,Component,0))),"-")</f>
        <v>0.6</v>
      </c>
      <c r="O35" s="762" t="s">
        <v>78</v>
      </c>
      <c r="P35" s="760">
        <f>IFERROR(INDEX(Raw_Data,MATCH($A35,Look_Up,0),MATCH(P$4,Component,0))/1000,"-")</f>
        <v>775.17439999999988</v>
      </c>
      <c r="Q35" s="760" t="str">
        <f>IFERROR(INDEX(Raw_Data,MATCH($A35,Look_Up,0),MATCH(Q$4,Component,0))/1000,"-")</f>
        <v>-</v>
      </c>
      <c r="R35" s="762" t="str">
        <f>IFERROR(INDEX(Raw_Data,MATCH($A35,Look_Up,0),MATCH(R$4,Component,0)),"-")</f>
        <v>-</v>
      </c>
      <c r="S35" s="762" t="str">
        <f>IFERROR(INDEX(Raw_Data,MATCH($A35,Look_Up,0),MATCH(S$4,Component,0)),"-")</f>
        <v>N/A</v>
      </c>
      <c r="T35" s="760">
        <f>IFERROR(INDEX(Raw_Data,MATCH($A35,Look_Up,0),MATCH(T$4,Component,0))/1000,"-")</f>
        <v>581.38079999999991</v>
      </c>
      <c r="U35" s="762">
        <f>IFERROR(IF(INDEX(Raw_Data,MATCH($A35,Look_Up,0),MATCH(U$4,Component,0))="-",S35,INDEX(Raw_Data,MATCH($A35,Look_Up,0),MATCH(U$4,Component,0))),"-")</f>
        <v>1.2</v>
      </c>
      <c r="V35" s="762" t="s">
        <v>78</v>
      </c>
      <c r="W35" s="917">
        <f>IFERROR(INDEX(Raw_Data,MATCH($A35,Look_Up,0),MATCH(W$4,Component,0))/1000,"-")</f>
        <v>1356.5551999999998</v>
      </c>
      <c r="X35" s="916" t="s">
        <v>503</v>
      </c>
      <c r="Y35" s="834" t="s">
        <v>503</v>
      </c>
      <c r="Z35" s="834" t="s">
        <v>503</v>
      </c>
      <c r="AA35" s="838" t="s">
        <v>503</v>
      </c>
      <c r="AB35" s="675"/>
      <c r="AC35" s="737">
        <f>IFERROR(P35/W35,0)</f>
        <v>0.5714285714285714</v>
      </c>
      <c r="AD35" s="738">
        <f>IFERROR(T35/W35,0)</f>
        <v>0.42857142857142855</v>
      </c>
      <c r="AE35" s="678" t="str">
        <f>B35&amp;"_"&amp;$AE$6&amp;"_"&amp;"NEO4"</f>
        <v>TSX:HBM_2023_NEO4</v>
      </c>
      <c r="AF35" s="678"/>
      <c r="AG35" s="678"/>
      <c r="AH35" s="678"/>
      <c r="AI35" s="678"/>
      <c r="AJ35" s="678"/>
      <c r="AK35" s="678"/>
      <c r="AL35" s="639"/>
      <c r="AM35" s="639"/>
    </row>
    <row r="36" spans="1:39" ht="17.25" customHeight="1">
      <c r="B36" s="33"/>
      <c r="C36" s="755" t="s">
        <v>5</v>
      </c>
      <c r="D36" s="756" t="str">
        <f>IF(D$33&gt;=MAX(D$8:D$21),"max",IF(D$33&lt;=MIN(D$8:D$21),"min",PERCENTRANK(D$8:D$21,D$33)))</f>
        <v>max</v>
      </c>
      <c r="E36" s="756" t="str">
        <f>IF(E$33&gt;=MAX(E$8:E$21),"max",IF(E$33&lt;=MIN(E$8:E$21),"min",PERCENTRANK(E$8:E$21,E$33)))</f>
        <v>max</v>
      </c>
      <c r="F36" s="757"/>
      <c r="G36" s="757"/>
      <c r="H36" s="757"/>
      <c r="I36" s="756">
        <f>IF(I35&gt;=MAX(I$47:I$66),"max",IF(I35&lt;=MIN(I$47:I$66),"min",PERCENTRANK(I$47:I$66,I35)))</f>
        <v>0.39900000000000002</v>
      </c>
      <c r="J36" s="756" t="str">
        <f>IF(J35&gt;=MAX(J$47:J$66),"max",IF(J35&lt;=MIN(J$47:J$66),"min",PERCENTRANK(J$47:J$66,J35)))</f>
        <v>max</v>
      </c>
      <c r="K36" s="756" t="str">
        <f>IF(K35&gt;=MAX(K$47:K$66),"max",IF(K35&lt;=MIN(K$47:K$66),"min",PERCENTRANK(K$47:K$66,K35)))</f>
        <v>max</v>
      </c>
      <c r="L36" s="756" t="str">
        <f>IF(L35&gt;=MAX(L$47:L$66),"max",IF(L35&lt;=MIN(L$47:L$66),"min",PERCENTRANK(L$47:L$66,L35)))</f>
        <v>max</v>
      </c>
      <c r="M36" s="756">
        <f>IF(M35&gt;=MAX(M$47:M$66),"max",IF(M35&lt;=MIN(M$47:M$66),"min",PERCENTRANK(M$47:M$66,M35)))</f>
        <v>0.114</v>
      </c>
      <c r="N36" s="756">
        <f>IF(N35&gt;=MAX(N$8:N$21),"max",IF(N35&lt;=MIN(N$8:N$21),"min",PERCENTRANK(N$8:N$21,N35)))</f>
        <v>0.153</v>
      </c>
      <c r="O36" s="756" t="s">
        <v>78</v>
      </c>
      <c r="P36" s="756">
        <f>IF(P35&gt;=MAX(P$47:P$66),"max",IF(P35&lt;=MIN(P$47:P$66),"min",PERCENTRANK(P$47:P$66,P35)))</f>
        <v>0.28899999999999998</v>
      </c>
      <c r="Q36" s="756" t="str">
        <f>IF(Q35&gt;=MAX(Q$47:Q$66),"max",IF(Q35&lt;=MIN(Q$47:Q$66),"min",PERCENTRANK(Q$47:Q$66,Q35)))</f>
        <v>max</v>
      </c>
      <c r="R36" s="756" t="str">
        <f>IF(R35&gt;=MAX(R$47:R$66),"max",IF(R35&lt;=MIN(R$47:R$66),"min",PERCENTRANK(R$47:R$66,R35)))</f>
        <v>max</v>
      </c>
      <c r="S36" s="756" t="str">
        <f>IF(S35&gt;=MAX(S$47:S$66),"max",IF(S35&lt;=MIN(S$47:S$66),"min",PERCENTRANK(S$47:S$66,S35)))</f>
        <v>max</v>
      </c>
      <c r="T36" s="756">
        <f>IF(T35&gt;=MAX(T$47:T$66),"max",IF(T35&lt;=MIN(T$47:T$66),"min",PERCENTRANK(T$47:T$66,T35)))</f>
        <v>0.151</v>
      </c>
      <c r="U36" s="756">
        <f>IF(U35&gt;=MAX(U$8:U$21),"max",IF(U35&lt;=MIN(U$8:U$21),"min",PERCENTRANK(U$8:U$21,U35)))</f>
        <v>0.125</v>
      </c>
      <c r="V36" s="756" t="s">
        <v>78</v>
      </c>
      <c r="W36" s="758">
        <f>IF(W35&gt;=MAX(W$47:W$66),"max",IF(W35&lt;=MIN(W$47:W$66),"min",PERCENTRANK(W$47:W$66,W35)))</f>
        <v>0.26</v>
      </c>
      <c r="X36" s="915" t="s">
        <v>78</v>
      </c>
      <c r="Y36" s="756" t="s">
        <v>78</v>
      </c>
      <c r="Z36" s="756" t="s">
        <v>78</v>
      </c>
      <c r="AA36" s="758" t="s">
        <v>78</v>
      </c>
      <c r="AB36" s="906"/>
      <c r="AC36" s="907">
        <f>IF(AC$33&gt;=MAX(AC$8:AC25),"max",IF(AC$33&lt;=MIN(AC$8:AC25),"min",PERCENTRANK(AC$8:AC25,AC$33)))</f>
        <v>0.66600000000000004</v>
      </c>
      <c r="AD36" s="908">
        <f>IF(AD$33&gt;=MAX(AD$8:AD25),"max",IF(AD$33&lt;=MIN(AD$8:AD25),"min",PERCENTRANK(AD$8:AD25,AD$33)))</f>
        <v>0.33300000000000002</v>
      </c>
      <c r="AE36" s="909"/>
      <c r="AF36" s="909"/>
      <c r="AG36" s="678"/>
      <c r="AH36" s="678"/>
      <c r="AI36" s="678"/>
      <c r="AJ36" s="678"/>
      <c r="AK36" s="678"/>
      <c r="AL36" s="639"/>
      <c r="AM36" s="639"/>
    </row>
    <row r="37" spans="1:39" ht="17.25" customHeight="1">
      <c r="A37" s="35" t="str">
        <f>$B37&amp;"_"&amp;$C$3&amp;"_"&amp;"NEO5"</f>
        <v>TSX:HBM_2025_NEO5</v>
      </c>
      <c r="B37" s="35" t="str">
        <f>B33</f>
        <v>TSX:HBM</v>
      </c>
      <c r="C37" s="759" t="str">
        <f>IFERROR(INDEX(Raw_Data,MATCH($A37,Look_Up,0),MATCH(C$4,Component,0)),"-")</f>
        <v>-</v>
      </c>
      <c r="D37" s="760">
        <f>_xll.ciqfunctions.udf.CIQ(B37, "IQ_MARKETCAP", $A$1,$A$2)</f>
        <v>5664.3295799999996</v>
      </c>
      <c r="E37" s="760">
        <f>_xll.ciqfunctions.udf.CIQ($B37, "IQ_TEV", $A$1,$A$2)</f>
        <v>6773.8200500000003</v>
      </c>
      <c r="F37" s="761" t="str">
        <f>IFERROR(INDEX(Raw_Data,MATCH($A37,Look_Up,0),MATCH(F$4,Component,0)),"-")</f>
        <v>-</v>
      </c>
      <c r="G37" s="761" t="str">
        <f>IFERROR(INDEX(Raw_Data,MATCH($A37,Look_Up,0),MATCH(G$4,Component,0)),"-")</f>
        <v>-</v>
      </c>
      <c r="H37" s="761" t="str">
        <f>IFERROR(INDEX(Raw_Data,MATCH($A37,Look_Up,0),MATCH(H$4,Component,0))/1000,"-")</f>
        <v>-</v>
      </c>
      <c r="I37" s="760" t="str">
        <f>IFERROR(INDEX(Raw_Data,MATCH($A37,Look_Up,0),MATCH(I$4,Component,0))/1000,"-")</f>
        <v>-</v>
      </c>
      <c r="J37" s="760" t="str">
        <f>IFERROR(INDEX(Raw_Data,MATCH($A37,Look_Up,0),MATCH(J$4,Component,0))/1000,"-")</f>
        <v>-</v>
      </c>
      <c r="K37" s="762" t="str">
        <f>IFERROR(INDEX(Raw_Data,MATCH($A37,Look_Up,0),MATCH(K$4,Component,0)),"-")</f>
        <v>-</v>
      </c>
      <c r="L37" s="762" t="str">
        <f>IFERROR(INDEX(Raw_Data,MATCH($A37,Look_Up,0),MATCH(L$4,Component,0)),"-")</f>
        <v>-</v>
      </c>
      <c r="M37" s="760" t="str">
        <f>IFERROR(INDEX(Raw_Data,MATCH($A37,Look_Up,0),MATCH(M$4,Component,0))/1000,"-")</f>
        <v>-</v>
      </c>
      <c r="N37" s="762" t="str">
        <f>IFERROR(IF(INDEX(Raw_Data,MATCH($A37,Look_Up,0),MATCH(N$4,Component,0))="-",L37,INDEX(Raw_Data,MATCH($A37,Look_Up,0),MATCH(N$4,Component,0))),"-")</f>
        <v>-</v>
      </c>
      <c r="O37" s="762" t="s">
        <v>78</v>
      </c>
      <c r="P37" s="760" t="str">
        <f>IFERROR(INDEX(Raw_Data,MATCH($A37,Look_Up,0),MATCH(P$4,Component,0))/1000,"-")</f>
        <v>-</v>
      </c>
      <c r="Q37" s="760" t="str">
        <f>IFERROR(INDEX(Raw_Data,MATCH($A37,Look_Up,0),MATCH(Q$4,Component,0))/1000,"-")</f>
        <v>-</v>
      </c>
      <c r="R37" s="762" t="str">
        <f>IFERROR(INDEX(Raw_Data,MATCH($A37,Look_Up,0),MATCH(R$4,Component,0)),"-")</f>
        <v>-</v>
      </c>
      <c r="S37" s="762" t="str">
        <f>IFERROR(INDEX(Raw_Data,MATCH($A37,Look_Up,0),MATCH(S$4,Component,0)),"-")</f>
        <v>-</v>
      </c>
      <c r="T37" s="760" t="str">
        <f>IFERROR(INDEX(Raw_Data,MATCH($A37,Look_Up,0),MATCH(T$4,Component,0))/1000,"-")</f>
        <v>-</v>
      </c>
      <c r="U37" s="762" t="str">
        <f>IFERROR(IF(INDEX(Raw_Data,MATCH($A37,Look_Up,0),MATCH(U$4,Component,0))="-",S37,INDEX(Raw_Data,MATCH($A37,Look_Up,0),MATCH(U$4,Component,0))),"-")</f>
        <v>-</v>
      </c>
      <c r="V37" s="762" t="s">
        <v>78</v>
      </c>
      <c r="W37" s="917" t="str">
        <f>IFERROR(INDEX(Raw_Data,MATCH($A37,Look_Up,0),MATCH(W$4,Component,0))/1000,"-")</f>
        <v>-</v>
      </c>
      <c r="X37" s="916" t="s">
        <v>503</v>
      </c>
      <c r="Y37" s="834" t="s">
        <v>503</v>
      </c>
      <c r="Z37" s="834" t="s">
        <v>503</v>
      </c>
      <c r="AA37" s="838" t="s">
        <v>503</v>
      </c>
      <c r="AB37" s="910"/>
      <c r="AC37" s="911">
        <f>IFERROR(P37/W37,0)</f>
        <v>0</v>
      </c>
      <c r="AD37" s="912">
        <f>IFERROR(T37/W37,0)</f>
        <v>0</v>
      </c>
      <c r="AE37" s="913" t="str">
        <f>B37&amp;"_"&amp;$AE$6&amp;"_"&amp;"NEO4"</f>
        <v>TSX:HBM_2023_NEO4</v>
      </c>
      <c r="AF37" s="913"/>
      <c r="AG37" s="678"/>
      <c r="AH37" s="678"/>
      <c r="AI37" s="678"/>
      <c r="AJ37" s="678"/>
      <c r="AK37" s="678"/>
      <c r="AL37" s="639"/>
      <c r="AM37" s="639"/>
    </row>
    <row r="38" spans="1:39" ht="17.25" customHeight="1">
      <c r="B38" s="33"/>
      <c r="C38" s="739" t="s">
        <v>5</v>
      </c>
      <c r="D38" s="740" t="str">
        <f>IF(D$33&gt;=MAX(D$8:D$21),"max",IF(D$33&lt;=MIN(D$8:D$21),"min",PERCENTRANK(D$8:D$21,D$33)))</f>
        <v>max</v>
      </c>
      <c r="E38" s="740" t="str">
        <f>IF(E$33&gt;=MAX(E$8:E$21),"max",IF(E$33&lt;=MIN(E$8:E$21),"min",PERCENTRANK(E$8:E$21,E$33)))</f>
        <v>max</v>
      </c>
      <c r="F38" s="741"/>
      <c r="G38" s="741"/>
      <c r="H38" s="741"/>
      <c r="I38" s="740" t="str">
        <f>IF(I37&gt;=MAX(I$47:I$66),"max",IF(I37&lt;=MIN(I$47:I$66),"min",PERCENTRANK(I$47:I$66,I37)))</f>
        <v>max</v>
      </c>
      <c r="J38" s="740" t="str">
        <f>IF(J37&gt;=MAX(J$47:J$66),"max",IF(J37&lt;=MIN(J$47:J$66),"min",PERCENTRANK(J$47:J$66,J37)))</f>
        <v>max</v>
      </c>
      <c r="K38" s="740" t="str">
        <f>IF(K37&gt;=MAX(K$47:K$66),"max",IF(K37&lt;=MIN(K$47:K$66),"min",PERCENTRANK(K$47:K$66,K37)))</f>
        <v>max</v>
      </c>
      <c r="L38" s="740" t="str">
        <f>IF(L37&gt;=MAX(L$47:L$66),"max",IF(L37&lt;=MIN(L$47:L$66),"min",PERCENTRANK(L$47:L$66,L37)))</f>
        <v>max</v>
      </c>
      <c r="M38" s="740" t="str">
        <f>IF(M37&gt;=MAX(M$47:M$66),"max",IF(M37&lt;=MIN(M$47:M$66),"min",PERCENTRANK(M$47:M$66,M37)))</f>
        <v>max</v>
      </c>
      <c r="N38" s="740" t="str">
        <f>IF(N37&gt;=MAX(N$8:N$21),"max",IF(N37&lt;=MIN(N$8:N$21),"min",PERCENTRANK(N$8:N$21,N37)))</f>
        <v>max</v>
      </c>
      <c r="O38" s="740" t="s">
        <v>78</v>
      </c>
      <c r="P38" s="740" t="str">
        <f>IF(P37&gt;=MAX(P$47:P$66),"max",IF(P37&lt;=MIN(P$47:P$66),"min",PERCENTRANK(P$47:P$66,P37)))</f>
        <v>max</v>
      </c>
      <c r="Q38" s="740" t="str">
        <f>IF(Q37&gt;=MAX(Q$47:Q$66),"max",IF(Q37&lt;=MIN(Q$47:Q$66),"min",PERCENTRANK(Q$47:Q$66,Q37)))</f>
        <v>max</v>
      </c>
      <c r="R38" s="740" t="str">
        <f>IF(R37&gt;=MAX(R$47:R$66),"max",IF(R37&lt;=MIN(R$47:R$66),"min",PERCENTRANK(R$47:R$66,R37)))</f>
        <v>max</v>
      </c>
      <c r="S38" s="740" t="str">
        <f>IF(S37&gt;=MAX(S$47:S$66),"max",IF(S37&lt;=MIN(S$47:S$66),"min",PERCENTRANK(S$47:S$66,S37)))</f>
        <v>max</v>
      </c>
      <c r="T38" s="740" t="str">
        <f>IF(T37&gt;=MAX(T$47:T$66),"max",IF(T37&lt;=MIN(T$47:T$66),"min",PERCENTRANK(T$47:T$66,T37)))</f>
        <v>max</v>
      </c>
      <c r="U38" s="740" t="str">
        <f>IF(U37&gt;=MAX(U$8:U$21),"max",IF(U37&lt;=MIN(U$8:U$21),"min",PERCENTRANK(U$8:U$21,U37)))</f>
        <v>max</v>
      </c>
      <c r="V38" s="740" t="s">
        <v>78</v>
      </c>
      <c r="W38" s="742" t="str">
        <f>IF(W37&gt;=MAX(W$47:W$66),"max",IF(W37&lt;=MIN(W$47:W$66),"min",PERCENTRANK(W$47:W$66,W37)))</f>
        <v>max</v>
      </c>
      <c r="X38" s="915" t="s">
        <v>78</v>
      </c>
      <c r="Y38" s="756" t="s">
        <v>78</v>
      </c>
      <c r="Z38" s="756" t="s">
        <v>78</v>
      </c>
      <c r="AA38" s="758" t="s">
        <v>78</v>
      </c>
      <c r="AB38" s="675"/>
      <c r="AC38" s="743">
        <f>IF(AC$33&gt;=MAX(AC$8:AC23),"max",IF(AC$33&lt;=MIN(AC$8:AC23),"min",PERCENTRANK(AC$8:AC23,AC$33)))</f>
        <v>0.61499999999999999</v>
      </c>
      <c r="AD38" s="744">
        <f>IF(AD$33&gt;=MAX(AD$8:AD23),"max",IF(AD$33&lt;=MIN(AD$8:AD23),"min",PERCENTRANK(AD$8:AD23,AD$33)))</f>
        <v>0.307</v>
      </c>
      <c r="AE38" s="678"/>
      <c r="AF38" s="678"/>
      <c r="AG38" s="678"/>
      <c r="AH38" s="678"/>
      <c r="AI38" s="678"/>
      <c r="AJ38" s="678"/>
      <c r="AK38" s="678"/>
      <c r="AL38" s="639"/>
      <c r="AM38" s="639"/>
    </row>
    <row r="39" spans="1:39" ht="14.5">
      <c r="V39" s="1085" t="s">
        <v>779</v>
      </c>
      <c r="W39" s="1101">
        <f>W33</f>
        <v>1711.9147499999999</v>
      </c>
      <c r="X39" s="1085" t="s">
        <v>779</v>
      </c>
      <c r="Y39" s="1101">
        <f>W35</f>
        <v>1356.5551999999998</v>
      </c>
    </row>
    <row r="40" spans="1:39" ht="14.5">
      <c r="G40" s="1062" t="s">
        <v>764</v>
      </c>
      <c r="V40" s="1085" t="s">
        <v>780</v>
      </c>
      <c r="W40" s="1086">
        <f>PERCENTRANK(W47:W66,W39)</f>
        <v>0.629</v>
      </c>
      <c r="X40" s="1085" t="s">
        <v>780</v>
      </c>
      <c r="Y40" s="1086">
        <f>PERCENTRANK(W47:W66,Y39)</f>
        <v>0.26</v>
      </c>
    </row>
    <row r="41" spans="1:39" ht="23.25" customHeight="1">
      <c r="B41" s="33"/>
      <c r="C41" s="286"/>
      <c r="D41" s="286"/>
      <c r="E41" s="259"/>
      <c r="F41" s="259"/>
      <c r="G41" s="259"/>
      <c r="H41" s="259"/>
      <c r="I41" s="275"/>
      <c r="J41" s="275"/>
      <c r="K41" s="275"/>
      <c r="L41" s="275"/>
      <c r="M41" s="275"/>
      <c r="N41" s="275"/>
      <c r="O41" s="275"/>
      <c r="P41" s="275"/>
      <c r="Q41" s="275"/>
      <c r="R41" s="275"/>
      <c r="S41" s="275"/>
      <c r="T41" s="275"/>
      <c r="U41" s="275"/>
      <c r="V41" s="1087" t="s">
        <v>781</v>
      </c>
      <c r="W41" s="1088">
        <f>W33-W29</f>
        <v>102.40917188459389</v>
      </c>
      <c r="X41" s="1087" t="s">
        <v>781</v>
      </c>
      <c r="Y41" s="1088">
        <f>Y39-W29</f>
        <v>-252.95037811540624</v>
      </c>
      <c r="Z41" s="275"/>
      <c r="AA41" s="275"/>
      <c r="AC41" s="259"/>
      <c r="AD41" s="259"/>
      <c r="AE41" s="316"/>
      <c r="AF41" s="316"/>
      <c r="AG41" s="316"/>
      <c r="AH41" s="316"/>
      <c r="AI41" s="316"/>
      <c r="AJ41" s="316"/>
      <c r="AK41" s="316"/>
    </row>
    <row r="42" spans="1:39" ht="15" customHeight="1">
      <c r="B42" s="33"/>
      <c r="C42" s="286" t="s">
        <v>243</v>
      </c>
      <c r="D42" s="286"/>
      <c r="E42" s="259"/>
      <c r="F42" s="259"/>
      <c r="G42" s="259"/>
      <c r="H42" s="259"/>
      <c r="I42" s="275"/>
      <c r="J42" s="275"/>
      <c r="K42" s="275"/>
      <c r="L42" s="275"/>
      <c r="M42" s="275"/>
      <c r="N42" s="275"/>
      <c r="O42" s="275"/>
      <c r="P42" s="531"/>
      <c r="Q42" s="275"/>
      <c r="R42" s="275"/>
      <c r="S42" s="275"/>
      <c r="T42" s="275"/>
      <c r="U42" s="531"/>
      <c r="V42" s="1089" t="s">
        <v>782</v>
      </c>
      <c r="W42" s="1090">
        <f>W33/W29 -1</f>
        <v>6.3627721007656568E-2</v>
      </c>
      <c r="X42" s="1089" t="s">
        <v>782</v>
      </c>
      <c r="Y42" s="1090">
        <f>W35/W29 -1</f>
        <v>-0.15716029913458862</v>
      </c>
      <c r="Z42" s="275"/>
      <c r="AA42" s="275"/>
      <c r="AC42" s="259"/>
      <c r="AD42" s="259"/>
      <c r="AE42" s="316"/>
      <c r="AF42" s="316"/>
      <c r="AG42" s="316" t="s">
        <v>68</v>
      </c>
      <c r="AH42" s="532">
        <f>AM37</f>
        <v>0</v>
      </c>
      <c r="AI42" s="316"/>
      <c r="AJ42" s="316"/>
      <c r="AK42" s="316"/>
    </row>
    <row r="43" spans="1:39" ht="14.5">
      <c r="B43" s="15"/>
      <c r="C43" s="284"/>
      <c r="D43" s="284"/>
      <c r="E43" s="284"/>
      <c r="F43" s="284"/>
      <c r="G43" s="284"/>
      <c r="H43" s="284"/>
      <c r="I43" s="284"/>
      <c r="J43" s="284"/>
      <c r="K43" s="284"/>
      <c r="L43" s="284"/>
      <c r="M43" s="284"/>
      <c r="N43" s="284"/>
      <c r="O43" s="275"/>
      <c r="P43" s="535"/>
      <c r="Q43" s="284"/>
      <c r="R43" s="284"/>
      <c r="S43" s="284"/>
      <c r="T43" s="275"/>
      <c r="U43" s="535"/>
      <c r="V43" s="275"/>
      <c r="W43" s="535"/>
      <c r="X43" s="284"/>
      <c r="Y43" s="284"/>
      <c r="Z43" s="284"/>
      <c r="AA43" s="284"/>
      <c r="AC43" s="258"/>
      <c r="AD43" s="258"/>
      <c r="AG43" s="12" t="s">
        <v>437</v>
      </c>
      <c r="AH43" s="591" t="e">
        <f>W37/AH42-1</f>
        <v>#VALUE!</v>
      </c>
    </row>
    <row r="44" spans="1:39">
      <c r="B44" s="15"/>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C44" s="27"/>
      <c r="AD44" s="27"/>
    </row>
    <row r="45" spans="1:39">
      <c r="B45" s="15"/>
      <c r="C45" s="305" t="s">
        <v>110</v>
      </c>
      <c r="D45" s="313"/>
      <c r="E45" s="306"/>
      <c r="F45" s="306"/>
      <c r="G45" s="306"/>
      <c r="H45" s="306"/>
      <c r="I45" s="306"/>
      <c r="J45" s="306"/>
      <c r="K45" s="306"/>
      <c r="L45" s="306"/>
      <c r="M45" s="306"/>
      <c r="N45" s="306"/>
      <c r="O45" s="306"/>
      <c r="P45" s="306"/>
      <c r="Q45" s="306"/>
      <c r="R45" s="306"/>
      <c r="S45" s="306"/>
      <c r="T45" s="306"/>
      <c r="U45" s="306"/>
      <c r="V45" s="306"/>
      <c r="W45" s="306"/>
      <c r="X45" s="306"/>
      <c r="Y45" s="306"/>
      <c r="Z45" s="306"/>
      <c r="AA45" s="306"/>
      <c r="AC45" s="307"/>
      <c r="AD45" s="307"/>
      <c r="AE45" s="308"/>
      <c r="AF45" s="308"/>
      <c r="AG45" s="308"/>
      <c r="AH45" s="308"/>
      <c r="AI45" s="308"/>
      <c r="AJ45" s="308"/>
      <c r="AK45" s="308"/>
    </row>
    <row r="46" spans="1:39" ht="50">
      <c r="B46" s="15"/>
      <c r="C46" s="297" t="s">
        <v>111</v>
      </c>
      <c r="E46" s="14"/>
      <c r="F46" s="14"/>
      <c r="G46" s="315" t="s">
        <v>119</v>
      </c>
      <c r="H46" s="314" t="s">
        <v>115</v>
      </c>
      <c r="I46" s="314" t="s">
        <v>116</v>
      </c>
      <c r="J46" s="314"/>
      <c r="K46" s="314"/>
      <c r="L46" s="314"/>
      <c r="M46" s="314" t="s">
        <v>16</v>
      </c>
      <c r="O46" s="314"/>
      <c r="P46" s="314" t="s">
        <v>117</v>
      </c>
      <c r="Q46" s="314"/>
      <c r="R46" s="314"/>
      <c r="S46" s="314"/>
      <c r="T46" s="314" t="s">
        <v>14</v>
      </c>
      <c r="V46" s="314"/>
      <c r="W46" s="314" t="s">
        <v>118</v>
      </c>
      <c r="Y46" s="314"/>
      <c r="Z46" s="314"/>
      <c r="AA46" s="314" t="s">
        <v>246</v>
      </c>
      <c r="AC46" s="27"/>
      <c r="AD46" s="27"/>
    </row>
    <row r="47" spans="1:39" ht="14.5">
      <c r="A47" s="295" t="str">
        <f t="shared" ref="A47:B60" si="29">A8</f>
        <v>TSX:FM_2025_NEO3</v>
      </c>
      <c r="B47" s="295" t="str">
        <f t="shared" si="29"/>
        <v>TSX:FM</v>
      </c>
      <c r="C47" s="296" t="str">
        <f>_xll.ciqfunctions.udf.CIQ(B47,"IQ_COMPANY_NAME")</f>
        <v>First Quantum Minerals Ltd.</v>
      </c>
      <c r="E47" s="14"/>
      <c r="F47" s="14"/>
      <c r="G47" s="294" t="s">
        <v>398</v>
      </c>
      <c r="H47" s="303">
        <f t="shared" ref="H47:H66" si="30">IFERROR(INDEX(Raw_Data,MATCH($A47,Look_Up,0),MATCH(H$4,Component,0))/1000,"-")</f>
        <v>594.80223330000013</v>
      </c>
      <c r="I47" s="303">
        <f>IFERROR(IF(G47="y",IF(H47&lt;&gt;"-",H47,INDEX(Raw_Data,MATCH($A47,Look_Up,0),MATCH(I$4,Component,0))/1000*(1+'Raw Data'!$H$13)),(INDEX(Raw_Data,MATCH($A47,Look_Up,0),MATCH(I$4,Component,0))/1000)),"-")</f>
        <v>594.80223330000013</v>
      </c>
      <c r="J47" s="361"/>
      <c r="K47" s="361"/>
      <c r="L47" s="361"/>
      <c r="M47" s="303">
        <f t="shared" ref="M47:M60" si="31">IFERROR(I47*N8,"-")</f>
        <v>297.40111665000006</v>
      </c>
      <c r="N47" s="362"/>
      <c r="O47" s="361"/>
      <c r="P47" s="303">
        <f>IFERROR(IF(SUM(M47,I47)=0,"-",SUM(M47,I47)),"-")</f>
        <v>892.20334995000019</v>
      </c>
      <c r="Q47" s="361"/>
      <c r="R47" s="361"/>
      <c r="S47" s="361"/>
      <c r="T47" s="303">
        <f t="shared" ref="T47:T60" si="32">IFERROR(I47*U8,"-")</f>
        <v>446.10167497500009</v>
      </c>
      <c r="U47" s="362"/>
      <c r="V47" s="361"/>
      <c r="W47" s="303">
        <f>IFERROR(IF(SUM(T47,P47)=0,"-",SUM(T47,P47)),"-")</f>
        <v>1338.3050249250002</v>
      </c>
      <c r="X47" s="362"/>
      <c r="Y47" s="361"/>
      <c r="Z47" s="361"/>
      <c r="AA47" s="303">
        <f t="shared" ref="AA47:AA60" si="33">IFERROR(IF(SUM(W47,X8,Y8)=0,"-",SUM(W47,X8,Y8)),"-")</f>
        <v>1390.0008927750002</v>
      </c>
      <c r="AB47" s="362"/>
    </row>
    <row r="48" spans="1:39" ht="14.5">
      <c r="A48" s="295" t="str">
        <f t="shared" si="29"/>
        <v>TSX:K_2025_NEO3</v>
      </c>
      <c r="B48" s="295" t="str">
        <f t="shared" si="29"/>
        <v>TSX:K</v>
      </c>
      <c r="C48" s="296" t="str">
        <f>_xll.ciqfunctions.udf.CIQ(B48,"IQ_COMPANY_NAME")</f>
        <v>Kinross Gold Corporation</v>
      </c>
      <c r="E48" s="14"/>
      <c r="F48" s="14"/>
      <c r="G48" s="294" t="s">
        <v>398</v>
      </c>
      <c r="H48" s="262" t="str">
        <f t="shared" si="30"/>
        <v>-</v>
      </c>
      <c r="I48" s="262">
        <f>IFERROR(IF(G48="y",IF(H48&lt;&gt;"-",H48,INDEX(Raw_Data,MATCH($A48,Look_Up,0),MATCH(I$4,Component,0))/1000*(1+'Raw Data'!$H$13)),(INDEX(Raw_Data,MATCH($A48,Look_Up,0),MATCH(I$4,Component,0))/1000)),"-")</f>
        <v>682.60848864000013</v>
      </c>
      <c r="J48" s="361"/>
      <c r="K48" s="361"/>
      <c r="L48" s="361"/>
      <c r="M48" s="262">
        <f t="shared" si="31"/>
        <v>614.34763977600016</v>
      </c>
      <c r="N48" s="362"/>
      <c r="O48" s="361"/>
      <c r="P48" s="262">
        <f t="shared" ref="P48:P66" si="34">IFERROR(IF(SUM(M48,I48)=0,"-",SUM(M48,I48)),"-")</f>
        <v>1296.9561284160004</v>
      </c>
      <c r="Q48" s="361"/>
      <c r="R48" s="361"/>
      <c r="S48" s="361"/>
      <c r="T48" s="262">
        <f t="shared" si="32"/>
        <v>1399.3474017120004</v>
      </c>
      <c r="U48" s="362"/>
      <c r="V48" s="361"/>
      <c r="W48" s="262">
        <f t="shared" ref="W48:W66" si="35">IFERROR(IF(SUM(T48,P48)=0,"-",SUM(T48,P48)),"-")</f>
        <v>2696.3035301280006</v>
      </c>
      <c r="X48" s="362"/>
      <c r="Y48" s="361"/>
      <c r="Z48" s="361"/>
      <c r="AA48" s="262">
        <f t="shared" si="33"/>
        <v>2984.3543088280007</v>
      </c>
      <c r="AB48" s="362"/>
    </row>
    <row r="49" spans="1:30" ht="14.5">
      <c r="A49" s="295" t="str">
        <f t="shared" si="29"/>
        <v>TSX:LUN_2025_NEO3</v>
      </c>
      <c r="B49" s="295" t="str">
        <f t="shared" si="29"/>
        <v>TSX:LUN</v>
      </c>
      <c r="C49" s="296" t="str">
        <f>_xll.ciqfunctions.udf.CIQ(B49,"IQ_COMPANY_NAME")</f>
        <v>Lundin Mining Corporation</v>
      </c>
      <c r="E49" s="14"/>
      <c r="F49" s="14"/>
      <c r="G49" s="294" t="s">
        <v>398</v>
      </c>
      <c r="H49" s="262">
        <f t="shared" si="30"/>
        <v>425</v>
      </c>
      <c r="I49" s="262">
        <f>IFERROR(IF(G49="y",IF(H49&lt;&gt;"-",H49,INDEX(Raw_Data,MATCH($A49,Look_Up,0),MATCH(I$4,Component,0))/1000*(1+'Raw Data'!$H$13)),(INDEX(Raw_Data,MATCH($A49,Look_Up,0),MATCH(I$4,Component,0))/1000)),"-")</f>
        <v>425</v>
      </c>
      <c r="J49" s="361"/>
      <c r="K49" s="361"/>
      <c r="L49" s="361"/>
      <c r="M49" s="262">
        <f t="shared" si="31"/>
        <v>212.5</v>
      </c>
      <c r="N49" s="362"/>
      <c r="O49" s="361"/>
      <c r="P49" s="262">
        <f t="shared" si="34"/>
        <v>637.5</v>
      </c>
      <c r="Q49" s="361"/>
      <c r="R49" s="361"/>
      <c r="S49" s="361"/>
      <c r="T49" s="262">
        <f t="shared" si="32"/>
        <v>585.48955877724904</v>
      </c>
      <c r="U49" s="362"/>
      <c r="V49" s="361"/>
      <c r="W49" s="262">
        <f t="shared" si="35"/>
        <v>1222.9895587772489</v>
      </c>
      <c r="X49" s="362"/>
      <c r="Y49" s="361"/>
      <c r="Z49" s="361"/>
      <c r="AA49" s="262">
        <f t="shared" si="33"/>
        <v>1456.2309510272489</v>
      </c>
      <c r="AB49" s="362"/>
    </row>
    <row r="50" spans="1:30" ht="14.5">
      <c r="A50" s="295" t="str">
        <f t="shared" si="29"/>
        <v>TSX:CDE_2025_NEO3</v>
      </c>
      <c r="B50" s="295" t="str">
        <f t="shared" si="29"/>
        <v>TSX:CDE</v>
      </c>
      <c r="C50" s="296" t="str">
        <f>_xll.ciqfunctions.udf.CIQ(B50,"IQ_COMPANY_NAME")</f>
        <v>Coeur Mining, Inc.</v>
      </c>
      <c r="G50" s="294" t="s">
        <v>398</v>
      </c>
      <c r="H50" s="262" t="str">
        <f t="shared" si="30"/>
        <v>-</v>
      </c>
      <c r="I50" s="262">
        <f>IFERROR(IF(G50="y",IF(H50&lt;&gt;"-",H50,INDEX(Raw_Data,MATCH($A50,Look_Up,0),MATCH(I$4,Component,0))/1000*(1+'Raw Data'!$H$13)),(INDEX(Raw_Data,MATCH($A50,Look_Up,0),MATCH(I$4,Component,0))/1000)),"-")</f>
        <v>518.17446000000007</v>
      </c>
      <c r="J50" s="362"/>
      <c r="K50" s="362"/>
      <c r="L50" s="362"/>
      <c r="M50" s="262">
        <f t="shared" si="31"/>
        <v>388.63084500000002</v>
      </c>
      <c r="N50" s="362"/>
      <c r="O50" s="362"/>
      <c r="P50" s="262">
        <f t="shared" si="34"/>
        <v>906.80530500000009</v>
      </c>
      <c r="Q50" s="362"/>
      <c r="R50" s="362"/>
      <c r="S50" s="362"/>
      <c r="T50" s="262">
        <f t="shared" si="32"/>
        <v>984.53147400000012</v>
      </c>
      <c r="U50" s="362"/>
      <c r="V50" s="362"/>
      <c r="W50" s="262">
        <f t="shared" si="35"/>
        <v>1891.3367790000002</v>
      </c>
      <c r="X50" s="362"/>
      <c r="Y50" s="362"/>
      <c r="Z50" s="362"/>
      <c r="AA50" s="262">
        <f t="shared" si="33"/>
        <v>1968.8225866000002</v>
      </c>
      <c r="AB50" s="362"/>
    </row>
    <row r="51" spans="1:30" ht="14.5">
      <c r="A51" s="295" t="str">
        <f t="shared" si="29"/>
        <v>TSX:AGI_2025_NEO3</v>
      </c>
      <c r="B51" s="295" t="str">
        <f t="shared" si="29"/>
        <v>TSX:AGI</v>
      </c>
      <c r="C51" s="296" t="str">
        <f>_xll.ciqfunctions.udf.CIQ(B51,"IQ_COMPANY_NAME")</f>
        <v>Alamos Gold Inc.</v>
      </c>
      <c r="G51" s="294" t="s">
        <v>398</v>
      </c>
      <c r="H51" s="262" t="str">
        <f t="shared" si="30"/>
        <v>-</v>
      </c>
      <c r="I51" s="262">
        <f>IFERROR(IF(G51="y",IF(H51&lt;&gt;"-",H51,INDEX(Raw_Data,MATCH($A51,Look_Up,0),MATCH(I$4,Component,0))/1000*(1+'Raw Data'!$H$13)),(INDEX(Raw_Data,MATCH($A51,Look_Up,0),MATCH(I$4,Component,0))/1000)),"-")</f>
        <v>411.89112076000004</v>
      </c>
      <c r="J51" s="362"/>
      <c r="K51" s="362"/>
      <c r="L51" s="362"/>
      <c r="M51" s="262">
        <f t="shared" si="31"/>
        <v>288.32378453199999</v>
      </c>
      <c r="N51" s="362"/>
      <c r="O51" s="362"/>
      <c r="P51" s="262">
        <f t="shared" si="34"/>
        <v>700.21490529200003</v>
      </c>
      <c r="Q51" s="362"/>
      <c r="R51" s="362"/>
      <c r="S51" s="362"/>
      <c r="T51" s="262">
        <f t="shared" si="32"/>
        <v>598.26863299352522</v>
      </c>
      <c r="U51" s="362"/>
      <c r="V51" s="362"/>
      <c r="W51" s="262">
        <f t="shared" si="35"/>
        <v>1298.4835382855254</v>
      </c>
      <c r="X51" s="362"/>
      <c r="Y51" s="362"/>
      <c r="Z51" s="362"/>
      <c r="AA51" s="262">
        <f t="shared" si="33"/>
        <v>1408.6724707855255</v>
      </c>
      <c r="AB51" s="362"/>
    </row>
    <row r="52" spans="1:30" ht="14.5">
      <c r="A52" s="295" t="str">
        <f t="shared" si="29"/>
        <v>NYSE:HL_2025_NEO3</v>
      </c>
      <c r="B52" s="295" t="str">
        <f t="shared" si="29"/>
        <v>NYSE:HL</v>
      </c>
      <c r="C52" s="296" t="str">
        <f>_xll.ciqfunctions.udf.CIQ(B52,"IQ_COMPANY_NAME")</f>
        <v>Hecla Mining Company</v>
      </c>
      <c r="G52" s="294" t="s">
        <v>398</v>
      </c>
      <c r="H52" s="262">
        <f t="shared" si="30"/>
        <v>558.98</v>
      </c>
      <c r="I52" s="262">
        <f>IFERROR(IF(G52="y",IF(H52&lt;&gt;"-",H52,INDEX(Raw_Data,MATCH($A52,Look_Up,0),MATCH(I$4,Component,0))/1000*(1+'Raw Data'!$H$13)),(INDEX(Raw_Data,MATCH($A52,Look_Up,0),MATCH(I$4,Component,0))/1000)),"-")</f>
        <v>558.98</v>
      </c>
      <c r="J52" s="362"/>
      <c r="K52" s="362"/>
      <c r="L52" s="362"/>
      <c r="M52" s="262">
        <f t="shared" si="31"/>
        <v>447.18400000000003</v>
      </c>
      <c r="N52" s="362"/>
      <c r="O52" s="362"/>
      <c r="P52" s="262">
        <f t="shared" si="34"/>
        <v>1006.164</v>
      </c>
      <c r="Q52" s="362"/>
      <c r="R52" s="362"/>
      <c r="S52" s="362"/>
      <c r="T52" s="262">
        <f t="shared" si="32"/>
        <v>978.21500000000003</v>
      </c>
      <c r="U52" s="362"/>
      <c r="V52" s="362"/>
      <c r="W52" s="262">
        <f t="shared" si="35"/>
        <v>1984.3789999999999</v>
      </c>
      <c r="X52" s="362"/>
      <c r="Y52" s="362"/>
      <c r="Z52" s="362"/>
      <c r="AA52" s="262">
        <f t="shared" si="33"/>
        <v>2182.5206406000002</v>
      </c>
      <c r="AB52" s="362"/>
    </row>
    <row r="53" spans="1:30" ht="14.5">
      <c r="A53" s="295" t="str">
        <f t="shared" si="29"/>
        <v>TSX:IMG_2025_NEO3</v>
      </c>
      <c r="B53" s="295" t="str">
        <f t="shared" si="29"/>
        <v>TSX:IMG</v>
      </c>
      <c r="C53" s="296" t="str">
        <f>_xll.ciqfunctions.udf.CIQ(B53,"IQ_COMPANY_NAME")</f>
        <v>IAMGOLD Corporation</v>
      </c>
      <c r="G53" s="294" t="s">
        <v>398</v>
      </c>
      <c r="H53" s="262" t="str">
        <f t="shared" si="30"/>
        <v>-</v>
      </c>
      <c r="I53" s="262">
        <f>IFERROR(IF(G53="y",IF(H53&lt;&gt;"-",H53,INDEX(Raw_Data,MATCH($A53,Look_Up,0),MATCH(I$4,Component,0))/1000*(1+'Raw Data'!$H$13)),(INDEX(Raw_Data,MATCH($A53,Look_Up,0),MATCH(I$4,Component,0))/1000)),"-")</f>
        <v>432.75141000000002</v>
      </c>
      <c r="J53" s="362"/>
      <c r="K53" s="362"/>
      <c r="L53" s="362"/>
      <c r="M53" s="262">
        <f t="shared" si="31"/>
        <v>302.92598700000002</v>
      </c>
      <c r="N53" s="362"/>
      <c r="O53" s="362"/>
      <c r="P53" s="262">
        <f t="shared" si="34"/>
        <v>735.67739700000004</v>
      </c>
      <c r="Q53" s="362"/>
      <c r="R53" s="362"/>
      <c r="S53" s="362"/>
      <c r="T53" s="262">
        <f t="shared" si="32"/>
        <v>649.127115</v>
      </c>
      <c r="U53" s="362"/>
      <c r="V53" s="362"/>
      <c r="W53" s="262">
        <f t="shared" si="35"/>
        <v>1384.8045120000002</v>
      </c>
      <c r="X53" s="362"/>
      <c r="Y53" s="362"/>
      <c r="Z53" s="362"/>
      <c r="AA53" s="262">
        <f t="shared" si="33"/>
        <v>1471.2025120000001</v>
      </c>
      <c r="AB53" s="362"/>
    </row>
    <row r="54" spans="1:30" s="17" customFormat="1" ht="14.5">
      <c r="A54" s="295" t="str">
        <f t="shared" si="29"/>
        <v>TSX:CS_2025_NEO3</v>
      </c>
      <c r="B54" s="295" t="str">
        <f t="shared" si="29"/>
        <v>TSX:CS</v>
      </c>
      <c r="C54" s="296" t="str">
        <f>_xll.ciqfunctions.udf.CIQ(B54,"IQ_COMPANY_NAME")</f>
        <v>Capstone Copper Corp.</v>
      </c>
      <c r="E54" s="22"/>
      <c r="F54" s="20"/>
      <c r="G54" s="294" t="s">
        <v>398</v>
      </c>
      <c r="H54" s="262" t="str">
        <f t="shared" si="30"/>
        <v>-</v>
      </c>
      <c r="I54" s="262">
        <f>IFERROR(IF(G54="y",IF(H54&lt;&gt;"-",H54,INDEX(Raw_Data,MATCH($A54,Look_Up,0),MATCH(I$4,Component,0))/1000*(1+'Raw Data'!$H$13)),(INDEX(Raw_Data,MATCH($A54,Look_Up,0),MATCH(I$4,Component,0))/1000)),"-")</f>
        <v>450.08940000000001</v>
      </c>
      <c r="J54" s="22"/>
      <c r="K54" s="363"/>
      <c r="L54" s="363"/>
      <c r="M54" s="262">
        <f t="shared" si="31"/>
        <v>337.56704999999999</v>
      </c>
      <c r="N54" s="364"/>
      <c r="O54" s="22"/>
      <c r="P54" s="262">
        <f t="shared" si="34"/>
        <v>787.65644999999995</v>
      </c>
      <c r="Q54" s="21"/>
      <c r="R54" s="365"/>
      <c r="S54" s="365"/>
      <c r="T54" s="262">
        <f t="shared" si="32"/>
        <v>675.13409999999999</v>
      </c>
      <c r="U54" s="364"/>
      <c r="V54" s="22"/>
      <c r="W54" s="262">
        <f t="shared" si="35"/>
        <v>1462.7905499999999</v>
      </c>
      <c r="X54" s="364"/>
      <c r="Y54" s="22"/>
      <c r="Z54" s="22"/>
      <c r="AA54" s="262">
        <f t="shared" si="33"/>
        <v>1527.81655</v>
      </c>
      <c r="AB54" s="364"/>
      <c r="AC54" s="19"/>
      <c r="AD54" s="19"/>
    </row>
    <row r="55" spans="1:30" ht="14.5">
      <c r="A55" s="295" t="str">
        <f t="shared" si="29"/>
        <v>TSX:ELD_2025_NEO3</v>
      </c>
      <c r="B55" s="295" t="str">
        <f t="shared" si="29"/>
        <v>TSX:ELD</v>
      </c>
      <c r="C55" s="296" t="str">
        <f>_xll.ciqfunctions.udf.CIQ(B55,"IQ_COMPANY_NAME")</f>
        <v>Eldorado Gold Corporation</v>
      </c>
      <c r="G55" s="294" t="s">
        <v>398</v>
      </c>
      <c r="H55" s="262" t="str">
        <f t="shared" si="30"/>
        <v>-</v>
      </c>
      <c r="I55" s="262">
        <f>IFERROR(IF(G55="y",IF(H55&lt;&gt;"-",H55,INDEX(Raw_Data,MATCH($A55,Look_Up,0),MATCH(I$4,Component,0))/1000*(1+'Raw Data'!$H$13)),(INDEX(Raw_Data,MATCH($A55,Look_Up,0),MATCH(I$4,Component,0))/1000)),"-")</f>
        <v>506.96600000000001</v>
      </c>
      <c r="J55" s="366"/>
      <c r="K55" s="366"/>
      <c r="L55" s="366"/>
      <c r="M55" s="262">
        <f t="shared" si="31"/>
        <v>405.57280000000003</v>
      </c>
      <c r="N55" s="362"/>
      <c r="O55" s="366"/>
      <c r="P55" s="262">
        <f t="shared" si="34"/>
        <v>912.53880000000004</v>
      </c>
      <c r="Q55" s="366"/>
      <c r="R55" s="366"/>
      <c r="S55" s="366"/>
      <c r="T55" s="262">
        <f t="shared" si="32"/>
        <v>760.44900000000007</v>
      </c>
      <c r="U55" s="362"/>
      <c r="V55" s="366"/>
      <c r="W55" s="262">
        <f t="shared" si="35"/>
        <v>1672.9878000000001</v>
      </c>
      <c r="X55" s="362"/>
      <c r="Y55" s="366"/>
      <c r="Z55" s="366"/>
      <c r="AA55" s="262">
        <f t="shared" si="33"/>
        <v>1761.5838000000001</v>
      </c>
      <c r="AB55" s="362"/>
    </row>
    <row r="56" spans="1:30" ht="14.5">
      <c r="A56" s="295" t="str">
        <f t="shared" si="29"/>
        <v>TSX:EQX_2025_NEO3</v>
      </c>
      <c r="B56" s="295" t="str">
        <f t="shared" si="29"/>
        <v>TSX:EQX</v>
      </c>
      <c r="C56" s="296" t="str">
        <f>_xll.ciqfunctions.udf.CIQ(B56,"IQ_COMPANY_NAME")</f>
        <v>Equinox Gold Corp.</v>
      </c>
      <c r="G56" s="294" t="s">
        <v>398</v>
      </c>
      <c r="H56" s="262" t="str">
        <f t="shared" si="30"/>
        <v>-</v>
      </c>
      <c r="I56" s="262">
        <f>IFERROR(IF(G56="y",IF(H56&lt;&gt;"-",H56,INDEX(Raw_Data,MATCH($A56,Look_Up,0),MATCH(I$4,Component,0))/1000*(1+'Raw Data'!$H$13)),(INDEX(Raw_Data,MATCH($A56,Look_Up,0),MATCH(I$4,Component,0))/1000)),"-")</f>
        <v>366.39880999999997</v>
      </c>
      <c r="J56" s="362"/>
      <c r="K56" s="362"/>
      <c r="L56" s="362"/>
      <c r="M56" s="262">
        <f t="shared" si="31"/>
        <v>293.11904799999996</v>
      </c>
      <c r="N56" s="362"/>
      <c r="O56" s="362"/>
      <c r="P56" s="262">
        <f t="shared" si="34"/>
        <v>659.51785799999993</v>
      </c>
      <c r="Q56" s="362"/>
      <c r="R56" s="362"/>
      <c r="S56" s="362"/>
      <c r="T56" s="262">
        <f t="shared" si="32"/>
        <v>329.75892899999997</v>
      </c>
      <c r="U56" s="362"/>
      <c r="V56" s="362"/>
      <c r="W56" s="262">
        <f t="shared" si="35"/>
        <v>989.2767869999999</v>
      </c>
      <c r="X56" s="362"/>
      <c r="Y56" s="362"/>
      <c r="Z56" s="362"/>
      <c r="AA56" s="262">
        <f t="shared" si="33"/>
        <v>1012.591787</v>
      </c>
      <c r="AB56" s="362"/>
    </row>
    <row r="57" spans="1:30" ht="14.5">
      <c r="A57" s="295" t="str">
        <f t="shared" si="29"/>
        <v>TSX:SSRM_2025_NEO3</v>
      </c>
      <c r="B57" s="295" t="str">
        <f t="shared" si="29"/>
        <v>TSX:SSRM</v>
      </c>
      <c r="C57" s="296" t="str">
        <f>_xll.ciqfunctions.udf.CIQ(B57,"IQ_COMPANY_NAME")</f>
        <v>SSR Mining Inc.</v>
      </c>
      <c r="G57" s="294" t="s">
        <v>398</v>
      </c>
      <c r="H57" s="262" t="str">
        <f t="shared" si="30"/>
        <v>-</v>
      </c>
      <c r="I57" s="262">
        <f>IFERROR(IF(G57="y",IF(H57&lt;&gt;"-",H57,INDEX(Raw_Data,MATCH($A57,Look_Up,0),MATCH(I$4,Component,0))/1000*(1+'Raw Data'!$H$13)),(INDEX(Raw_Data,MATCH($A57,Look_Up,0),MATCH(I$4,Component,0))/1000)),"-")</f>
        <v>705.29301499999997</v>
      </c>
      <c r="J57" s="362"/>
      <c r="K57" s="362"/>
      <c r="L57" s="362"/>
      <c r="M57" s="262">
        <f t="shared" si="31"/>
        <v>528.96976124999992</v>
      </c>
      <c r="N57" s="362"/>
      <c r="O57" s="362"/>
      <c r="P57" s="262">
        <f t="shared" si="34"/>
        <v>1234.2627762499999</v>
      </c>
      <c r="Q57" s="362"/>
      <c r="R57" s="362"/>
      <c r="S57" s="362"/>
      <c r="T57" s="262">
        <f t="shared" si="32"/>
        <v>1234.2627762499999</v>
      </c>
      <c r="U57" s="362"/>
      <c r="V57" s="362"/>
      <c r="W57" s="262">
        <f t="shared" si="35"/>
        <v>2468.5255524999998</v>
      </c>
      <c r="X57" s="362"/>
      <c r="Y57" s="362"/>
      <c r="Z57" s="362"/>
      <c r="AA57" s="262">
        <f t="shared" si="33"/>
        <v>2531.2207492999996</v>
      </c>
      <c r="AB57" s="362"/>
    </row>
    <row r="58" spans="1:30" ht="14.5">
      <c r="A58" s="295" t="str">
        <f t="shared" si="29"/>
        <v>TSX:BTO_2025_NEO3</v>
      </c>
      <c r="B58" s="295" t="str">
        <f t="shared" si="29"/>
        <v>TSX:BTO</v>
      </c>
      <c r="C58" s="296" t="str">
        <f>_xll.ciqfunctions.udf.CIQ(B58,"IQ_COMPANY_NAME")</f>
        <v>B2Gold Corp.</v>
      </c>
      <c r="G58" s="294" t="s">
        <v>398</v>
      </c>
      <c r="H58" s="262" t="str">
        <f t="shared" si="30"/>
        <v>-</v>
      </c>
      <c r="I58" s="262">
        <f>IFERROR(IF(G58="y",IF(H58&lt;&gt;"-",H58,INDEX(Raw_Data,MATCH($A58,Look_Up,0),MATCH(I$4,Component,0))/1000*(1+'Raw Data'!$H$13)),(INDEX(Raw_Data,MATCH($A58,Look_Up,0),MATCH(I$4,Component,0))/1000)),"-")</f>
        <v>630.44559300000003</v>
      </c>
      <c r="J58" s="362"/>
      <c r="K58" s="362"/>
      <c r="L58" s="362"/>
      <c r="M58" s="262">
        <f t="shared" si="31"/>
        <v>472.83419475000005</v>
      </c>
      <c r="N58" s="362"/>
      <c r="O58" s="362"/>
      <c r="P58" s="262">
        <f t="shared" si="34"/>
        <v>1103.2797877500002</v>
      </c>
      <c r="Q58" s="362"/>
      <c r="R58" s="362"/>
      <c r="S58" s="362"/>
      <c r="T58" s="262">
        <f t="shared" si="32"/>
        <v>1653.0811218743331</v>
      </c>
      <c r="U58" s="362"/>
      <c r="V58" s="362"/>
      <c r="W58" s="262">
        <f t="shared" si="35"/>
        <v>2756.3609096243335</v>
      </c>
      <c r="X58" s="362"/>
      <c r="Y58" s="362"/>
      <c r="Z58" s="362"/>
      <c r="AA58" s="262">
        <f t="shared" si="33"/>
        <v>2763.6751629243336</v>
      </c>
      <c r="AB58" s="362"/>
    </row>
    <row r="59" spans="1:30" ht="14.5">
      <c r="A59" s="295" t="str">
        <f t="shared" si="29"/>
        <v>TSX:OGC_2025_NEO3</v>
      </c>
      <c r="B59" s="295" t="str">
        <f t="shared" si="29"/>
        <v>TSX:OGC</v>
      </c>
      <c r="C59" s="296" t="str">
        <f>_xll.ciqfunctions.udf.CIQ(B59,"IQ_COMPANY_NAME")</f>
        <v>OceanaGold Corporation</v>
      </c>
      <c r="G59" s="294" t="s">
        <v>398</v>
      </c>
      <c r="H59" s="262" t="str">
        <f t="shared" si="30"/>
        <v>-</v>
      </c>
      <c r="I59" s="262">
        <f>IFERROR(IF(G59="y",IF(H59&lt;&gt;"-",H59,INDEX(Raw_Data,MATCH($A59,Look_Up,0),MATCH(I$4,Component,0))/1000*(1+'Raw Data'!$H$13)),(INDEX(Raw_Data,MATCH($A59,Look_Up,0),MATCH(I$4,Component,0))/1000)),"-")</f>
        <v>519.0524778350001</v>
      </c>
      <c r="J59" s="362"/>
      <c r="K59" s="362"/>
      <c r="L59" s="362"/>
      <c r="M59" s="262">
        <f t="shared" si="31"/>
        <v>311.43148670100004</v>
      </c>
      <c r="N59" s="362"/>
      <c r="O59" s="362"/>
      <c r="P59" s="262">
        <f t="shared" si="34"/>
        <v>830.48396453600014</v>
      </c>
      <c r="Q59" s="362"/>
      <c r="R59" s="362"/>
      <c r="S59" s="362"/>
      <c r="T59" s="262">
        <f t="shared" si="32"/>
        <v>831.93969169481193</v>
      </c>
      <c r="U59" s="362"/>
      <c r="V59" s="362"/>
      <c r="W59" s="262">
        <f t="shared" si="35"/>
        <v>1662.423656230812</v>
      </c>
      <c r="X59" s="362"/>
      <c r="Y59" s="362"/>
      <c r="Z59" s="362"/>
      <c r="AA59" s="262">
        <f t="shared" si="33"/>
        <v>1941.2093414308119</v>
      </c>
      <c r="AB59" s="362"/>
    </row>
    <row r="60" spans="1:30" ht="14.5">
      <c r="A60" s="295" t="str">
        <f t="shared" si="29"/>
        <v>TSX:CG_2025_NEO3</v>
      </c>
      <c r="B60" s="295" t="str">
        <f t="shared" si="29"/>
        <v>TSX:CG</v>
      </c>
      <c r="C60" s="296" t="str">
        <f>_xll.ciqfunctions.udf.CIQ(B60,"IQ_COMPANY_NAME")</f>
        <v>Centerra Gold Inc.</v>
      </c>
      <c r="G60" s="294" t="s">
        <v>398</v>
      </c>
      <c r="H60" s="262" t="str">
        <f t="shared" si="30"/>
        <v>-</v>
      </c>
      <c r="I60" s="262">
        <f>IFERROR(IF(G60="y",IF(H60&lt;&gt;"-",H60,INDEX(Raw_Data,MATCH($A60,Look_Up,0),MATCH(I$4,Component,0))/1000*(1+'Raw Data'!$H$13)),(INDEX(Raw_Data,MATCH($A60,Look_Up,0),MATCH(I$4,Component,0))/1000)),"-")</f>
        <v>478.95</v>
      </c>
      <c r="J60" s="362"/>
      <c r="K60" s="362"/>
      <c r="L60" s="362"/>
      <c r="M60" s="262">
        <f t="shared" si="31"/>
        <v>311.3175</v>
      </c>
      <c r="N60" s="362"/>
      <c r="O60" s="362"/>
      <c r="P60" s="262">
        <f t="shared" si="34"/>
        <v>790.26749999999993</v>
      </c>
      <c r="Q60" s="362"/>
      <c r="R60" s="362"/>
      <c r="S60" s="362"/>
      <c r="T60" s="262">
        <f t="shared" si="32"/>
        <v>766.32</v>
      </c>
      <c r="U60" s="362"/>
      <c r="V60" s="362"/>
      <c r="W60" s="262">
        <f t="shared" si="35"/>
        <v>1556.5875000000001</v>
      </c>
      <c r="X60" s="362"/>
      <c r="Y60" s="362"/>
      <c r="Z60" s="362"/>
      <c r="AA60" s="262">
        <f t="shared" si="33"/>
        <v>1702.0315000000001</v>
      </c>
      <c r="AB60" s="362"/>
    </row>
    <row r="61" spans="1:30" ht="14.5">
      <c r="A61" s="295" t="e">
        <f>#REF!</f>
        <v>#REF!</v>
      </c>
      <c r="B61" s="295" t="e">
        <f>#REF!</f>
        <v>#REF!</v>
      </c>
      <c r="C61" s="296" t="str">
        <f>_xll.ciqfunctions.udf.CIQ(B61,"IQ_COMPANY_NAME")</f>
        <v>#NA</v>
      </c>
      <c r="G61" s="294" t="s">
        <v>398</v>
      </c>
      <c r="H61" s="262" t="str">
        <f t="shared" si="30"/>
        <v>-</v>
      </c>
      <c r="I61" s="262" t="str">
        <f>IFERROR(IF(G61="y",IF(H61&lt;&gt;"-",H61,INDEX(Raw_Data,MATCH($A61,Look_Up,0),MATCH(I$4,Component,0))/1000*(1+'Raw Data'!$H$13)),(INDEX(Raw_Data,MATCH($A61,Look_Up,0),MATCH(I$4,Component,0))/1000)),"-")</f>
        <v>-</v>
      </c>
      <c r="J61" s="362"/>
      <c r="K61" s="362"/>
      <c r="L61" s="362"/>
      <c r="M61" s="262" t="str">
        <f>IFERROR(I61*#REF!,"-")</f>
        <v>-</v>
      </c>
      <c r="N61" s="362"/>
      <c r="O61" s="362"/>
      <c r="P61" s="262" t="str">
        <f t="shared" si="34"/>
        <v>-</v>
      </c>
      <c r="Q61" s="362"/>
      <c r="R61" s="362"/>
      <c r="S61" s="362"/>
      <c r="T61" s="262" t="str">
        <f>IFERROR(I61*#REF!,"-")</f>
        <v>-</v>
      </c>
      <c r="U61" s="362"/>
      <c r="V61" s="362"/>
      <c r="W61" s="262" t="str">
        <f t="shared" si="35"/>
        <v>-</v>
      </c>
      <c r="X61" s="362"/>
      <c r="Y61" s="362"/>
      <c r="Z61" s="362"/>
      <c r="AA61" s="262" t="str">
        <f>IFERROR(IF(SUM(W61,#REF!,#REF!)=0,"-",SUM(W61,#REF!,#REF!)),"-")</f>
        <v>-</v>
      </c>
      <c r="AB61" s="362"/>
    </row>
    <row r="62" spans="1:30" ht="14.5">
      <c r="A62" s="295" t="e">
        <f>#REF!</f>
        <v>#REF!</v>
      </c>
      <c r="B62" s="295" t="e">
        <f>#REF!</f>
        <v>#REF!</v>
      </c>
      <c r="C62" s="296" t="str">
        <f>_xll.ciqfunctions.udf.CIQ(B62,"IQ_COMPANY_NAME")</f>
        <v>#NA</v>
      </c>
      <c r="G62" s="294" t="s">
        <v>398</v>
      </c>
      <c r="H62" s="262" t="str">
        <f t="shared" si="30"/>
        <v>-</v>
      </c>
      <c r="I62" s="262" t="str">
        <f>IFERROR(IF(G62="y",IF(H62&lt;&gt;"-",H62,INDEX(Raw_Data,MATCH($A62,Look_Up,0),MATCH(I$4,Component,0))/1000*(1+'Raw Data'!$H$13)),(INDEX(Raw_Data,MATCH($A62,Look_Up,0),MATCH(I$4,Component,0))/1000)),"-")</f>
        <v>-</v>
      </c>
      <c r="J62" s="362"/>
      <c r="K62" s="362"/>
      <c r="L62" s="362"/>
      <c r="M62" s="262" t="str">
        <f>IFERROR(I62*#REF!,"-")</f>
        <v>-</v>
      </c>
      <c r="N62" s="362"/>
      <c r="O62" s="362"/>
      <c r="P62" s="262" t="str">
        <f t="shared" si="34"/>
        <v>-</v>
      </c>
      <c r="Q62" s="362"/>
      <c r="R62" s="362"/>
      <c r="S62" s="362"/>
      <c r="T62" s="262" t="str">
        <f>IFERROR(I62*#REF!,"-")</f>
        <v>-</v>
      </c>
      <c r="U62" s="362"/>
      <c r="V62" s="362"/>
      <c r="W62" s="262" t="str">
        <f t="shared" si="35"/>
        <v>-</v>
      </c>
      <c r="X62" s="362"/>
      <c r="Y62" s="362"/>
      <c r="Z62" s="362"/>
      <c r="AA62" s="262" t="str">
        <f>IFERROR(IF(SUM(W62,#REF!,#REF!)=0,"-",SUM(W62,#REF!,#REF!)),"-")</f>
        <v>-</v>
      </c>
      <c r="AB62" s="362"/>
    </row>
    <row r="63" spans="1:30" ht="14.5">
      <c r="A63" s="295" t="e">
        <f>#REF!</f>
        <v>#REF!</v>
      </c>
      <c r="B63" s="295" t="e">
        <f>#REF!</f>
        <v>#REF!</v>
      </c>
      <c r="C63" s="296" t="str">
        <f>_xll.ciqfunctions.udf.CIQ(B63,"IQ_COMPANY_NAME")</f>
        <v>#NA</v>
      </c>
      <c r="G63" s="294" t="s">
        <v>398</v>
      </c>
      <c r="H63" s="262" t="str">
        <f t="shared" si="30"/>
        <v>-</v>
      </c>
      <c r="I63" s="262" t="str">
        <f>IFERROR(IF(G63="y",IF(H63&lt;&gt;"-",H63,INDEX(Raw_Data,MATCH($A63,Look_Up,0),MATCH(I$4,Component,0))/1000*(1+'Raw Data'!$H$13)),(INDEX(Raw_Data,MATCH($A63,Look_Up,0),MATCH(I$4,Component,0))/1000)),"-")</f>
        <v>-</v>
      </c>
      <c r="J63" s="362"/>
      <c r="K63" s="362"/>
      <c r="L63" s="362"/>
      <c r="M63" s="262" t="str">
        <f>IFERROR(I63*#REF!,"-")</f>
        <v>-</v>
      </c>
      <c r="N63" s="362"/>
      <c r="O63" s="362"/>
      <c r="P63" s="262" t="str">
        <f t="shared" si="34"/>
        <v>-</v>
      </c>
      <c r="Q63" s="362"/>
      <c r="R63" s="362"/>
      <c r="S63" s="362"/>
      <c r="T63" s="262" t="str">
        <f>IFERROR(I63*#REF!,"-")</f>
        <v>-</v>
      </c>
      <c r="U63" s="362"/>
      <c r="V63" s="362"/>
      <c r="W63" s="262" t="str">
        <f t="shared" si="35"/>
        <v>-</v>
      </c>
      <c r="X63" s="362"/>
      <c r="Y63" s="362"/>
      <c r="Z63" s="362"/>
      <c r="AA63" s="262" t="str">
        <f>IFERROR(IF(SUM(W63,#REF!,#REF!)=0,"-",SUM(W63,#REF!,#REF!)),"-")</f>
        <v>-</v>
      </c>
      <c r="AB63" s="362"/>
    </row>
    <row r="64" spans="1:30" ht="14.5">
      <c r="A64" s="295" t="e">
        <f>#REF!</f>
        <v>#REF!</v>
      </c>
      <c r="B64" s="295" t="e">
        <f>#REF!</f>
        <v>#REF!</v>
      </c>
      <c r="C64" s="296" t="str">
        <f>_xll.ciqfunctions.udf.CIQ(B64,"IQ_COMPANY_NAME")</f>
        <v>#NA</v>
      </c>
      <c r="G64" s="294" t="s">
        <v>398</v>
      </c>
      <c r="H64" s="262" t="str">
        <f t="shared" si="30"/>
        <v>-</v>
      </c>
      <c r="I64" s="262" t="str">
        <f>IFERROR(IF(G64="y",IF(H64&lt;&gt;"-",H64,INDEX(Raw_Data,MATCH($A64,Look_Up,0),MATCH(I$4,Component,0))/1000*(1+'Raw Data'!$H$13)),(INDEX(Raw_Data,MATCH($A64,Look_Up,0),MATCH(I$4,Component,0))/1000)),"-")</f>
        <v>-</v>
      </c>
      <c r="J64" s="362"/>
      <c r="K64" s="362"/>
      <c r="L64" s="362"/>
      <c r="M64" s="262" t="str">
        <f>IFERROR(I64*#REF!,"-")</f>
        <v>-</v>
      </c>
      <c r="N64" s="362"/>
      <c r="O64" s="362"/>
      <c r="P64" s="262" t="str">
        <f t="shared" si="34"/>
        <v>-</v>
      </c>
      <c r="Q64" s="362"/>
      <c r="R64" s="362"/>
      <c r="S64" s="362"/>
      <c r="T64" s="262" t="str">
        <f>IFERROR(I64*#REF!,"-")</f>
        <v>-</v>
      </c>
      <c r="U64" s="362"/>
      <c r="V64" s="362"/>
      <c r="W64" s="262" t="str">
        <f t="shared" si="35"/>
        <v>-</v>
      </c>
      <c r="X64" s="362"/>
      <c r="Y64" s="362"/>
      <c r="Z64" s="362"/>
      <c r="AA64" s="262" t="str">
        <f>IFERROR(IF(SUM(W64,#REF!,#REF!)=0,"-",SUM(W64,#REF!,#REF!)),"-")</f>
        <v>-</v>
      </c>
      <c r="AB64" s="362"/>
    </row>
    <row r="65" spans="1:28" ht="14.5">
      <c r="A65" s="295" t="e">
        <f>#REF!</f>
        <v>#REF!</v>
      </c>
      <c r="B65" s="295" t="e">
        <f>#REF!</f>
        <v>#REF!</v>
      </c>
      <c r="C65" s="296" t="str">
        <f>_xll.ciqfunctions.udf.CIQ(B65,"IQ_COMPANY_NAME")</f>
        <v>#NA</v>
      </c>
      <c r="G65" s="294" t="s">
        <v>398</v>
      </c>
      <c r="H65" s="262" t="str">
        <f t="shared" si="30"/>
        <v>-</v>
      </c>
      <c r="I65" s="262" t="str">
        <f>IFERROR(IF(G65="y",IF(H65&lt;&gt;"-",H65,INDEX(Raw_Data,MATCH($A65,Look_Up,0),MATCH(I$4,Component,0))/1000*(1+'Raw Data'!$H$13)),(INDEX(Raw_Data,MATCH($A65,Look_Up,0),MATCH(I$4,Component,0))/1000)),"-")</f>
        <v>-</v>
      </c>
      <c r="J65" s="362"/>
      <c r="K65" s="362"/>
      <c r="L65" s="362"/>
      <c r="M65" s="262" t="str">
        <f>IFERROR(I65*#REF!,"-")</f>
        <v>-</v>
      </c>
      <c r="N65" s="362"/>
      <c r="O65" s="362"/>
      <c r="P65" s="262" t="str">
        <f t="shared" si="34"/>
        <v>-</v>
      </c>
      <c r="Q65" s="362"/>
      <c r="R65" s="362"/>
      <c r="S65" s="362"/>
      <c r="T65" s="262" t="str">
        <f>IFERROR(I65*#REF!,"-")</f>
        <v>-</v>
      </c>
      <c r="U65" s="362"/>
      <c r="V65" s="362"/>
      <c r="W65" s="262" t="str">
        <f t="shared" si="35"/>
        <v>-</v>
      </c>
      <c r="X65" s="362"/>
      <c r="Y65" s="362"/>
      <c r="Z65" s="362"/>
      <c r="AA65" s="262" t="str">
        <f>IFERROR(IF(SUM(W65,#REF!,#REF!)=0,"-",SUM(W65,#REF!,#REF!)),"-")</f>
        <v>-</v>
      </c>
      <c r="AB65" s="362"/>
    </row>
    <row r="66" spans="1:28" ht="14.5">
      <c r="A66" s="295" t="e">
        <f>#REF!</f>
        <v>#REF!</v>
      </c>
      <c r="B66" s="295" t="e">
        <f>#REF!</f>
        <v>#REF!</v>
      </c>
      <c r="C66" s="296" t="str">
        <f>_xll.ciqfunctions.udf.CIQ(B66,"IQ_COMPANY_NAME")</f>
        <v>#NA</v>
      </c>
      <c r="G66" s="294" t="s">
        <v>398</v>
      </c>
      <c r="H66" s="304" t="str">
        <f t="shared" si="30"/>
        <v>-</v>
      </c>
      <c r="I66" s="262" t="str">
        <f>IFERROR(IF(G66="y",IF(H66&lt;&gt;"-",H66,INDEX(Raw_Data,MATCH($A66,Look_Up,0),MATCH(I$4,Component,0))/1000*(1+'Raw Data'!$H$13)),(INDEX(Raw_Data,MATCH($A66,Look_Up,0),MATCH(I$4,Component,0))/1000)),"-")</f>
        <v>-</v>
      </c>
      <c r="J66" s="362"/>
      <c r="K66" s="362"/>
      <c r="L66" s="362"/>
      <c r="M66" s="262" t="str">
        <f>IFERROR(I66*#REF!,"-")</f>
        <v>-</v>
      </c>
      <c r="N66" s="362"/>
      <c r="O66" s="362"/>
      <c r="P66" s="304" t="str">
        <f t="shared" si="34"/>
        <v>-</v>
      </c>
      <c r="Q66" s="362"/>
      <c r="R66" s="362"/>
      <c r="S66" s="362"/>
      <c r="T66" s="262" t="str">
        <f>IFERROR(I66*#REF!,"-")</f>
        <v>-</v>
      </c>
      <c r="U66" s="362"/>
      <c r="V66" s="362"/>
      <c r="W66" s="304" t="str">
        <f t="shared" si="35"/>
        <v>-</v>
      </c>
      <c r="X66" s="362"/>
      <c r="Y66" s="362"/>
      <c r="Z66" s="362"/>
      <c r="AA66" s="304" t="str">
        <f>IFERROR(IF(SUM(W66,#REF!,#REF!)=0,"-",SUM(W66,#REF!,#REF!)),"-")</f>
        <v>-</v>
      </c>
      <c r="AB66" s="362"/>
    </row>
    <row r="67" spans="1:28" ht="14.5">
      <c r="A67" s="15"/>
      <c r="B67" s="15"/>
      <c r="I67" s="288"/>
      <c r="M67" s="288"/>
      <c r="P67" s="288"/>
      <c r="T67" s="288"/>
      <c r="W67" s="288"/>
      <c r="AA67" s="288"/>
    </row>
    <row r="68" spans="1:28" ht="14.5">
      <c r="A68" s="15"/>
      <c r="B68" s="15"/>
      <c r="I68" s="262">
        <f>PERCENTILE(I$47:I$66,$B23)</f>
        <v>585.84667497500004</v>
      </c>
      <c r="M68" s="262">
        <f>PERCENTILE(M$47:M$66,$B23)</f>
        <v>436.78120000000001</v>
      </c>
      <c r="P68" s="262">
        <f>PERCENTILE(P$47:P$66,$B23)</f>
        <v>982.7577</v>
      </c>
      <c r="T68" s="262">
        <f>PERCENTILE(T$47:T$66,$B23)</f>
        <v>982.95235550000007</v>
      </c>
      <c r="W68" s="262">
        <f>PERCENTILE(W$47:W$66,$B23)</f>
        <v>1961.11844475</v>
      </c>
      <c r="AA68" s="262">
        <f>PERCENTILE(AA$47:AA$66,$B23)</f>
        <v>2129.0961271000001</v>
      </c>
    </row>
    <row r="69" spans="1:28" ht="14.5">
      <c r="A69" s="15"/>
      <c r="B69" s="15"/>
      <c r="I69" s="266">
        <f>PERCENTILE(I$47:I$66,$B24)</f>
        <v>512.57023000000004</v>
      </c>
      <c r="M69" s="266">
        <f>PERCENTILE(M$47:M$66,$B24)</f>
        <v>324.49926835050002</v>
      </c>
      <c r="P69" s="266">
        <f>PERCENTILE(P$47:P$66,$B24)</f>
        <v>861.34365724300017</v>
      </c>
      <c r="T69" s="266">
        <f>PERCENTILE(T$47:T$66,$B24)</f>
        <v>763.38450000000012</v>
      </c>
      <c r="W69" s="266">
        <f>PERCENTILE(W$47:W$66,$B24)</f>
        <v>1609.505578115406</v>
      </c>
      <c r="AA69" s="266">
        <f>PERCENTILE(AA$47:AA$66,$B24)</f>
        <v>1731.8076500000002</v>
      </c>
    </row>
    <row r="70" spans="1:28" ht="14.5">
      <c r="A70" s="15"/>
      <c r="B70" s="15"/>
      <c r="I70" s="262">
        <f>PERCENTILE(I$47:I$66,$B25)</f>
        <v>437.08590750000002</v>
      </c>
      <c r="M70" s="262">
        <f>PERCENTILE(M$47:M$66,$B25)</f>
        <v>298.78233423750004</v>
      </c>
      <c r="P70" s="262">
        <f>PERCENTILE(P$47:P$66,$B25)</f>
        <v>748.67216025000005</v>
      </c>
      <c r="T70" s="262">
        <f>PERCENTILE(T$47:T$66,$B25)</f>
        <v>610.98325349514391</v>
      </c>
      <c r="W70" s="262">
        <f>PERCENTILE(W$47:W$66,$B25)</f>
        <v>1349.9298966937502</v>
      </c>
      <c r="AA70" s="262">
        <f>PERCENTILE(AA$47:AA$66,$B25)</f>
        <v>1459.9738412704367</v>
      </c>
    </row>
    <row r="71" spans="1:28" ht="14.5">
      <c r="A71" s="15"/>
      <c r="B71" s="15"/>
      <c r="I71" s="270">
        <f>AVERAGE(I47:I66)</f>
        <v>520.10021489535723</v>
      </c>
      <c r="M71" s="270">
        <f>AVERAGE(M47:M66)</f>
        <v>372.29465811850008</v>
      </c>
      <c r="P71" s="270">
        <f>AVERAGE(P47:P66)</f>
        <v>892.39487301385725</v>
      </c>
      <c r="T71" s="270">
        <f>AVERAGE(T47:T66)</f>
        <v>849.43046259120842</v>
      </c>
      <c r="W71" s="270">
        <f>AVERAGE(W47:W66)</f>
        <v>1741.8253356050659</v>
      </c>
      <c r="AA71" s="270">
        <f>AVERAGE(AA47:AA66)</f>
        <v>1864.4238038050657</v>
      </c>
    </row>
    <row r="72" spans="1:28">
      <c r="A72" s="15"/>
      <c r="B72" s="15"/>
    </row>
  </sheetData>
  <sortState xmlns:xlrd2="http://schemas.microsoft.com/office/spreadsheetml/2017/richdata2" ref="A8:AP21">
    <sortCondition descending="1" ref="E8:E21"/>
  </sortState>
  <mergeCells count="10">
    <mergeCell ref="C6:C7"/>
    <mergeCell ref="D6:D7"/>
    <mergeCell ref="E6:E7"/>
    <mergeCell ref="F6:F7"/>
    <mergeCell ref="G6:G7"/>
    <mergeCell ref="I6:I7"/>
    <mergeCell ref="X6:X7"/>
    <mergeCell ref="Y6:Y7"/>
    <mergeCell ref="Z6:AA6"/>
    <mergeCell ref="H6:H7"/>
  </mergeCells>
  <conditionalFormatting sqref="C8:AA21">
    <cfRule type="expression" dxfId="127" priority="3">
      <formula>MOD(ROW(),2)=0</formula>
    </cfRule>
  </conditionalFormatting>
  <conditionalFormatting sqref="C23:AA26">
    <cfRule type="expression" dxfId="126" priority="2">
      <formula>MOD(ROW(),2)=0</formula>
    </cfRule>
  </conditionalFormatting>
  <conditionalFormatting sqref="C28:AA31">
    <cfRule type="expression" dxfId="125" priority="1">
      <formula>MOD(ROW(),2)=0</formula>
    </cfRule>
  </conditionalFormatting>
  <conditionalFormatting sqref="H47:I66">
    <cfRule type="expression" dxfId="124" priority="116">
      <formula>MOD(ROW(),2)=0</formula>
    </cfRule>
  </conditionalFormatting>
  <conditionalFormatting sqref="I68:I71">
    <cfRule type="expression" dxfId="123" priority="121">
      <formula>MOD(ROW(),2)=0</formula>
    </cfRule>
  </conditionalFormatting>
  <conditionalFormatting sqref="M47:M66">
    <cfRule type="expression" dxfId="122" priority="124">
      <formula>MOD(ROW(),2)=0</formula>
    </cfRule>
  </conditionalFormatting>
  <conditionalFormatting sqref="M68:M71">
    <cfRule type="expression" dxfId="121" priority="120">
      <formula>MOD(ROW(),2)=0</formula>
    </cfRule>
  </conditionalFormatting>
  <conditionalFormatting sqref="P47:P66">
    <cfRule type="expression" dxfId="120" priority="123">
      <formula>MOD(ROW(),2)=0</formula>
    </cfRule>
  </conditionalFormatting>
  <conditionalFormatting sqref="P68:P71">
    <cfRule type="expression" dxfId="119" priority="119">
      <formula>MOD(ROW(),2)=0</formula>
    </cfRule>
  </conditionalFormatting>
  <conditionalFormatting sqref="T47:T66">
    <cfRule type="expression" dxfId="118" priority="122">
      <formula>MOD(ROW(),2)=0</formula>
    </cfRule>
  </conditionalFormatting>
  <conditionalFormatting sqref="T68:T71">
    <cfRule type="expression" dxfId="117" priority="118">
      <formula>MOD(ROW(),2)=0</formula>
    </cfRule>
  </conditionalFormatting>
  <conditionalFormatting sqref="W47:W66">
    <cfRule type="expression" dxfId="116" priority="114">
      <formula>MOD(ROW(),2)=0</formula>
    </cfRule>
  </conditionalFormatting>
  <conditionalFormatting sqref="W68:W71">
    <cfRule type="expression" dxfId="115" priority="117">
      <formula>MOD(ROW(),2)=0</formula>
    </cfRule>
  </conditionalFormatting>
  <conditionalFormatting sqref="AA47:AA66">
    <cfRule type="expression" dxfId="114" priority="111">
      <formula>MOD(ROW(),2)=0</formula>
    </cfRule>
  </conditionalFormatting>
  <conditionalFormatting sqref="AA68:AA71">
    <cfRule type="expression" dxfId="113" priority="112">
      <formula>MOD(ROW(),2)=0</formula>
    </cfRule>
  </conditionalFormatting>
  <conditionalFormatting sqref="AC8:AD21">
    <cfRule type="expression" dxfId="112" priority="21">
      <formula>MOD(ROW(),2)=0</formula>
    </cfRule>
  </conditionalFormatting>
  <conditionalFormatting sqref="AC23:AD31">
    <cfRule type="expression" dxfId="111" priority="20">
      <formula>MOD(ROW(),2)=0</formula>
    </cfRule>
  </conditionalFormatting>
  <conditionalFormatting sqref="AG8:AK21">
    <cfRule type="expression" dxfId="110" priority="18">
      <formula>MOD(ROW(),2)=0</formula>
    </cfRule>
  </conditionalFormatting>
  <conditionalFormatting sqref="AL8:AM8 AL9 AL10:AM14 AL15 AL16:AM21">
    <cfRule type="expression" dxfId="109" priority="17">
      <formula>MOD(ROW(),2)=0</formula>
    </cfRule>
  </conditionalFormatting>
  <dataValidations count="1">
    <dataValidation type="list" allowBlank="1" showInputMessage="1" showErrorMessage="1" sqref="G47:G66" xr:uid="{A00D290F-F12A-4EBA-98F3-C33F5B7FB418}">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CF67E-80DA-43EE-AC38-1BDA4283CB84}">
  <sheetPr>
    <tabColor theme="2" tint="0.749992370372631"/>
    <pageSetUpPr fitToPage="1"/>
  </sheetPr>
  <dimension ref="A1:AQ80"/>
  <sheetViews>
    <sheetView showGridLines="0" topLeftCell="G2" zoomScale="68" zoomScaleNormal="68" workbookViewId="0">
      <selection activeCell="AQ17" sqref="AQ17"/>
    </sheetView>
  </sheetViews>
  <sheetFormatPr defaultColWidth="9.1796875" defaultRowHeight="14" outlineLevelRow="1" outlineLevelCol="3"/>
  <cols>
    <col min="1" max="1" width="10.453125" style="12" bestFit="1" customWidth="1"/>
    <col min="2" max="2" width="8.1796875" style="12" customWidth="1"/>
    <col min="3" max="3" width="26.7265625" style="12" bestFit="1" customWidth="1"/>
    <col min="4" max="5" width="14.453125" style="12" hidden="1" customWidth="1" outlineLevel="1"/>
    <col min="6" max="6" width="20.26953125" style="12" bestFit="1" customWidth="1" outlineLevel="1"/>
    <col min="7" max="7" width="51.26953125" style="12" customWidth="1"/>
    <col min="8" max="8" width="8.26953125" style="12" customWidth="1" outlineLevel="1"/>
    <col min="9" max="9" width="10.81640625" style="12" bestFit="1" customWidth="1"/>
    <col min="10" max="10" width="11.1796875" style="12" hidden="1" customWidth="1" outlineLevel="1"/>
    <col min="11" max="11" width="11.7265625" style="12" hidden="1" customWidth="1" outlineLevel="1"/>
    <col min="12" max="12" width="12.453125" style="12" hidden="1" customWidth="1" outlineLevel="1"/>
    <col min="13" max="13" width="11.1796875" style="12" bestFit="1" customWidth="1" collapsed="1"/>
    <col min="14" max="15" width="11.7265625" style="12" bestFit="1" customWidth="1"/>
    <col min="16" max="16" width="11.1796875" style="12" bestFit="1" customWidth="1"/>
    <col min="17" max="18" width="11.1796875" style="12" hidden="1" customWidth="1" outlineLevel="1"/>
    <col min="19" max="19" width="12.26953125" style="12" hidden="1" customWidth="1" outlineLevel="1"/>
    <col min="20" max="20" width="11.1796875" style="12" bestFit="1" customWidth="1" collapsed="1"/>
    <col min="21" max="21" width="11.7265625" style="12" bestFit="1" customWidth="1"/>
    <col min="22" max="23" width="11.1796875" style="12" bestFit="1" customWidth="1"/>
    <col min="24" max="27" width="13.26953125" style="12" customWidth="1" outlineLevel="3"/>
    <col min="28" max="28" width="9.1796875" style="12" customWidth="1" outlineLevel="2"/>
    <col min="29" max="30" width="13.26953125" style="12" customWidth="1" outlineLevel="2"/>
    <col min="31" max="31" width="8.7265625" style="12" customWidth="1" outlineLevel="1"/>
    <col min="32" max="32" width="2.7265625" style="12" customWidth="1"/>
    <col min="33" max="34" width="15.7265625" style="12" customWidth="1" outlineLevel="1"/>
    <col min="35" max="35" width="15.7265625" style="12" customWidth="1" outlineLevel="2"/>
    <col min="36" max="36" width="15.7265625" style="12" customWidth="1" outlineLevel="3"/>
    <col min="37" max="37" width="28.54296875" style="12" customWidth="1" outlineLevel="1"/>
    <col min="38" max="39" width="11.1796875" style="12" bestFit="1" customWidth="1"/>
    <col min="40" max="40" width="16" style="12" bestFit="1" customWidth="1"/>
    <col min="41" max="42" width="9.1796875" style="12"/>
    <col min="43" max="43" width="10.54296875" style="12" customWidth="1"/>
    <col min="44" max="16384" width="9.1796875" style="12"/>
  </cols>
  <sheetData>
    <row r="1" spans="1:43" s="48" customFormat="1" ht="17.25" customHeight="1">
      <c r="A1" s="111">
        <v>45852</v>
      </c>
    </row>
    <row r="2" spans="1:43">
      <c r="A2" s="12" t="s">
        <v>2</v>
      </c>
      <c r="B2" s="49" t="s">
        <v>24</v>
      </c>
      <c r="C2" s="53" t="s">
        <v>360</v>
      </c>
    </row>
    <row r="3" spans="1:43">
      <c r="B3" s="49" t="s">
        <v>23</v>
      </c>
      <c r="C3" s="53">
        <f>'Raw Data'!$G$9</f>
        <v>2025</v>
      </c>
    </row>
    <row r="4" spans="1:43" s="157" customFormat="1" ht="35.15"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Data'!AR31</f>
        <v>Pension Converted</v>
      </c>
      <c r="Y4" s="157" t="str">
        <f>'Raw Data'!AU31</f>
        <v>Other Converted</v>
      </c>
      <c r="Z4" s="157" t="s">
        <v>247</v>
      </c>
      <c r="AA4" s="157" t="s">
        <v>248</v>
      </c>
      <c r="AC4" s="157" t="s">
        <v>11</v>
      </c>
      <c r="AD4" s="157" t="s">
        <v>10</v>
      </c>
    </row>
    <row r="5" spans="1:43" ht="21">
      <c r="B5" s="26"/>
      <c r="C5" s="256" t="str">
        <f>+C2&amp; " Benchmarking - "&amp;'Raw Data'!H5&amp;" $000s"</f>
        <v>Legal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370</v>
      </c>
      <c r="AM5" t="s">
        <v>68</v>
      </c>
      <c r="AN5"/>
    </row>
    <row r="6" spans="1:43" ht="40" customHeight="1">
      <c r="B6" s="45"/>
      <c r="C6" s="1264" t="s">
        <v>22</v>
      </c>
      <c r="D6" s="1266" t="s">
        <v>21</v>
      </c>
      <c r="E6" s="1266" t="s">
        <v>20</v>
      </c>
      <c r="F6" s="1266" t="s">
        <v>19</v>
      </c>
      <c r="G6" s="1266" t="s">
        <v>18</v>
      </c>
      <c r="H6" s="1268" t="s">
        <v>114</v>
      </c>
      <c r="I6" s="1268" t="s">
        <v>17</v>
      </c>
      <c r="J6" s="794" t="s">
        <v>16</v>
      </c>
      <c r="K6" s="794"/>
      <c r="L6" s="794"/>
      <c r="M6" s="794" t="s">
        <v>16</v>
      </c>
      <c r="N6" s="794"/>
      <c r="O6" s="794" t="s">
        <v>15</v>
      </c>
      <c r="P6" s="794"/>
      <c r="Q6" s="794" t="s">
        <v>14</v>
      </c>
      <c r="R6" s="794"/>
      <c r="S6" s="794"/>
      <c r="T6" s="794" t="s">
        <v>14</v>
      </c>
      <c r="U6" s="794"/>
      <c r="V6" s="794" t="s">
        <v>670</v>
      </c>
      <c r="W6" s="794"/>
      <c r="X6" s="1277" t="s">
        <v>31</v>
      </c>
      <c r="Y6" s="1279" t="s">
        <v>245</v>
      </c>
      <c r="Z6" s="1279" t="s">
        <v>244</v>
      </c>
      <c r="AA6" s="1281"/>
      <c r="AB6" s="803"/>
      <c r="AC6" s="804" t="s">
        <v>12</v>
      </c>
      <c r="AD6" s="795"/>
      <c r="AE6" s="803">
        <v>2024</v>
      </c>
      <c r="AF6" s="805"/>
      <c r="AG6" s="801" t="s">
        <v>393</v>
      </c>
      <c r="AH6" s="806"/>
      <c r="AI6" s="806"/>
      <c r="AJ6" s="806"/>
      <c r="AK6" s="806"/>
      <c r="AL6" s="801" t="s">
        <v>393</v>
      </c>
      <c r="AM6" s="802"/>
      <c r="AN6" s="607"/>
    </row>
    <row r="7" spans="1:43" ht="20.149999999999999" customHeight="1">
      <c r="A7" s="52" t="s">
        <v>54</v>
      </c>
      <c r="B7" s="52" t="s">
        <v>25</v>
      </c>
      <c r="C7" s="1265"/>
      <c r="D7" s="1267" t="s">
        <v>21</v>
      </c>
      <c r="E7" s="1267" t="s">
        <v>20</v>
      </c>
      <c r="F7" s="1267" t="s">
        <v>19</v>
      </c>
      <c r="G7" s="1267" t="s">
        <v>18</v>
      </c>
      <c r="H7" s="1269" t="s">
        <v>17</v>
      </c>
      <c r="I7" s="1269" t="s">
        <v>17</v>
      </c>
      <c r="J7" s="796" t="s">
        <v>40</v>
      </c>
      <c r="K7" s="797" t="s">
        <v>51</v>
      </c>
      <c r="L7" s="797" t="s">
        <v>104</v>
      </c>
      <c r="M7" s="797" t="s">
        <v>42</v>
      </c>
      <c r="N7" s="796" t="s">
        <v>41</v>
      </c>
      <c r="O7" s="796" t="s">
        <v>53</v>
      </c>
      <c r="P7" s="796" t="s">
        <v>42</v>
      </c>
      <c r="Q7" s="797" t="s">
        <v>40</v>
      </c>
      <c r="R7" s="798" t="s">
        <v>52</v>
      </c>
      <c r="S7" s="798" t="s">
        <v>105</v>
      </c>
      <c r="T7" s="797" t="s">
        <v>42</v>
      </c>
      <c r="U7" s="799" t="s">
        <v>41</v>
      </c>
      <c r="V7" s="796" t="s">
        <v>40</v>
      </c>
      <c r="W7" s="796" t="s">
        <v>42</v>
      </c>
      <c r="X7" s="1278"/>
      <c r="Y7" s="1280"/>
      <c r="Z7" s="796" t="s">
        <v>40</v>
      </c>
      <c r="AA7" s="800" t="s">
        <v>42</v>
      </c>
      <c r="AB7" s="803"/>
      <c r="AC7" s="807" t="s">
        <v>11</v>
      </c>
      <c r="AD7" s="808" t="s">
        <v>10</v>
      </c>
      <c r="AE7" s="805" t="str">
        <f>AE6&amp;" Lookup"</f>
        <v>2024 Lookup</v>
      </c>
      <c r="AF7" s="805"/>
      <c r="AG7" s="809" t="s">
        <v>22</v>
      </c>
      <c r="AH7" s="1017" t="s">
        <v>19</v>
      </c>
      <c r="AI7" s="1019" t="s">
        <v>397</v>
      </c>
      <c r="AJ7" s="1021" t="s">
        <v>395</v>
      </c>
      <c r="AK7" s="1019" t="s">
        <v>18</v>
      </c>
      <c r="AL7" s="1022" t="s">
        <v>40</v>
      </c>
      <c r="AM7" s="1003" t="s">
        <v>42</v>
      </c>
      <c r="AN7" s="995" t="s">
        <v>396</v>
      </c>
      <c r="AO7" s="12" t="s">
        <v>748</v>
      </c>
    </row>
    <row r="8" spans="1:43" ht="20.25" customHeight="1">
      <c r="A8" s="12" t="str">
        <f t="shared" ref="A8:A18" si="0">$B8&amp;"_"&amp;$C$3&amp;"_"&amp;$C$2</f>
        <v>TSX:LUN_2025_Legal</v>
      </c>
      <c r="B8" s="12" t="str">
        <f>'Peer Group'!A8</f>
        <v>TSX:LUN</v>
      </c>
      <c r="C8" s="746" t="str">
        <f t="shared" ref="C8:C18" si="1">IFERROR(INDEX(Raw_Data,MATCH($A8,Look_Up2,0),MATCH(C$4,Component,0)),"-")</f>
        <v>Lundin Mining Corporation</v>
      </c>
      <c r="D8" s="747">
        <f>_xll.ciqfunctions.udf.CIQ(B8, "IQ_MARKETCAP", $A$1,$A$2)</f>
        <v>11855.56763</v>
      </c>
      <c r="E8" s="747">
        <f>_xll.ciqfunctions.udf.CIQ($B8, "IQ_TEV", $A$1,$A$2)</f>
        <v>16005.2402</v>
      </c>
      <c r="F8" s="748" t="str">
        <f t="shared" ref="F8:G18" si="2">IFERROR(INDEX(Raw_Data,MATCH($A8,Look_Up2,0),MATCH(F$4,Component,0)),"-")</f>
        <v>Peter Brady</v>
      </c>
      <c r="G8" s="748" t="str">
        <f t="shared" si="2"/>
        <v>General Counsel</v>
      </c>
      <c r="H8" s="747">
        <f t="shared" ref="H8:J18" si="3">IFERROR(INDEX(Raw_Data,MATCH($A8,Look_Up2,0),MATCH(H$4,Component,0))/1000,"-")</f>
        <v>630</v>
      </c>
      <c r="I8" s="747">
        <f t="shared" si="3"/>
        <v>630</v>
      </c>
      <c r="J8" s="749">
        <f t="shared" si="3"/>
        <v>506.98380495000004</v>
      </c>
      <c r="K8" s="750">
        <f t="shared" ref="K8:L18" si="4">IFERROR(INDEX(Raw_Data,MATCH($A8,Look_Up2,0),MATCH(K$4,Component,0)),"-")</f>
        <v>0.80473619833333332</v>
      </c>
      <c r="L8" s="750">
        <f t="shared" si="4"/>
        <v>0.8984166614513952</v>
      </c>
      <c r="M8" s="751">
        <f t="shared" ref="M8:M18" si="5">IFERROR(INDEX(Raw_Data,MATCH($A8,Look_Up2,0),MATCH(M$4,Component,0))/1000,"-")</f>
        <v>472.5</v>
      </c>
      <c r="N8" s="752">
        <f t="shared" ref="N8:N18" si="6">IFERROR(IF(INDEX(Raw_Data,MATCH($A8,Look_Up2,0),MATCH(N$4,Component,0))="-",L8,INDEX(Raw_Data,MATCH($A8,Look_Up2,0),MATCH(N$4,Component,0))),"-")</f>
        <v>0.75</v>
      </c>
      <c r="O8" s="749">
        <f t="shared" ref="O8:Q18" si="7">IFERROR(INDEX(Raw_Data,MATCH($A8,Look_Up2,0),MATCH(O$4,Component,0))/1000,"-")</f>
        <v>1136.9838049499999</v>
      </c>
      <c r="P8" s="753">
        <f t="shared" si="7"/>
        <v>1102.5</v>
      </c>
      <c r="Q8" s="749">
        <f t="shared" si="7"/>
        <v>1332.0353655000001</v>
      </c>
      <c r="R8" s="750">
        <f t="shared" ref="R8:S18" si="8">IFERROR(INDEX(Raw_Data,MATCH($A8,Look_Up2,0),MATCH(R$4,Component,0)),"-")</f>
        <v>2.1143418500000002</v>
      </c>
      <c r="S8" s="750">
        <f t="shared" si="8"/>
        <v>1.6558519761689148</v>
      </c>
      <c r="T8" s="751">
        <f t="shared" ref="T8:T18" si="9">IFERROR(INDEX(Raw_Data,MATCH($A8,Look_Up2,0),MATCH(T$4,Component,0))/1000,"-")</f>
        <v>1043.1867449864162</v>
      </c>
      <c r="U8" s="752">
        <f t="shared" ref="U8:U18" si="10">IFERROR(IF(INDEX(Raw_Data,MATCH($A8,Look_Up2,0),MATCH(U$4,Component,0))="-",S8,INDEX(Raw_Data,MATCH($A8,Look_Up2,0),MATCH(U$4,Component,0))),"-")</f>
        <v>1.6558519761689148</v>
      </c>
      <c r="V8" s="749">
        <f t="shared" ref="V8:W18" si="11">IFERROR(INDEX(Raw_Data,MATCH($A8,Look_Up2,0),MATCH(V$4,Component,0))/1000,"-")</f>
        <v>2469.0191704500003</v>
      </c>
      <c r="W8" s="754">
        <f t="shared" si="11"/>
        <v>2145.6867449864162</v>
      </c>
      <c r="X8" s="669" t="str">
        <f t="shared" ref="X8:Y18" si="12">IFERROR((INDEX(Raw_Data,MATCH($A8,Look_Up2,0),MATCH(X$4,Component,0))/1000),"-")</f>
        <v>-</v>
      </c>
      <c r="Y8" s="674">
        <f t="shared" si="12"/>
        <v>144.11622359999998</v>
      </c>
      <c r="Z8" s="669">
        <f t="shared" ref="Z8:AA18" si="13">IFERROR(INDEX(Raw_Data,MATCH($A8,Look_Up2,0),MATCH(Z$4,Component,0))/1000,"-")</f>
        <v>2613.1353940500003</v>
      </c>
      <c r="AA8" s="674">
        <f t="shared" si="13"/>
        <v>2289.8029685864162</v>
      </c>
      <c r="AB8" s="675"/>
      <c r="AC8" s="676">
        <f t="shared" ref="AC8:AC18" si="14">IFERROR(P8/W8,"-")</f>
        <v>0.51382150846393915</v>
      </c>
      <c r="AD8" s="677">
        <f t="shared" ref="AD8:AD18" si="15">IFERROR(T8/W8,"-")</f>
        <v>0.4861784915360608</v>
      </c>
      <c r="AE8" s="678" t="str">
        <f t="shared" ref="AE8:AE18" si="16">B8&amp;"_"&amp;$AE$6&amp;"_"&amp;$C$2</f>
        <v>TSX:LUN_2024_Legal</v>
      </c>
      <c r="AF8" s="678"/>
      <c r="AG8" s="1015" t="str" cm="1">
        <f t="array" ref="AG8">IFERROR(INDEX('Import 2024 Data'!$E$4:$I$113,_xlfn.XMATCH(Legal!$AE8,'Import 2024 Data'!$C$4:$C$113),_xlfn.XMATCH(Legal!AG$5,'Import 2024 Data'!$E$3:$I$3)),"-")</f>
        <v>Lundin Mining Corporation</v>
      </c>
      <c r="AH8" s="1018" t="str" cm="1">
        <f t="array" ref="AH8">IFERROR(INDEX('Import 2024 Data'!$E$4:$I$113,_xlfn.XMATCH(Legal!$AE8,'Import 2024 Data'!$C$4:$C$113),_xlfn.XMATCH(Legal!AH$5,'Import 2024 Data'!$E$3:$I$3)),"-")</f>
        <v>Peter Brady</v>
      </c>
      <c r="AI8" s="1020" t="str">
        <f>IF(ISNUMBER(_xlfn.XMATCH(C8,'Import 2024 Data'!$E$4:$E$113)),"N","Y")</f>
        <v>N</v>
      </c>
      <c r="AJ8" s="1020" t="str">
        <f t="shared" ref="AJ8:AJ18" si="17">IFERROR(IF(TRIM(LOWER(AH8))=TRIM(LOWER(F8)),"N","Y"),"-")</f>
        <v>N</v>
      </c>
      <c r="AK8" s="1016" t="str" cm="1">
        <f t="array" ref="AK8">IFERROR(INDEX('Import 2024 Data'!$E$4:$I$113,_xlfn.XMATCH(Legal!$AE8,'Import 2024 Data'!$C$4:$C$113),_xlfn.XMATCH(Legal!AK$5,'Import 2024 Data'!$E$3:$I$3)),"-")</f>
        <v>General Counsel</v>
      </c>
      <c r="AL8" s="521" cm="1">
        <f t="array" ref="AL8">IFERROR(INDEX('Import 2024 Data'!$E$4:$I$113,_xlfn.XMATCH(Legal!$AE8,'Import 2024 Data'!$C$4:$C$113),_xlfn.XMATCH(Legal!AL$5,'Import 2024 Data'!$E$3:$I$3)),"-")</f>
        <v>2659.9732443200005</v>
      </c>
      <c r="AM8" s="521" cm="1">
        <f t="array" ref="AM8">IFERROR(INDEX('Import 2024 Data'!$E$4:$I$113,_xlfn.XMATCH(Legal!$AE8,'Import 2024 Data'!$C$4:$C$113),_xlfn.XMATCH(Legal!AM$5,'Import 2024 Data'!$E$3:$I$3)),"-")</f>
        <v>1953.8076911166058</v>
      </c>
      <c r="AN8" s="460">
        <f t="shared" ref="AN8:AN18" si="18">IFERROR(IF(AJ8="Y","New Incumbent",W8/AM8-1),"-")</f>
        <v>9.8207748255997096E-2</v>
      </c>
      <c r="AO8" s="591">
        <f t="shared" ref="AO8:AO15" si="19">W8/$W$26 -1</f>
        <v>0.28254775377705443</v>
      </c>
      <c r="AP8"/>
      <c r="AQ8" t="b">
        <f>IF(W8&lt;'Legal+NEO5 - YoY'!$C$15,"Y")</f>
        <v>0</v>
      </c>
    </row>
    <row r="9" spans="1:43" ht="20.25" customHeight="1">
      <c r="A9" s="12" t="str">
        <f t="shared" si="0"/>
        <v>TSX:PAAS_2025_Legal</v>
      </c>
      <c r="B9" s="12" t="str">
        <f>'Peer Group'!A9</f>
        <v>TSX:PAAS</v>
      </c>
      <c r="C9" s="666" t="str">
        <f t="shared" si="1"/>
        <v>Pan American Silver Corp.</v>
      </c>
      <c r="D9" s="667">
        <f>_xll.ciqfunctions.udf.CIQ(B9, "IQ_MARKETCAP", $A$1,$A$2)</f>
        <v>14762.84492</v>
      </c>
      <c r="E9" s="667">
        <f>_xll.ciqfunctions.udf.CIQ($B9, "IQ_TEV", $A$1,$A$2)</f>
        <v>14643.113660000001</v>
      </c>
      <c r="F9" s="668" t="str">
        <f t="shared" si="2"/>
        <v>Christopher Lemon</v>
      </c>
      <c r="G9" s="668" t="str">
        <f t="shared" si="2"/>
        <v>General Counsel</v>
      </c>
      <c r="H9" s="667" t="str">
        <f t="shared" si="3"/>
        <v>-</v>
      </c>
      <c r="I9" s="667">
        <f t="shared" si="3"/>
        <v>700</v>
      </c>
      <c r="J9" s="669">
        <f t="shared" si="3"/>
        <v>824.25</v>
      </c>
      <c r="K9" s="670">
        <f t="shared" si="4"/>
        <v>1.1775</v>
      </c>
      <c r="L9" s="670">
        <f t="shared" si="4"/>
        <v>1.0042077214448406</v>
      </c>
      <c r="M9" s="671">
        <f t="shared" si="5"/>
        <v>560</v>
      </c>
      <c r="N9" s="672">
        <f t="shared" si="6"/>
        <v>0.8</v>
      </c>
      <c r="O9" s="669">
        <f t="shared" si="7"/>
        <v>1524.25</v>
      </c>
      <c r="P9" s="673">
        <f t="shared" si="7"/>
        <v>1260</v>
      </c>
      <c r="Q9" s="669">
        <f t="shared" si="7"/>
        <v>1540</v>
      </c>
      <c r="R9" s="670">
        <f t="shared" si="8"/>
        <v>2.2000000000000002</v>
      </c>
      <c r="S9" s="670">
        <f t="shared" si="8"/>
        <v>2.2175094065153234</v>
      </c>
      <c r="T9" s="671">
        <f t="shared" si="9"/>
        <v>1540.0000000000002</v>
      </c>
      <c r="U9" s="672">
        <f t="shared" si="10"/>
        <v>2.2000000000000002</v>
      </c>
      <c r="V9" s="669">
        <f t="shared" si="11"/>
        <v>3064.25</v>
      </c>
      <c r="W9" s="674">
        <f t="shared" si="11"/>
        <v>2800</v>
      </c>
      <c r="X9" s="669">
        <f t="shared" si="12"/>
        <v>315</v>
      </c>
      <c r="Y9" s="674" t="str">
        <f t="shared" si="12"/>
        <v>-</v>
      </c>
      <c r="Z9" s="669">
        <f t="shared" si="13"/>
        <v>3379.25</v>
      </c>
      <c r="AA9" s="674">
        <f t="shared" si="13"/>
        <v>3115</v>
      </c>
      <c r="AB9" s="675"/>
      <c r="AC9" s="676">
        <f t="shared" si="14"/>
        <v>0.45</v>
      </c>
      <c r="AD9" s="677">
        <f t="shared" si="15"/>
        <v>0.55000000000000004</v>
      </c>
      <c r="AE9" s="678" t="str">
        <f t="shared" si="16"/>
        <v>TSX:PAAS_2024_Legal</v>
      </c>
      <c r="AF9" s="678"/>
      <c r="AG9" s="1006" t="str" cm="1">
        <f t="array" ref="AG9">IFERROR(INDEX('Import 2024 Data'!$E$4:$I$113,_xlfn.XMATCH(Legal!$AE9,'Import 2024 Data'!$C$4:$C$113),_xlfn.XMATCH(Legal!AG$5,'Import 2024 Data'!$E$3:$I$3)),"-")</f>
        <v>Pan American Silver Corp.</v>
      </c>
      <c r="AH9" s="1007" t="str" cm="1">
        <f t="array" ref="AH9">IFERROR(INDEX('Import 2024 Data'!$E$4:$I$113,_xlfn.XMATCH(Legal!$AE9,'Import 2024 Data'!$C$4:$C$113),_xlfn.XMATCH(Legal!AH$5,'Import 2024 Data'!$E$3:$I$3)),"-")</f>
        <v>Christopher Lemon</v>
      </c>
      <c r="AI9" s="1008" t="str">
        <f>IF(ISNUMBER(_xlfn.XMATCH(C9,'Import 2024 Data'!$E$4:$E$113)),"N","Y")</f>
        <v>N</v>
      </c>
      <c r="AJ9" s="1008" t="str">
        <f t="shared" si="17"/>
        <v>N</v>
      </c>
      <c r="AK9" s="1006" t="str" cm="1">
        <f t="array" ref="AK9">IFERROR(INDEX('Import 2024 Data'!$E$4:$I$113,_xlfn.XMATCH(Legal!$AE9,'Import 2024 Data'!$C$4:$C$113),_xlfn.XMATCH(Legal!AK$5,'Import 2024 Data'!$E$3:$I$3)),"-")</f>
        <v>General Counsel</v>
      </c>
      <c r="AL9" s="1023" cm="1">
        <f t="array" ref="AL9">IFERROR(INDEX('Import 2024 Data'!$E$4:$I$113,_xlfn.XMATCH(Legal!$AE9,'Import 2024 Data'!$C$4:$C$113),_xlfn.XMATCH(Legal!AL$5,'Import 2024 Data'!$E$3:$I$3)),"-")</f>
        <v>2597.87</v>
      </c>
      <c r="AM9" s="1023" cm="1">
        <f t="array" ref="AM9">IFERROR(INDEX('Import 2024 Data'!$E$4:$I$113,_xlfn.XMATCH(Legal!$AE9,'Import 2024 Data'!$C$4:$C$113),_xlfn.XMATCH(Legal!AM$5,'Import 2024 Data'!$E$3:$I$3)),"-")</f>
        <v>2537.6</v>
      </c>
      <c r="AN9" s="460">
        <f t="shared" si="18"/>
        <v>0.10340479192938212</v>
      </c>
      <c r="AO9" s="591">
        <f t="shared" si="19"/>
        <v>0.6736523721213028</v>
      </c>
      <c r="AP9"/>
      <c r="AQ9" t="b">
        <f>IF(W9&lt;'Legal+NEO5 - YoY'!$C$15,"Y")</f>
        <v>0</v>
      </c>
    </row>
    <row r="10" spans="1:43" ht="20.25" customHeight="1">
      <c r="A10" s="12" t="str">
        <f t="shared" si="0"/>
        <v>TSX:CDE_2025_Legal</v>
      </c>
      <c r="B10" s="12" t="str">
        <f>'Peer Group'!A10</f>
        <v>TSX:CDE</v>
      </c>
      <c r="C10" s="666" t="str">
        <f t="shared" si="1"/>
        <v>Coeur Mining, Inc.</v>
      </c>
      <c r="D10" s="667">
        <f>_xll.ciqfunctions.udf.CIQ(B10, "IQ_MARKETCAP", $A$1,$A$2)</f>
        <v>8254.4819700000007</v>
      </c>
      <c r="E10" s="667">
        <f>_xll.ciqfunctions.udf.CIQ($B10, "IQ_TEV", $A$1,$A$2)</f>
        <v>8846.5264100000004</v>
      </c>
      <c r="F10" s="668" t="str">
        <f t="shared" si="2"/>
        <v>Casey M. Nault</v>
      </c>
      <c r="G10" s="668" t="str">
        <f t="shared" si="2"/>
        <v>EVP, General Counsel &amp; Secretary</v>
      </c>
      <c r="H10" s="667" t="str">
        <f t="shared" si="3"/>
        <v>-</v>
      </c>
      <c r="I10" s="667">
        <f t="shared" si="3"/>
        <v>593.91624999999999</v>
      </c>
      <c r="J10" s="669">
        <f t="shared" si="3"/>
        <v>780.40595250000001</v>
      </c>
      <c r="K10" s="670">
        <f t="shared" si="4"/>
        <v>1.3140000000000001</v>
      </c>
      <c r="L10" s="670">
        <f t="shared" si="4"/>
        <v>1.0860000000000001</v>
      </c>
      <c r="M10" s="671">
        <f t="shared" si="5"/>
        <v>593.91624999999999</v>
      </c>
      <c r="N10" s="672">
        <f>IFERROR(IF(INDEX(Raw_Data,MATCH($A10,Look_Up2,0),MATCH(N$4,Component,0))="-",L10,INDEX(Raw_Data,MATCH($A10,Look_Up2,0),MATCH(N$4,Component,0))),"-")</f>
        <v>1</v>
      </c>
      <c r="O10" s="669">
        <f t="shared" si="7"/>
        <v>1374.3222025000002</v>
      </c>
      <c r="P10" s="673">
        <f t="shared" si="7"/>
        <v>1187.8325</v>
      </c>
      <c r="Q10" s="669">
        <f t="shared" si="7"/>
        <v>2012.0079839499999</v>
      </c>
      <c r="R10" s="670">
        <f t="shared" si="8"/>
        <v>3.3876964705882355</v>
      </c>
      <c r="S10" s="670">
        <f t="shared" si="8"/>
        <v>2.4672972549019607</v>
      </c>
      <c r="T10" s="671">
        <f t="shared" si="9"/>
        <v>1336.3115625</v>
      </c>
      <c r="U10" s="672">
        <f>IFERROR(IF(INDEX(Raw_Data,MATCH($A10,Look_Up2,0),MATCH(U$4,Component,0))="-",S10,INDEX(Raw_Data,MATCH($A10,Look_Up2,0),MATCH(U$4,Component,0))),"-")</f>
        <v>2.25</v>
      </c>
      <c r="V10" s="669">
        <f t="shared" si="11"/>
        <v>3386.3301864499999</v>
      </c>
      <c r="W10" s="674">
        <f t="shared" si="11"/>
        <v>2524.1440625</v>
      </c>
      <c r="X10" s="669">
        <f t="shared" si="12"/>
        <v>29.346450000000001</v>
      </c>
      <c r="Y10" s="674">
        <f t="shared" si="12"/>
        <v>64.333008200000009</v>
      </c>
      <c r="Z10" s="669">
        <f t="shared" si="13"/>
        <v>3480.0096446500002</v>
      </c>
      <c r="AA10" s="674">
        <f t="shared" si="13"/>
        <v>2617.8235207000002</v>
      </c>
      <c r="AB10" s="675"/>
      <c r="AC10" s="676">
        <f>IFERROR(P10/W10,"-")</f>
        <v>0.47058823529411764</v>
      </c>
      <c r="AD10" s="677">
        <f>IFERROR(T10/W10,"-")</f>
        <v>0.52941176470588236</v>
      </c>
      <c r="AE10" s="678" t="str">
        <f>B10&amp;"_"&amp;$AE$6&amp;"_"&amp;$C$2</f>
        <v>TSX:CDE_2024_Legal</v>
      </c>
      <c r="AF10" s="678"/>
      <c r="AG10" s="1006" t="str" cm="1">
        <f t="array" ref="AG10">IFERROR(INDEX('Import 2024 Data'!$E$4:$I$113,_xlfn.XMATCH(Legal!$AE10,'Import 2024 Data'!$C$4:$C$113),_xlfn.XMATCH(Legal!AG$5,'Import 2024 Data'!$E$3:$I$3)),"-")</f>
        <v>-</v>
      </c>
      <c r="AH10" s="1007" t="str" cm="1">
        <f t="array" ref="AH10">IFERROR(INDEX('Import 2024 Data'!$E$4:$I$113,_xlfn.XMATCH(Legal!$AE10,'Import 2024 Data'!$C$4:$C$113),_xlfn.XMATCH(Legal!AH$5,'Import 2024 Data'!$E$3:$I$3)),"-")</f>
        <v>-</v>
      </c>
      <c r="AI10" s="1008" t="str">
        <f>IF(ISNUMBER(_xlfn.XMATCH(C10,'Import 2024 Data'!$E$4:$E$113)),"N","Y")</f>
        <v>Y</v>
      </c>
      <c r="AJ10" s="1008" t="str">
        <f>IFERROR(IF(TRIM(LOWER(AH10))=TRIM(LOWER(F10)),"N","Y"),"-")</f>
        <v>Y</v>
      </c>
      <c r="AK10" s="1006" t="str" cm="1">
        <f t="array" ref="AK10">IFERROR(INDEX('Import 2024 Data'!$E$4:$I$113,_xlfn.XMATCH(Legal!$AE10,'Import 2024 Data'!$C$4:$C$113),_xlfn.XMATCH(Legal!AK$5,'Import 2024 Data'!$E$3:$I$3)),"-")</f>
        <v>-</v>
      </c>
      <c r="AL10" s="521" t="str" cm="1">
        <f t="array" ref="AL10">IFERROR(INDEX('Import 2024 Data'!$E$4:$I$113,_xlfn.XMATCH(Legal!$AE10,'Import 2024 Data'!$C$4:$C$113),_xlfn.XMATCH(Legal!AL$5,'Import 2024 Data'!$E$3:$I$3)),"-")</f>
        <v>-</v>
      </c>
      <c r="AM10" s="521" t="str" cm="1">
        <f t="array" ref="AM10">IFERROR(INDEX('Import 2024 Data'!$E$4:$I$113,_xlfn.XMATCH(Legal!$AE10,'Import 2024 Data'!$C$4:$C$113),_xlfn.XMATCH(Legal!AM$5,'Import 2024 Data'!$E$3:$I$3)),"-")</f>
        <v>-</v>
      </c>
      <c r="AN10" s="460" t="str">
        <f t="shared" si="18"/>
        <v>New Incumbent</v>
      </c>
      <c r="AO10" s="591">
        <f t="shared" si="19"/>
        <v>0.50876417777822391</v>
      </c>
      <c r="AP10"/>
      <c r="AQ10" t="b">
        <f>IF(W10&lt;'Legal+NEO5 - YoY'!$C$15,"Y")</f>
        <v>0</v>
      </c>
    </row>
    <row r="11" spans="1:43" ht="20.25" customHeight="1">
      <c r="A11" s="12" t="str">
        <f t="shared" si="0"/>
        <v>NYSE:HL_2025_Legal</v>
      </c>
      <c r="B11" s="12" t="str">
        <f>'Peer Group'!A12</f>
        <v>NYSE:HL</v>
      </c>
      <c r="C11" s="666" t="str">
        <f t="shared" si="1"/>
        <v>Hecla Mining Company</v>
      </c>
      <c r="D11" s="667">
        <f>_xll.ciqfunctions.udf.CIQ(B11, "IQ_MARKETCAP", $A$1,$A$2)</f>
        <v>5232.0834199999999</v>
      </c>
      <c r="E11" s="667">
        <f>_xll.ciqfunctions.udf.CIQ($B11, "IQ_TEV", $A$1,$A$2)</f>
        <v>5991.3399399999998</v>
      </c>
      <c r="F11" s="668" t="str">
        <f t="shared" si="2"/>
        <v>David C. Sienko</v>
      </c>
      <c r="G11" s="668" t="str">
        <f t="shared" si="2"/>
        <v>SVP &amp; General Counsel &amp; Secretary</v>
      </c>
      <c r="H11" s="667">
        <f t="shared" si="3"/>
        <v>558.98</v>
      </c>
      <c r="I11" s="667">
        <f t="shared" si="3"/>
        <v>558.98</v>
      </c>
      <c r="J11" s="669">
        <f t="shared" si="3"/>
        <v>764.68464000000006</v>
      </c>
      <c r="K11" s="670">
        <f t="shared" si="4"/>
        <v>1.3680000000000001</v>
      </c>
      <c r="L11" s="670">
        <f t="shared" si="4"/>
        <v>1.1451854684512428</v>
      </c>
      <c r="M11" s="671">
        <f t="shared" si="5"/>
        <v>447.18400000000003</v>
      </c>
      <c r="N11" s="672">
        <f>IFERROR(IF(INDEX(Raw_Data,MATCH($A11,Look_Up2,0),MATCH(N$4,Component,0))="-",L11,INDEX(Raw_Data,MATCH($A11,Look_Up2,0),MATCH(N$4,Component,0))),"-")</f>
        <v>0.8</v>
      </c>
      <c r="O11" s="669">
        <f t="shared" si="7"/>
        <v>1323.6646400000002</v>
      </c>
      <c r="P11" s="673">
        <f t="shared" si="7"/>
        <v>1006.164</v>
      </c>
      <c r="Q11" s="669">
        <f t="shared" si="7"/>
        <v>891.49763770000004</v>
      </c>
      <c r="R11" s="670">
        <f t="shared" si="8"/>
        <v>1.5948650000000002</v>
      </c>
      <c r="S11" s="670">
        <f t="shared" si="8"/>
        <v>2.008026763862333</v>
      </c>
      <c r="T11" s="671">
        <f t="shared" si="9"/>
        <v>978.21500000000003</v>
      </c>
      <c r="U11" s="672">
        <f>IFERROR(IF(INDEX(Raw_Data,MATCH($A11,Look_Up2,0),MATCH(U$4,Component,0))="-",S11,INDEX(Raw_Data,MATCH($A11,Look_Up2,0),MATCH(U$4,Component,0))),"-")</f>
        <v>1.75</v>
      </c>
      <c r="V11" s="669">
        <f t="shared" si="11"/>
        <v>2215.1622777000002</v>
      </c>
      <c r="W11" s="674">
        <f t="shared" si="11"/>
        <v>1984.3789999999999</v>
      </c>
      <c r="X11" s="669">
        <f t="shared" si="12"/>
        <v>164.92565155</v>
      </c>
      <c r="Y11" s="674">
        <f t="shared" si="12"/>
        <v>33.215989050000005</v>
      </c>
      <c r="Z11" s="669">
        <f t="shared" si="13"/>
        <v>2413.3039183000005</v>
      </c>
      <c r="AA11" s="674">
        <f t="shared" si="13"/>
        <v>2182.5206406000002</v>
      </c>
      <c r="AB11" s="675"/>
      <c r="AC11" s="676">
        <f>IFERROR(P11/W11,"-")</f>
        <v>0.50704225352112675</v>
      </c>
      <c r="AD11" s="677">
        <f>IFERROR(T11/W11,"-")</f>
        <v>0.4929577464788733</v>
      </c>
      <c r="AE11" s="678" t="str">
        <f>B11&amp;"_"&amp;$AE$6&amp;"_"&amp;$C$2</f>
        <v>NYSE:HL_2024_Legal</v>
      </c>
      <c r="AF11" s="678"/>
      <c r="AG11" s="1006" t="str" cm="1">
        <f t="array" ref="AG11">IFERROR(INDEX('Import 2024 Data'!$E$4:$I$113,_xlfn.XMATCH(Legal!$AE11,'Import 2024 Data'!$C$4:$C$113),_xlfn.XMATCH(Legal!AG$5,'Import 2024 Data'!$E$3:$I$3)),"-")</f>
        <v>Hecla Mining Company</v>
      </c>
      <c r="AH11" s="1007" t="str" cm="1">
        <f t="array" ref="AH11">IFERROR(INDEX('Import 2024 Data'!$E$4:$I$113,_xlfn.XMATCH(Legal!$AE11,'Import 2024 Data'!$C$4:$C$113),_xlfn.XMATCH(Legal!AH$5,'Import 2024 Data'!$E$3:$I$3)),"-")</f>
        <v>David C. Sienko</v>
      </c>
      <c r="AI11" s="1008" t="str">
        <f>IF(ISNUMBER(_xlfn.XMATCH(C11,'Import 2024 Data'!$E$4:$E$113)),"N","Y")</f>
        <v>N</v>
      </c>
      <c r="AJ11" s="1008" t="str">
        <f>IFERROR(IF(TRIM(LOWER(AH11))=TRIM(LOWER(F11)),"N","Y"),"-")</f>
        <v>N</v>
      </c>
      <c r="AK11" s="1006" t="str" cm="1">
        <f t="array" ref="AK11">IFERROR(INDEX('Import 2024 Data'!$E$4:$I$113,_xlfn.XMATCH(Legal!$AE11,'Import 2024 Data'!$C$4:$C$113),_xlfn.XMATCH(Legal!AK$5,'Import 2024 Data'!$E$3:$I$3)),"-")</f>
        <v>SVP &amp; General Counsel and Corporate Secretary</v>
      </c>
      <c r="AL11" s="521" cm="1">
        <f t="array" ref="AL11">IFERROR(INDEX('Import 2024 Data'!$E$4:$I$113,_xlfn.XMATCH(Legal!$AE11,'Import 2024 Data'!$C$4:$C$113),_xlfn.XMATCH(Legal!AL$5,'Import 2024 Data'!$E$3:$I$3)),"-")</f>
        <v>1945.3687361700001</v>
      </c>
      <c r="AM11" s="521" cm="1">
        <f t="array" ref="AM11">IFERROR(INDEX('Import 2024 Data'!$E$4:$I$113,_xlfn.XMATCH(Legal!$AE11,'Import 2024 Data'!$C$4:$C$113),_xlfn.XMATCH(Legal!AM$5,'Import 2024 Data'!$E$3:$I$3)),"-")</f>
        <v>1786.7588945262683</v>
      </c>
      <c r="AN11" s="460">
        <f t="shared" si="18"/>
        <v>0.11060255867713353</v>
      </c>
      <c r="AO11" s="591">
        <f>W11/$W$26 -1</f>
        <v>0.18612879304917818</v>
      </c>
      <c r="AP11"/>
      <c r="AQ11" t="b">
        <f>IF(W11&lt;'Legal+NEO5 - YoY'!$C$15,"Y")</f>
        <v>0</v>
      </c>
    </row>
    <row r="12" spans="1:43" ht="20.25" customHeight="1">
      <c r="A12" s="12" t="str">
        <f t="shared" si="0"/>
        <v>TSX:IMG_2025_Legal</v>
      </c>
      <c r="B12" s="12" t="str">
        <f>'Peer Group'!A13</f>
        <v>TSX:IMG</v>
      </c>
      <c r="C12" s="666" t="str">
        <f t="shared" si="1"/>
        <v>IAMGOLD Corporation</v>
      </c>
      <c r="D12" s="667">
        <f>_xll.ciqfunctions.udf.CIQ(B12, "IQ_MARKETCAP", $A$1,$A$2)</f>
        <v>5554.9869099999996</v>
      </c>
      <c r="E12" s="667">
        <f>_xll.ciqfunctions.udf.CIQ($B12, "IQ_TEV", $A$1,$A$2)</f>
        <v>6834.0846799999999</v>
      </c>
      <c r="F12" s="668" t="str">
        <f t="shared" si="2"/>
        <v>Annie Torkia Lagacé</v>
      </c>
      <c r="G12" s="668" t="str">
        <f t="shared" si="2"/>
        <v>CLSO</v>
      </c>
      <c r="H12" s="667" t="str">
        <f t="shared" si="3"/>
        <v>-</v>
      </c>
      <c r="I12" s="667">
        <f t="shared" si="3"/>
        <v>470</v>
      </c>
      <c r="J12" s="669">
        <f t="shared" si="3"/>
        <v>363.44685196374621</v>
      </c>
      <c r="K12" s="670">
        <f t="shared" si="4"/>
        <v>0.7732911743909493</v>
      </c>
      <c r="L12" s="670">
        <f t="shared" si="4"/>
        <v>0.7732911743909493</v>
      </c>
      <c r="M12" s="671">
        <f t="shared" si="5"/>
        <v>329</v>
      </c>
      <c r="N12" s="672">
        <f>IFERROR(IF(INDEX(Raw_Data,MATCH($A12,Look_Up2,0),MATCH(N$4,Component,0))="-",L12,INDEX(Raw_Data,MATCH($A12,Look_Up2,0),MATCH(N$4,Component,0))),"-")</f>
        <v>0.7</v>
      </c>
      <c r="O12" s="669">
        <f t="shared" si="7"/>
        <v>833.4468519637461</v>
      </c>
      <c r="P12" s="673">
        <f t="shared" si="7"/>
        <v>799</v>
      </c>
      <c r="Q12" s="669">
        <f t="shared" si="7"/>
        <v>679.48500000000001</v>
      </c>
      <c r="R12" s="670">
        <f t="shared" si="8"/>
        <v>1.4457127659574469</v>
      </c>
      <c r="S12" s="670">
        <f t="shared" si="8"/>
        <v>1.4457127659574469</v>
      </c>
      <c r="T12" s="671">
        <f t="shared" si="9"/>
        <v>705</v>
      </c>
      <c r="U12" s="672">
        <f>IFERROR(IF(INDEX(Raw_Data,MATCH($A12,Look_Up2,0),MATCH(U$4,Component,0))="-",S12,INDEX(Raw_Data,MATCH($A12,Look_Up2,0),MATCH(U$4,Component,0))),"-")</f>
        <v>1.5</v>
      </c>
      <c r="V12" s="669">
        <f t="shared" si="11"/>
        <v>1512.9318519637461</v>
      </c>
      <c r="W12" s="674">
        <f t="shared" si="11"/>
        <v>1504</v>
      </c>
      <c r="X12" s="669">
        <f t="shared" si="12"/>
        <v>21.372628398791541</v>
      </c>
      <c r="Y12" s="674">
        <f t="shared" si="12"/>
        <v>41.894090634441085</v>
      </c>
      <c r="Z12" s="669">
        <f t="shared" si="13"/>
        <v>1576.1985709969788</v>
      </c>
      <c r="AA12" s="674">
        <f t="shared" si="13"/>
        <v>1567.2667190332327</v>
      </c>
      <c r="AB12" s="675"/>
      <c r="AC12" s="676">
        <f>IFERROR(P12/W12,"-")</f>
        <v>0.53125</v>
      </c>
      <c r="AD12" s="677">
        <f>IFERROR(T12/W12,"-")</f>
        <v>0.46875</v>
      </c>
      <c r="AE12" s="678" t="str">
        <f>B12&amp;"_"&amp;$AE$6&amp;"_"&amp;$C$2</f>
        <v>TSX:IMG_2024_Legal</v>
      </c>
      <c r="AF12" s="678"/>
      <c r="AG12" s="1006" t="str" cm="1">
        <f t="array" ref="AG12">IFERROR(INDEX('Import 2024 Data'!$E$4:$I$113,_xlfn.XMATCH(Legal!$AE12,'Import 2024 Data'!$C$4:$C$113),_xlfn.XMATCH(Legal!AG$5,'Import 2024 Data'!$E$3:$I$3)),"-")</f>
        <v>IAMGOLD Corporation</v>
      </c>
      <c r="AH12" s="1007" t="str" cm="1">
        <f t="array" ref="AH12">IFERROR(INDEX('Import 2024 Data'!$E$4:$I$113,_xlfn.XMATCH(Legal!$AE12,'Import 2024 Data'!$C$4:$C$113),_xlfn.XMATCH(Legal!AH$5,'Import 2024 Data'!$E$3:$I$3)),"-")</f>
        <v>Tim Bradburn</v>
      </c>
      <c r="AI12" s="1008" t="str">
        <f>IF(ISNUMBER(_xlfn.XMATCH(C12,'Import 2024 Data'!$E$4:$E$113)),"N","Y")</f>
        <v>N</v>
      </c>
      <c r="AJ12" s="1008" t="str">
        <f>IFERROR(IF(TRIM(LOWER(AH12))=TRIM(LOWER(F12)),"N","Y"),"-")</f>
        <v>Y</v>
      </c>
      <c r="AK12" s="1006" t="str" cm="1">
        <f t="array" ref="AK12">IFERROR(INDEX('Import 2024 Data'!$E$4:$I$113,_xlfn.XMATCH(Legal!$AE12,'Import 2024 Data'!$C$4:$C$113),_xlfn.XMATCH(Legal!AK$5,'Import 2024 Data'!$E$3:$I$3)),"-")</f>
        <v>SVP, General Counsel &amp; Corporate Secretary</v>
      </c>
      <c r="AL12" s="521" cm="1">
        <f t="array" ref="AL12">IFERROR(INDEX('Import 2024 Data'!$E$4:$I$113,_xlfn.XMATCH(Legal!$AE12,'Import 2024 Data'!$C$4:$C$113),_xlfn.XMATCH(Legal!AL$5,'Import 2024 Data'!$E$3:$I$3)),"-")</f>
        <v>449.904</v>
      </c>
      <c r="AM12" s="521" cm="1">
        <f t="array" ref="AM12">IFERROR(INDEX('Import 2024 Data'!$E$4:$I$113,_xlfn.XMATCH(Legal!$AE12,'Import 2024 Data'!$C$4:$C$113),_xlfn.XMATCH(Legal!AM$5,'Import 2024 Data'!$E$3:$I$3)),"-")</f>
        <v>1327.2168000000004</v>
      </c>
      <c r="AN12" s="460" t="str">
        <f t="shared" si="18"/>
        <v>New Incumbent</v>
      </c>
      <c r="AO12" s="591">
        <f t="shared" si="19"/>
        <v>-0.10100958297484308</v>
      </c>
      <c r="AP12"/>
      <c r="AQ12" t="str">
        <f>IF(W12&lt;'Legal+NEO5 - YoY'!$C$15,"Y")</f>
        <v>Y</v>
      </c>
    </row>
    <row r="13" spans="1:43" ht="20.25" customHeight="1">
      <c r="A13" s="12" t="str">
        <f t="shared" si="0"/>
        <v>TSX:CS_2025_Legal</v>
      </c>
      <c r="B13" s="12" t="str">
        <f>'Peer Group'!A14</f>
        <v>TSX:CS</v>
      </c>
      <c r="C13" s="666" t="str">
        <f t="shared" si="1"/>
        <v>Capstone Copper Corp.</v>
      </c>
      <c r="D13" s="667">
        <f>_xll.ciqfunctions.udf.CIQ(B13, "IQ_MARKETCAP", $A$1,$A$2)</f>
        <v>5953.1492900000003</v>
      </c>
      <c r="E13" s="667">
        <f>_xll.ciqfunctions.udf.CIQ($B13, "IQ_TEV", $A$1,$A$2)</f>
        <v>8486.01584</v>
      </c>
      <c r="F13" s="668" t="str">
        <f t="shared" si="2"/>
        <v>Wendy King</v>
      </c>
      <c r="G13" s="668" t="str">
        <f t="shared" si="2"/>
        <v>Senior VP, Risk, ESG, General Counsel &amp; Corporate Secretary</v>
      </c>
      <c r="H13" s="667" t="str">
        <f t="shared" si="3"/>
        <v>-</v>
      </c>
      <c r="I13" s="667">
        <f t="shared" si="3"/>
        <v>475</v>
      </c>
      <c r="J13" s="669">
        <f t="shared" si="3"/>
        <v>448.51900000000001</v>
      </c>
      <c r="K13" s="670">
        <f t="shared" si="4"/>
        <v>0.94425052631578943</v>
      </c>
      <c r="L13" s="670">
        <f t="shared" si="4"/>
        <v>0.75625060652907816</v>
      </c>
      <c r="M13" s="671">
        <f t="shared" si="5"/>
        <v>356.25</v>
      </c>
      <c r="N13" s="672">
        <f t="shared" si="6"/>
        <v>0.75</v>
      </c>
      <c r="O13" s="669">
        <f t="shared" si="7"/>
        <v>923.51900000000001</v>
      </c>
      <c r="P13" s="673">
        <f t="shared" si="7"/>
        <v>831.25</v>
      </c>
      <c r="Q13" s="669">
        <f t="shared" si="7"/>
        <v>712.49839687500003</v>
      </c>
      <c r="R13" s="670">
        <f t="shared" si="8"/>
        <v>1.4999966249999999</v>
      </c>
      <c r="S13" s="670">
        <f t="shared" si="8"/>
        <v>1.4999966250000003</v>
      </c>
      <c r="T13" s="671">
        <f t="shared" si="9"/>
        <v>712.5</v>
      </c>
      <c r="U13" s="672">
        <f t="shared" si="10"/>
        <v>1.5</v>
      </c>
      <c r="V13" s="669">
        <f t="shared" si="11"/>
        <v>1636.017396875</v>
      </c>
      <c r="W13" s="674">
        <f t="shared" si="11"/>
        <v>1543.75</v>
      </c>
      <c r="X13" s="669" t="str">
        <f t="shared" si="12"/>
        <v>-</v>
      </c>
      <c r="Y13" s="674">
        <f t="shared" si="12"/>
        <v>70.742999999999995</v>
      </c>
      <c r="Z13" s="669">
        <f t="shared" si="13"/>
        <v>1706.7603968750002</v>
      </c>
      <c r="AA13" s="674">
        <f t="shared" si="13"/>
        <v>1614.4929999999999</v>
      </c>
      <c r="AB13" s="675"/>
      <c r="AC13" s="676">
        <f t="shared" si="14"/>
        <v>0.53846153846153844</v>
      </c>
      <c r="AD13" s="677">
        <f t="shared" si="15"/>
        <v>0.46153846153846156</v>
      </c>
      <c r="AE13" s="678" t="str">
        <f t="shared" si="16"/>
        <v>TSX:CS_2024_Legal</v>
      </c>
      <c r="AF13" s="678"/>
      <c r="AG13" s="1006" t="str" cm="1">
        <f t="array" ref="AG13">IFERROR(INDEX('Import 2024 Data'!$E$4:$I$113,_xlfn.XMATCH(Legal!$AE13,'Import 2024 Data'!$C$4:$C$113),_xlfn.XMATCH(Legal!AG$5,'Import 2024 Data'!$E$3:$I$3)),"-")</f>
        <v>Capstone Copper Corp.</v>
      </c>
      <c r="AH13" s="1007" t="str" cm="1">
        <f t="array" ref="AH13">IFERROR(INDEX('Import 2024 Data'!$E$4:$I$113,_xlfn.XMATCH(Legal!$AE13,'Import 2024 Data'!$C$4:$C$113),_xlfn.XMATCH(Legal!AH$5,'Import 2024 Data'!$E$3:$I$3)),"-")</f>
        <v>Wendy King</v>
      </c>
      <c r="AI13" s="1008" t="str">
        <f>IF(ISNUMBER(_xlfn.XMATCH(C13,'Import 2024 Data'!$E$4:$E$113)),"N","Y")</f>
        <v>N</v>
      </c>
      <c r="AJ13" s="1008" t="str">
        <f t="shared" si="17"/>
        <v>N</v>
      </c>
      <c r="AK13" s="1006" t="str" cm="1">
        <f t="array" ref="AK13">IFERROR(INDEX('Import 2024 Data'!$E$4:$I$113,_xlfn.XMATCH(Legal!$AE13,'Import 2024 Data'!$C$4:$C$113),_xlfn.XMATCH(Legal!AK$5,'Import 2024 Data'!$E$3:$I$3)),"-")</f>
        <v>SVP, Risk, ESG, General Counsel &amp; Corporate Secretary</v>
      </c>
      <c r="AL13" s="521" cm="1">
        <f t="array" ref="AL13">IFERROR(INDEX('Import 2024 Data'!$E$4:$I$113,_xlfn.XMATCH(Legal!$AE13,'Import 2024 Data'!$C$4:$C$113),_xlfn.XMATCH(Legal!AL$5,'Import 2024 Data'!$E$3:$I$3)),"-")</f>
        <v>1435.422</v>
      </c>
      <c r="AM13" s="521" cm="1">
        <f t="array" ref="AM13">IFERROR(INDEX('Import 2024 Data'!$E$4:$I$113,_xlfn.XMATCH(Legal!$AE13,'Import 2024 Data'!$C$4:$C$113),_xlfn.XMATCH(Legal!AM$5,'Import 2024 Data'!$E$3:$I$3)),"-")</f>
        <v>1467.596</v>
      </c>
      <c r="AN13" s="460">
        <f t="shared" si="18"/>
        <v>5.1890302235765073E-2</v>
      </c>
      <c r="AO13" s="591">
        <f>W13/$W$26 -1</f>
        <v>-7.7249696620620978E-2</v>
      </c>
      <c r="AP13"/>
      <c r="AQ13" t="str">
        <f>IF(W13&lt;'Legal+NEO5 - YoY'!$C$15,"Y")</f>
        <v>Y</v>
      </c>
    </row>
    <row r="14" spans="1:43" ht="20.25" customHeight="1">
      <c r="A14" s="12" t="str">
        <f t="shared" si="0"/>
        <v>TSX:ELD_2025_Legal</v>
      </c>
      <c r="B14" s="12" t="str">
        <f>'Peer Group'!A15</f>
        <v>TSX:ELD</v>
      </c>
      <c r="C14" s="666" t="str">
        <f t="shared" si="1"/>
        <v>Eldorado Gold Corporation</v>
      </c>
      <c r="D14" s="667">
        <f>_xll.ciqfunctions.udf.CIQ(B14, "IQ_MARKETCAP", $A$1,$A$2)</f>
        <v>5759.9111199999998</v>
      </c>
      <c r="E14" s="667">
        <f>_xll.ciqfunctions.udf.CIQ($B14, "IQ_TEV", $A$1,$A$2)</f>
        <v>5657.0414199999996</v>
      </c>
      <c r="F14" s="668" t="str">
        <f t="shared" si="2"/>
        <v>Frank Herbert</v>
      </c>
      <c r="G14" s="668" t="str">
        <f t="shared" si="2"/>
        <v>EVP, General Counsel &amp; Chief Compliance Officer</v>
      </c>
      <c r="H14" s="667" t="str">
        <f t="shared" si="3"/>
        <v>-</v>
      </c>
      <c r="I14" s="667">
        <f t="shared" si="3"/>
        <v>492.2</v>
      </c>
      <c r="J14" s="669">
        <f t="shared" si="3"/>
        <v>452.82400000000001</v>
      </c>
      <c r="K14" s="670">
        <f t="shared" si="4"/>
        <v>0.92</v>
      </c>
      <c r="L14" s="670">
        <f t="shared" si="4"/>
        <v>0.93598309740122543</v>
      </c>
      <c r="M14" s="671">
        <f t="shared" si="5"/>
        <v>393.76</v>
      </c>
      <c r="N14" s="672">
        <f t="shared" si="6"/>
        <v>0.8</v>
      </c>
      <c r="O14" s="669">
        <f t="shared" si="7"/>
        <v>945.024</v>
      </c>
      <c r="P14" s="673">
        <f t="shared" si="7"/>
        <v>885.96</v>
      </c>
      <c r="Q14" s="669">
        <f t="shared" si="7"/>
        <v>738.268998338909</v>
      </c>
      <c r="R14" s="670">
        <f t="shared" si="8"/>
        <v>1.4999370140977428</v>
      </c>
      <c r="S14" s="670">
        <f t="shared" si="8"/>
        <v>1.4999462890344655</v>
      </c>
      <c r="T14" s="671">
        <f t="shared" si="9"/>
        <v>738.3</v>
      </c>
      <c r="U14" s="672">
        <f t="shared" si="10"/>
        <v>1.5</v>
      </c>
      <c r="V14" s="669">
        <f t="shared" si="11"/>
        <v>1683.292998338909</v>
      </c>
      <c r="W14" s="674">
        <f t="shared" si="11"/>
        <v>1624.26</v>
      </c>
      <c r="X14" s="669">
        <f t="shared" si="12"/>
        <v>88.596000000000004</v>
      </c>
      <c r="Y14" s="674" t="str">
        <f t="shared" si="12"/>
        <v>-</v>
      </c>
      <c r="Z14" s="669">
        <f t="shared" si="13"/>
        <v>1771.8889983389088</v>
      </c>
      <c r="AA14" s="674">
        <f t="shared" si="13"/>
        <v>1712.856</v>
      </c>
      <c r="AB14" s="675"/>
      <c r="AC14" s="676">
        <f t="shared" si="14"/>
        <v>0.54545454545454553</v>
      </c>
      <c r="AD14" s="677">
        <f t="shared" si="15"/>
        <v>0.45454545454545453</v>
      </c>
      <c r="AE14" s="678" t="str">
        <f t="shared" si="16"/>
        <v>TSX:ELD_2024_Legal</v>
      </c>
      <c r="AF14" s="678"/>
      <c r="AG14" s="1006" t="str" cm="1">
        <f t="array" ref="AG14">IFERROR(INDEX('Import 2024 Data'!$E$4:$I$113,_xlfn.XMATCH(Legal!$AE14,'Import 2024 Data'!$C$4:$C$113),_xlfn.XMATCH(Legal!AG$5,'Import 2024 Data'!$E$3:$I$3)),"-")</f>
        <v>Eldorado Gold Corporation</v>
      </c>
      <c r="AH14" s="1007" t="str" cm="1">
        <f t="array" ref="AH14">IFERROR(INDEX('Import 2024 Data'!$E$4:$I$113,_xlfn.XMATCH(Legal!$AE14,'Import 2024 Data'!$C$4:$C$113),_xlfn.XMATCH(Legal!AH$5,'Import 2024 Data'!$E$3:$I$3)),"-")</f>
        <v>Frank Herbert</v>
      </c>
      <c r="AI14" s="1008" t="str">
        <f>IF(ISNUMBER(_xlfn.XMATCH(C14,'Import 2024 Data'!$E$4:$E$113)),"N","Y")</f>
        <v>N</v>
      </c>
      <c r="AJ14" s="1008" t="str">
        <f t="shared" si="17"/>
        <v>N</v>
      </c>
      <c r="AK14" s="1006" t="str" cm="1">
        <f t="array" ref="AK14">IFERROR(INDEX('Import 2024 Data'!$E$4:$I$113,_xlfn.XMATCH(Legal!$AE14,'Import 2024 Data'!$C$4:$C$113),_xlfn.XMATCH(Legal!AK$5,'Import 2024 Data'!$E$3:$I$3)),"-")</f>
        <v>EVP, General Counsel &amp; Chief Compliance Officer</v>
      </c>
      <c r="AL14" s="521" cm="1">
        <f t="array" ref="AL14">IFERROR(INDEX('Import 2024 Data'!$E$4:$I$113,_xlfn.XMATCH(Legal!$AE14,'Import 2024 Data'!$C$4:$C$113),_xlfn.XMATCH(Legal!AL$5,'Import 2024 Data'!$E$3:$I$3)),"-")</f>
        <v>1618.645</v>
      </c>
      <c r="AM14" s="521" cm="1">
        <f t="array" ref="AM14">IFERROR(INDEX('Import 2024 Data'!$E$4:$I$113,_xlfn.XMATCH(Legal!$AE14,'Import 2024 Data'!$C$4:$C$113),_xlfn.XMATCH(Legal!AM$5,'Import 2024 Data'!$E$3:$I$3)),"-")</f>
        <v>1561.89</v>
      </c>
      <c r="AN14" s="460">
        <f t="shared" si="18"/>
        <v>3.9932389604901752E-2</v>
      </c>
      <c r="AO14" s="591">
        <f t="shared" si="19"/>
        <v>-2.9126213592233108E-2</v>
      </c>
      <c r="AP14"/>
      <c r="AQ14" t="str">
        <f>IF(W14&lt;'Legal+NEO5 - YoY'!$C$15,"Y")</f>
        <v>Y</v>
      </c>
    </row>
    <row r="15" spans="1:43" ht="20.25" customHeight="1">
      <c r="A15" s="12" t="str">
        <f t="shared" si="0"/>
        <v>TSX:EQX_2025_Legal</v>
      </c>
      <c r="B15" s="12" t="str">
        <f>'Peer Group'!A16</f>
        <v>TSX:EQX</v>
      </c>
      <c r="C15" s="666" t="str">
        <f t="shared" si="1"/>
        <v>Equinox Gold Corp.</v>
      </c>
      <c r="D15" s="667">
        <f>_xll.ciqfunctions.udf.CIQ(B15, "IQ_MARKETCAP", $A$1,$A$2)</f>
        <v>6518.4440000000004</v>
      </c>
      <c r="E15" s="667">
        <f>_xll.ciqfunctions.udf.CIQ($B15, "IQ_TEV", $A$1,$A$2)</f>
        <v>8418.0428900000006</v>
      </c>
      <c r="F15" s="668" t="str">
        <f t="shared" si="2"/>
        <v>Susan Toews</v>
      </c>
      <c r="G15" s="668" t="str">
        <f t="shared" si="2"/>
        <v>Former General Counsel &amp; Corporate Secretary</v>
      </c>
      <c r="H15" s="667" t="str">
        <f t="shared" si="3"/>
        <v>-</v>
      </c>
      <c r="I15" s="667">
        <f t="shared" si="3"/>
        <v>355.72699999999998</v>
      </c>
      <c r="J15" s="669">
        <f t="shared" si="3"/>
        <v>368.89100000000002</v>
      </c>
      <c r="K15" s="670">
        <f t="shared" si="4"/>
        <v>1.0370059062145971</v>
      </c>
      <c r="L15" s="670">
        <f t="shared" si="4"/>
        <v>0.90528206300378422</v>
      </c>
      <c r="M15" s="671">
        <f t="shared" si="5"/>
        <v>284.58160000000004</v>
      </c>
      <c r="N15" s="672">
        <f t="shared" si="6"/>
        <v>0.8</v>
      </c>
      <c r="O15" s="669">
        <f t="shared" si="7"/>
        <v>724.61800000000005</v>
      </c>
      <c r="P15" s="673">
        <f t="shared" si="7"/>
        <v>640.30860000000007</v>
      </c>
      <c r="Q15" s="669">
        <f t="shared" si="7"/>
        <v>320.34399999999999</v>
      </c>
      <c r="R15" s="670">
        <f t="shared" si="8"/>
        <v>0.90053327411188921</v>
      </c>
      <c r="S15" s="670">
        <f t="shared" si="8"/>
        <v>1.34316294993715</v>
      </c>
      <c r="T15" s="671">
        <f t="shared" si="9"/>
        <v>320.15429999999998</v>
      </c>
      <c r="U15" s="672">
        <f t="shared" si="10"/>
        <v>0.9</v>
      </c>
      <c r="V15" s="669">
        <f t="shared" si="11"/>
        <v>1044.962</v>
      </c>
      <c r="W15" s="674">
        <f t="shared" si="11"/>
        <v>960.4629000000001</v>
      </c>
      <c r="X15" s="669" t="str">
        <f t="shared" si="12"/>
        <v>-</v>
      </c>
      <c r="Y15" s="674">
        <f t="shared" si="12"/>
        <v>23.315000000000001</v>
      </c>
      <c r="Z15" s="669">
        <f t="shared" si="13"/>
        <v>1068.277</v>
      </c>
      <c r="AA15" s="674">
        <f t="shared" si="13"/>
        <v>983.77790000000016</v>
      </c>
      <c r="AB15" s="675"/>
      <c r="AC15" s="676">
        <f t="shared" si="14"/>
        <v>0.66666666666666663</v>
      </c>
      <c r="AD15" s="677">
        <f t="shared" si="15"/>
        <v>0.33333333333333326</v>
      </c>
      <c r="AE15" s="678" t="str">
        <f t="shared" si="16"/>
        <v>TSX:EQX_2024_Legal</v>
      </c>
      <c r="AF15" s="678"/>
      <c r="AG15" s="1006" t="str" cm="1">
        <f t="array" ref="AG15">IFERROR(INDEX('Import 2024 Data'!$E$4:$I$113,_xlfn.XMATCH(Legal!$AE15,'Import 2024 Data'!$C$4:$C$113),_xlfn.XMATCH(Legal!AG$5,'Import 2024 Data'!$E$3:$I$3)),"-")</f>
        <v>-</v>
      </c>
      <c r="AH15" s="1007" t="str" cm="1">
        <f t="array" ref="AH15">IFERROR(INDEX('Import 2024 Data'!$E$4:$I$113,_xlfn.XMATCH(Legal!$AE15,'Import 2024 Data'!$C$4:$C$113),_xlfn.XMATCH(Legal!AH$5,'Import 2024 Data'!$E$3:$I$3)),"-")</f>
        <v>-</v>
      </c>
      <c r="AI15" s="1008" t="str">
        <f>IF(ISNUMBER(_xlfn.XMATCH(C15,'Import 2024 Data'!$E$4:$E$113)),"N","Y")</f>
        <v>Y</v>
      </c>
      <c r="AJ15" s="1008" t="str">
        <f t="shared" si="17"/>
        <v>Y</v>
      </c>
      <c r="AK15" s="1006" t="str" cm="1">
        <f t="array" ref="AK15">IFERROR(INDEX('Import 2024 Data'!$E$4:$I$113,_xlfn.XMATCH(Legal!$AE15,'Import 2024 Data'!$C$4:$C$113),_xlfn.XMATCH(Legal!AK$5,'Import 2024 Data'!$E$3:$I$3)),"-")</f>
        <v>-</v>
      </c>
      <c r="AL15" s="521" t="str" cm="1">
        <f t="array" ref="AL15">IFERROR(INDEX('Import 2024 Data'!$E$4:$I$113,_xlfn.XMATCH(Legal!$AE15,'Import 2024 Data'!$C$4:$C$113),_xlfn.XMATCH(Legal!AL$5,'Import 2024 Data'!$E$3:$I$3)),"-")</f>
        <v>-</v>
      </c>
      <c r="AM15" s="521" t="str" cm="1">
        <f t="array" ref="AM15">IFERROR(INDEX('Import 2024 Data'!$E$4:$I$113,_xlfn.XMATCH(Legal!$AE15,'Import 2024 Data'!$C$4:$C$113),_xlfn.XMATCH(Legal!AM$5,'Import 2024 Data'!$E$3:$I$3)),"-")</f>
        <v>-</v>
      </c>
      <c r="AN15" s="460" t="str">
        <f t="shared" si="18"/>
        <v>New Incumbent</v>
      </c>
      <c r="AO15" s="591">
        <f t="shared" si="19"/>
        <v>-0.4258996389573193</v>
      </c>
      <c r="AP15"/>
      <c r="AQ15" t="str">
        <f>IF(W15&lt;'Legal+NEO5 - YoY'!$C$15,"Y")</f>
        <v>Y</v>
      </c>
    </row>
    <row r="16" spans="1:43" ht="20.25" customHeight="1">
      <c r="A16" s="12" t="str">
        <f t="shared" si="0"/>
        <v>TSX:BTO_2025_Legal</v>
      </c>
      <c r="B16" s="12" t="str">
        <f>'Peer Group'!A18</f>
        <v>TSX:BTO</v>
      </c>
      <c r="C16" s="666" t="str">
        <f t="shared" si="1"/>
        <v>B2Gold Corp.</v>
      </c>
      <c r="D16" s="667">
        <f>_xll.ciqfunctions.udf.CIQ(B16, "IQ_MARKETCAP", $A$1,$A$2)</f>
        <v>6289.7347200000004</v>
      </c>
      <c r="E16" s="667">
        <f>_xll.ciqfunctions.udf.CIQ($B16, "IQ_TEV", $A$1,$A$2)</f>
        <v>6472.2609199999997</v>
      </c>
      <c r="F16" s="668" t="str">
        <f t="shared" si="2"/>
        <v>Randall Chatwin</v>
      </c>
      <c r="G16" s="668" t="str">
        <f t="shared" si="2"/>
        <v>Senior VP Legal &amp; Corporate Communications</v>
      </c>
      <c r="H16" s="667" t="str">
        <f t="shared" si="3"/>
        <v>-</v>
      </c>
      <c r="I16" s="667">
        <f t="shared" si="3"/>
        <v>637.58656250000001</v>
      </c>
      <c r="J16" s="669">
        <f t="shared" si="3"/>
        <v>509.27270349999998</v>
      </c>
      <c r="K16" s="670">
        <f t="shared" si="4"/>
        <v>0.7987506849315068</v>
      </c>
      <c r="L16" s="670">
        <f t="shared" si="4"/>
        <v>0.68125041095890404</v>
      </c>
      <c r="M16" s="671">
        <f t="shared" si="5"/>
        <v>478.18992187499998</v>
      </c>
      <c r="N16" s="672">
        <f t="shared" si="6"/>
        <v>0.75</v>
      </c>
      <c r="O16" s="669">
        <f t="shared" si="7"/>
        <v>1146.8592660000002</v>
      </c>
      <c r="P16" s="673">
        <f t="shared" si="7"/>
        <v>1115.7764843750001</v>
      </c>
      <c r="Q16" s="669">
        <f t="shared" si="7"/>
        <v>2111.4323591000002</v>
      </c>
      <c r="R16" s="670">
        <f t="shared" si="8"/>
        <v>3.3116010958904107</v>
      </c>
      <c r="S16" s="670">
        <f t="shared" si="8"/>
        <v>2.9272003652968035</v>
      </c>
      <c r="T16" s="671">
        <f t="shared" si="9"/>
        <v>1866.3436186583333</v>
      </c>
      <c r="U16" s="672">
        <f t="shared" si="10"/>
        <v>2.9272003652968035</v>
      </c>
      <c r="V16" s="669">
        <f t="shared" si="11"/>
        <v>3258.2916250999997</v>
      </c>
      <c r="W16" s="674">
        <f t="shared" si="11"/>
        <v>2982.1201030333332</v>
      </c>
      <c r="X16" s="669" t="str">
        <f t="shared" si="12"/>
        <v>-</v>
      </c>
      <c r="Y16" s="674">
        <f t="shared" si="12"/>
        <v>7.3114584000000002</v>
      </c>
      <c r="Z16" s="669">
        <f t="shared" si="13"/>
        <v>3265.6030834999997</v>
      </c>
      <c r="AA16" s="674">
        <f t="shared" si="13"/>
        <v>2989.4315614333332</v>
      </c>
      <c r="AB16" s="675"/>
      <c r="AC16" s="676">
        <f t="shared" si="14"/>
        <v>0.37415544841405346</v>
      </c>
      <c r="AD16" s="677">
        <f t="shared" si="15"/>
        <v>0.62584455158594665</v>
      </c>
      <c r="AE16" s="678" t="str">
        <f t="shared" si="16"/>
        <v>TSX:BTO_2024_Legal</v>
      </c>
      <c r="AF16" s="678"/>
      <c r="AG16" s="1006" t="str" cm="1">
        <f t="array" ref="AG16">IFERROR(INDEX('Import 2024 Data'!$E$4:$I$113,_xlfn.XMATCH(Legal!$AE16,'Import 2024 Data'!$C$4:$C$113),_xlfn.XMATCH(Legal!AG$5,'Import 2024 Data'!$E$3:$I$3)),"-")</f>
        <v>B2Gold Corp.</v>
      </c>
      <c r="AH16" s="1007" t="str" cm="1">
        <f t="array" ref="AH16">IFERROR(INDEX('Import 2024 Data'!$E$4:$I$113,_xlfn.XMATCH(Legal!$AE16,'Import 2024 Data'!$C$4:$C$113),_xlfn.XMATCH(Legal!AH$5,'Import 2024 Data'!$E$3:$I$3)),"-")</f>
        <v>Randall Chatwin</v>
      </c>
      <c r="AI16" s="1008" t="str">
        <f>IF(ISNUMBER(_xlfn.XMATCH(C16,'Import 2024 Data'!$E$4:$E$113)),"N","Y")</f>
        <v>N</v>
      </c>
      <c r="AJ16" s="1008" t="str">
        <f t="shared" si="17"/>
        <v>N</v>
      </c>
      <c r="AK16" s="1006" t="str" cm="1">
        <f t="array" ref="AK16">IFERROR(INDEX('Import 2024 Data'!$E$4:$I$113,_xlfn.XMATCH(Legal!$AE16,'Import 2024 Data'!$C$4:$C$113),_xlfn.XMATCH(Legal!AK$5,'Import 2024 Data'!$E$3:$I$3)),"-")</f>
        <v>SVP, Legal and Corporate Communications</v>
      </c>
      <c r="AL16" s="521" cm="1">
        <f t="array" ref="AL16">IFERROR(INDEX('Import 2024 Data'!$E$4:$I$113,_xlfn.XMATCH(Legal!$AE16,'Import 2024 Data'!$C$4:$C$113),_xlfn.XMATCH(Legal!AL$5,'Import 2024 Data'!$E$3:$I$3)),"-")</f>
        <v>2634.375</v>
      </c>
      <c r="AM16" s="521" cm="1">
        <f t="array" ref="AM16">IFERROR(INDEX('Import 2024 Data'!$E$4:$I$113,_xlfn.XMATCH(Legal!$AE16,'Import 2024 Data'!$C$4:$C$113),_xlfn.XMATCH(Legal!AM$5,'Import 2024 Data'!$E$3:$I$3)),"-")</f>
        <v>2790.6826568265687</v>
      </c>
      <c r="AN16" s="460">
        <f t="shared" si="18"/>
        <v>6.8598787375006687E-2</v>
      </c>
      <c r="AO16" s="591">
        <f>W16/$W$26 -1</f>
        <v>0.78251156585441506</v>
      </c>
      <c r="AP16"/>
      <c r="AQ16" t="b">
        <f>IF(W16&lt;'Legal+NEO5 - YoY'!$C$15,"Y")</f>
        <v>0</v>
      </c>
    </row>
    <row r="17" spans="1:43" ht="20.25" customHeight="1">
      <c r="A17" s="12" t="str">
        <f t="shared" si="0"/>
        <v>TSX:OGC_2025_Legal</v>
      </c>
      <c r="B17" s="12" t="str">
        <f>'Peer Group'!A19</f>
        <v>TSX:OGC</v>
      </c>
      <c r="C17" s="746" t="str">
        <f t="shared" si="1"/>
        <v>OceanaGold Corporation</v>
      </c>
      <c r="D17" s="747">
        <f>_xll.ciqfunctions.udf.CIQ(B17, "IQ_MARKETCAP", $A$1,$A$2)</f>
        <v>4453.8089300000001</v>
      </c>
      <c r="E17" s="747">
        <f>_xll.ciqfunctions.udf.CIQ($B17, "IQ_TEV", $A$1,$A$2)</f>
        <v>4363.2558799999997</v>
      </c>
      <c r="F17" s="748" t="str">
        <f t="shared" si="2"/>
        <v>Liang Tang</v>
      </c>
      <c r="G17" s="748" t="str">
        <f t="shared" si="2"/>
        <v>EVP, General Counsel &amp; Company Secretary</v>
      </c>
      <c r="H17" s="747" t="str">
        <f t="shared" si="3"/>
        <v>-</v>
      </c>
      <c r="I17" s="747">
        <f t="shared" si="3"/>
        <v>503.93444450000004</v>
      </c>
      <c r="J17" s="749">
        <f t="shared" si="3"/>
        <v>468.33300830000002</v>
      </c>
      <c r="K17" s="750">
        <f t="shared" si="4"/>
        <v>0.92935304068106817</v>
      </c>
      <c r="L17" s="750">
        <f t="shared" si="4"/>
        <v>0.57692680335042512</v>
      </c>
      <c r="M17" s="751">
        <f t="shared" si="5"/>
        <v>302.36066670000002</v>
      </c>
      <c r="N17" s="752">
        <f t="shared" si="6"/>
        <v>0.6</v>
      </c>
      <c r="O17" s="749">
        <f t="shared" si="7"/>
        <v>972.26745280000011</v>
      </c>
      <c r="P17" s="753">
        <f t="shared" si="7"/>
        <v>806.29511120000006</v>
      </c>
      <c r="Q17" s="749">
        <f t="shared" si="7"/>
        <v>600.79449890000001</v>
      </c>
      <c r="R17" s="750">
        <f t="shared" si="8"/>
        <v>1.1922076481517427</v>
      </c>
      <c r="S17" s="750">
        <f t="shared" si="8"/>
        <v>1.602804585703711</v>
      </c>
      <c r="T17" s="751">
        <f t="shared" si="9"/>
        <v>807.70843853865222</v>
      </c>
      <c r="U17" s="752">
        <f t="shared" si="10"/>
        <v>1.602804585703711</v>
      </c>
      <c r="V17" s="749">
        <f t="shared" si="11"/>
        <v>1573.0619517</v>
      </c>
      <c r="W17" s="754">
        <f t="shared" si="11"/>
        <v>1614.0035497386523</v>
      </c>
      <c r="X17" s="669">
        <f t="shared" si="12"/>
        <v>20.669682950000002</v>
      </c>
      <c r="Y17" s="674">
        <f t="shared" si="12"/>
        <v>258.11600225000001</v>
      </c>
      <c r="Z17" s="669">
        <f t="shared" si="13"/>
        <v>1851.8476369000002</v>
      </c>
      <c r="AA17" s="674">
        <f t="shared" si="13"/>
        <v>1892.7892349386523</v>
      </c>
      <c r="AB17" s="675"/>
      <c r="AC17" s="676">
        <f t="shared" si="14"/>
        <v>0.4995621672149107</v>
      </c>
      <c r="AD17" s="677">
        <f t="shared" si="15"/>
        <v>0.50043783278508924</v>
      </c>
      <c r="AE17" s="678" t="str">
        <f t="shared" si="16"/>
        <v>TSX:OGC_2024_Legal</v>
      </c>
      <c r="AF17" s="678"/>
      <c r="AG17" s="1016" t="str" cm="1">
        <f t="array" ref="AG17">IFERROR(INDEX('Import 2024 Data'!$E$4:$I$113,_xlfn.XMATCH(Legal!$AE17,'Import 2024 Data'!$C$4:$C$113),_xlfn.XMATCH(Legal!AG$5,'Import 2024 Data'!$E$3:$I$3)),"-")</f>
        <v>-</v>
      </c>
      <c r="AH17" s="1018" t="str" cm="1">
        <f t="array" ref="AH17">IFERROR(INDEX('Import 2024 Data'!$E$4:$I$113,_xlfn.XMATCH(Legal!$AE17,'Import 2024 Data'!$C$4:$C$113),_xlfn.XMATCH(Legal!AH$5,'Import 2024 Data'!$E$3:$I$3)),"-")</f>
        <v>-</v>
      </c>
      <c r="AI17" s="1020" t="str">
        <f>IF(ISNUMBER(_xlfn.XMATCH(C17,'Import 2024 Data'!$E$4:$E$113)),"N","Y")</f>
        <v>N</v>
      </c>
      <c r="AJ17" s="1020" t="str">
        <f t="shared" si="17"/>
        <v>Y</v>
      </c>
      <c r="AK17" s="1016" t="str" cm="1">
        <f t="array" ref="AK17">IFERROR(INDEX('Import 2024 Data'!$E$4:$I$113,_xlfn.XMATCH(Legal!$AE17,'Import 2024 Data'!$C$4:$C$113),_xlfn.XMATCH(Legal!AK$5,'Import 2024 Data'!$E$3:$I$3)),"-")</f>
        <v>-</v>
      </c>
      <c r="AL17" s="521" t="str" cm="1">
        <f t="array" ref="AL17">IFERROR(INDEX('Import 2024 Data'!$E$4:$I$113,_xlfn.XMATCH(Legal!$AE17,'Import 2024 Data'!$C$4:$C$113),_xlfn.XMATCH(Legal!AL$5,'Import 2024 Data'!$E$3:$I$3)),"-")</f>
        <v>-</v>
      </c>
      <c r="AM17" s="521" t="str" cm="1">
        <f t="array" ref="AM17">IFERROR(INDEX('Import 2024 Data'!$E$4:$I$113,_xlfn.XMATCH(Legal!$AE17,'Import 2024 Data'!$C$4:$C$113),_xlfn.XMATCH(Legal!AM$5,'Import 2024 Data'!$E$3:$I$3)),"-")</f>
        <v>-</v>
      </c>
      <c r="AN17" s="460" t="str">
        <f t="shared" si="18"/>
        <v>New Incumbent</v>
      </c>
      <c r="AO17" s="591">
        <f t="shared" ref="AO17:AO18" si="20">W17/$W$26 -1</f>
        <v>-3.5256832274179084E-2</v>
      </c>
      <c r="AP17"/>
      <c r="AQ17" t="str">
        <f>IF(W17&lt;'Legal+NEO5 - YoY'!$C$15,"Y")</f>
        <v>Y</v>
      </c>
    </row>
    <row r="18" spans="1:43" ht="20.25" customHeight="1">
      <c r="A18" s="12" t="str">
        <f t="shared" si="0"/>
        <v>TSX:CG_2025_Legal</v>
      </c>
      <c r="B18" s="12" t="str">
        <f>'Peer Group'!A20</f>
        <v>TSX:CG</v>
      </c>
      <c r="C18" s="666" t="str">
        <f t="shared" si="1"/>
        <v>Centerra Gold Inc.</v>
      </c>
      <c r="D18" s="667">
        <f>_xll.ciqfunctions.udf.CIQ(B18, "IQ_MARKETCAP", $A$1,$A$2)</f>
        <v>2054.8528000000001</v>
      </c>
      <c r="E18" s="667">
        <f>_xll.ciqfunctions.udf.CIQ($B18, "IQ_TEV", $A$1,$A$2)</f>
        <v>1190.4233200000001</v>
      </c>
      <c r="F18" s="668" t="str">
        <f t="shared" si="2"/>
        <v>Yousef Rehman</v>
      </c>
      <c r="G18" s="668" t="str">
        <f t="shared" si="2"/>
        <v>EVP, Legal &amp; Public Affairs</v>
      </c>
      <c r="H18" s="667" t="str">
        <f t="shared" si="3"/>
        <v>-</v>
      </c>
      <c r="I18" s="667">
        <f t="shared" si="3"/>
        <v>459</v>
      </c>
      <c r="J18" s="669">
        <f t="shared" si="3"/>
        <v>325.202</v>
      </c>
      <c r="K18" s="670">
        <f t="shared" si="4"/>
        <v>0.70850108932461875</v>
      </c>
      <c r="L18" s="670">
        <f t="shared" si="4"/>
        <v>0.66386665524303767</v>
      </c>
      <c r="M18" s="671">
        <f t="shared" si="5"/>
        <v>298.35000000000002</v>
      </c>
      <c r="N18" s="672">
        <f t="shared" si="6"/>
        <v>0.65</v>
      </c>
      <c r="O18" s="669">
        <f t="shared" si="7"/>
        <v>784.202</v>
      </c>
      <c r="P18" s="673">
        <f t="shared" si="7"/>
        <v>757.35</v>
      </c>
      <c r="Q18" s="669">
        <f t="shared" si="7"/>
        <v>734.4</v>
      </c>
      <c r="R18" s="670">
        <f t="shared" si="8"/>
        <v>1.6</v>
      </c>
      <c r="S18" s="670">
        <f t="shared" si="8"/>
        <v>1.6000000000000003</v>
      </c>
      <c r="T18" s="671">
        <f t="shared" si="9"/>
        <v>734.4</v>
      </c>
      <c r="U18" s="672">
        <f t="shared" si="10"/>
        <v>1.6</v>
      </c>
      <c r="V18" s="669">
        <f t="shared" si="11"/>
        <v>1518.6020000000001</v>
      </c>
      <c r="W18" s="674">
        <f t="shared" si="11"/>
        <v>1491.75</v>
      </c>
      <c r="X18" s="669" t="str">
        <f t="shared" si="12"/>
        <v>-</v>
      </c>
      <c r="Y18" s="674">
        <f t="shared" si="12"/>
        <v>197.02099999999999</v>
      </c>
      <c r="Z18" s="669">
        <f t="shared" si="13"/>
        <v>1715.623</v>
      </c>
      <c r="AA18" s="674">
        <f t="shared" si="13"/>
        <v>1688.771</v>
      </c>
      <c r="AB18" s="675"/>
      <c r="AC18" s="676">
        <f t="shared" si="14"/>
        <v>0.50769230769230766</v>
      </c>
      <c r="AD18" s="677">
        <f t="shared" si="15"/>
        <v>0.49230769230769228</v>
      </c>
      <c r="AE18" s="678" t="str">
        <f t="shared" si="16"/>
        <v>TSX:CG_2024_Legal</v>
      </c>
      <c r="AF18" s="678"/>
      <c r="AG18" s="1009" t="str" cm="1">
        <f t="array" ref="AG18">IFERROR(INDEX('Import 2024 Data'!$E$4:$I$113,_xlfn.XMATCH(Legal!$AE18,'Import 2024 Data'!$C$4:$C$113),_xlfn.XMATCH(Legal!AG$5,'Import 2024 Data'!$E$3:$I$3)),"-")</f>
        <v>Centerra Gold Inc.</v>
      </c>
      <c r="AH18" s="1010" t="str" cm="1">
        <f t="array" ref="AH18">IFERROR(INDEX('Import 2024 Data'!$E$4:$I$113,_xlfn.XMATCH(Legal!$AE18,'Import 2024 Data'!$C$4:$C$113),_xlfn.XMATCH(Legal!AH$5,'Import 2024 Data'!$E$3:$I$3)),"-")</f>
        <v>Yousef Rehman</v>
      </c>
      <c r="AI18" s="1011" t="str">
        <f>IF(ISNUMBER(_xlfn.XMATCH(C18,'Import 2024 Data'!$E$4:$E$113)),"N","Y")</f>
        <v>N</v>
      </c>
      <c r="AJ18" s="1011" t="str">
        <f t="shared" si="17"/>
        <v>N</v>
      </c>
      <c r="AK18" s="1009" t="str" cm="1">
        <f t="array" ref="AK18">IFERROR(INDEX('Import 2024 Data'!$E$4:$I$113,_xlfn.XMATCH(Legal!$AE18,'Import 2024 Data'!$C$4:$C$113),_xlfn.XMATCH(Legal!AK$5,'Import 2024 Data'!$E$3:$I$3)),"-")</f>
        <v>EVP, Legal &amp; Public Affairs</v>
      </c>
      <c r="AL18" s="1024" cm="1">
        <f t="array" ref="AL18">IFERROR(INDEX('Import 2024 Data'!$E$4:$I$113,_xlfn.XMATCH(Legal!$AE18,'Import 2024 Data'!$C$4:$C$113),_xlfn.XMATCH(Legal!AL$5,'Import 2024 Data'!$E$3:$I$3)),"-")</f>
        <v>1436.1260000000002</v>
      </c>
      <c r="AM18" s="1024" cm="1">
        <f t="array" ref="AM18">IFERROR(INDEX('Import 2024 Data'!$E$4:$I$113,_xlfn.XMATCH(Legal!$AE18,'Import 2024 Data'!$C$4:$C$113),_xlfn.XMATCH(Legal!AM$5,'Import 2024 Data'!$E$3:$I$3)),"-")</f>
        <v>1446.25</v>
      </c>
      <c r="AN18" s="464">
        <f t="shared" si="18"/>
        <v>3.1460674157303359E-2</v>
      </c>
      <c r="AO18" s="591">
        <f t="shared" si="20"/>
        <v>-0.10833181210287368</v>
      </c>
      <c r="AP18"/>
      <c r="AQ18" t="str">
        <f>IF(W18&lt;'Legal+NEO5 - YoY'!$C$15,"Y")</f>
        <v>Y</v>
      </c>
    </row>
    <row r="19" spans="1:43" ht="20.25" customHeight="1">
      <c r="C19" s="688" t="str">
        <f>$C$3&amp;" Summary Statistics"</f>
        <v>2025 Summary Statistics</v>
      </c>
      <c r="D19" s="689"/>
      <c r="E19" s="689"/>
      <c r="F19" s="689"/>
      <c r="G19" s="689"/>
      <c r="H19" s="689"/>
      <c r="I19" s="689"/>
      <c r="J19" s="689"/>
      <c r="K19" s="690"/>
      <c r="L19" s="690"/>
      <c r="M19" s="689"/>
      <c r="N19" s="690"/>
      <c r="O19" s="689"/>
      <c r="P19" s="689"/>
      <c r="Q19" s="689"/>
      <c r="R19" s="690"/>
      <c r="S19" s="690"/>
      <c r="T19" s="689"/>
      <c r="U19" s="690"/>
      <c r="V19" s="689"/>
      <c r="W19" s="691"/>
      <c r="X19" s="689"/>
      <c r="Y19" s="691"/>
      <c r="Z19" s="689"/>
      <c r="AA19" s="691"/>
      <c r="AB19" s="675"/>
      <c r="AC19" s="692"/>
      <c r="AD19" s="693"/>
      <c r="AE19" s="678"/>
      <c r="AF19" s="678"/>
      <c r="AG19" s="678"/>
      <c r="AH19" s="678"/>
      <c r="AI19" s="678"/>
      <c r="AJ19" s="678"/>
      <c r="AK19" s="678"/>
      <c r="AL19" s="694"/>
      <c r="AM19" s="695"/>
      <c r="AP19"/>
      <c r="AQ19"/>
    </row>
    <row r="20" spans="1:43" s="17" customFormat="1" ht="20.25" customHeight="1">
      <c r="B20" s="17">
        <v>0.75</v>
      </c>
      <c r="C20" s="696" t="s">
        <v>9</v>
      </c>
      <c r="D20" s="697">
        <f t="shared" ref="D20:E22" si="21">PERCENTILE(D$8:D$18,$B20)</f>
        <v>7386.4629850000001</v>
      </c>
      <c r="E20" s="697">
        <f t="shared" si="21"/>
        <v>8666.2711249999993</v>
      </c>
      <c r="F20" s="698"/>
      <c r="G20" s="698"/>
      <c r="H20" s="698"/>
      <c r="I20" s="697">
        <f t="shared" ref="I20:R22" si="22">PERCENTILE(I$8:I$18,$B20)</f>
        <v>611.958125</v>
      </c>
      <c r="J20" s="699">
        <f t="shared" si="22"/>
        <v>636.97867174999999</v>
      </c>
      <c r="K20" s="700">
        <f t="shared" si="22"/>
        <v>1.1072529531072985</v>
      </c>
      <c r="L20" s="700">
        <f t="shared" si="22"/>
        <v>0.97009540942303296</v>
      </c>
      <c r="M20" s="701">
        <f t="shared" si="22"/>
        <v>475.34496093749999</v>
      </c>
      <c r="N20" s="677">
        <f t="shared" si="22"/>
        <v>0.8</v>
      </c>
      <c r="O20" s="699">
        <f t="shared" si="22"/>
        <v>1235.2619530000002</v>
      </c>
      <c r="P20" s="702">
        <f t="shared" si="22"/>
        <v>1109.1382421875001</v>
      </c>
      <c r="Q20" s="699">
        <f t="shared" si="22"/>
        <v>1436.0176827499999</v>
      </c>
      <c r="R20" s="700">
        <f t="shared" si="22"/>
        <v>2.157170925</v>
      </c>
      <c r="S20" s="700">
        <f t="shared" ref="S20:AA22" si="23">PERCENTILE(S$8:S$18,$B20)</f>
        <v>2.1127680851888284</v>
      </c>
      <c r="T20" s="701">
        <f t="shared" si="23"/>
        <v>1189.7491537432081</v>
      </c>
      <c r="U20" s="677">
        <f t="shared" si="23"/>
        <v>1.9750000000000001</v>
      </c>
      <c r="V20" s="699">
        <f t="shared" si="23"/>
        <v>2766.6345852250001</v>
      </c>
      <c r="W20" s="702">
        <f t="shared" si="23"/>
        <v>2334.9154037432081</v>
      </c>
      <c r="X20" s="699">
        <f t="shared" si="23"/>
        <v>145.8432386625</v>
      </c>
      <c r="Y20" s="702">
        <f t="shared" si="23"/>
        <v>144.11622359999998</v>
      </c>
      <c r="Z20" s="699">
        <f t="shared" si="23"/>
        <v>2939.3692387749998</v>
      </c>
      <c r="AA20" s="702">
        <f t="shared" si="23"/>
        <v>2453.8132446432082</v>
      </c>
      <c r="AB20" s="703"/>
      <c r="AC20" s="676">
        <f t="shared" ref="AC20:AD22" si="24">PERCENTILE(AC$8:AC$18,$B20)</f>
        <v>0.53485576923076916</v>
      </c>
      <c r="AD20" s="677">
        <f t="shared" si="24"/>
        <v>0.5149247987454858</v>
      </c>
      <c r="AE20" s="678"/>
      <c r="AF20" s="678"/>
      <c r="AG20" s="678"/>
      <c r="AH20" s="678"/>
      <c r="AI20" s="678"/>
      <c r="AJ20" s="678"/>
      <c r="AK20" s="678"/>
      <c r="AL20" s="704"/>
      <c r="AM20" s="705"/>
      <c r="AN20" s="596"/>
      <c r="AP20"/>
      <c r="AQ20"/>
    </row>
    <row r="21" spans="1:43" s="17" customFormat="1" ht="20.25" customHeight="1">
      <c r="B21" s="17">
        <v>0.5</v>
      </c>
      <c r="C21" s="706" t="s">
        <v>8</v>
      </c>
      <c r="D21" s="707">
        <f t="shared" si="21"/>
        <v>5953.1492900000003</v>
      </c>
      <c r="E21" s="707">
        <f t="shared" si="21"/>
        <v>6834.0846799999999</v>
      </c>
      <c r="F21" s="708"/>
      <c r="G21" s="708"/>
      <c r="H21" s="708"/>
      <c r="I21" s="707">
        <f t="shared" si="22"/>
        <v>503.93444450000004</v>
      </c>
      <c r="J21" s="709">
        <f t="shared" si="22"/>
        <v>468.33300830000002</v>
      </c>
      <c r="K21" s="710">
        <f t="shared" si="22"/>
        <v>0.92935304068106817</v>
      </c>
      <c r="L21" s="710">
        <f t="shared" si="22"/>
        <v>0.8984166614513952</v>
      </c>
      <c r="M21" s="711">
        <f t="shared" si="22"/>
        <v>393.76</v>
      </c>
      <c r="N21" s="712">
        <f t="shared" si="22"/>
        <v>0.75</v>
      </c>
      <c r="O21" s="709">
        <f t="shared" si="22"/>
        <v>972.26745280000011</v>
      </c>
      <c r="P21" s="713">
        <f t="shared" si="22"/>
        <v>885.96</v>
      </c>
      <c r="Q21" s="709">
        <f t="shared" si="22"/>
        <v>738.268998338909</v>
      </c>
      <c r="R21" s="710">
        <f t="shared" si="22"/>
        <v>1.5948650000000002</v>
      </c>
      <c r="S21" s="710">
        <f t="shared" si="23"/>
        <v>1.602804585703711</v>
      </c>
      <c r="T21" s="711">
        <f t="shared" si="23"/>
        <v>807.70843853865222</v>
      </c>
      <c r="U21" s="712">
        <f t="shared" si="23"/>
        <v>1.602804585703711</v>
      </c>
      <c r="V21" s="709">
        <f t="shared" si="23"/>
        <v>1683.292998338909</v>
      </c>
      <c r="W21" s="713">
        <f t="shared" si="23"/>
        <v>1624.26</v>
      </c>
      <c r="X21" s="709">
        <f t="shared" si="23"/>
        <v>58.971225000000004</v>
      </c>
      <c r="Y21" s="713">
        <f t="shared" si="23"/>
        <v>64.333008200000009</v>
      </c>
      <c r="Z21" s="709">
        <f t="shared" si="23"/>
        <v>1851.8476369000002</v>
      </c>
      <c r="AA21" s="713">
        <f t="shared" si="23"/>
        <v>1892.7892349386523</v>
      </c>
      <c r="AB21" s="703"/>
      <c r="AC21" s="714">
        <f t="shared" si="24"/>
        <v>0.50769230769230766</v>
      </c>
      <c r="AD21" s="712">
        <f t="shared" si="24"/>
        <v>0.49230769230769228</v>
      </c>
      <c r="AE21" s="678"/>
      <c r="AF21" s="678"/>
      <c r="AG21" s="678"/>
      <c r="AH21" s="678"/>
      <c r="AI21" s="678"/>
      <c r="AJ21" s="678"/>
      <c r="AK21" s="678"/>
      <c r="AL21" s="709"/>
      <c r="AM21" s="713"/>
      <c r="AN21" s="597"/>
      <c r="AP21"/>
      <c r="AQ21"/>
    </row>
    <row r="22" spans="1:43" s="17" customFormat="1" ht="20.25" customHeight="1">
      <c r="B22" s="17">
        <v>0.25</v>
      </c>
      <c r="C22" s="696" t="s">
        <v>7</v>
      </c>
      <c r="D22" s="697">
        <f t="shared" si="21"/>
        <v>5393.5351649999993</v>
      </c>
      <c r="E22" s="697">
        <f t="shared" si="21"/>
        <v>5824.1906799999997</v>
      </c>
      <c r="F22" s="698"/>
      <c r="G22" s="698"/>
      <c r="H22" s="698"/>
      <c r="I22" s="697">
        <f t="shared" si="22"/>
        <v>472.5</v>
      </c>
      <c r="J22" s="699">
        <f t="shared" si="22"/>
        <v>408.70500000000004</v>
      </c>
      <c r="K22" s="700">
        <f t="shared" si="22"/>
        <v>0.80174344163242006</v>
      </c>
      <c r="L22" s="700">
        <f t="shared" si="22"/>
        <v>0.71875050874399116</v>
      </c>
      <c r="M22" s="701">
        <f t="shared" si="22"/>
        <v>315.68033335000001</v>
      </c>
      <c r="N22" s="677">
        <f t="shared" si="22"/>
        <v>0.72499999999999998</v>
      </c>
      <c r="O22" s="699">
        <f t="shared" si="22"/>
        <v>878.482925981873</v>
      </c>
      <c r="P22" s="702">
        <f t="shared" si="22"/>
        <v>802.64755560000003</v>
      </c>
      <c r="Q22" s="699">
        <f t="shared" si="22"/>
        <v>695.99169843749996</v>
      </c>
      <c r="R22" s="700">
        <f t="shared" si="22"/>
        <v>1.4728248900275949</v>
      </c>
      <c r="S22" s="700">
        <f t="shared" si="23"/>
        <v>1.4999714570172329</v>
      </c>
      <c r="T22" s="701">
        <f t="shared" si="23"/>
        <v>723.45</v>
      </c>
      <c r="U22" s="677">
        <f t="shared" si="23"/>
        <v>1.5</v>
      </c>
      <c r="V22" s="699">
        <f t="shared" si="23"/>
        <v>1545.8319758500002</v>
      </c>
      <c r="W22" s="702">
        <f t="shared" si="23"/>
        <v>1523.875</v>
      </c>
      <c r="X22" s="699">
        <f t="shared" si="23"/>
        <v>23.366083799093655</v>
      </c>
      <c r="Y22" s="702">
        <f t="shared" si="23"/>
        <v>33.215989050000005</v>
      </c>
      <c r="Z22" s="699">
        <f t="shared" si="23"/>
        <v>1711.1916984375002</v>
      </c>
      <c r="AA22" s="702">
        <f t="shared" si="23"/>
        <v>1651.6320000000001</v>
      </c>
      <c r="AB22" s="703"/>
      <c r="AC22" s="676">
        <f t="shared" si="24"/>
        <v>0.4850752012545142</v>
      </c>
      <c r="AD22" s="677">
        <f t="shared" si="24"/>
        <v>0.46514423076923078</v>
      </c>
      <c r="AE22" s="678"/>
      <c r="AF22" s="678"/>
      <c r="AG22" s="678"/>
      <c r="AH22" s="678"/>
      <c r="AI22" s="678"/>
      <c r="AJ22" s="678"/>
      <c r="AK22" s="678"/>
      <c r="AL22" s="699"/>
      <c r="AM22" s="702"/>
      <c r="AN22" s="598"/>
      <c r="AP22"/>
      <c r="AQ22"/>
    </row>
    <row r="23" spans="1:43" s="17" customFormat="1" ht="20.25" customHeight="1">
      <c r="A23" s="12"/>
      <c r="B23" s="12"/>
      <c r="C23" s="715" t="s">
        <v>6</v>
      </c>
      <c r="D23" s="716">
        <f>AVERAGE(D8:D18)</f>
        <v>6971.8059736363639</v>
      </c>
      <c r="E23" s="716">
        <f>AVERAGE(E8:E18)</f>
        <v>7900.6677418181816</v>
      </c>
      <c r="F23" s="715"/>
      <c r="G23" s="715"/>
      <c r="H23" s="715"/>
      <c r="I23" s="716">
        <f t="shared" ref="I23:AA23" si="25">AVERAGE(I8:I18)</f>
        <v>534.21311427272713</v>
      </c>
      <c r="J23" s="717">
        <f t="shared" si="25"/>
        <v>528.43754192852236</v>
      </c>
      <c r="K23" s="718">
        <f t="shared" si="25"/>
        <v>0.97958078365380574</v>
      </c>
      <c r="L23" s="718">
        <f t="shared" si="25"/>
        <v>0.85696915111135286</v>
      </c>
      <c r="M23" s="719">
        <f t="shared" si="25"/>
        <v>410.55385805227274</v>
      </c>
      <c r="N23" s="720">
        <f t="shared" si="25"/>
        <v>0.76363636363636356</v>
      </c>
      <c r="O23" s="717">
        <f t="shared" si="25"/>
        <v>1062.6506562012496</v>
      </c>
      <c r="P23" s="721">
        <f t="shared" si="25"/>
        <v>944.76697232500021</v>
      </c>
      <c r="Q23" s="717">
        <f t="shared" si="25"/>
        <v>1061.160385487628</v>
      </c>
      <c r="R23" s="718">
        <f t="shared" si="25"/>
        <v>1.8860810676179518</v>
      </c>
      <c r="S23" s="718">
        <f t="shared" si="25"/>
        <v>1.8425008165798282</v>
      </c>
      <c r="T23" s="719">
        <f t="shared" si="25"/>
        <v>980.19269678940009</v>
      </c>
      <c r="U23" s="720">
        <f t="shared" si="25"/>
        <v>1.7623506297426756</v>
      </c>
      <c r="V23" s="717">
        <f t="shared" si="25"/>
        <v>2123.8110416888776</v>
      </c>
      <c r="W23" s="721">
        <f t="shared" si="25"/>
        <v>1924.9596691144</v>
      </c>
      <c r="X23" s="717">
        <f t="shared" si="25"/>
        <v>106.65173548313193</v>
      </c>
      <c r="Y23" s="721">
        <f t="shared" si="25"/>
        <v>93.34064134827122</v>
      </c>
      <c r="Z23" s="717">
        <f t="shared" si="25"/>
        <v>2258.3543312373536</v>
      </c>
      <c r="AA23" s="721">
        <f t="shared" si="25"/>
        <v>2059.5029586628762</v>
      </c>
      <c r="AB23" s="703"/>
      <c r="AC23" s="722">
        <f>AVERAGE(AC8:AC18)</f>
        <v>0.5095176973802914</v>
      </c>
      <c r="AD23" s="720">
        <f>AVERAGE(AD8:AD18)</f>
        <v>0.4904823026197086</v>
      </c>
      <c r="AE23" s="678"/>
      <c r="AF23" s="678"/>
      <c r="AG23" s="678"/>
      <c r="AH23" s="678"/>
      <c r="AI23" s="678"/>
      <c r="AJ23" s="678"/>
      <c r="AK23" s="678"/>
      <c r="AL23" s="717"/>
      <c r="AM23" s="721"/>
      <c r="AN23" s="599"/>
      <c r="AP23"/>
      <c r="AQ23"/>
    </row>
    <row r="24" spans="1:43" s="17" customFormat="1" ht="20.25" customHeight="1" outlineLevel="1">
      <c r="A24" s="12"/>
      <c r="B24" s="12"/>
      <c r="C24" s="688" t="str">
        <f>$C$3+1&amp;" Estimated Summary Statistics "</f>
        <v xml:space="preserve">2026 Estimated Summary Statistics </v>
      </c>
      <c r="D24" s="689"/>
      <c r="E24" s="689"/>
      <c r="F24" s="689"/>
      <c r="G24" s="689"/>
      <c r="H24" s="689"/>
      <c r="I24" s="689"/>
      <c r="J24" s="689"/>
      <c r="K24" s="690"/>
      <c r="L24" s="690"/>
      <c r="M24" s="689"/>
      <c r="N24" s="690"/>
      <c r="O24" s="689"/>
      <c r="P24" s="689"/>
      <c r="Q24" s="689"/>
      <c r="R24" s="690"/>
      <c r="S24" s="690"/>
      <c r="T24" s="689"/>
      <c r="U24" s="690"/>
      <c r="V24" s="689"/>
      <c r="W24" s="691"/>
      <c r="X24" s="688"/>
      <c r="Y24" s="688"/>
      <c r="Z24" s="689"/>
      <c r="AA24" s="691"/>
      <c r="AB24" s="703"/>
      <c r="AC24" s="724"/>
      <c r="AD24" s="724"/>
      <c r="AE24" s="678"/>
      <c r="AF24" s="678"/>
      <c r="AG24" s="678"/>
      <c r="AH24" s="678"/>
      <c r="AI24" s="678"/>
      <c r="AJ24" s="678"/>
      <c r="AK24" s="678"/>
      <c r="AL24" s="723"/>
      <c r="AM24" s="723"/>
      <c r="AP24"/>
      <c r="AQ24"/>
    </row>
    <row r="25" spans="1:43" s="17" customFormat="1" ht="20.25" customHeight="1" outlineLevel="1">
      <c r="A25" s="12"/>
      <c r="B25" s="17">
        <v>0.75</v>
      </c>
      <c r="C25" s="696" t="s">
        <v>9</v>
      </c>
      <c r="D25" s="697">
        <f t="shared" ref="D25:E27" si="26">PERCENTILE(D$8:D$18,$B25)</f>
        <v>7386.4629850000001</v>
      </c>
      <c r="E25" s="697">
        <f t="shared" si="26"/>
        <v>8666.2711249999993</v>
      </c>
      <c r="F25" s="698"/>
      <c r="G25" s="698"/>
      <c r="H25" s="698"/>
      <c r="I25" s="697">
        <f t="shared" ref="I25:M28" si="27">I59</f>
        <v>620.86686874999998</v>
      </c>
      <c r="J25" s="699">
        <f t="shared" si="27"/>
        <v>0</v>
      </c>
      <c r="K25" s="700">
        <f t="shared" si="27"/>
        <v>0</v>
      </c>
      <c r="L25" s="700">
        <f t="shared" si="27"/>
        <v>0</v>
      </c>
      <c r="M25" s="701">
        <f t="shared" si="27"/>
        <v>482.51780976562497</v>
      </c>
      <c r="N25" s="677">
        <f>PERCENTILE(N$8:N$18,$B25)</f>
        <v>0.8</v>
      </c>
      <c r="O25" s="699" t="s">
        <v>78</v>
      </c>
      <c r="P25" s="697">
        <f t="shared" ref="P25:T28" si="28">P59</f>
        <v>1125.874889453125</v>
      </c>
      <c r="Q25" s="699">
        <f t="shared" si="28"/>
        <v>0</v>
      </c>
      <c r="R25" s="700">
        <f t="shared" si="28"/>
        <v>0</v>
      </c>
      <c r="S25" s="700">
        <f t="shared" si="28"/>
        <v>0</v>
      </c>
      <c r="T25" s="701">
        <f t="shared" si="28"/>
        <v>1209.7938271807079</v>
      </c>
      <c r="U25" s="677">
        <f>PERCENTILE(U$8:U$18,$B25)</f>
        <v>1.9750000000000001</v>
      </c>
      <c r="V25" s="699" t="s">
        <v>78</v>
      </c>
      <c r="W25" s="702">
        <f>W59</f>
        <v>2372.7775646807077</v>
      </c>
      <c r="X25" s="863">
        <f t="shared" ref="X25:Y28" si="29">X20</f>
        <v>145.8432386625</v>
      </c>
      <c r="Y25" s="867">
        <f t="shared" si="29"/>
        <v>144.11622359999998</v>
      </c>
      <c r="Z25" s="699" t="s">
        <v>78</v>
      </c>
      <c r="AA25" s="702">
        <f>AA59</f>
        <v>2491.6754055807078</v>
      </c>
      <c r="AB25" s="703"/>
      <c r="AC25" s="724"/>
      <c r="AD25" s="724"/>
      <c r="AE25" s="678"/>
      <c r="AF25" s="678"/>
      <c r="AG25" s="678"/>
      <c r="AH25" s="678"/>
      <c r="AI25" s="678"/>
      <c r="AJ25" s="678"/>
      <c r="AK25" s="678"/>
      <c r="AL25"/>
      <c r="AM25"/>
      <c r="AP25"/>
      <c r="AQ25"/>
    </row>
    <row r="26" spans="1:43" s="17" customFormat="1" ht="20.25" customHeight="1" outlineLevel="1">
      <c r="A26" s="12"/>
      <c r="B26" s="17">
        <v>0.5</v>
      </c>
      <c r="C26" s="706" t="s">
        <v>8</v>
      </c>
      <c r="D26" s="707">
        <f t="shared" si="26"/>
        <v>5953.1492900000003</v>
      </c>
      <c r="E26" s="707">
        <f t="shared" si="26"/>
        <v>6834.0846799999999</v>
      </c>
      <c r="F26" s="708"/>
      <c r="G26" s="708"/>
      <c r="H26" s="708"/>
      <c r="I26" s="707">
        <f t="shared" si="27"/>
        <v>519.0524778350001</v>
      </c>
      <c r="J26" s="709">
        <f t="shared" si="27"/>
        <v>0</v>
      </c>
      <c r="K26" s="710">
        <f t="shared" si="27"/>
        <v>0</v>
      </c>
      <c r="L26" s="710">
        <f t="shared" si="27"/>
        <v>0</v>
      </c>
      <c r="M26" s="711">
        <f t="shared" si="27"/>
        <v>405.57280000000003</v>
      </c>
      <c r="N26" s="712">
        <f>PERCENTILE(N$8:N$18,$B26)</f>
        <v>0.75</v>
      </c>
      <c r="O26" s="709" t="s">
        <v>78</v>
      </c>
      <c r="P26" s="707">
        <f t="shared" si="28"/>
        <v>912.53880000000004</v>
      </c>
      <c r="Q26" s="709">
        <f t="shared" si="28"/>
        <v>0</v>
      </c>
      <c r="R26" s="710">
        <f t="shared" si="28"/>
        <v>0</v>
      </c>
      <c r="S26" s="710">
        <f t="shared" si="28"/>
        <v>0</v>
      </c>
      <c r="T26" s="711">
        <f t="shared" si="28"/>
        <v>831.93969169481193</v>
      </c>
      <c r="U26" s="712">
        <f>PERCENTILE(U$8:U$18,$B26)</f>
        <v>1.602804585703711</v>
      </c>
      <c r="V26" s="709" t="s">
        <v>78</v>
      </c>
      <c r="W26" s="713">
        <f>W60</f>
        <v>1672.9878000000001</v>
      </c>
      <c r="X26" s="871">
        <f t="shared" si="29"/>
        <v>58.971225000000004</v>
      </c>
      <c r="Y26" s="875">
        <f t="shared" si="29"/>
        <v>64.333008200000009</v>
      </c>
      <c r="Z26" s="709" t="s">
        <v>78</v>
      </c>
      <c r="AA26" s="713">
        <f>AA60</f>
        <v>1941.2093414308119</v>
      </c>
      <c r="AB26" s="703"/>
      <c r="AC26" s="724"/>
      <c r="AD26" s="724"/>
      <c r="AE26" s="678"/>
      <c r="AF26" s="678"/>
      <c r="AG26" s="678"/>
      <c r="AH26" s="678"/>
      <c r="AI26" s="678"/>
      <c r="AJ26" s="678"/>
      <c r="AK26" s="678"/>
      <c r="AL26"/>
      <c r="AM26"/>
      <c r="AP26"/>
      <c r="AQ26"/>
    </row>
    <row r="27" spans="1:43" s="17" customFormat="1" ht="20.25" customHeight="1" outlineLevel="1">
      <c r="A27" s="12"/>
      <c r="B27" s="17">
        <v>0.25</v>
      </c>
      <c r="C27" s="696" t="s">
        <v>7</v>
      </c>
      <c r="D27" s="697">
        <f t="shared" si="26"/>
        <v>5393.5351649999993</v>
      </c>
      <c r="E27" s="697">
        <f t="shared" si="26"/>
        <v>5824.1906799999997</v>
      </c>
      <c r="F27" s="698"/>
      <c r="G27" s="698"/>
      <c r="H27" s="698"/>
      <c r="I27" s="697">
        <f t="shared" si="27"/>
        <v>486.67500000000001</v>
      </c>
      <c r="J27" s="699">
        <f t="shared" si="27"/>
        <v>0</v>
      </c>
      <c r="K27" s="700">
        <f t="shared" si="27"/>
        <v>0</v>
      </c>
      <c r="L27" s="700">
        <f t="shared" si="27"/>
        <v>0</v>
      </c>
      <c r="M27" s="701">
        <f t="shared" si="27"/>
        <v>325.15074335050002</v>
      </c>
      <c r="N27" s="677">
        <f>PERCENTILE(N$8:N$18,$B27)</f>
        <v>0.72499999999999998</v>
      </c>
      <c r="O27" s="699" t="s">
        <v>78</v>
      </c>
      <c r="P27" s="697">
        <f t="shared" si="28"/>
        <v>826.72698226800003</v>
      </c>
      <c r="Q27" s="699">
        <f t="shared" si="28"/>
        <v>0</v>
      </c>
      <c r="R27" s="700">
        <f t="shared" si="28"/>
        <v>0</v>
      </c>
      <c r="S27" s="700">
        <f t="shared" si="28"/>
        <v>0</v>
      </c>
      <c r="T27" s="701">
        <f t="shared" si="28"/>
        <v>745.15350000000012</v>
      </c>
      <c r="U27" s="677">
        <f>PERCENTILE(U$8:U$18,$B27)</f>
        <v>1.5</v>
      </c>
      <c r="V27" s="699" t="s">
        <v>78</v>
      </c>
      <c r="W27" s="702">
        <f>W61</f>
        <v>1569.5912499999999</v>
      </c>
      <c r="X27" s="863">
        <f t="shared" si="29"/>
        <v>23.366083799093655</v>
      </c>
      <c r="Y27" s="867">
        <f t="shared" si="29"/>
        <v>33.215989050000005</v>
      </c>
      <c r="Z27" s="699" t="s">
        <v>78</v>
      </c>
      <c r="AA27" s="702">
        <f>AA61</f>
        <v>1697.1644999999999</v>
      </c>
      <c r="AB27" s="703"/>
      <c r="AC27" s="724"/>
      <c r="AD27" s="724"/>
      <c r="AE27" s="678"/>
      <c r="AF27" s="678"/>
      <c r="AG27" s="678"/>
      <c r="AH27" s="678"/>
      <c r="AI27" s="678"/>
      <c r="AJ27" s="678"/>
      <c r="AK27" s="678"/>
      <c r="AL27"/>
      <c r="AM27"/>
      <c r="AP27"/>
      <c r="AQ27"/>
    </row>
    <row r="28" spans="1:43" s="17" customFormat="1" ht="20.25" customHeight="1" outlineLevel="1">
      <c r="A28" s="12"/>
      <c r="B28" s="12"/>
      <c r="C28" s="715" t="s">
        <v>6</v>
      </c>
      <c r="D28" s="716">
        <f>AVERAGE(D14:D23)</f>
        <v>5642.4116648484851</v>
      </c>
      <c r="E28" s="716">
        <f>AVERAGE(E14:E23)</f>
        <v>6147.3598507575762</v>
      </c>
      <c r="F28" s="715"/>
      <c r="G28" s="715"/>
      <c r="H28" s="715"/>
      <c r="I28" s="716">
        <f t="shared" si="27"/>
        <v>546.9968349736364</v>
      </c>
      <c r="J28" s="717">
        <f t="shared" si="27"/>
        <v>0</v>
      </c>
      <c r="K28" s="718">
        <f t="shared" si="27"/>
        <v>0</v>
      </c>
      <c r="L28" s="718">
        <f t="shared" si="27"/>
        <v>0</v>
      </c>
      <c r="M28" s="719">
        <f t="shared" si="27"/>
        <v>420.36224470293183</v>
      </c>
      <c r="N28" s="720">
        <f>AVERAGE(N14:N23)</f>
        <v>0.73762626262626263</v>
      </c>
      <c r="O28" s="717" t="s">
        <v>78</v>
      </c>
      <c r="P28" s="716">
        <f t="shared" si="28"/>
        <v>967.35907967656829</v>
      </c>
      <c r="Q28" s="717">
        <f t="shared" si="28"/>
        <v>0</v>
      </c>
      <c r="R28" s="718">
        <f t="shared" si="28"/>
        <v>0</v>
      </c>
      <c r="S28" s="718">
        <f t="shared" si="28"/>
        <v>0</v>
      </c>
      <c r="T28" s="719">
        <f t="shared" si="28"/>
        <v>1004.0855638431193</v>
      </c>
      <c r="U28" s="720">
        <f>AVERAGE(U14:U23)</f>
        <v>1.7077955740496558</v>
      </c>
      <c r="V28" s="717" t="s">
        <v>78</v>
      </c>
      <c r="W28" s="721">
        <f>W62</f>
        <v>1971.4446435196876</v>
      </c>
      <c r="X28" s="878">
        <f t="shared" si="29"/>
        <v>106.65173548313193</v>
      </c>
      <c r="Y28" s="882">
        <f t="shared" si="29"/>
        <v>93.34064134827122</v>
      </c>
      <c r="Z28" s="717" t="s">
        <v>78</v>
      </c>
      <c r="AA28" s="721">
        <f>AA62</f>
        <v>2105.9879330681633</v>
      </c>
      <c r="AB28" s="703"/>
      <c r="AC28" s="724"/>
      <c r="AD28" s="724"/>
      <c r="AE28" s="678"/>
      <c r="AF28" s="678"/>
      <c r="AG28" s="678"/>
      <c r="AH28" s="678"/>
      <c r="AI28" s="678"/>
      <c r="AJ28" s="678"/>
      <c r="AK28" s="678"/>
      <c r="AL28"/>
      <c r="AM28"/>
      <c r="AP28"/>
      <c r="AQ28"/>
    </row>
    <row r="29" spans="1:43" ht="7.5" customHeight="1">
      <c r="C29" s="725"/>
      <c r="D29" s="725"/>
      <c r="E29" s="725"/>
      <c r="F29" s="725"/>
      <c r="G29" s="725"/>
      <c r="H29" s="725"/>
      <c r="I29" s="726"/>
      <c r="J29" s="727"/>
      <c r="K29" s="728"/>
      <c r="L29" s="728"/>
      <c r="M29" s="726"/>
      <c r="N29" s="729"/>
      <c r="O29" s="727"/>
      <c r="P29" s="726"/>
      <c r="Q29" s="726"/>
      <c r="R29" s="729"/>
      <c r="S29" s="729"/>
      <c r="T29" s="727"/>
      <c r="U29" s="728"/>
      <c r="V29" s="727"/>
      <c r="W29" s="726"/>
      <c r="X29" s="728"/>
      <c r="Y29" s="727"/>
      <c r="Z29" s="726"/>
      <c r="AA29" s="726"/>
      <c r="AB29" s="675"/>
      <c r="AC29" s="725"/>
      <c r="AD29" s="725"/>
      <c r="AE29" s="678"/>
      <c r="AF29" s="678"/>
      <c r="AG29" s="678"/>
      <c r="AH29" s="678"/>
      <c r="AI29" s="678"/>
      <c r="AJ29" s="678"/>
      <c r="AK29" s="678"/>
      <c r="AL29"/>
      <c r="AM29"/>
      <c r="AP29"/>
      <c r="AQ29"/>
    </row>
    <row r="30" spans="1:43" s="35" customFormat="1" ht="20.25" customHeight="1">
      <c r="A30" s="35" t="str">
        <f>$B30&amp;"_"&amp;$C$3&amp;"_"&amp;$C$2</f>
        <v>TSX:HBM_2025_Legal</v>
      </c>
      <c r="B30" s="35" t="str">
        <f>'Raw Data'!H6</f>
        <v>TSX:HBM</v>
      </c>
      <c r="C30" s="730" t="str">
        <f>IFERROR(INDEX(Raw_Data,MATCH($A30,Look_Up2,0),MATCH(C$4,Component,0)),"-")</f>
        <v>Hudbay Minerals Inc.</v>
      </c>
      <c r="D30" s="731">
        <f>_xll.ciqfunctions.udf.CIQ(B30, "IQ_MARKETCAP", $A$1,$A$2)</f>
        <v>5664.3295799999996</v>
      </c>
      <c r="E30" s="731">
        <f>_xll.ciqfunctions.udf.CIQ($B30, "IQ_TEV", $A$1,$A$2)</f>
        <v>6773.8200500000003</v>
      </c>
      <c r="F30" s="732" t="str">
        <f>IFERROR(INDEX(Raw_Data,MATCH($A30,Look_Up2,0),MATCH(F$4,Component,0)),"-")</f>
        <v>Patrick Donnelly</v>
      </c>
      <c r="G30" s="732" t="str">
        <f>IFERROR(INDEX(Raw_Data,MATCH($A30,Look_Up2,0),MATCH(G$4,Component,0)),"-")</f>
        <v>SVP, Legal and Organizational Effectiveness</v>
      </c>
      <c r="H30" s="732">
        <f>IFERROR(INDEX(Raw_Data,MATCH($A30,Look_Up2,0),MATCH(H$4,Component,0))/1000,"-")</f>
        <v>526.74300000000005</v>
      </c>
      <c r="I30" s="731">
        <f>IFERROR(INDEX(Raw_Data,MATCH($A30,Look_Up2,0),MATCH(I$4,Component,0))/1000,"-")</f>
        <v>526.74300000000005</v>
      </c>
      <c r="J30" s="731">
        <f>IFERROR(INDEX(Raw_Data,MATCH($A30,Look_Up2,0),MATCH(J$4,Component,0))/1000,"-")</f>
        <v>478.58300000000003</v>
      </c>
      <c r="K30" s="733">
        <f>IFERROR(INDEX(Raw_Data,MATCH($A30,Look_Up2,0),MATCH(K$4,Component,0)),"-")</f>
        <v>0.90857021355765522</v>
      </c>
      <c r="L30" s="733">
        <f>IFERROR(INDEX(Raw_Data,MATCH($A30,Look_Up2,0),MATCH(L$4,Component,0)),"-")</f>
        <v>0.91062428836452636</v>
      </c>
      <c r="M30" s="731">
        <f>IFERROR(INDEX(Raw_Data,MATCH($A30,Look_Up2,0),MATCH(M$4,Component,0))/1000,"-")</f>
        <v>395.05725000000001</v>
      </c>
      <c r="N30" s="733">
        <f>IFERROR(IF(INDEX(Raw_Data,MATCH($A30,Look_Up2,0),MATCH(N$4,Component,0))="-",L30,INDEX(Raw_Data,MATCH($A30,Look_Up2,0),MATCH(N$4,Component,0))),"-")</f>
        <v>0.75</v>
      </c>
      <c r="O30" s="731" t="s">
        <v>78</v>
      </c>
      <c r="P30" s="731">
        <f>IFERROR(INDEX(Raw_Data,MATCH($A30,Look_Up2,0),MATCH(P$4,Component,0))/1000,"-")</f>
        <v>921.80025000000001</v>
      </c>
      <c r="Q30" s="731">
        <f>IFERROR(INDEX(Raw_Data,MATCH($A30,Look_Up2,0),MATCH(Q$4,Component,0))/1000,"-")</f>
        <v>752.48900000000003</v>
      </c>
      <c r="R30" s="733" t="str">
        <f>IFERROR(INDEX(Raw_Data,MATCH($A30,Look_Up2,0),MATCH(R$4,Component,0)),"-")</f>
        <v>-</v>
      </c>
      <c r="S30" s="733" t="str">
        <f>IFERROR(INDEX(Raw_Data,MATCH($A30,Look_Up2,0),MATCH(S$4,Component,0)),"-")</f>
        <v>N/A</v>
      </c>
      <c r="T30" s="731">
        <f>IFERROR(INDEX(Raw_Data,MATCH($A30,Look_Up2,0),MATCH(T$4,Component,0))/1000,"-")</f>
        <v>790.11450000000002</v>
      </c>
      <c r="U30" s="733">
        <f>IFERROR(IF(INDEX(Raw_Data,MATCH($A30,Look_Up2,0),MATCH(U$4,Component,0))="-",S30,INDEX(Raw_Data,MATCH($A30,Look_Up2,0),MATCH(U$4,Component,0))),"-")</f>
        <v>1.5</v>
      </c>
      <c r="V30" s="731" t="s">
        <v>78</v>
      </c>
      <c r="W30" s="731">
        <f>IFERROR(INDEX(Raw_Data,MATCH($A30,Look_Up2,0),MATCH(W$4,Component,0))/1000,"-")</f>
        <v>1711.9147499999999</v>
      </c>
      <c r="X30" s="735">
        <f>IFERROR((INDEX(Raw_Data,MATCH($A30,Look_Up2,0),MATCH(X$4,Component,0))/1000),"-")</f>
        <v>91.935000000000002</v>
      </c>
      <c r="Y30" s="731" t="str">
        <f>IFERROR((INDEX(Raw_Data,MATCH($A30,Look_Up2,0),MATCH(Y$4,Component,0))/1000),"-")</f>
        <v>-</v>
      </c>
      <c r="Z30" s="731">
        <f>IFERROR(INDEX(Raw_Data,MATCH($A30,Look_Up2,0),MATCH(Z$4,Component,0))/1000,"-")</f>
        <v>1849.75</v>
      </c>
      <c r="AA30" s="734">
        <f>IFERROR(INDEX(Raw_Data,MATCH($A30,Look_Up2,0),MATCH(AA$4,Component,0))/1000,"-")</f>
        <v>1803.8497500000001</v>
      </c>
      <c r="AB30" s="736"/>
      <c r="AC30" s="737">
        <f>IFERROR(P30/W30,0)</f>
        <v>0.53846153846153855</v>
      </c>
      <c r="AD30" s="738">
        <f>IFERROR(T30/W30,0)</f>
        <v>0.46153846153846156</v>
      </c>
      <c r="AE30" s="678" t="str">
        <f>B30&amp;"_"&amp;$AE$6&amp;"_"&amp;$C$2</f>
        <v>TSX:HBM_2024_Legal</v>
      </c>
      <c r="AF30" s="678"/>
      <c r="AG30" s="678"/>
      <c r="AH30" s="678"/>
      <c r="AI30" s="678"/>
      <c r="AJ30" s="678"/>
      <c r="AK30" s="678"/>
      <c r="AL30"/>
      <c r="AM30"/>
      <c r="AP30"/>
      <c r="AQ30"/>
    </row>
    <row r="31" spans="1:43" ht="20.25" customHeight="1">
      <c r="B31" s="33"/>
      <c r="C31" s="739" t="s">
        <v>5</v>
      </c>
      <c r="D31" s="740">
        <f>IF(D$30&gt;=MAX(D$8:D$18),"max",IF(D$30&lt;=MIN(D$8:D$18),"min",PERCENTRANK(D$8:D$18,D$30)))</f>
        <v>0.35299999999999998</v>
      </c>
      <c r="E31" s="740">
        <f>IF(E$30&gt;=MAX(E$8:E$18),"max",IF(E$30&lt;=MIN(E$8:E$18),"min",PERCENTRANK(E$8:E$18,E$30)))</f>
        <v>0.48299999999999998</v>
      </c>
      <c r="F31" s="741"/>
      <c r="G31" s="741"/>
      <c r="H31" s="741"/>
      <c r="I31" s="740">
        <f>IF(I$30&gt;=MAX(I$38:I$57),"max",IF(I$30&lt;=MIN(I$38:I$57),"min",PERCENTRANK(I$38:I$57,I$30)))</f>
        <v>0.51900000000000002</v>
      </c>
      <c r="J31" s="740">
        <f>IF(J$30&gt;=MAX(J$8:J$18),"max",IF(J$30&lt;=MIN(J$8:J$18),"min",PERCENTRANK(J$8:J$18,J$30)))</f>
        <v>0.52600000000000002</v>
      </c>
      <c r="K31" s="740">
        <f>IF(K$30&gt;=MAX(K$8:K$18),"max",IF(K$30&lt;=MIN(K$8:K$18),"min",PERCENTRANK(K$8:K$18,K$30)))</f>
        <v>0.39</v>
      </c>
      <c r="L31" s="740">
        <f>IF(L$30&gt;=MAX(L$8:L$18),"max",IF(L$30&lt;=MIN(L$8:L$18),"min",PERCENTRANK(L$8:L$18,L$30)))</f>
        <v>0.61699999999999999</v>
      </c>
      <c r="M31" s="740">
        <f>IF(M$30&gt;=MAX(M$38:M$57),"max",IF(M$30&lt;=MIN(M$38:M$57),"min",PERCENTRANK(M$38:M$57,M$30)))</f>
        <v>0.47199999999999998</v>
      </c>
      <c r="N31" s="740">
        <f>IF(N$30&gt;=MAX(N$8:N$18),"max",IF(N$30&lt;=MIN(N$8:N$18),"min",PERCENTRANK(N$8:N$18,N$30)))</f>
        <v>0.3</v>
      </c>
      <c r="O31" s="740" t="s">
        <v>78</v>
      </c>
      <c r="P31" s="740">
        <f>IF(P$30&gt;=MAX(P$38:P$57),"max",IF(P$30&lt;=MIN(P$38:P$57),"min",PERCENTRANK(P$38:P$57,P$30)))</f>
        <v>0.50900000000000001</v>
      </c>
      <c r="Q31" s="740">
        <f>IF(Q$30&gt;=MAX(Q$8:Q$18),"max",IF(Q$30&lt;=MIN(Q$8:Q$18),"min",PERCENTRANK(Q$8:Q$18,Q$30)))</f>
        <v>0.50900000000000001</v>
      </c>
      <c r="R31" s="740" t="str">
        <f>IF(R$30&gt;=MAX(R$8:R$18),"max",IF(R$30&lt;=MIN(R$8:R$18),"min",PERCENTRANK(R$8:R$18,R$30)))</f>
        <v>max</v>
      </c>
      <c r="S31" s="740" t="str">
        <f>IF(S$30&gt;=MAX(S$8:S$18),"max",IF(S$30&lt;=MIN(S$8:S$18),"min",PERCENTRANK(S$8:S$18,S$30)))</f>
        <v>max</v>
      </c>
      <c r="T31" s="740">
        <f>IF(T$30&gt;=MAX(T$38:T$57),"max",IF(T$30&lt;=MIN(T$38:T$57),"min",PERCENTRANK(T$38:T$57,T$30)))</f>
        <v>0.441</v>
      </c>
      <c r="U31" s="740">
        <f>IF(U$30&gt;=MAX(U$8:U$18),"max",IF(U$30&lt;=MIN(U$8:U$18),"min",PERCENTRANK(U$8:U$18,U$30)))</f>
        <v>0.1</v>
      </c>
      <c r="V31" s="740" t="s">
        <v>78</v>
      </c>
      <c r="W31" s="740">
        <f>IF(W$30&gt;=MAX(W$38:W$57),"max",IF(W$30&lt;=MIN(W$38:W$57),"min",PERCENTRANK(W$38:W$57,W$30)))</f>
        <v>0.51200000000000001</v>
      </c>
      <c r="X31" s="740">
        <f>IF(X$30&gt;=MAX(X$8:X$18),"max",IF(X$30&lt;=MIN(X$8:X$18),"min",PERCENTRANK(X$8:X$18,X$30)))</f>
        <v>0.60799999999999998</v>
      </c>
      <c r="Y31" s="740" t="str">
        <f>IF(Y$30&gt;=MAX(Y$8:Y$18),"max",IF(Y$30&lt;=MIN(Y$8:Y$18),"min",PERCENTRANK(Y$8:Y$18,Y$30)))</f>
        <v>max</v>
      </c>
      <c r="Z31" s="740">
        <f>IF(Z$30&gt;=MAX(Z$8:Z$18),"max",IF(Z$30&lt;=MIN(Z$8:Z$18),"min",PERCENTRANK(Z$8:Z$18,Z$30)))</f>
        <v>0.497</v>
      </c>
      <c r="AA31" s="742">
        <f>IF(AA$30&gt;=MAX(AA$38:AA$57),"max",IF(AA$30&lt;=MIN(AA$38:AA$57),"min",PERCENTRANK(AA$38:AA$57,AA$30)))</f>
        <v>0.42299999999999999</v>
      </c>
      <c r="AB31" s="675"/>
      <c r="AC31" s="743">
        <f>IF(AC$30&gt;=MAX(AC$8:AC18),"max",IF(AC$30&lt;=MIN(AC$8:AC18),"min",PERCENTRANK(AC$8:AC18,AC$30)))</f>
        <v>0.8</v>
      </c>
      <c r="AD31" s="744">
        <f>IF(AD$30&gt;=MAX(AD$8:AD18),"max",IF(AD$30&lt;=MIN(AD$8:AD18),"min",PERCENTRANK(AD$8:AD18,AD$30)))</f>
        <v>0.2</v>
      </c>
      <c r="AE31" s="678"/>
      <c r="AF31" s="678"/>
      <c r="AG31" s="678"/>
      <c r="AH31" s="678"/>
      <c r="AI31" s="678"/>
      <c r="AJ31" s="678"/>
      <c r="AK31" s="678"/>
      <c r="AL31"/>
      <c r="AM31"/>
      <c r="AP31"/>
      <c r="AQ31"/>
    </row>
    <row r="32" spans="1:43" ht="21" customHeight="1">
      <c r="B32" s="33"/>
      <c r="C32" s="286"/>
      <c r="D32" s="286"/>
      <c r="E32" s="259"/>
      <c r="F32" s="259"/>
      <c r="G32" s="259"/>
      <c r="H32" s="259"/>
      <c r="I32" s="275"/>
      <c r="J32" s="275"/>
      <c r="K32" s="275"/>
      <c r="L32" s="275"/>
      <c r="M32" s="275"/>
      <c r="N32" s="275"/>
      <c r="O32" s="275"/>
      <c r="P32" s="275"/>
      <c r="Q32" s="275"/>
      <c r="R32" s="275"/>
      <c r="S32" s="275"/>
      <c r="T32" s="275"/>
      <c r="U32" s="275"/>
      <c r="V32" s="1085" t="s">
        <v>779</v>
      </c>
      <c r="W32" s="1101">
        <f>W30</f>
        <v>1711.9147499999999</v>
      </c>
      <c r="X32" s="275"/>
      <c r="Y32" s="275"/>
      <c r="Z32" s="275"/>
      <c r="AA32" s="275"/>
      <c r="AC32" s="259"/>
      <c r="AD32" s="259"/>
      <c r="AE32" s="316"/>
      <c r="AF32" s="316"/>
      <c r="AG32" s="316"/>
      <c r="AH32" s="316"/>
      <c r="AI32" s="316"/>
      <c r="AJ32" s="316"/>
      <c r="AK32" s="316"/>
      <c r="AP32"/>
      <c r="AQ32"/>
    </row>
    <row r="33" spans="1:43" ht="15" customHeight="1">
      <c r="B33" s="33"/>
      <c r="C33" s="286" t="s">
        <v>243</v>
      </c>
      <c r="D33" s="286"/>
      <c r="E33" s="259"/>
      <c r="F33" s="259"/>
      <c r="G33" s="259"/>
      <c r="H33" s="259"/>
      <c r="I33" s="275"/>
      <c r="J33" s="275"/>
      <c r="K33" s="275"/>
      <c r="L33" s="275"/>
      <c r="M33" s="275"/>
      <c r="N33" s="275"/>
      <c r="O33" s="275"/>
      <c r="P33" s="275"/>
      <c r="Q33" s="275"/>
      <c r="R33" s="275"/>
      <c r="S33" s="275"/>
      <c r="T33" s="275"/>
      <c r="U33" s="275"/>
      <c r="V33" s="1085" t="s">
        <v>780</v>
      </c>
      <c r="W33" s="1086">
        <f>PERCENTRANK(W38:W57,W32)</f>
        <v>0.51200000000000001</v>
      </c>
      <c r="X33" s="275"/>
      <c r="Y33" s="275"/>
      <c r="Z33" s="275"/>
      <c r="AA33" s="275"/>
      <c r="AC33" s="259"/>
      <c r="AD33" s="259"/>
      <c r="AE33" s="316"/>
      <c r="AF33" s="316"/>
      <c r="AG33" s="259"/>
      <c r="AH33" s="537"/>
      <c r="AI33" s="316"/>
      <c r="AJ33" s="316"/>
      <c r="AK33" s="316"/>
      <c r="AP33"/>
      <c r="AQ33"/>
    </row>
    <row r="34" spans="1:43" ht="25">
      <c r="B34" s="15"/>
      <c r="C34" s="284"/>
      <c r="D34" s="284"/>
      <c r="E34" s="284"/>
      <c r="F34" s="284"/>
      <c r="G34" s="284"/>
      <c r="H34" s="284"/>
      <c r="I34" s="284"/>
      <c r="J34" s="284"/>
      <c r="K34" s="284"/>
      <c r="L34" s="284"/>
      <c r="M34" s="284"/>
      <c r="N34" s="284"/>
      <c r="O34" s="284"/>
      <c r="P34" s="284"/>
      <c r="Q34" s="284"/>
      <c r="R34" s="284"/>
      <c r="S34" s="284"/>
      <c r="T34" s="284"/>
      <c r="U34" s="284"/>
      <c r="V34" s="1087" t="s">
        <v>781</v>
      </c>
      <c r="W34" s="1088">
        <f>W30-W26</f>
        <v>38.926949999999806</v>
      </c>
      <c r="X34" s="284"/>
      <c r="Y34" s="284"/>
      <c r="Z34" s="284"/>
      <c r="AA34" s="284"/>
      <c r="AC34" s="258"/>
      <c r="AD34" s="258"/>
      <c r="AH34" s="538"/>
    </row>
    <row r="35" spans="1:43">
      <c r="B35" s="15"/>
      <c r="C35" s="14"/>
      <c r="D35" s="14"/>
      <c r="E35" s="14"/>
      <c r="F35" s="14"/>
      <c r="G35" s="14"/>
      <c r="H35" s="14"/>
      <c r="I35" s="14"/>
      <c r="J35" s="14"/>
      <c r="K35" s="14"/>
      <c r="L35" s="14"/>
      <c r="M35" s="14"/>
      <c r="N35" s="14"/>
      <c r="O35" s="14"/>
      <c r="P35" s="14"/>
      <c r="Q35" s="14"/>
      <c r="R35" s="14"/>
      <c r="S35" s="14"/>
      <c r="T35" s="14"/>
      <c r="U35" s="14"/>
      <c r="V35" s="1089" t="s">
        <v>782</v>
      </c>
      <c r="W35" s="1090">
        <f>W30/W26 -1</f>
        <v>2.3267922216766879E-2</v>
      </c>
      <c r="X35" s="14"/>
      <c r="Y35" s="14"/>
      <c r="Z35" s="14"/>
      <c r="AA35" s="14"/>
      <c r="AC35" s="27"/>
      <c r="AD35" s="27"/>
    </row>
    <row r="36" spans="1:43">
      <c r="B36" s="15"/>
      <c r="C36" s="305" t="s">
        <v>110</v>
      </c>
      <c r="D36" s="313"/>
      <c r="E36" s="306"/>
      <c r="F36" s="306"/>
      <c r="G36" s="306"/>
      <c r="H36" s="306"/>
      <c r="I36" s="306"/>
      <c r="J36" s="306"/>
      <c r="K36" s="306"/>
      <c r="L36" s="306"/>
      <c r="M36" s="306"/>
      <c r="N36" s="306"/>
      <c r="O36" s="306"/>
      <c r="P36" s="306"/>
      <c r="Q36" s="306"/>
      <c r="R36" s="306"/>
      <c r="S36" s="306"/>
      <c r="T36" s="306"/>
      <c r="U36" s="306"/>
      <c r="V36" s="306"/>
      <c r="W36" s="306"/>
      <c r="X36" s="306"/>
      <c r="Y36" s="306"/>
      <c r="Z36" s="306"/>
      <c r="AA36" s="306"/>
      <c r="AC36" s="307"/>
      <c r="AD36" s="307"/>
      <c r="AE36" s="308"/>
      <c r="AF36" s="308"/>
      <c r="AG36" s="308"/>
      <c r="AH36" s="308"/>
      <c r="AI36" s="308"/>
      <c r="AJ36" s="308"/>
      <c r="AK36" s="308"/>
    </row>
    <row r="37" spans="1:43" ht="25">
      <c r="B37" s="15"/>
      <c r="C37" s="297" t="s">
        <v>111</v>
      </c>
      <c r="E37" s="14"/>
      <c r="F37" s="14"/>
      <c r="G37" s="315" t="s">
        <v>119</v>
      </c>
      <c r="H37" s="314" t="s">
        <v>115</v>
      </c>
      <c r="I37" s="314" t="s">
        <v>116</v>
      </c>
      <c r="J37" s="314"/>
      <c r="K37" s="314"/>
      <c r="L37" s="314"/>
      <c r="M37" s="314" t="s">
        <v>16</v>
      </c>
      <c r="O37" s="314"/>
      <c r="P37" s="314" t="s">
        <v>117</v>
      </c>
      <c r="Q37" s="314"/>
      <c r="R37" s="314"/>
      <c r="S37" s="314"/>
      <c r="T37" s="314" t="s">
        <v>14</v>
      </c>
      <c r="V37" s="314"/>
      <c r="W37" s="314" t="s">
        <v>118</v>
      </c>
      <c r="Y37" s="314"/>
      <c r="Z37" s="314"/>
      <c r="AA37" s="314" t="s">
        <v>246</v>
      </c>
      <c r="AC37" s="27"/>
      <c r="AD37" s="27"/>
    </row>
    <row r="38" spans="1:43" ht="14.5">
      <c r="A38" s="295" t="str">
        <f>A8</f>
        <v>TSX:LUN_2025_Legal</v>
      </c>
      <c r="B38" s="295" t="str">
        <f>B8</f>
        <v>TSX:LUN</v>
      </c>
      <c r="C38" s="296" t="str">
        <f>_xll.ciqfunctions.udf.CIQ(B38,"IQ_COMPANY_NAME")</f>
        <v>Lundin Mining Corporation</v>
      </c>
      <c r="E38" s="14"/>
      <c r="F38" s="14"/>
      <c r="G38" s="294" t="s">
        <v>398</v>
      </c>
      <c r="H38" s="303">
        <f t="shared" ref="H38:H57" si="30">IFERROR(INDEX(Raw_Data,MATCH($A38,Look_Up2,0),MATCH(H$4,Component,0))/1000,"-")</f>
        <v>630</v>
      </c>
      <c r="I38" s="303">
        <f>IFERROR(IF(G38="y",IF(H38&lt;&gt;"-",H38,INDEX(Raw_Data,MATCH($A38,Look_Up2,0),MATCH(I$4,Component,0))/1000*(1+'Raw Data'!$H$13)),(INDEX(Raw_Data,MATCH($A38,Look_Up2,0),MATCH(I$4,Component,0))/1000)),"-")</f>
        <v>630</v>
      </c>
      <c r="J38" s="1234"/>
      <c r="K38" s="1234"/>
      <c r="L38" s="1234"/>
      <c r="M38" s="303">
        <f>IFERROR(I38*N8,"-")</f>
        <v>472.5</v>
      </c>
      <c r="N38" s="362"/>
      <c r="O38" s="361"/>
      <c r="P38" s="303">
        <f>IFERROR(IF(SUM(M38,I38)=0,"-",SUM(M38,I38)),"-")</f>
        <v>1102.5</v>
      </c>
      <c r="Q38" s="361"/>
      <c r="R38" s="361"/>
      <c r="S38" s="361"/>
      <c r="T38" s="303">
        <f>IFERROR(I38*U8,"-")</f>
        <v>1043.1867449864162</v>
      </c>
      <c r="U38" s="362"/>
      <c r="V38" s="361"/>
      <c r="W38" s="303">
        <f>IFERROR(IF(SUM(T38,P38)=0,"-",SUM(T38,P38)),"-")</f>
        <v>2145.6867449864162</v>
      </c>
      <c r="X38" s="362"/>
      <c r="Y38" s="361"/>
      <c r="Z38" s="361"/>
      <c r="AA38" s="303">
        <f>IFERROR(IF(SUM(W38,X8,Y8)=0,"-",SUM(W38,X8,Y8)),"-")</f>
        <v>2289.8029685864162</v>
      </c>
      <c r="AB38" s="362"/>
    </row>
    <row r="39" spans="1:43" ht="14.5">
      <c r="A39" s="295" t="str">
        <f t="shared" ref="A39:B51" si="31">A9</f>
        <v>TSX:PAAS_2025_Legal</v>
      </c>
      <c r="B39" s="295" t="str">
        <f t="shared" si="31"/>
        <v>TSX:PAAS</v>
      </c>
      <c r="C39" s="296" t="str">
        <f>_xll.ciqfunctions.udf.CIQ(B39,"IQ_COMPANY_NAME")</f>
        <v>Pan American Silver Corp.</v>
      </c>
      <c r="E39" s="14"/>
      <c r="F39" s="14"/>
      <c r="G39" s="294" t="s">
        <v>398</v>
      </c>
      <c r="H39" s="262" t="str">
        <f t="shared" si="30"/>
        <v>-</v>
      </c>
      <c r="I39" s="262">
        <f>IFERROR(IF(G39="y",IF(H39&lt;&gt;"-",H39,INDEX(Raw_Data,MATCH($A39,Look_Up2,0),MATCH(I$4,Component,0))/1000*(1+'Raw Data'!$H$13)),(INDEX(Raw_Data,MATCH($A39,Look_Up2,0),MATCH(I$4,Component,0))/1000)),"-")</f>
        <v>721</v>
      </c>
      <c r="J39" s="361"/>
      <c r="K39" s="361"/>
      <c r="L39" s="361"/>
      <c r="M39" s="262">
        <f t="shared" ref="M39:M57" si="32">IFERROR(I39*N9,"-")</f>
        <v>576.80000000000007</v>
      </c>
      <c r="N39" s="362"/>
      <c r="O39" s="361"/>
      <c r="P39" s="262">
        <f t="shared" ref="P39:P57" si="33">IFERROR(IF(SUM(M39,I39)=0,"-",SUM(M39,I39)),"-")</f>
        <v>1297.8000000000002</v>
      </c>
      <c r="Q39" s="361"/>
      <c r="R39" s="361"/>
      <c r="S39" s="361"/>
      <c r="T39" s="262">
        <f>IFERROR(I39*U9,"-")</f>
        <v>1586.2</v>
      </c>
      <c r="U39" s="362"/>
      <c r="V39" s="361"/>
      <c r="W39" s="262">
        <f>IFERROR(IF(SUM(T39,P39)=0,"-",SUM(T39,P39)),"-")</f>
        <v>2884</v>
      </c>
      <c r="X39" s="362"/>
      <c r="Y39" s="361"/>
      <c r="Z39" s="361"/>
      <c r="AA39" s="262">
        <f t="shared" ref="AA39:AA49" si="34">IFERROR(IF(SUM(W39,X9,Y9)=0,"-",SUM(W39,X9,Y9)),"-")</f>
        <v>3199</v>
      </c>
      <c r="AB39" s="362"/>
    </row>
    <row r="40" spans="1:43" ht="14.5">
      <c r="A40" s="295" t="str">
        <f t="shared" si="31"/>
        <v>TSX:CDE_2025_Legal</v>
      </c>
      <c r="B40" s="295" t="str">
        <f t="shared" si="31"/>
        <v>TSX:CDE</v>
      </c>
      <c r="C40" s="296" t="str">
        <f>_xll.ciqfunctions.udf.CIQ(B40,"IQ_COMPANY_NAME")</f>
        <v>Coeur Mining, Inc.</v>
      </c>
      <c r="E40" s="14"/>
      <c r="F40" s="14"/>
      <c r="G40" s="294" t="s">
        <v>398</v>
      </c>
      <c r="H40" s="262" t="str">
        <f t="shared" si="30"/>
        <v>-</v>
      </c>
      <c r="I40" s="262">
        <f>IFERROR(IF(G40="y",IF(H40&lt;&gt;"-",H40,INDEX(Raw_Data,MATCH($A40,Look_Up2,0),MATCH(I$4,Component,0))/1000*(1+'Raw Data'!$H$13)),(INDEX(Raw_Data,MATCH($A40,Look_Up2,0),MATCH(I$4,Component,0))/1000)),"-")</f>
        <v>611.73373749999996</v>
      </c>
      <c r="J40" s="361"/>
      <c r="K40" s="361"/>
      <c r="L40" s="361"/>
      <c r="M40" s="262">
        <f t="shared" si="32"/>
        <v>611.73373749999996</v>
      </c>
      <c r="N40" s="362"/>
      <c r="O40" s="361"/>
      <c r="P40" s="262">
        <f t="shared" si="33"/>
        <v>1223.4674749999999</v>
      </c>
      <c r="Q40" s="361"/>
      <c r="R40" s="361"/>
      <c r="S40" s="361"/>
      <c r="T40" s="262">
        <f t="shared" ref="T40:T57" si="35">IFERROR(I40*U10,"-")</f>
        <v>1376.4009093749999</v>
      </c>
      <c r="U40" s="362"/>
      <c r="V40" s="361"/>
      <c r="W40" s="262">
        <f t="shared" ref="W40:W57" si="36">IFERROR(IF(SUM(T40,P40)=0,"-",SUM(T40,P40)),"-")</f>
        <v>2599.8683843749996</v>
      </c>
      <c r="X40" s="362"/>
      <c r="Y40" s="361"/>
      <c r="Z40" s="361"/>
      <c r="AA40" s="262">
        <f t="shared" si="34"/>
        <v>2693.5478425749998</v>
      </c>
      <c r="AB40" s="362"/>
    </row>
    <row r="41" spans="1:43" ht="14.5">
      <c r="A41" s="295" t="str">
        <f t="shared" si="31"/>
        <v>NYSE:HL_2025_Legal</v>
      </c>
      <c r="B41" s="295" t="str">
        <f t="shared" si="31"/>
        <v>NYSE:HL</v>
      </c>
      <c r="C41" s="296" t="str">
        <f>_xll.ciqfunctions.udf.CIQ(B41,"IQ_COMPANY_NAME")</f>
        <v>Hecla Mining Company</v>
      </c>
      <c r="G41" s="294" t="s">
        <v>398</v>
      </c>
      <c r="H41" s="262">
        <f t="shared" si="30"/>
        <v>558.98</v>
      </c>
      <c r="I41" s="262">
        <f>IFERROR(IF(G41="y",IF(H41&lt;&gt;"-",H41,INDEX(Raw_Data,MATCH($A41,Look_Up2,0),MATCH(I$4,Component,0))/1000*(1+'Raw Data'!$H$13)),(INDEX(Raw_Data,MATCH($A41,Look_Up2,0),MATCH(I$4,Component,0))/1000)),"-")</f>
        <v>558.98</v>
      </c>
      <c r="J41" s="361"/>
      <c r="K41" s="361"/>
      <c r="L41" s="361"/>
      <c r="M41" s="262">
        <f t="shared" si="32"/>
        <v>447.18400000000003</v>
      </c>
      <c r="N41" s="362"/>
      <c r="O41" s="362"/>
      <c r="P41" s="262">
        <f t="shared" si="33"/>
        <v>1006.164</v>
      </c>
      <c r="Q41" s="362"/>
      <c r="R41" s="362"/>
      <c r="S41" s="362"/>
      <c r="T41" s="262">
        <f t="shared" si="35"/>
        <v>978.21500000000003</v>
      </c>
      <c r="U41" s="362"/>
      <c r="V41" s="362"/>
      <c r="W41" s="262">
        <f t="shared" si="36"/>
        <v>1984.3789999999999</v>
      </c>
      <c r="X41" s="362"/>
      <c r="Y41" s="362"/>
      <c r="Z41" s="362"/>
      <c r="AA41" s="262">
        <f t="shared" si="34"/>
        <v>2182.5206406000002</v>
      </c>
      <c r="AB41" s="362"/>
    </row>
    <row r="42" spans="1:43" ht="14.5">
      <c r="A42" s="295" t="str">
        <f t="shared" si="31"/>
        <v>TSX:IMG_2025_Legal</v>
      </c>
      <c r="B42" s="295" t="str">
        <f t="shared" si="31"/>
        <v>TSX:IMG</v>
      </c>
      <c r="C42" s="296" t="str">
        <f>_xll.ciqfunctions.udf.CIQ(B42,"IQ_COMPANY_NAME")</f>
        <v>IAMGOLD Corporation</v>
      </c>
      <c r="G42" s="294" t="s">
        <v>398</v>
      </c>
      <c r="H42" s="262" t="str">
        <f t="shared" si="30"/>
        <v>-</v>
      </c>
      <c r="I42" s="262">
        <f>IFERROR(IF(G42="y",IF(H42&lt;&gt;"-",H42,INDEX(Raw_Data,MATCH($A42,Look_Up2,0),MATCH(I$4,Component,0))/1000*(1+'Raw Data'!$H$13)),(INDEX(Raw_Data,MATCH($A42,Look_Up2,0),MATCH(I$4,Component,0))/1000)),"-")</f>
        <v>484.1</v>
      </c>
      <c r="J42" s="361"/>
      <c r="K42" s="361"/>
      <c r="L42" s="361"/>
      <c r="M42" s="262">
        <f t="shared" si="32"/>
        <v>338.87</v>
      </c>
      <c r="N42" s="362"/>
      <c r="O42" s="362"/>
      <c r="P42" s="262">
        <f t="shared" si="33"/>
        <v>822.97</v>
      </c>
      <c r="Q42" s="362"/>
      <c r="R42" s="362"/>
      <c r="S42" s="362"/>
      <c r="T42" s="262">
        <f t="shared" si="35"/>
        <v>726.15000000000009</v>
      </c>
      <c r="U42" s="362"/>
      <c r="V42" s="362"/>
      <c r="W42" s="262">
        <f t="shared" si="36"/>
        <v>1549.1200000000001</v>
      </c>
      <c r="X42" s="362"/>
      <c r="Y42" s="362"/>
      <c r="Z42" s="362"/>
      <c r="AA42" s="262">
        <f t="shared" si="34"/>
        <v>1612.3867190332326</v>
      </c>
      <c r="AB42" s="362"/>
    </row>
    <row r="43" spans="1:43" ht="14.5">
      <c r="A43" s="295" t="str">
        <f t="shared" si="31"/>
        <v>TSX:CS_2025_Legal</v>
      </c>
      <c r="B43" s="295" t="str">
        <f t="shared" si="31"/>
        <v>TSX:CS</v>
      </c>
      <c r="C43" s="296" t="str">
        <f>_xll.ciqfunctions.udf.CIQ(B43,"IQ_COMPANY_NAME")</f>
        <v>Capstone Copper Corp.</v>
      </c>
      <c r="G43" s="294" t="s">
        <v>398</v>
      </c>
      <c r="H43" s="262" t="str">
        <f t="shared" si="30"/>
        <v>-</v>
      </c>
      <c r="I43" s="262">
        <f>IFERROR(IF(G43="y",IF(H43&lt;&gt;"-",H43,INDEX(Raw_Data,MATCH($A43,Look_Up2,0),MATCH(I$4,Component,0))/1000*(1+'Raw Data'!$H$13)),(INDEX(Raw_Data,MATCH($A43,Look_Up2,0),MATCH(I$4,Component,0))/1000)),"-")</f>
        <v>489.25</v>
      </c>
      <c r="J43" s="361"/>
      <c r="K43" s="361"/>
      <c r="L43" s="361"/>
      <c r="M43" s="262">
        <f t="shared" si="32"/>
        <v>366.9375</v>
      </c>
      <c r="N43" s="362"/>
      <c r="O43" s="362"/>
      <c r="P43" s="262">
        <f t="shared" si="33"/>
        <v>856.1875</v>
      </c>
      <c r="Q43" s="362"/>
      <c r="R43" s="362"/>
      <c r="S43" s="362"/>
      <c r="T43" s="262">
        <f t="shared" si="35"/>
        <v>733.875</v>
      </c>
      <c r="U43" s="362"/>
      <c r="V43" s="362"/>
      <c r="W43" s="262">
        <f t="shared" si="36"/>
        <v>1590.0625</v>
      </c>
      <c r="X43" s="362"/>
      <c r="Y43" s="362"/>
      <c r="Z43" s="362"/>
      <c r="AA43" s="262">
        <f t="shared" si="34"/>
        <v>1660.8054999999999</v>
      </c>
      <c r="AB43" s="362"/>
    </row>
    <row r="44" spans="1:43" ht="14.5">
      <c r="A44" s="295" t="str">
        <f t="shared" si="31"/>
        <v>TSX:ELD_2025_Legal</v>
      </c>
      <c r="B44" s="295" t="str">
        <f t="shared" si="31"/>
        <v>TSX:ELD</v>
      </c>
      <c r="C44" s="296" t="str">
        <f>_xll.ciqfunctions.udf.CIQ(B44,"IQ_COMPANY_NAME")</f>
        <v>Eldorado Gold Corporation</v>
      </c>
      <c r="G44" s="294" t="s">
        <v>398</v>
      </c>
      <c r="H44" s="262" t="str">
        <f t="shared" si="30"/>
        <v>-</v>
      </c>
      <c r="I44" s="262">
        <f>IFERROR(IF(G44="y",IF(H44&lt;&gt;"-",H44,INDEX(Raw_Data,MATCH($A44,Look_Up2,0),MATCH(I$4,Component,0))/1000*(1+'Raw Data'!$H$13)),(INDEX(Raw_Data,MATCH($A44,Look_Up2,0),MATCH(I$4,Component,0))/1000)),"-")</f>
        <v>506.96600000000001</v>
      </c>
      <c r="J44" s="361"/>
      <c r="K44" s="361"/>
      <c r="L44" s="361"/>
      <c r="M44" s="262">
        <f t="shared" si="32"/>
        <v>405.57280000000003</v>
      </c>
      <c r="N44" s="362"/>
      <c r="O44" s="362"/>
      <c r="P44" s="262">
        <f t="shared" si="33"/>
        <v>912.53880000000004</v>
      </c>
      <c r="Q44" s="362"/>
      <c r="R44" s="362"/>
      <c r="S44" s="362"/>
      <c r="T44" s="262">
        <f t="shared" si="35"/>
        <v>760.44900000000007</v>
      </c>
      <c r="U44" s="362"/>
      <c r="V44" s="362"/>
      <c r="W44" s="262">
        <f t="shared" si="36"/>
        <v>1672.9878000000001</v>
      </c>
      <c r="X44" s="362"/>
      <c r="Y44" s="362"/>
      <c r="Z44" s="362"/>
      <c r="AA44" s="262">
        <f t="shared" si="34"/>
        <v>1761.5838000000001</v>
      </c>
      <c r="AB44" s="362"/>
    </row>
    <row r="45" spans="1:43" s="17" customFormat="1" ht="14.5">
      <c r="A45" s="295" t="str">
        <f t="shared" si="31"/>
        <v>TSX:EQX_2025_Legal</v>
      </c>
      <c r="B45" s="295" t="str">
        <f t="shared" si="31"/>
        <v>TSX:EQX</v>
      </c>
      <c r="C45" s="296" t="str">
        <f>_xll.ciqfunctions.udf.CIQ(B45,"IQ_COMPANY_NAME")</f>
        <v>Equinox Gold Corp.</v>
      </c>
      <c r="E45" s="22"/>
      <c r="F45" s="20"/>
      <c r="G45" s="294" t="s">
        <v>398</v>
      </c>
      <c r="H45" s="262" t="str">
        <f t="shared" si="30"/>
        <v>-</v>
      </c>
      <c r="I45" s="262">
        <f>IFERROR(IF(G45="y",IF(H45&lt;&gt;"-",H45,INDEX(Raw_Data,MATCH($A45,Look_Up2,0),MATCH(I$4,Component,0))/1000*(1+'Raw Data'!$H$13)),(INDEX(Raw_Data,MATCH($A45,Look_Up2,0),MATCH(I$4,Component,0))/1000)),"-")</f>
        <v>366.39880999999997</v>
      </c>
      <c r="J45" s="361"/>
      <c r="K45" s="361"/>
      <c r="L45" s="361"/>
      <c r="M45" s="262">
        <f t="shared" si="32"/>
        <v>293.11904799999996</v>
      </c>
      <c r="N45" s="364"/>
      <c r="O45" s="22"/>
      <c r="P45" s="262">
        <f t="shared" si="33"/>
        <v>659.51785799999993</v>
      </c>
      <c r="Q45" s="21"/>
      <c r="R45" s="365"/>
      <c r="S45" s="365"/>
      <c r="T45" s="262">
        <f t="shared" si="35"/>
        <v>329.75892899999997</v>
      </c>
      <c r="U45" s="364"/>
      <c r="V45" s="22"/>
      <c r="W45" s="262">
        <f t="shared" si="36"/>
        <v>989.2767869999999</v>
      </c>
      <c r="X45" s="364"/>
      <c r="Y45" s="22"/>
      <c r="Z45" s="22"/>
      <c r="AA45" s="262">
        <f t="shared" si="34"/>
        <v>1012.591787</v>
      </c>
      <c r="AB45" s="364"/>
      <c r="AC45" s="19"/>
      <c r="AD45" s="19"/>
    </row>
    <row r="46" spans="1:43" ht="14.5">
      <c r="A46" s="295" t="str">
        <f t="shared" si="31"/>
        <v>TSX:BTO_2025_Legal</v>
      </c>
      <c r="B46" s="295" t="str">
        <f t="shared" si="31"/>
        <v>TSX:BTO</v>
      </c>
      <c r="C46" s="296" t="str">
        <f>_xll.ciqfunctions.udf.CIQ(B46,"IQ_COMPANY_NAME")</f>
        <v>B2Gold Corp.</v>
      </c>
      <c r="G46" s="294" t="s">
        <v>398</v>
      </c>
      <c r="H46" s="262" t="str">
        <f t="shared" si="30"/>
        <v>-</v>
      </c>
      <c r="I46" s="262">
        <f>IFERROR(IF(G46="y",IF(H46&lt;&gt;"-",H46,INDEX(Raw_Data,MATCH($A46,Look_Up2,0),MATCH(I$4,Component,0))/1000*(1+'Raw Data'!$H$13)),(INDEX(Raw_Data,MATCH($A46,Look_Up2,0),MATCH(I$4,Component,0))/1000)),"-")</f>
        <v>656.71415937500001</v>
      </c>
      <c r="J46" s="361"/>
      <c r="K46" s="361"/>
      <c r="L46" s="361"/>
      <c r="M46" s="262">
        <f t="shared" si="32"/>
        <v>492.53561953125001</v>
      </c>
      <c r="N46" s="362"/>
      <c r="O46" s="366"/>
      <c r="P46" s="262">
        <f t="shared" si="33"/>
        <v>1149.24977890625</v>
      </c>
      <c r="Q46" s="366"/>
      <c r="R46" s="366"/>
      <c r="S46" s="366"/>
      <c r="T46" s="262">
        <f t="shared" si="35"/>
        <v>1922.3339272180833</v>
      </c>
      <c r="U46" s="362"/>
      <c r="V46" s="366"/>
      <c r="W46" s="262">
        <f t="shared" si="36"/>
        <v>3071.5837061243333</v>
      </c>
      <c r="X46" s="362"/>
      <c r="Y46" s="366"/>
      <c r="Z46" s="366"/>
      <c r="AA46" s="262">
        <f t="shared" si="34"/>
        <v>3078.8951645243333</v>
      </c>
      <c r="AB46" s="362"/>
    </row>
    <row r="47" spans="1:43" ht="14.5">
      <c r="A47" s="295" t="str">
        <f t="shared" si="31"/>
        <v>TSX:OGC_2025_Legal</v>
      </c>
      <c r="B47" s="295" t="str">
        <f t="shared" si="31"/>
        <v>TSX:OGC</v>
      </c>
      <c r="C47" s="296" t="str">
        <f>_xll.ciqfunctions.udf.CIQ(B47,"IQ_COMPANY_NAME")</f>
        <v>OceanaGold Corporation</v>
      </c>
      <c r="G47" s="294" t="s">
        <v>398</v>
      </c>
      <c r="H47" s="262" t="str">
        <f t="shared" si="30"/>
        <v>-</v>
      </c>
      <c r="I47" s="262">
        <f>IFERROR(IF(G47="y",IF(H47&lt;&gt;"-",H47,INDEX(Raw_Data,MATCH($A47,Look_Up2,0),MATCH(I$4,Component,0))/1000*(1+'Raw Data'!$H$13)),(INDEX(Raw_Data,MATCH($A47,Look_Up2,0),MATCH(I$4,Component,0))/1000)),"-")</f>
        <v>519.0524778350001</v>
      </c>
      <c r="J47" s="361"/>
      <c r="K47" s="361"/>
      <c r="L47" s="361"/>
      <c r="M47" s="262">
        <f t="shared" si="32"/>
        <v>311.43148670100004</v>
      </c>
      <c r="N47" s="362"/>
      <c r="O47" s="362"/>
      <c r="P47" s="262">
        <f t="shared" si="33"/>
        <v>830.48396453600014</v>
      </c>
      <c r="Q47" s="362"/>
      <c r="R47" s="362"/>
      <c r="S47" s="362"/>
      <c r="T47" s="262">
        <f t="shared" si="35"/>
        <v>831.93969169481193</v>
      </c>
      <c r="U47" s="362"/>
      <c r="V47" s="362"/>
      <c r="W47" s="262">
        <f t="shared" si="36"/>
        <v>1662.423656230812</v>
      </c>
      <c r="X47" s="362"/>
      <c r="Y47" s="362"/>
      <c r="Z47" s="362"/>
      <c r="AA47" s="262">
        <f t="shared" si="34"/>
        <v>1941.2093414308119</v>
      </c>
      <c r="AB47" s="362"/>
    </row>
    <row r="48" spans="1:43" ht="14.5">
      <c r="A48" s="295" t="str">
        <f t="shared" si="31"/>
        <v>TSX:CG_2025_Legal</v>
      </c>
      <c r="B48" s="295" t="str">
        <f t="shared" si="31"/>
        <v>TSX:CG</v>
      </c>
      <c r="C48" s="296" t="str">
        <f>_xll.ciqfunctions.udf.CIQ(B48,"IQ_COMPANY_NAME")</f>
        <v>Centerra Gold Inc.</v>
      </c>
      <c r="G48" s="294" t="s">
        <v>398</v>
      </c>
      <c r="H48" s="262" t="str">
        <f t="shared" si="30"/>
        <v>-</v>
      </c>
      <c r="I48" s="262">
        <f>IFERROR(IF(G48="y",IF(H48&lt;&gt;"-",H48,INDEX(Raw_Data,MATCH($A48,Look_Up2,0),MATCH(I$4,Component,0))/1000*(1+'Raw Data'!$H$13)),(INDEX(Raw_Data,MATCH($A48,Look_Up2,0),MATCH(I$4,Component,0))/1000)),"-")</f>
        <v>472.77000000000004</v>
      </c>
      <c r="J48" s="361"/>
      <c r="K48" s="361"/>
      <c r="L48" s="361"/>
      <c r="M48" s="262">
        <f t="shared" si="32"/>
        <v>307.30050000000006</v>
      </c>
      <c r="N48" s="362"/>
      <c r="O48" s="362"/>
      <c r="P48" s="262">
        <f t="shared" si="33"/>
        <v>780.07050000000004</v>
      </c>
      <c r="Q48" s="362"/>
      <c r="R48" s="362"/>
      <c r="S48" s="362"/>
      <c r="T48" s="262">
        <f t="shared" si="35"/>
        <v>756.43200000000013</v>
      </c>
      <c r="U48" s="362"/>
      <c r="V48" s="362"/>
      <c r="W48" s="262">
        <f t="shared" si="36"/>
        <v>1536.5025000000001</v>
      </c>
      <c r="X48" s="362"/>
      <c r="Y48" s="362"/>
      <c r="Z48" s="362"/>
      <c r="AA48" s="262">
        <f t="shared" si="34"/>
        <v>1733.5235</v>
      </c>
      <c r="AB48" s="362"/>
    </row>
    <row r="49" spans="1:28" ht="14.5">
      <c r="A49" s="295">
        <f t="shared" si="31"/>
        <v>0</v>
      </c>
      <c r="B49" s="295">
        <f t="shared" si="31"/>
        <v>0</v>
      </c>
      <c r="C49" s="296" t="str">
        <f>_xll.ciqfunctions.udf.CIQ(B49,"IQ_COMPANY_NAME")</f>
        <v>(Invalid Identifier)</v>
      </c>
      <c r="G49" s="294" t="s">
        <v>398</v>
      </c>
      <c r="H49" s="262" t="str">
        <f t="shared" si="30"/>
        <v>-</v>
      </c>
      <c r="I49" s="262" t="str">
        <f>IFERROR(IF(G49="y",IF(H49&lt;&gt;"-",H49,INDEX(Raw_Data,MATCH($A49,Look_Up2,0),MATCH(I$4,Component,0))/1000*(1+'Raw Data'!$H$13)),(INDEX(Raw_Data,MATCH($A49,Look_Up2,0),MATCH(I$4,Component,0))/1000)),"-")</f>
        <v>-</v>
      </c>
      <c r="J49" s="361"/>
      <c r="K49" s="361"/>
      <c r="L49" s="361"/>
      <c r="M49" s="262" t="str">
        <f t="shared" si="32"/>
        <v>-</v>
      </c>
      <c r="N49" s="362"/>
      <c r="O49" s="362"/>
      <c r="P49" s="262" t="str">
        <f t="shared" si="33"/>
        <v>-</v>
      </c>
      <c r="Q49" s="362"/>
      <c r="R49" s="362"/>
      <c r="S49" s="362"/>
      <c r="T49" s="262" t="str">
        <f t="shared" si="35"/>
        <v>-</v>
      </c>
      <c r="U49" s="362"/>
      <c r="V49" s="362"/>
      <c r="W49" s="262" t="str">
        <f t="shared" si="36"/>
        <v>-</v>
      </c>
      <c r="X49" s="362"/>
      <c r="Y49" s="362"/>
      <c r="Z49" s="362"/>
      <c r="AA49" s="262" t="str">
        <f t="shared" si="34"/>
        <v>-</v>
      </c>
      <c r="AB49" s="362"/>
    </row>
    <row r="50" spans="1:28" ht="14.5">
      <c r="A50" s="295">
        <f t="shared" si="31"/>
        <v>0</v>
      </c>
      <c r="B50" s="295">
        <f t="shared" si="31"/>
        <v>0.75</v>
      </c>
      <c r="C50" s="296" t="str">
        <f>_xll.ciqfunctions.udf.CIQ(B50,"IQ_COMPANY_NAME")</f>
        <v>(Invalid Identifier)</v>
      </c>
      <c r="G50" s="294" t="s">
        <v>398</v>
      </c>
      <c r="H50" s="262" t="str">
        <f t="shared" si="30"/>
        <v>-</v>
      </c>
      <c r="I50" s="262" t="str">
        <f>IFERROR(IF(G50="y",IF(H50&lt;&gt;"-",H50,INDEX(Raw_Data,MATCH($A50,Look_Up2,0),MATCH(I$4,Component,0))/1000*(1+'Raw Data'!$H$13)),(INDEX(Raw_Data,MATCH($A50,Look_Up2,0),MATCH(I$4,Component,0))/1000)),"-")</f>
        <v>-</v>
      </c>
      <c r="J50" s="361"/>
      <c r="K50" s="361"/>
      <c r="L50" s="361"/>
      <c r="M50" s="262" t="str">
        <f t="shared" si="32"/>
        <v>-</v>
      </c>
      <c r="N50" s="362"/>
      <c r="O50" s="362"/>
      <c r="P50" s="262" t="str">
        <f t="shared" si="33"/>
        <v>-</v>
      </c>
      <c r="Q50" s="362"/>
      <c r="R50" s="362"/>
      <c r="S50" s="362"/>
      <c r="T50" s="262" t="str">
        <f t="shared" si="35"/>
        <v>-</v>
      </c>
      <c r="U50" s="362"/>
      <c r="V50" s="362"/>
      <c r="W50" s="262" t="str">
        <f t="shared" si="36"/>
        <v>-</v>
      </c>
      <c r="X50" s="362"/>
      <c r="Y50" s="362"/>
      <c r="Z50" s="362"/>
      <c r="AA50" s="262"/>
      <c r="AB50" s="362"/>
    </row>
    <row r="51" spans="1:28" ht="14.5">
      <c r="A51" s="295">
        <f t="shared" si="31"/>
        <v>0</v>
      </c>
      <c r="B51" s="295">
        <f t="shared" si="31"/>
        <v>0.5</v>
      </c>
      <c r="C51" s="296" t="str">
        <f>_xll.ciqfunctions.udf.CIQ(B51,"IQ_COMPANY_NAME")</f>
        <v>(Invalid Identifier)</v>
      </c>
      <c r="G51" s="294" t="s">
        <v>398</v>
      </c>
      <c r="H51" s="262" t="str">
        <f t="shared" si="30"/>
        <v>-</v>
      </c>
      <c r="I51" s="262" t="str">
        <f>IFERROR(IF(G51="y",IF(H51&lt;&gt;"-",H51,INDEX(Raw_Data,MATCH($A51,Look_Up2,0),MATCH(I$4,Component,0))/1000*(1+'Raw Data'!$H$13)),(INDEX(Raw_Data,MATCH($A51,Look_Up2,0),MATCH(I$4,Component,0))/1000)),"-")</f>
        <v>-</v>
      </c>
      <c r="J51" s="361"/>
      <c r="K51" s="361"/>
      <c r="L51" s="361"/>
      <c r="M51" s="262" t="str">
        <f t="shared" si="32"/>
        <v>-</v>
      </c>
      <c r="N51" s="362"/>
      <c r="O51" s="362"/>
      <c r="P51" s="262" t="str">
        <f t="shared" si="33"/>
        <v>-</v>
      </c>
      <c r="Q51" s="362"/>
      <c r="R51" s="362"/>
      <c r="S51" s="362"/>
      <c r="T51" s="262" t="str">
        <f t="shared" si="35"/>
        <v>-</v>
      </c>
      <c r="U51" s="362"/>
      <c r="V51" s="362"/>
      <c r="W51" s="262" t="str">
        <f t="shared" si="36"/>
        <v>-</v>
      </c>
      <c r="X51" s="362"/>
      <c r="Y51" s="362"/>
      <c r="Z51" s="362"/>
      <c r="AA51" s="262"/>
      <c r="AB51" s="362"/>
    </row>
    <row r="52" spans="1:28" ht="14.5">
      <c r="A52" s="295" t="e">
        <f>#REF!</f>
        <v>#REF!</v>
      </c>
      <c r="B52" s="295" t="e">
        <f>#REF!</f>
        <v>#REF!</v>
      </c>
      <c r="C52" s="296" t="str">
        <f>_xll.ciqfunctions.udf.CIQ(B52,"IQ_COMPANY_NAME")</f>
        <v>#NA</v>
      </c>
      <c r="G52" s="294" t="s">
        <v>398</v>
      </c>
      <c r="H52" s="262" t="str">
        <f t="shared" si="30"/>
        <v>-</v>
      </c>
      <c r="I52" s="262" t="str">
        <f>IFERROR(IF(G52="y",IF(H52&lt;&gt;"-",H52,INDEX(Raw_Data,MATCH($A52,Look_Up2,0),MATCH(I$4,Component,0))/1000*(1+'Raw Data'!$H$13)),(INDEX(Raw_Data,MATCH($A52,Look_Up2,0),MATCH(I$4,Component,0))/1000)),"-")</f>
        <v>-</v>
      </c>
      <c r="J52" s="361"/>
      <c r="K52" s="361"/>
      <c r="L52" s="361"/>
      <c r="M52" s="262" t="str">
        <f t="shared" si="32"/>
        <v>-</v>
      </c>
      <c r="N52" s="362"/>
      <c r="O52" s="362"/>
      <c r="P52" s="262" t="str">
        <f t="shared" si="33"/>
        <v>-</v>
      </c>
      <c r="Q52" s="362"/>
      <c r="R52" s="362"/>
      <c r="S52" s="362"/>
      <c r="T52" s="262" t="str">
        <f t="shared" si="35"/>
        <v>-</v>
      </c>
      <c r="U52" s="362"/>
      <c r="V52" s="362"/>
      <c r="W52" s="262" t="str">
        <f t="shared" si="36"/>
        <v>-</v>
      </c>
      <c r="X52" s="362"/>
      <c r="Y52" s="362"/>
      <c r="Z52" s="362"/>
      <c r="AA52" s="262"/>
      <c r="AB52" s="362"/>
    </row>
    <row r="53" spans="1:28" ht="14.5">
      <c r="A53" s="295" t="e">
        <f>#REF!</f>
        <v>#REF!</v>
      </c>
      <c r="B53" s="295" t="e">
        <f>#REF!</f>
        <v>#REF!</v>
      </c>
      <c r="C53" s="296" t="str">
        <f>_xll.ciqfunctions.udf.CIQ(B53,"IQ_COMPANY_NAME")</f>
        <v>#NA</v>
      </c>
      <c r="G53" s="294" t="s">
        <v>398</v>
      </c>
      <c r="H53" s="262" t="str">
        <f t="shared" si="30"/>
        <v>-</v>
      </c>
      <c r="I53" s="262" t="str">
        <f>IFERROR(IF(G53="y",IF(H53&lt;&gt;"-",H53,INDEX(Raw_Data,MATCH($A53,Look_Up2,0),MATCH(I$4,Component,0))/1000*(1+'Raw Data'!$H$13)),(INDEX(Raw_Data,MATCH($A53,Look_Up2,0),MATCH(I$4,Component,0))/1000)),"-")</f>
        <v>-</v>
      </c>
      <c r="J53" s="361"/>
      <c r="K53" s="361"/>
      <c r="L53" s="361"/>
      <c r="M53" s="262" t="str">
        <f t="shared" si="32"/>
        <v>-</v>
      </c>
      <c r="N53" s="362"/>
      <c r="O53" s="362"/>
      <c r="P53" s="262" t="str">
        <f t="shared" si="33"/>
        <v>-</v>
      </c>
      <c r="Q53" s="362"/>
      <c r="R53" s="362"/>
      <c r="S53" s="362"/>
      <c r="T53" s="262" t="str">
        <f t="shared" si="35"/>
        <v>-</v>
      </c>
      <c r="U53" s="362"/>
      <c r="V53" s="362"/>
      <c r="W53" s="262" t="str">
        <f t="shared" si="36"/>
        <v>-</v>
      </c>
      <c r="X53" s="362"/>
      <c r="Y53" s="362"/>
      <c r="Z53" s="362"/>
      <c r="AA53" s="262"/>
      <c r="AB53" s="362"/>
    </row>
    <row r="54" spans="1:28" ht="14.5">
      <c r="A54" s="295" t="e">
        <f>#REF!</f>
        <v>#REF!</v>
      </c>
      <c r="B54" s="295" t="e">
        <f>#REF!</f>
        <v>#REF!</v>
      </c>
      <c r="C54" s="296" t="str">
        <f>_xll.ciqfunctions.udf.CIQ(B54,"IQ_COMPANY_NAME")</f>
        <v>#NA</v>
      </c>
      <c r="G54" s="294" t="s">
        <v>398</v>
      </c>
      <c r="H54" s="262" t="str">
        <f t="shared" si="30"/>
        <v>-</v>
      </c>
      <c r="I54" s="262" t="str">
        <f>IFERROR(IF(G54="y",IF(H54&lt;&gt;"-",H54,INDEX(Raw_Data,MATCH($A54,Look_Up2,0),MATCH(I$4,Component,0))/1000*(1+'Raw Data'!$H$13)),(INDEX(Raw_Data,MATCH($A54,Look_Up2,0),MATCH(I$4,Component,0))/1000)),"-")</f>
        <v>-</v>
      </c>
      <c r="J54" s="361"/>
      <c r="K54" s="361"/>
      <c r="L54" s="361"/>
      <c r="M54" s="262" t="str">
        <f t="shared" si="32"/>
        <v>-</v>
      </c>
      <c r="N54" s="362"/>
      <c r="O54" s="362"/>
      <c r="P54" s="262" t="str">
        <f t="shared" si="33"/>
        <v>-</v>
      </c>
      <c r="Q54" s="362"/>
      <c r="R54" s="362"/>
      <c r="S54" s="362"/>
      <c r="T54" s="262" t="str">
        <f t="shared" si="35"/>
        <v>-</v>
      </c>
      <c r="U54" s="362"/>
      <c r="V54" s="362"/>
      <c r="W54" s="262" t="str">
        <f t="shared" si="36"/>
        <v>-</v>
      </c>
      <c r="X54" s="362"/>
      <c r="Y54" s="362"/>
      <c r="Z54" s="362"/>
      <c r="AA54" s="262"/>
      <c r="AB54" s="362"/>
    </row>
    <row r="55" spans="1:28" ht="14.5">
      <c r="A55" s="295" t="e">
        <f>#REF!</f>
        <v>#REF!</v>
      </c>
      <c r="B55" s="295" t="e">
        <f>#REF!</f>
        <v>#REF!</v>
      </c>
      <c r="C55" s="296" t="str">
        <f>_xll.ciqfunctions.udf.CIQ(B55,"IQ_COMPANY_NAME")</f>
        <v>#NA</v>
      </c>
      <c r="G55" s="294" t="s">
        <v>398</v>
      </c>
      <c r="H55" s="262" t="str">
        <f t="shared" si="30"/>
        <v>-</v>
      </c>
      <c r="I55" s="262" t="str">
        <f>IFERROR(IF(G55="y",IF(H55&lt;&gt;"-",H55,INDEX(Raw_Data,MATCH($A55,Look_Up2,0),MATCH(I$4,Component,0))/1000*(1+'Raw Data'!$H$13)),(INDEX(Raw_Data,MATCH($A55,Look_Up2,0),MATCH(I$4,Component,0))/1000)),"-")</f>
        <v>-</v>
      </c>
      <c r="J55" s="361"/>
      <c r="K55" s="361"/>
      <c r="L55" s="361"/>
      <c r="M55" s="262" t="str">
        <f t="shared" si="32"/>
        <v>-</v>
      </c>
      <c r="N55" s="362"/>
      <c r="O55" s="362"/>
      <c r="P55" s="262" t="str">
        <f t="shared" si="33"/>
        <v>-</v>
      </c>
      <c r="Q55" s="362"/>
      <c r="R55" s="362"/>
      <c r="S55" s="362"/>
      <c r="T55" s="262" t="str">
        <f t="shared" si="35"/>
        <v>-</v>
      </c>
      <c r="U55" s="362"/>
      <c r="V55" s="362"/>
      <c r="W55" s="262" t="str">
        <f t="shared" si="36"/>
        <v>-</v>
      </c>
      <c r="X55" s="362"/>
      <c r="Y55" s="362"/>
      <c r="Z55" s="362"/>
      <c r="AA55" s="262"/>
      <c r="AB55" s="362"/>
    </row>
    <row r="56" spans="1:28" ht="14.5">
      <c r="A56" s="295" t="e">
        <f>#REF!</f>
        <v>#REF!</v>
      </c>
      <c r="B56" s="295" t="e">
        <f>#REF!</f>
        <v>#REF!</v>
      </c>
      <c r="C56" s="296" t="str">
        <f>_xll.ciqfunctions.udf.CIQ(B56,"IQ_COMPANY_NAME")</f>
        <v>#NA</v>
      </c>
      <c r="G56" s="294" t="s">
        <v>398</v>
      </c>
      <c r="H56" s="262" t="str">
        <f t="shared" si="30"/>
        <v>-</v>
      </c>
      <c r="I56" s="262" t="str">
        <f>IFERROR(IF(G56="y",IF(H56&lt;&gt;"-",H56,INDEX(Raw_Data,MATCH($A56,Look_Up2,0),MATCH(I$4,Component,0))/1000*(1+'Raw Data'!$H$13)),(INDEX(Raw_Data,MATCH($A56,Look_Up2,0),MATCH(I$4,Component,0))/1000)),"-")</f>
        <v>-</v>
      </c>
      <c r="J56" s="361"/>
      <c r="K56" s="361"/>
      <c r="L56" s="361"/>
      <c r="M56" s="262" t="str">
        <f t="shared" si="32"/>
        <v>-</v>
      </c>
      <c r="N56" s="362"/>
      <c r="O56" s="362"/>
      <c r="P56" s="262" t="str">
        <f t="shared" si="33"/>
        <v>-</v>
      </c>
      <c r="Q56" s="362"/>
      <c r="R56" s="362"/>
      <c r="S56" s="362"/>
      <c r="T56" s="262" t="str">
        <f t="shared" si="35"/>
        <v>-</v>
      </c>
      <c r="U56" s="362"/>
      <c r="V56" s="362"/>
      <c r="W56" s="262" t="str">
        <f t="shared" si="36"/>
        <v>-</v>
      </c>
      <c r="X56" s="362"/>
      <c r="Y56" s="362"/>
      <c r="Z56" s="362"/>
      <c r="AA56" s="262"/>
      <c r="AB56" s="362"/>
    </row>
    <row r="57" spans="1:28" ht="14.5">
      <c r="A57" s="295" t="e">
        <f>#REF!</f>
        <v>#REF!</v>
      </c>
      <c r="B57" s="295" t="e">
        <f>#REF!</f>
        <v>#REF!</v>
      </c>
      <c r="C57" s="296" t="str">
        <f>_xll.ciqfunctions.udf.CIQ(B57,"IQ_COMPANY_NAME")</f>
        <v>#NA</v>
      </c>
      <c r="G57" s="294" t="s">
        <v>398</v>
      </c>
      <c r="H57" s="304" t="str">
        <f t="shared" si="30"/>
        <v>-</v>
      </c>
      <c r="I57" s="262" t="str">
        <f>IFERROR(IF(G57="y",IF(H57&lt;&gt;"-",H57,INDEX(Raw_Data,MATCH($A57,Look_Up2,0),MATCH(I$4,Component,0))/1000*(1+'Raw Data'!$H$13)),(INDEX(Raw_Data,MATCH($A57,Look_Up2,0),MATCH(I$4,Component,0))/1000)),"-")</f>
        <v>-</v>
      </c>
      <c r="J57" s="361"/>
      <c r="K57" s="361"/>
      <c r="L57" s="361"/>
      <c r="M57" s="262" t="str">
        <f t="shared" si="32"/>
        <v>-</v>
      </c>
      <c r="N57" s="362"/>
      <c r="O57" s="362"/>
      <c r="P57" s="304" t="str">
        <f t="shared" si="33"/>
        <v>-</v>
      </c>
      <c r="Q57" s="362"/>
      <c r="R57" s="362"/>
      <c r="S57" s="362"/>
      <c r="T57" s="262" t="str">
        <f t="shared" si="35"/>
        <v>-</v>
      </c>
      <c r="U57" s="362"/>
      <c r="V57" s="362"/>
      <c r="W57" s="304" t="str">
        <f t="shared" si="36"/>
        <v>-</v>
      </c>
      <c r="X57" s="362"/>
      <c r="Y57" s="362"/>
      <c r="Z57" s="362"/>
      <c r="AA57" s="262"/>
      <c r="AB57" s="362"/>
    </row>
    <row r="58" spans="1:28" ht="14.5">
      <c r="A58" s="15"/>
      <c r="B58" s="15"/>
      <c r="I58" s="288"/>
      <c r="M58" s="288"/>
      <c r="P58" s="288"/>
      <c r="T58" s="288"/>
      <c r="W58" s="288"/>
      <c r="AA58" s="288"/>
    </row>
    <row r="59" spans="1:28" ht="14.5">
      <c r="A59" s="15"/>
      <c r="B59" s="15"/>
      <c r="I59" s="262">
        <f>PERCENTILE(I$38:I$57,$B20)</f>
        <v>620.86686874999998</v>
      </c>
      <c r="M59" s="262">
        <f>PERCENTILE(M$38:M$57,$B20)</f>
        <v>482.51780976562497</v>
      </c>
      <c r="P59" s="262">
        <f>PERCENTILE(P$38:P$57,$B20)</f>
        <v>1125.874889453125</v>
      </c>
      <c r="T59" s="262">
        <f>PERCENTILE(T$38:T$57,$B20)</f>
        <v>1209.7938271807079</v>
      </c>
      <c r="W59" s="262">
        <f>PERCENTILE(W$38:W$57,$B20)</f>
        <v>2372.7775646807077</v>
      </c>
      <c r="AA59" s="262">
        <f>PERCENTILE(AA$38:AA$57,$B20)</f>
        <v>2491.6754055807078</v>
      </c>
    </row>
    <row r="60" spans="1:28" ht="14.5">
      <c r="A60" s="15"/>
      <c r="B60" s="15"/>
      <c r="I60" s="266">
        <f>PERCENTILE(I$38:I$57,$B21)</f>
        <v>519.0524778350001</v>
      </c>
      <c r="M60" s="266">
        <f>PERCENTILE(M$38:M$57,$B21)</f>
        <v>405.57280000000003</v>
      </c>
      <c r="P60" s="266">
        <f>PERCENTILE(P$38:P$57,$B21)</f>
        <v>912.53880000000004</v>
      </c>
      <c r="T60" s="266">
        <f>PERCENTILE(T$38:T$57,$B21)</f>
        <v>831.93969169481193</v>
      </c>
      <c r="W60" s="266">
        <f>PERCENTILE(W$38:W$57,$B21)</f>
        <v>1672.9878000000001</v>
      </c>
      <c r="AA60" s="266">
        <f>PERCENTILE(AA$38:AA$57,$B21)</f>
        <v>1941.2093414308119</v>
      </c>
    </row>
    <row r="61" spans="1:28" ht="14.5">
      <c r="A61" s="15"/>
      <c r="B61" s="15"/>
      <c r="I61" s="262">
        <f>PERCENTILE(I$38:I$57,$B22)</f>
        <v>486.67500000000001</v>
      </c>
      <c r="M61" s="262">
        <f>PERCENTILE(M$38:M$57,$B22)</f>
        <v>325.15074335050002</v>
      </c>
      <c r="P61" s="262">
        <f>PERCENTILE(P$38:P$57,$B22)</f>
        <v>826.72698226800003</v>
      </c>
      <c r="T61" s="262">
        <f>PERCENTILE(T$38:T$57,$B22)</f>
        <v>745.15350000000012</v>
      </c>
      <c r="W61" s="262">
        <f>PERCENTILE(W$38:W$57,$B22)</f>
        <v>1569.5912499999999</v>
      </c>
      <c r="AA61" s="262">
        <f>PERCENTILE(AA$38:AA$57,$B22)</f>
        <v>1697.1644999999999</v>
      </c>
    </row>
    <row r="62" spans="1:28" ht="14.5">
      <c r="A62" s="15"/>
      <c r="B62" s="15"/>
      <c r="I62" s="270">
        <f>AVERAGE(I38:I57)</f>
        <v>546.9968349736364</v>
      </c>
      <c r="M62" s="270">
        <f>AVERAGE(M38:M57)</f>
        <v>420.36224470293183</v>
      </c>
      <c r="P62" s="270">
        <f>AVERAGE(P38:P57)</f>
        <v>967.35907967656829</v>
      </c>
      <c r="T62" s="270">
        <f>AVERAGE(T38:T57)</f>
        <v>1004.0855638431193</v>
      </c>
      <c r="W62" s="270">
        <f>AVERAGE(W38:W57)</f>
        <v>1971.4446435196876</v>
      </c>
      <c r="AA62" s="270">
        <f>AVERAGE(AA38:AA57)</f>
        <v>2105.9879330681633</v>
      </c>
    </row>
    <row r="63" spans="1:28">
      <c r="A63" s="15"/>
      <c r="B63" s="15"/>
    </row>
    <row r="66" spans="3:9">
      <c r="C66" s="12" t="s">
        <v>413</v>
      </c>
      <c r="F66" s="12" t="e">
        <f t="shared" ref="F66:F80" si="37">_xlfn.XLOOKUP(C66,$C$8:$C$18,$F$8:$F$18)</f>
        <v>#N/A</v>
      </c>
      <c r="G66" s="12" t="s">
        <v>414</v>
      </c>
    </row>
    <row r="67" spans="3:9">
      <c r="C67" s="12" t="s">
        <v>372</v>
      </c>
      <c r="F67" s="12" t="str">
        <f t="shared" si="37"/>
        <v>Christopher Lemon</v>
      </c>
      <c r="G67" s="12" t="s">
        <v>334</v>
      </c>
    </row>
    <row r="68" spans="3:9">
      <c r="C68" s="12" t="s">
        <v>384</v>
      </c>
      <c r="F68" s="12" t="str">
        <f t="shared" si="37"/>
        <v>Peter Brady</v>
      </c>
      <c r="G68" s="12" t="s">
        <v>325</v>
      </c>
    </row>
    <row r="69" spans="3:9">
      <c r="C69" s="12" t="s">
        <v>373</v>
      </c>
      <c r="F69" s="12" t="e">
        <f t="shared" si="37"/>
        <v>#N/A</v>
      </c>
      <c r="G69" s="12" t="s">
        <v>385</v>
      </c>
      <c r="I69" s="12" t="s">
        <v>481</v>
      </c>
    </row>
    <row r="70" spans="3:9">
      <c r="C70" s="12" t="s">
        <v>374</v>
      </c>
      <c r="F70" s="12" t="str">
        <f t="shared" si="37"/>
        <v>Randall Chatwin</v>
      </c>
      <c r="G70" s="12" t="s">
        <v>386</v>
      </c>
    </row>
    <row r="71" spans="3:9">
      <c r="C71" s="12" t="s">
        <v>375</v>
      </c>
      <c r="F71" s="12" t="str">
        <f t="shared" si="37"/>
        <v>Wendy King</v>
      </c>
      <c r="G71" s="12" t="s">
        <v>339</v>
      </c>
    </row>
    <row r="72" spans="3:9">
      <c r="C72" s="12" t="s">
        <v>376</v>
      </c>
      <c r="F72" s="12" t="str">
        <f t="shared" si="37"/>
        <v>David C. Sienko</v>
      </c>
      <c r="G72" s="12" t="s">
        <v>387</v>
      </c>
    </row>
    <row r="73" spans="3:9">
      <c r="C73" s="12" t="s">
        <v>377</v>
      </c>
      <c r="F73" s="12" t="e">
        <f t="shared" si="37"/>
        <v>#N/A</v>
      </c>
      <c r="G73" s="12" t="s">
        <v>388</v>
      </c>
      <c r="I73" s="12" t="s">
        <v>482</v>
      </c>
    </row>
    <row r="74" spans="3:9">
      <c r="C74" s="12" t="s">
        <v>378</v>
      </c>
      <c r="F74" s="12" t="str">
        <f t="shared" si="37"/>
        <v>Frank Herbert</v>
      </c>
      <c r="G74" s="12" t="s">
        <v>389</v>
      </c>
    </row>
    <row r="75" spans="3:9">
      <c r="C75" s="12" t="s">
        <v>379</v>
      </c>
      <c r="F75" s="12" t="str">
        <f t="shared" si="37"/>
        <v>Annie Torkia Lagacé</v>
      </c>
      <c r="G75" s="12" t="s">
        <v>284</v>
      </c>
    </row>
    <row r="76" spans="3:9">
      <c r="F76" s="12" t="e">
        <f t="shared" si="37"/>
        <v>#N/A</v>
      </c>
    </row>
    <row r="77" spans="3:9">
      <c r="C77" s="12" t="s">
        <v>78</v>
      </c>
      <c r="F77" s="12" t="e">
        <f t="shared" si="37"/>
        <v>#N/A</v>
      </c>
      <c r="G77" s="12" t="s">
        <v>78</v>
      </c>
    </row>
    <row r="78" spans="3:9">
      <c r="C78" s="12" t="s">
        <v>381</v>
      </c>
      <c r="F78" s="12" t="e">
        <f t="shared" si="37"/>
        <v>#N/A</v>
      </c>
      <c r="G78" s="12" t="s">
        <v>390</v>
      </c>
      <c r="I78" s="12" t="s">
        <v>481</v>
      </c>
    </row>
    <row r="79" spans="3:9">
      <c r="C79" s="12" t="s">
        <v>382</v>
      </c>
      <c r="F79" s="12" t="str">
        <f t="shared" si="37"/>
        <v>Yousef Rehman</v>
      </c>
      <c r="G79" s="12" t="s">
        <v>391</v>
      </c>
    </row>
    <row r="80" spans="3:9">
      <c r="C80" s="12" t="s">
        <v>383</v>
      </c>
      <c r="F80" s="12" t="e">
        <f t="shared" si="37"/>
        <v>#N/A</v>
      </c>
      <c r="G80" s="12" t="s">
        <v>392</v>
      </c>
      <c r="I80" s="12" t="s">
        <v>481</v>
      </c>
    </row>
  </sheetData>
  <sortState xmlns:xlrd2="http://schemas.microsoft.com/office/spreadsheetml/2017/richdata2" ref="A8:AQ18">
    <sortCondition descending="1" ref="E8:E18"/>
  </sortState>
  <mergeCells count="10">
    <mergeCell ref="C6:C7"/>
    <mergeCell ref="D6:D7"/>
    <mergeCell ref="E6:E7"/>
    <mergeCell ref="F6:F7"/>
    <mergeCell ref="G6:G7"/>
    <mergeCell ref="I6:I7"/>
    <mergeCell ref="X6:X7"/>
    <mergeCell ref="Y6:Y7"/>
    <mergeCell ref="Z6:AA6"/>
    <mergeCell ref="H6:H7"/>
  </mergeCells>
  <conditionalFormatting sqref="C8:AA18 C20:AA23">
    <cfRule type="expression" dxfId="108" priority="3">
      <formula>MOD(ROW(),2)=0</formula>
    </cfRule>
  </conditionalFormatting>
  <conditionalFormatting sqref="C25:AA28">
    <cfRule type="expression" dxfId="107" priority="1">
      <formula>MOD(ROW(),2)=0</formula>
    </cfRule>
  </conditionalFormatting>
  <conditionalFormatting sqref="H38:I57">
    <cfRule type="expression" dxfId="106" priority="48">
      <formula>MOD(ROW(),2)=0</formula>
    </cfRule>
  </conditionalFormatting>
  <conditionalFormatting sqref="I59:I62">
    <cfRule type="expression" dxfId="105" priority="53">
      <formula>MOD(ROW(),2)=0</formula>
    </cfRule>
  </conditionalFormatting>
  <conditionalFormatting sqref="M38:M57">
    <cfRule type="expression" dxfId="104" priority="56">
      <formula>MOD(ROW(),2)=0</formula>
    </cfRule>
  </conditionalFormatting>
  <conditionalFormatting sqref="M59:M62">
    <cfRule type="expression" dxfId="103" priority="52">
      <formula>MOD(ROW(),2)=0</formula>
    </cfRule>
  </conditionalFormatting>
  <conditionalFormatting sqref="P38:P57">
    <cfRule type="expression" dxfId="102" priority="55">
      <formula>MOD(ROW(),2)=0</formula>
    </cfRule>
  </conditionalFormatting>
  <conditionalFormatting sqref="P59:P62">
    <cfRule type="expression" dxfId="101" priority="51">
      <formula>MOD(ROW(),2)=0</formula>
    </cfRule>
  </conditionalFormatting>
  <conditionalFormatting sqref="T38:T57">
    <cfRule type="expression" dxfId="100" priority="54">
      <formula>MOD(ROW(),2)=0</formula>
    </cfRule>
  </conditionalFormatting>
  <conditionalFormatting sqref="T59:T62">
    <cfRule type="expression" dxfId="99" priority="50">
      <formula>MOD(ROW(),2)=0</formula>
    </cfRule>
  </conditionalFormatting>
  <conditionalFormatting sqref="W38:W57">
    <cfRule type="expression" dxfId="98" priority="46">
      <formula>MOD(ROW(),2)=0</formula>
    </cfRule>
  </conditionalFormatting>
  <conditionalFormatting sqref="W59:W62">
    <cfRule type="expression" dxfId="97" priority="49">
      <formula>MOD(ROW(),2)=0</formula>
    </cfRule>
  </conditionalFormatting>
  <conditionalFormatting sqref="AA38:AA57">
    <cfRule type="expression" dxfId="96" priority="43">
      <formula>MOD(ROW(),2)=0</formula>
    </cfRule>
  </conditionalFormatting>
  <conditionalFormatting sqref="AA59:AA62">
    <cfRule type="expression" dxfId="95" priority="44">
      <formula>MOD(ROW(),2)=0</formula>
    </cfRule>
  </conditionalFormatting>
  <conditionalFormatting sqref="AC8:AD18 AG8:AK18">
    <cfRule type="expression" dxfId="94" priority="14">
      <formula>MOD(ROW(),2)=0</formula>
    </cfRule>
  </conditionalFormatting>
  <conditionalFormatting sqref="AC20:AD28">
    <cfRule type="expression" dxfId="93" priority="16">
      <formula>MOD(ROW(),2)=0</formula>
    </cfRule>
  </conditionalFormatting>
  <conditionalFormatting sqref="AL8:AM8 AL9 AL10:AM17 AL18">
    <cfRule type="expression" dxfId="92" priority="12">
      <formula>MOD(ROW(),2)=0</formula>
    </cfRule>
  </conditionalFormatting>
  <dataValidations disablePrompts="1" count="1">
    <dataValidation type="list" allowBlank="1" showInputMessage="1" showErrorMessage="1" sqref="G38:G57" xr:uid="{5F093902-D813-4A2B-A470-7A0B635751EF}">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78F7-1795-4EEA-A533-9E6DE3374C3A}">
  <sheetPr>
    <tabColor theme="2" tint="0.749992370372631"/>
    <pageSetUpPr fitToPage="1"/>
  </sheetPr>
  <dimension ref="A1:BM74"/>
  <sheetViews>
    <sheetView topLeftCell="AA1" zoomScale="70" zoomScaleNormal="70" workbookViewId="0">
      <selection activeCell="AL2" sqref="AL2"/>
    </sheetView>
  </sheetViews>
  <sheetFormatPr defaultColWidth="9.1796875" defaultRowHeight="14" outlineLevelRow="1" outlineLevelCol="3"/>
  <cols>
    <col min="1" max="1" width="20" style="12" customWidth="1"/>
    <col min="2" max="2" width="8.1796875" style="12" customWidth="1"/>
    <col min="3" max="3" width="43.54296875" style="12" bestFit="1" customWidth="1"/>
    <col min="4" max="4" width="14.26953125" style="12" hidden="1" customWidth="1" outlineLevel="1"/>
    <col min="5" max="5" width="9.26953125" style="12" hidden="1" customWidth="1" outlineLevel="1"/>
    <col min="6" max="6" width="23.54296875" style="12" bestFit="1" customWidth="1" outlineLevel="1"/>
    <col min="7" max="7" width="42.1796875" style="12" bestFit="1" customWidth="1"/>
    <col min="8" max="8" width="5.7265625" style="12" hidden="1" customWidth="1" outlineLevel="1"/>
    <col min="9" max="9" width="11.54296875" style="12" customWidth="1" collapsed="1"/>
    <col min="10" max="10" width="8" style="12" hidden="1" customWidth="1" outlineLevel="1"/>
    <col min="11" max="11" width="8.54296875" style="12" hidden="1" customWidth="1" outlineLevel="1"/>
    <col min="12" max="12" width="12.453125" style="12" hidden="1" customWidth="1" outlineLevel="1"/>
    <col min="13" max="13" width="11.54296875" style="12" customWidth="1" collapsed="1"/>
    <col min="14" max="16" width="11.54296875" style="12" customWidth="1"/>
    <col min="17" max="17" width="8" style="12" hidden="1" customWidth="1" outlineLevel="1"/>
    <col min="18" max="18" width="8.1796875" style="12" hidden="1" customWidth="1" outlineLevel="1"/>
    <col min="19" max="19" width="12.26953125" style="12" hidden="1" customWidth="1" outlineLevel="1"/>
    <col min="20" max="20" width="11.54296875" style="12" customWidth="1" collapsed="1"/>
    <col min="21" max="23" width="11.54296875" style="12" customWidth="1"/>
    <col min="24" max="27" width="13.26953125" style="12" customWidth="1" outlineLevel="3"/>
    <col min="28" max="28" width="9.1796875" style="12" customWidth="1" outlineLevel="2"/>
    <col min="29" max="30" width="13.26953125" style="12" customWidth="1" outlineLevel="2"/>
    <col min="31" max="31" width="21.54296875" style="12" customWidth="1" outlineLevel="1"/>
    <col min="32" max="32" width="2.7265625" style="12" customWidth="1"/>
    <col min="33" max="33" width="26.1796875" style="12" customWidth="1" outlineLevel="1"/>
    <col min="34" max="34" width="15.7265625" style="12" customWidth="1" outlineLevel="1"/>
    <col min="35" max="35" width="15.7265625" style="12" customWidth="1" outlineLevel="2"/>
    <col min="36" max="36" width="15.7265625" style="12" customWidth="1" outlineLevel="3"/>
    <col min="37" max="37" width="28.54296875" style="12" customWidth="1" outlineLevel="1"/>
    <col min="38" max="39" width="10" style="12" customWidth="1"/>
    <col min="40" max="40" width="16.1796875" style="12" bestFit="1" customWidth="1"/>
    <col min="41" max="44" width="9.26953125" style="12" bestFit="1" customWidth="1"/>
    <col min="45" max="45" width="28" style="12" bestFit="1" customWidth="1"/>
    <col min="46" max="16384" width="9.1796875" style="12"/>
  </cols>
  <sheetData>
    <row r="1" spans="1:65" s="48" customFormat="1" ht="17.25" customHeight="1">
      <c r="A1" s="1118">
        <v>45852</v>
      </c>
      <c r="B1" s="1119"/>
      <c r="C1" s="1119"/>
      <c r="D1" s="1119"/>
      <c r="E1" s="1119"/>
      <c r="F1" s="1119"/>
      <c r="G1" s="1119"/>
      <c r="H1" s="1119"/>
      <c r="I1" s="1119"/>
      <c r="J1" s="1119"/>
      <c r="K1" s="1119"/>
      <c r="L1" s="1119"/>
      <c r="M1" s="1119"/>
      <c r="N1" s="1119"/>
      <c r="O1" s="1119"/>
      <c r="P1" s="1119"/>
      <c r="Q1" s="1119"/>
      <c r="R1" s="1119"/>
      <c r="S1" s="1119"/>
      <c r="T1" s="1119"/>
      <c r="U1" s="1119"/>
      <c r="V1" s="1119"/>
      <c r="W1" s="1119"/>
      <c r="X1" s="1119"/>
      <c r="Y1" s="1119"/>
      <c r="Z1" s="1119"/>
      <c r="AA1" s="1119"/>
      <c r="AB1" s="1119"/>
      <c r="AC1" s="1119"/>
      <c r="AD1" s="1119"/>
      <c r="AE1" s="1119"/>
      <c r="AF1" s="1119"/>
      <c r="AG1" s="1119"/>
      <c r="AH1" s="1119"/>
      <c r="AI1" s="1119"/>
      <c r="AJ1" s="1119"/>
      <c r="AK1" s="1119"/>
      <c r="AL1" s="1119"/>
      <c r="AM1" s="1119"/>
      <c r="AN1" s="1119"/>
      <c r="AO1" s="1119"/>
      <c r="AP1" s="1119"/>
      <c r="AQ1" s="1119"/>
      <c r="AR1" s="1119"/>
      <c r="AS1" s="1119"/>
      <c r="AT1" s="1119"/>
      <c r="AU1" s="1119"/>
      <c r="AV1" s="1119"/>
      <c r="AW1" s="1119"/>
      <c r="AX1" s="1119"/>
      <c r="AY1" s="1119"/>
      <c r="AZ1" s="1119"/>
      <c r="BA1" s="1119"/>
      <c r="BB1" s="1119"/>
      <c r="BC1" s="1119"/>
      <c r="BD1" s="1119"/>
      <c r="BE1" s="1119"/>
      <c r="BF1" s="1119"/>
      <c r="BG1" s="1119"/>
      <c r="BH1" s="1119"/>
      <c r="BI1" s="1119"/>
      <c r="BJ1" s="1119"/>
      <c r="BK1" s="1119"/>
      <c r="BL1" s="1119"/>
      <c r="BM1" s="1119"/>
    </row>
    <row r="2" spans="1:65" ht="16">
      <c r="A2" s="1120" t="s">
        <v>2</v>
      </c>
      <c r="B2" s="1121" t="s">
        <v>24</v>
      </c>
      <c r="C2" s="1122" t="s">
        <v>272</v>
      </c>
      <c r="D2" s="1120"/>
      <c r="E2" s="1120"/>
      <c r="F2" s="1120"/>
      <c r="G2" s="1120"/>
      <c r="H2" s="1120"/>
      <c r="I2" s="1120"/>
      <c r="J2" s="1120"/>
      <c r="K2" s="1120"/>
      <c r="L2" s="1120"/>
      <c r="M2" s="1120"/>
      <c r="N2" s="1120"/>
      <c r="O2" s="1120"/>
      <c r="P2" s="1120"/>
      <c r="Q2" s="1120"/>
      <c r="R2" s="1120"/>
      <c r="S2" s="1120"/>
      <c r="T2" s="1120"/>
      <c r="U2" s="1120"/>
      <c r="V2" s="1120"/>
      <c r="W2" s="1120"/>
      <c r="X2" s="1120"/>
      <c r="Y2" s="1120"/>
      <c r="Z2" s="1120"/>
      <c r="AA2" s="1120"/>
      <c r="AB2" s="1120"/>
      <c r="AC2" s="1120"/>
      <c r="AD2" s="1120"/>
      <c r="AE2" s="1120"/>
      <c r="AF2" s="1120"/>
      <c r="AG2" s="1120"/>
      <c r="AH2" s="1120"/>
      <c r="AI2" s="1120"/>
      <c r="AJ2" s="1120"/>
      <c r="AK2" s="1120"/>
      <c r="AL2" s="1120"/>
      <c r="AM2" s="1120"/>
      <c r="AN2" s="1120"/>
      <c r="AO2" s="1120"/>
      <c r="AP2" s="1120"/>
      <c r="AQ2" s="1120"/>
      <c r="AR2" s="1120"/>
      <c r="AS2" s="1120"/>
      <c r="AT2" s="1120"/>
      <c r="AU2" s="1120"/>
      <c r="AV2" s="1120"/>
      <c r="AW2" s="1120"/>
      <c r="AX2" s="1120"/>
      <c r="AY2" s="1120"/>
      <c r="AZ2" s="1120"/>
      <c r="BA2" s="1120"/>
      <c r="BB2" s="1120"/>
      <c r="BC2" s="1120"/>
      <c r="BD2" s="1120"/>
      <c r="BE2" s="1120"/>
      <c r="BF2" s="1120"/>
      <c r="BG2" s="1120"/>
      <c r="BH2" s="1120"/>
      <c r="BI2" s="1120"/>
      <c r="BJ2" s="1120"/>
      <c r="BK2" s="1120"/>
      <c r="BL2" s="1120"/>
      <c r="BM2" s="1120"/>
    </row>
    <row r="3" spans="1:65" ht="16">
      <c r="A3" s="1120"/>
      <c r="B3" s="1121" t="s">
        <v>23</v>
      </c>
      <c r="C3" s="1122">
        <f>'Raw Data'!$G$9</f>
        <v>2025</v>
      </c>
      <c r="D3" s="1120"/>
      <c r="E3" s="1120"/>
      <c r="F3" s="1120"/>
      <c r="G3" s="1120"/>
      <c r="H3" s="1120"/>
      <c r="I3" s="1120"/>
      <c r="J3" s="1120"/>
      <c r="K3" s="1120"/>
      <c r="L3" s="1120"/>
      <c r="M3" s="1120"/>
      <c r="N3" s="1120"/>
      <c r="O3" s="1120"/>
      <c r="P3" s="1120"/>
      <c r="Q3" s="1120"/>
      <c r="R3" s="1120"/>
      <c r="S3" s="1120"/>
      <c r="T3" s="1120"/>
      <c r="U3" s="1120"/>
      <c r="V3" s="1120"/>
      <c r="W3" s="1120"/>
      <c r="X3" s="1120"/>
      <c r="Y3" s="1120"/>
      <c r="Z3" s="1120"/>
      <c r="AA3" s="1120"/>
      <c r="AB3" s="1120"/>
      <c r="AC3" s="1120"/>
      <c r="AD3" s="1120"/>
      <c r="AE3" s="1120"/>
      <c r="AF3" s="1120"/>
      <c r="AG3" s="1120"/>
      <c r="AH3" s="1120"/>
      <c r="AI3" s="1120"/>
      <c r="AJ3" s="1120"/>
      <c r="AK3" s="1120"/>
      <c r="AL3" s="1120"/>
      <c r="AM3" s="1120"/>
      <c r="AN3" s="1120"/>
      <c r="AO3" s="1120"/>
      <c r="AP3" s="1120"/>
      <c r="AQ3" s="1120"/>
      <c r="AR3" s="1120"/>
      <c r="AS3" s="1120"/>
      <c r="AT3" s="1120"/>
      <c r="AU3" s="1120"/>
      <c r="AV3" s="1120"/>
      <c r="AW3" s="1120"/>
      <c r="AX3" s="1120"/>
      <c r="AY3" s="1120"/>
      <c r="AZ3" s="1120"/>
      <c r="BA3" s="1120"/>
      <c r="BB3" s="1120"/>
      <c r="BC3" s="1120"/>
      <c r="BD3" s="1120"/>
      <c r="BE3" s="1120"/>
      <c r="BF3" s="1120"/>
      <c r="BG3" s="1120"/>
      <c r="BH3" s="1120"/>
      <c r="BI3" s="1120"/>
      <c r="BJ3" s="1120"/>
      <c r="BK3" s="1120"/>
      <c r="BL3" s="1120"/>
      <c r="BM3" s="1120"/>
    </row>
    <row r="4" spans="1:65" s="157" customFormat="1" ht="35.15" customHeight="1" outlineLevel="1">
      <c r="A4" s="1123"/>
      <c r="B4" s="1123"/>
      <c r="C4" s="1123" t="s">
        <v>22</v>
      </c>
      <c r="D4" s="1123" t="s">
        <v>21</v>
      </c>
      <c r="E4" s="1123" t="s">
        <v>20</v>
      </c>
      <c r="F4" s="1123" t="s">
        <v>19</v>
      </c>
      <c r="G4" s="1123" t="s">
        <v>29</v>
      </c>
      <c r="H4" s="1123" t="s">
        <v>113</v>
      </c>
      <c r="I4" s="1123" t="s">
        <v>39</v>
      </c>
      <c r="J4" s="1123" t="s">
        <v>55</v>
      </c>
      <c r="K4" s="1123" t="s">
        <v>56</v>
      </c>
      <c r="L4" s="1123" t="s">
        <v>104</v>
      </c>
      <c r="M4" s="1123" t="s">
        <v>57</v>
      </c>
      <c r="N4" s="1123" t="s">
        <v>60</v>
      </c>
      <c r="O4" s="1123" t="s">
        <v>58</v>
      </c>
      <c r="P4" s="1123" t="s">
        <v>59</v>
      </c>
      <c r="Q4" s="1123" t="s">
        <v>47</v>
      </c>
      <c r="R4" s="1123" t="s">
        <v>45</v>
      </c>
      <c r="S4" s="1123" t="s">
        <v>105</v>
      </c>
      <c r="T4" s="1123" t="s">
        <v>50</v>
      </c>
      <c r="U4" s="1123" t="s">
        <v>46</v>
      </c>
      <c r="V4" s="1123" t="s">
        <v>48</v>
      </c>
      <c r="W4" s="1123" t="s">
        <v>80</v>
      </c>
      <c r="X4" s="1123" t="str">
        <f>'Raw Data'!AR31</f>
        <v>Pension Converted</v>
      </c>
      <c r="Y4" s="1123" t="str">
        <f>'Raw Data'!AU31</f>
        <v>Other Converted</v>
      </c>
      <c r="Z4" s="1123" t="s">
        <v>247</v>
      </c>
      <c r="AA4" s="1123" t="s">
        <v>248</v>
      </c>
      <c r="AB4" s="1123"/>
      <c r="AC4" s="1123" t="s">
        <v>11</v>
      </c>
      <c r="AD4" s="1123" t="s">
        <v>10</v>
      </c>
      <c r="AE4" s="1123"/>
      <c r="AF4" s="1123"/>
      <c r="AG4" s="1123"/>
      <c r="AH4" s="1123"/>
      <c r="AI4" s="1123"/>
      <c r="AJ4" s="1123"/>
      <c r="AK4" s="1123"/>
      <c r="AL4" s="1123"/>
      <c r="AM4" s="1123"/>
      <c r="AN4" s="1123"/>
      <c r="AO4" s="1123"/>
      <c r="AP4" s="1123"/>
      <c r="AQ4" s="1123"/>
      <c r="AR4" s="1123"/>
      <c r="AS4" s="1123"/>
      <c r="AT4" s="1123"/>
      <c r="AU4" s="1123"/>
      <c r="AV4" s="1123"/>
      <c r="AW4" s="1123"/>
      <c r="AX4" s="1123"/>
      <c r="AY4" s="1123"/>
      <c r="AZ4" s="1123"/>
      <c r="BA4" s="1123"/>
      <c r="BB4" s="1123"/>
      <c r="BC4" s="1123"/>
      <c r="BD4" s="1123"/>
      <c r="BE4" s="1123"/>
      <c r="BF4" s="1123"/>
      <c r="BG4" s="1123"/>
      <c r="BH4" s="1123"/>
      <c r="BI4" s="1123"/>
      <c r="BJ4" s="1123"/>
      <c r="BK4" s="1123"/>
      <c r="BL4" s="1123"/>
      <c r="BM4" s="1123"/>
    </row>
    <row r="5" spans="1:65" ht="17">
      <c r="A5" s="1120"/>
      <c r="B5" s="1124"/>
      <c r="C5" s="1125" t="str">
        <f>+C2&amp; " Benchmarking - "&amp;'Raw Data'!H5&amp;" $000s"</f>
        <v>COO Benchmarking - CAD $000s</v>
      </c>
      <c r="D5" s="1126"/>
      <c r="E5" s="1127"/>
      <c r="F5" s="1127"/>
      <c r="G5" s="1127"/>
      <c r="H5" s="1127"/>
      <c r="I5" s="1127"/>
      <c r="J5" s="1127"/>
      <c r="K5" s="1127"/>
      <c r="L5" s="1127"/>
      <c r="M5" s="1127"/>
      <c r="N5" s="1127"/>
      <c r="O5" s="1127"/>
      <c r="P5" s="1127"/>
      <c r="Q5" s="1127"/>
      <c r="R5" s="1127"/>
      <c r="S5" s="1127"/>
      <c r="T5" s="1127"/>
      <c r="U5" s="1127"/>
      <c r="V5" s="1127"/>
      <c r="W5" s="1127"/>
      <c r="X5" s="1127"/>
      <c r="Y5" s="1127"/>
      <c r="Z5" s="1127"/>
      <c r="AA5" s="1127"/>
      <c r="AB5" s="1120"/>
      <c r="AC5" s="1127"/>
      <c r="AD5" s="1127"/>
      <c r="AE5" s="1120"/>
      <c r="AF5" s="1120"/>
      <c r="AG5" s="1128" t="s">
        <v>22</v>
      </c>
      <c r="AH5" s="1128" t="s">
        <v>19</v>
      </c>
      <c r="AI5" s="1128"/>
      <c r="AJ5" s="1128"/>
      <c r="AK5" s="1128" t="s">
        <v>18</v>
      </c>
      <c r="AL5" s="1128" t="s">
        <v>370</v>
      </c>
      <c r="AM5" s="1128" t="s">
        <v>68</v>
      </c>
      <c r="AN5" s="1128"/>
      <c r="AO5" s="1120"/>
      <c r="AP5" s="1120"/>
      <c r="AQ5" s="1120"/>
      <c r="AR5" s="1120"/>
      <c r="AS5" s="1120"/>
      <c r="AT5" s="1120"/>
      <c r="AU5" s="1120"/>
      <c r="AV5" s="1120"/>
      <c r="AW5" s="1120"/>
      <c r="AX5" s="1120"/>
      <c r="AY5" s="1120"/>
      <c r="AZ5" s="1120"/>
      <c r="BA5" s="1120"/>
      <c r="BB5" s="1120"/>
      <c r="BC5" s="1120"/>
      <c r="BD5" s="1120"/>
      <c r="BE5" s="1120"/>
      <c r="BF5" s="1120"/>
      <c r="BG5" s="1120"/>
      <c r="BH5" s="1120"/>
      <c r="BI5" s="1120"/>
      <c r="BJ5" s="1120"/>
      <c r="BK5" s="1120"/>
      <c r="BL5" s="1120"/>
      <c r="BM5" s="1120"/>
    </row>
    <row r="6" spans="1:65" ht="40" customHeight="1">
      <c r="A6" s="1120"/>
      <c r="B6" s="1129"/>
      <c r="C6" s="1260" t="s">
        <v>22</v>
      </c>
      <c r="D6" s="1262" t="s">
        <v>21</v>
      </c>
      <c r="E6" s="1262" t="s">
        <v>20</v>
      </c>
      <c r="F6" s="1262" t="s">
        <v>19</v>
      </c>
      <c r="G6" s="1262" t="s">
        <v>18</v>
      </c>
      <c r="H6" s="1258" t="s">
        <v>114</v>
      </c>
      <c r="I6" s="1258" t="s">
        <v>17</v>
      </c>
      <c r="J6" s="841" t="s">
        <v>16</v>
      </c>
      <c r="K6" s="841"/>
      <c r="L6" s="841"/>
      <c r="M6" s="841" t="s">
        <v>16</v>
      </c>
      <c r="N6" s="841"/>
      <c r="O6" s="841" t="s">
        <v>15</v>
      </c>
      <c r="P6" s="841"/>
      <c r="Q6" s="841" t="s">
        <v>14</v>
      </c>
      <c r="R6" s="841"/>
      <c r="S6" s="841"/>
      <c r="T6" s="841" t="s">
        <v>14</v>
      </c>
      <c r="U6" s="841"/>
      <c r="V6" s="841" t="s">
        <v>670</v>
      </c>
      <c r="W6" s="841"/>
      <c r="X6" s="1253" t="s">
        <v>31</v>
      </c>
      <c r="Y6" s="1255" t="s">
        <v>245</v>
      </c>
      <c r="Z6" s="1255" t="s">
        <v>244</v>
      </c>
      <c r="AA6" s="1257"/>
      <c r="AB6" s="1108"/>
      <c r="AC6" s="1130" t="s">
        <v>12</v>
      </c>
      <c r="AD6" s="1131"/>
      <c r="AE6" s="1108">
        <v>2024</v>
      </c>
      <c r="AF6" s="1132"/>
      <c r="AG6" s="1133" t="s">
        <v>393</v>
      </c>
      <c r="AH6" s="1134"/>
      <c r="AI6" s="1134"/>
      <c r="AJ6" s="1134"/>
      <c r="AK6" s="1134"/>
      <c r="AL6" s="1112" t="s">
        <v>393</v>
      </c>
      <c r="AM6" s="1113"/>
      <c r="AN6" s="1344"/>
      <c r="AO6" s="1282" t="s">
        <v>670</v>
      </c>
      <c r="AP6" s="1283"/>
      <c r="AQ6" s="1120"/>
      <c r="AR6" s="1120"/>
      <c r="AS6" s="1120"/>
      <c r="AT6" s="1120"/>
      <c r="AU6" s="1120"/>
      <c r="AV6" s="1120"/>
      <c r="AW6" s="1120"/>
      <c r="AX6" s="1120"/>
      <c r="AY6" s="1120"/>
      <c r="AZ6" s="1120"/>
      <c r="BA6" s="1120"/>
      <c r="BB6" s="1120"/>
      <c r="BC6" s="1120"/>
      <c r="BD6" s="1120"/>
      <c r="BE6" s="1120"/>
      <c r="BF6" s="1120"/>
      <c r="BG6" s="1120"/>
      <c r="BH6" s="1120"/>
      <c r="BI6" s="1120"/>
      <c r="BJ6" s="1120"/>
      <c r="BK6" s="1120"/>
      <c r="BL6" s="1120"/>
      <c r="BM6" s="1120"/>
    </row>
    <row r="7" spans="1:65" ht="20.149999999999999" customHeight="1">
      <c r="A7" s="1135" t="s">
        <v>54</v>
      </c>
      <c r="B7" s="1135" t="s">
        <v>25</v>
      </c>
      <c r="C7" s="1261"/>
      <c r="D7" s="1263" t="s">
        <v>21</v>
      </c>
      <c r="E7" s="1263" t="s">
        <v>20</v>
      </c>
      <c r="F7" s="1263" t="s">
        <v>19</v>
      </c>
      <c r="G7" s="1263" t="s">
        <v>18</v>
      </c>
      <c r="H7" s="1259" t="s">
        <v>17</v>
      </c>
      <c r="I7" s="1259" t="s">
        <v>17</v>
      </c>
      <c r="J7" s="842" t="s">
        <v>40</v>
      </c>
      <c r="K7" s="843" t="s">
        <v>51</v>
      </c>
      <c r="L7" s="843" t="s">
        <v>104</v>
      </c>
      <c r="M7" s="843" t="s">
        <v>42</v>
      </c>
      <c r="N7" s="842" t="s">
        <v>41</v>
      </c>
      <c r="O7" s="842" t="s">
        <v>53</v>
      </c>
      <c r="P7" s="842" t="s">
        <v>42</v>
      </c>
      <c r="Q7" s="843" t="s">
        <v>40</v>
      </c>
      <c r="R7" s="844" t="s">
        <v>52</v>
      </c>
      <c r="S7" s="844" t="s">
        <v>105</v>
      </c>
      <c r="T7" s="843" t="s">
        <v>42</v>
      </c>
      <c r="U7" s="845" t="s">
        <v>41</v>
      </c>
      <c r="V7" s="842" t="s">
        <v>40</v>
      </c>
      <c r="W7" s="842" t="s">
        <v>42</v>
      </c>
      <c r="X7" s="1254"/>
      <c r="Y7" s="1256"/>
      <c r="Z7" s="842" t="s">
        <v>40</v>
      </c>
      <c r="AA7" s="846" t="s">
        <v>42</v>
      </c>
      <c r="AB7" s="1108"/>
      <c r="AC7" s="1136" t="s">
        <v>11</v>
      </c>
      <c r="AD7" s="1137" t="s">
        <v>10</v>
      </c>
      <c r="AE7" s="1132" t="str">
        <f>AE6&amp;" Lookup"</f>
        <v>2024 Lookup</v>
      </c>
      <c r="AF7" s="1132"/>
      <c r="AG7" s="1138" t="s">
        <v>22</v>
      </c>
      <c r="AH7" s="1139" t="s">
        <v>19</v>
      </c>
      <c r="AI7" s="1139" t="s">
        <v>397</v>
      </c>
      <c r="AJ7" s="1140" t="s">
        <v>395</v>
      </c>
      <c r="AK7" s="1139" t="s">
        <v>18</v>
      </c>
      <c r="AL7" s="1114" t="s">
        <v>40</v>
      </c>
      <c r="AM7" s="1115" t="s">
        <v>42</v>
      </c>
      <c r="AN7" s="1345" t="s">
        <v>396</v>
      </c>
      <c r="AO7" s="1141" t="s">
        <v>40</v>
      </c>
      <c r="AP7" s="1142" t="s">
        <v>42</v>
      </c>
      <c r="AQ7" s="1120"/>
      <c r="AR7" s="1120"/>
      <c r="AS7" s="1120"/>
      <c r="AT7" s="1120"/>
      <c r="AU7" s="1120"/>
      <c r="AV7" s="1120"/>
      <c r="AW7" s="1120"/>
      <c r="AX7" s="1120"/>
      <c r="AY7" s="1120"/>
      <c r="AZ7" s="1120"/>
      <c r="BA7" s="1120"/>
      <c r="BB7" s="1120"/>
      <c r="BC7" s="1120"/>
      <c r="BD7" s="1120"/>
      <c r="BE7" s="1120"/>
      <c r="BF7" s="1120"/>
      <c r="BG7" s="1120"/>
      <c r="BH7" s="1120"/>
      <c r="BI7" s="1120"/>
      <c r="BJ7" s="1120"/>
      <c r="BK7" s="1120"/>
      <c r="BL7" s="1120"/>
      <c r="BM7" s="1120"/>
    </row>
    <row r="8" spans="1:65" s="781" customFormat="1" ht="20.25" customHeight="1">
      <c r="A8" s="1143" t="str">
        <f t="shared" ref="A8:A21" si="0">$B8&amp;"_"&amp;$C$3&amp;"_"&amp;$C$2</f>
        <v>TSX:FM_2025_COO</v>
      </c>
      <c r="B8" s="1120" t="str">
        <f>'Peer Group'!A6</f>
        <v>TSX:FM</v>
      </c>
      <c r="C8" s="847" t="str">
        <f t="shared" ref="C8:C21" si="1">IFERROR(INDEX(Raw_Data,MATCH($A8,Look_Up2,0),MATCH(C$4,Component,0)),"-")</f>
        <v>First Quantum Minerals Ltd.</v>
      </c>
      <c r="D8" s="848" t="str">
        <f>_xll.ciqfunctions.udf.CIQ(B8, "IQ_MARKETCAP", $A$1,$A$2)</f>
        <v>#PEND</v>
      </c>
      <c r="E8" s="848" t="str">
        <f>_xll.ciqfunctions.udf.CIQ($B8, "IQ_TEV", $A$1,$A$2)</f>
        <v>#PEND</v>
      </c>
      <c r="F8" s="849" t="str">
        <f t="shared" ref="F8:G21" si="2">IFERROR(INDEX(Raw_Data,MATCH($A8,Look_Up2,0),MATCH(F$4,Component,0)),"-")</f>
        <v>Rudi Badenhorst</v>
      </c>
      <c r="G8" s="849" t="str">
        <f t="shared" si="2"/>
        <v>COO</v>
      </c>
      <c r="H8" s="848">
        <f t="shared" ref="H8:J21" si="3">IFERROR(INDEX(Raw_Data,MATCH($A8,Look_Up2,0),MATCH(H$4,Component,0))/1000,"-")</f>
        <v>1145.9090000000001</v>
      </c>
      <c r="I8" s="848">
        <f t="shared" si="3"/>
        <v>1145.9090000000001</v>
      </c>
      <c r="J8" s="850">
        <f t="shared" si="3"/>
        <v>349.36250000000001</v>
      </c>
      <c r="K8" s="851">
        <f t="shared" ref="K8:L21" si="4">IFERROR(INDEX(Raw_Data,MATCH($A8,Look_Up2,0),MATCH(K$4,Component,0)),"-")</f>
        <v>0.3048780487804878</v>
      </c>
      <c r="L8" s="851">
        <f t="shared" si="4"/>
        <v>0.23681988292451328</v>
      </c>
      <c r="M8" s="852">
        <f t="shared" ref="M8:M21" si="5">IFERROR(INDEX(Raw_Data,MATCH($A8,Look_Up2,0),MATCH(M$4,Component,0))/1000,"-")</f>
        <v>572.95450000000005</v>
      </c>
      <c r="N8" s="853">
        <f t="shared" ref="N8:N21" si="6">IFERROR(IF(INDEX(Raw_Data,MATCH($A8,Look_Up2,0),MATCH(N$4,Component,0))="-",L8,INDEX(Raw_Data,MATCH($A8,Look_Up2,0),MATCH(N$4,Component,0))),"-")</f>
        <v>0.5</v>
      </c>
      <c r="O8" s="850">
        <f t="shared" ref="O8:Q21" si="7">IFERROR(INDEX(Raw_Data,MATCH($A8,Look_Up2,0),MATCH(O$4,Component,0))/1000,"-")</f>
        <v>1495.2715000000001</v>
      </c>
      <c r="P8" s="854">
        <f t="shared" si="7"/>
        <v>1718.8634999999999</v>
      </c>
      <c r="Q8" s="850">
        <f t="shared" si="7"/>
        <v>838.47</v>
      </c>
      <c r="R8" s="851">
        <f t="shared" ref="R8:S21" si="8">IFERROR(INDEX(Raw_Data,MATCH($A8,Look_Up2,0),MATCH(R$4,Component,0)),"-")</f>
        <v>0.73170731707317072</v>
      </c>
      <c r="S8" s="851">
        <f t="shared" si="8"/>
        <v>0.82827642559928449</v>
      </c>
      <c r="T8" s="852">
        <f t="shared" ref="T8:T21" si="9">IFERROR(INDEX(Raw_Data,MATCH($A8,Look_Up2,0),MATCH(T$4,Component,0))/1000,"-")</f>
        <v>859.43174999999997</v>
      </c>
      <c r="U8" s="853">
        <f t="shared" ref="U8:U21" si="10">IFERROR(IF(INDEX(Raw_Data,MATCH($A8,Look_Up2,0),MATCH(U$4,Component,0))="-",S8,INDEX(Raw_Data,MATCH($A8,Look_Up2,0),MATCH(U$4,Component,0))),"-")</f>
        <v>0.75</v>
      </c>
      <c r="V8" s="850">
        <f t="shared" ref="V8:W21" si="11">IFERROR(INDEX(Raw_Data,MATCH($A8,Look_Up2,0),MATCH(V$4,Component,0))/1000,"-")</f>
        <v>2333.7415000000001</v>
      </c>
      <c r="W8" s="855">
        <f t="shared" si="11"/>
        <v>2578.2952500000001</v>
      </c>
      <c r="X8" s="850">
        <f t="shared" ref="X8:Y21" si="12">IFERROR((INDEX(Raw_Data,MATCH($A8,Look_Up2,0),MATCH(X$4,Component,0))/1000),"-")</f>
        <v>11.443718050000001</v>
      </c>
      <c r="Y8" s="855">
        <f t="shared" si="12"/>
        <v>371.30525990000001</v>
      </c>
      <c r="Z8" s="850">
        <f t="shared" ref="Z8:AA21" si="13">IFERROR(INDEX(Raw_Data,MATCH($A8,Look_Up2,0),MATCH(Z$4,Component,0))/1000,"-")</f>
        <v>2716.4904779499998</v>
      </c>
      <c r="AA8" s="855">
        <f t="shared" si="13"/>
        <v>2961.0442279499998</v>
      </c>
      <c r="AB8" s="1144"/>
      <c r="AC8" s="1145">
        <f t="shared" ref="AC8:AC21" si="14">IFERROR(P8/W8,"-")</f>
        <v>0.66666666666666663</v>
      </c>
      <c r="AD8" s="866">
        <f t="shared" ref="AD8:AD21" si="15">IFERROR(T8/W8,"-")</f>
        <v>0.33333333333333331</v>
      </c>
      <c r="AE8" s="1132" t="str">
        <f t="shared" ref="AE8:AE21" si="16">B8&amp;"_"&amp;$AE$6&amp;"_"&amp;$C$2</f>
        <v>TSX:FM_2024_COO</v>
      </c>
      <c r="AF8" s="1132"/>
      <c r="AG8" s="1146" t="str" cm="1">
        <f t="array" ref="AG8">IFERROR(INDEX('Import 2024 Data'!$E$4:$I$71,_xlfn.XMATCH(COO!$AE8,'Import 2024 Data'!$C$4:$C$71),_xlfn.XMATCH(COO!AG$5,'Import 2024 Data'!$E$3:$I$3)),"-")</f>
        <v>-</v>
      </c>
      <c r="AH8" s="1146" t="str" cm="1">
        <f t="array" ref="AH8">IFERROR(INDEX('Import 2024 Data'!$E$4:$I$71,_xlfn.XMATCH(COO!$AE8,'Import 2024 Data'!$C$4:$C$71),_xlfn.XMATCH(COO!AH$5,'Import 2024 Data'!$E$3:$I$3)),"-")</f>
        <v>-</v>
      </c>
      <c r="AI8" s="1147" t="str">
        <f>IF(ISNUMBER(_xlfn.XMATCH(C8,'Import 2024 Data'!$E$4:$E$113)),"N","Y")</f>
        <v>Y</v>
      </c>
      <c r="AJ8" s="1147" t="str">
        <f>IFERROR(IF(TRIM(LOWER(AH8))=TRIM(LOWER(F8)),"N","Y"),"-")</f>
        <v>Y</v>
      </c>
      <c r="AK8" s="1146" t="str" cm="1">
        <f t="array" ref="AK8">IFERROR(INDEX('Import 2024 Data'!$E$4:$I$113,_xlfn.XMATCH(COO!$AE8,'Import 2024 Data'!$C$4:$C$113),_xlfn.XMATCH(COO!AK$5,'Import 2024 Data'!$E$3:$I$3)),"-")</f>
        <v>-</v>
      </c>
      <c r="AL8" s="1116" t="str" cm="1">
        <f t="array" ref="AL8">IFERROR(INDEX('Import 2024 Data'!$E$4:$I$113,_xlfn.XMATCH(COO!$AE8,'Import 2024 Data'!$C$4:$C$113),_xlfn.XMATCH(COO!AL$5,'Import 2024 Data'!$E$3:$I$3)),"-")</f>
        <v>-</v>
      </c>
      <c r="AM8" s="1116" t="str" cm="1">
        <f t="array" ref="AM8">IFERROR(INDEX('Import 2024 Data'!$E$4:$I$113,_xlfn.XMATCH(COO!$AE8,'Import 2024 Data'!$C$4:$C$113),_xlfn.XMATCH(COO!AM$5,'Import 2024 Data'!$E$3:$I$3)),"-")</f>
        <v>-</v>
      </c>
      <c r="AN8" s="1148" t="str">
        <f t="shared" ref="AN8:AN21" si="17">IFERROR(IF(AJ8="Y","New Incumbent",W8/AM8-1),"-")</f>
        <v>New Incumbent</v>
      </c>
      <c r="AO8" s="1149" t="str">
        <f>IF($AI8="N",$V8,"-")</f>
        <v>-</v>
      </c>
      <c r="AP8" s="1150" t="str">
        <f>IF($AI8="N",$W8,"-")</f>
        <v>-</v>
      </c>
      <c r="AQ8" s="1155">
        <f>W8/W24 -1</f>
        <v>-9.8494547460485027E-2</v>
      </c>
      <c r="AT8" s="1143"/>
      <c r="AU8" s="1143"/>
      <c r="AV8" s="1143"/>
      <c r="AW8" s="1143"/>
      <c r="AX8" s="1143"/>
      <c r="AY8" s="1143"/>
      <c r="AZ8" s="1143"/>
      <c r="BA8" s="1143"/>
      <c r="BB8" s="1143"/>
      <c r="BC8" s="1143"/>
      <c r="BD8" s="1143"/>
      <c r="BE8" s="1143"/>
      <c r="BF8" s="1143"/>
      <c r="BG8" s="1143"/>
      <c r="BH8" s="1143"/>
      <c r="BI8" s="1143"/>
      <c r="BJ8" s="1143"/>
      <c r="BK8" s="1143"/>
      <c r="BL8" s="1143"/>
      <c r="BM8" s="1143"/>
    </row>
    <row r="9" spans="1:65" s="781" customFormat="1" ht="20.25" customHeight="1">
      <c r="A9" s="1143" t="str">
        <f t="shared" si="0"/>
        <v>TSX:K_2025_COO</v>
      </c>
      <c r="B9" s="1120" t="str">
        <f>'Peer Group'!A7</f>
        <v>TSX:K</v>
      </c>
      <c r="C9" s="847" t="str">
        <f t="shared" si="1"/>
        <v>Kinross Gold Corporation</v>
      </c>
      <c r="D9" s="848" t="str">
        <f>_xll.ciqfunctions.udf.CIQ(B9, "IQ_MARKETCAP", $A$1,$A$2)</f>
        <v>#PEND</v>
      </c>
      <c r="E9" s="848" t="str">
        <f>_xll.ciqfunctions.udf.CIQ($B9, "IQ_TEV", $A$1,$A$2)</f>
        <v>#PEND</v>
      </c>
      <c r="F9" s="849" t="str">
        <f t="shared" si="2"/>
        <v>Claude J.S. Schimper</v>
      </c>
      <c r="G9" s="849" t="str">
        <f t="shared" si="2"/>
        <v>EVP &amp; COO</v>
      </c>
      <c r="H9" s="848" t="str">
        <f t="shared" si="3"/>
        <v>-</v>
      </c>
      <c r="I9" s="848">
        <f t="shared" si="3"/>
        <v>683.11827840000012</v>
      </c>
      <c r="J9" s="850">
        <f t="shared" si="3"/>
        <v>760.82348565000007</v>
      </c>
      <c r="K9" s="851">
        <f t="shared" si="4"/>
        <v>1.1137507364493322</v>
      </c>
      <c r="L9" s="851">
        <f t="shared" si="4"/>
        <v>1.1100004190189079</v>
      </c>
      <c r="M9" s="852">
        <f t="shared" si="5"/>
        <v>614.80645056000003</v>
      </c>
      <c r="N9" s="853">
        <f t="shared" si="6"/>
        <v>0.9</v>
      </c>
      <c r="O9" s="850">
        <f t="shared" si="7"/>
        <v>1443.9417640500001</v>
      </c>
      <c r="P9" s="854">
        <f t="shared" si="7"/>
        <v>1297.92472896</v>
      </c>
      <c r="Q9" s="850">
        <f t="shared" si="7"/>
        <v>1707.7956959999999</v>
      </c>
      <c r="R9" s="851">
        <f t="shared" si="8"/>
        <v>2.4999999999999996</v>
      </c>
      <c r="S9" s="851">
        <f t="shared" si="8"/>
        <v>2.2866666666666666</v>
      </c>
      <c r="T9" s="852">
        <f t="shared" si="9"/>
        <v>1562.0637966080001</v>
      </c>
      <c r="U9" s="853">
        <f t="shared" si="10"/>
        <v>2.2866666666666666</v>
      </c>
      <c r="V9" s="850">
        <f t="shared" si="11"/>
        <v>3151.7374600499998</v>
      </c>
      <c r="W9" s="855">
        <f t="shared" si="11"/>
        <v>2859.9885255680001</v>
      </c>
      <c r="X9" s="850">
        <f t="shared" si="12"/>
        <v>194.69133655000002</v>
      </c>
      <c r="Y9" s="855">
        <f t="shared" si="12"/>
        <v>106.9496434</v>
      </c>
      <c r="Z9" s="850">
        <f t="shared" si="13"/>
        <v>3453.37844</v>
      </c>
      <c r="AA9" s="855">
        <f t="shared" si="13"/>
        <v>3161.6295055180003</v>
      </c>
      <c r="AB9" s="1144"/>
      <c r="AC9" s="1145">
        <f t="shared" si="14"/>
        <v>0.45382165605095542</v>
      </c>
      <c r="AD9" s="866">
        <f t="shared" si="15"/>
        <v>0.54617834394904463</v>
      </c>
      <c r="AE9" s="1132" t="str">
        <f t="shared" si="16"/>
        <v>TSX:K_2024_COO</v>
      </c>
      <c r="AF9" s="1132"/>
      <c r="AG9" s="1146" t="str" cm="1">
        <f t="array" ref="AG9">IFERROR(INDEX('Import 2024 Data'!$E$4:$I$71,_xlfn.XMATCH(COO!$AE9,'Import 2024 Data'!$C$4:$C$71),_xlfn.XMATCH(COO!AG$5,'Import 2024 Data'!$E$3:$I$3)),"-")</f>
        <v>Kinross Gold Corporation</v>
      </c>
      <c r="AH9" s="1146" t="str" cm="1">
        <f t="array" ref="AH9">IFERROR(INDEX('Import 2024 Data'!$E$4:$I$71,_xlfn.XMATCH(COO!$AE9,'Import 2024 Data'!$C$4:$C$71),_xlfn.XMATCH(COO!AH$5,'Import 2024 Data'!$E$3:$I$3)),"-")</f>
        <v>Claude J.S. Schimper</v>
      </c>
      <c r="AI9" s="1147" t="str">
        <f>IF(ISNUMBER(_xlfn.XMATCH(C9,'Import 2024 Data'!$E$4:$E$113)),"N","Y")</f>
        <v>N</v>
      </c>
      <c r="AJ9" s="1147" t="str">
        <f>IFERROR(IF(TRIM(LOWER(AH9))=TRIM(LOWER(F9)),"N","Y"),"-")</f>
        <v>N</v>
      </c>
      <c r="AK9" s="1146" t="str" cm="1">
        <f t="array" ref="AK9">IFERROR(INDEX('Import 2024 Data'!$E$4:$I$113,_xlfn.XMATCH(COO!$AE9,'Import 2024 Data'!$C$4:$C$113),_xlfn.XMATCH(COO!AK$5,'Import 2024 Data'!$E$3:$I$3)),"-")</f>
        <v>EVP &amp; COO</v>
      </c>
      <c r="AL9" s="1107" cm="1">
        <f t="array" ref="AL9">IFERROR(INDEX('Import 2024 Data'!$E$4:$I$113,_xlfn.XMATCH(COO!$AE9,'Import 2024 Data'!$C$4:$C$113),_xlfn.XMATCH(COO!AL$5,'Import 2024 Data'!$E$3:$I$3)),"-")</f>
        <v>2673.1948191500005</v>
      </c>
      <c r="AM9" s="1107" cm="1">
        <f t="array" ref="AM9">IFERROR(INDEX('Import 2024 Data'!$E$4:$I$113,_xlfn.XMATCH(COO!$AE9,'Import 2024 Data'!$C$4:$C$113),_xlfn.XMATCH(COO!AM$5,'Import 2024 Data'!$E$3:$I$3)),"-")</f>
        <v>2509.2151248181212</v>
      </c>
      <c r="AN9" s="1148">
        <f t="shared" si="17"/>
        <v>0.13979407236966357</v>
      </c>
      <c r="AO9" s="1152">
        <f t="shared" ref="AO9:AP21" si="18">IF($AI9="N",$V9,"-")</f>
        <v>3151.7374600499998</v>
      </c>
      <c r="AP9" s="1153">
        <f t="shared" ref="AP9:AP19" si="19">IF($AI9="N",$W9,"-")</f>
        <v>2859.9885255680001</v>
      </c>
      <c r="AQ9" s="1143" t="s">
        <v>793</v>
      </c>
      <c r="AR9" s="1151">
        <f>683/619 -1</f>
        <v>0.10339256865912771</v>
      </c>
      <c r="AS9" s="1231">
        <f>229-215</f>
        <v>14</v>
      </c>
      <c r="AT9" s="1143"/>
      <c r="AU9" s="1143"/>
      <c r="AV9" s="1143"/>
      <c r="AW9" s="1143"/>
      <c r="AX9" s="1143"/>
      <c r="AY9" s="1143"/>
      <c r="AZ9" s="1143"/>
      <c r="BA9" s="1143"/>
      <c r="BB9" s="1143"/>
      <c r="BC9" s="1143"/>
      <c r="BD9" s="1143"/>
      <c r="BE9" s="1143"/>
      <c r="BF9" s="1143"/>
      <c r="BG9" s="1143"/>
      <c r="BH9" s="1143"/>
      <c r="BI9" s="1143"/>
      <c r="BJ9" s="1143"/>
      <c r="BK9" s="1143"/>
      <c r="BL9" s="1143"/>
      <c r="BM9" s="1143"/>
    </row>
    <row r="10" spans="1:65" s="781" customFormat="1" ht="20.25" customHeight="1">
      <c r="A10" s="1143" t="str">
        <f>$B10&amp;"_"&amp;$C$3&amp;"_"&amp;$C$2</f>
        <v>TSX:LUN_2025_COO</v>
      </c>
      <c r="B10" s="1120" t="str">
        <f>'Peer Group'!A8</f>
        <v>TSX:LUN</v>
      </c>
      <c r="C10" s="847" t="str">
        <f t="shared" si="1"/>
        <v>Lundin Mining Corporation</v>
      </c>
      <c r="D10" s="848" t="str">
        <f>_xll.ciqfunctions.udf.CIQ(B10, "IQ_MARKETCAP", $A$1,$A$2)</f>
        <v>#PEND</v>
      </c>
      <c r="E10" s="848" t="str">
        <f>_xll.ciqfunctions.udf.CIQ($B10, "IQ_TEV", $A$1,$A$2)</f>
        <v>#PEND</v>
      </c>
      <c r="F10" s="849" t="str">
        <f t="shared" si="2"/>
        <v>Juan Andres Morel</v>
      </c>
      <c r="G10" s="849" t="str">
        <f t="shared" si="2"/>
        <v>COO</v>
      </c>
      <c r="H10" s="848">
        <f t="shared" si="3"/>
        <v>870.99285385000007</v>
      </c>
      <c r="I10" s="848">
        <f t="shared" si="3"/>
        <v>825.58690845000012</v>
      </c>
      <c r="J10" s="850">
        <f t="shared" si="3"/>
        <v>881.72666730000014</v>
      </c>
      <c r="K10" s="851">
        <f t="shared" si="4"/>
        <v>1.0679998171911418</v>
      </c>
      <c r="L10" s="851">
        <f t="shared" si="4"/>
        <v>1.1346669985552322</v>
      </c>
      <c r="M10" s="852">
        <f t="shared" si="5"/>
        <v>660.46952676000012</v>
      </c>
      <c r="N10" s="853">
        <f t="shared" si="6"/>
        <v>0.8</v>
      </c>
      <c r="O10" s="850">
        <f t="shared" si="7"/>
        <v>1707.3135757500004</v>
      </c>
      <c r="P10" s="854">
        <f t="shared" si="7"/>
        <v>1486.0564352100002</v>
      </c>
      <c r="Q10" s="850">
        <f t="shared" si="7"/>
        <v>2134.6999016</v>
      </c>
      <c r="R10" s="851">
        <f t="shared" si="8"/>
        <v>2.5856755718278004</v>
      </c>
      <c r="S10" s="851">
        <f t="shared" si="8"/>
        <v>1.9486686197370029</v>
      </c>
      <c r="T10" s="852">
        <f t="shared" si="9"/>
        <v>1608.7953013622011</v>
      </c>
      <c r="U10" s="853">
        <f t="shared" si="10"/>
        <v>1.9486686197370029</v>
      </c>
      <c r="V10" s="850">
        <f t="shared" si="11"/>
        <v>3842.0134773500004</v>
      </c>
      <c r="W10" s="855">
        <f t="shared" si="11"/>
        <v>3094.8517365722014</v>
      </c>
      <c r="X10" s="850" t="str">
        <f t="shared" si="12"/>
        <v>-</v>
      </c>
      <c r="Y10" s="855">
        <f t="shared" si="12"/>
        <v>5.8958415500000001</v>
      </c>
      <c r="Z10" s="850">
        <f t="shared" si="13"/>
        <v>3847.9093189000005</v>
      </c>
      <c r="AA10" s="855">
        <f t="shared" si="13"/>
        <v>3100.7475781222015</v>
      </c>
      <c r="AB10" s="1144"/>
      <c r="AC10" s="1145">
        <f t="shared" si="14"/>
        <v>0.48017047719899109</v>
      </c>
      <c r="AD10" s="866">
        <f t="shared" si="15"/>
        <v>0.51982952280100891</v>
      </c>
      <c r="AE10" s="1132" t="str">
        <f t="shared" si="16"/>
        <v>TSX:LUN_2024_COO</v>
      </c>
      <c r="AF10" s="1132"/>
      <c r="AG10" s="1146" t="str" cm="1">
        <f t="array" ref="AG10">IFERROR(INDEX('Import 2024 Data'!$E$4:$I$71,_xlfn.XMATCH(COO!$AE10,'Import 2024 Data'!$C$4:$C$71),_xlfn.XMATCH(COO!AG$5,'Import 2024 Data'!$E$3:$I$3)),"-")</f>
        <v>Lundin Mining Corporation</v>
      </c>
      <c r="AH10" s="1146" t="str" cm="1">
        <f t="array" ref="AH10">IFERROR(INDEX('Import 2024 Data'!$E$4:$I$71,_xlfn.XMATCH(COO!$AE10,'Import 2024 Data'!$C$4:$C$71),_xlfn.XMATCH(COO!AH$5,'Import 2024 Data'!$E$3:$I$3)),"-")</f>
        <v>Juan Andres Morel</v>
      </c>
      <c r="AI10" s="1147" t="str">
        <f>IF(ISNUMBER(_xlfn.XMATCH(C10,'Import 2024 Data'!$E$4:$E$113)),"N","Y")</f>
        <v>N</v>
      </c>
      <c r="AJ10" s="1147" t="str">
        <f>IFERROR(IF(TRIM(LOWER(AH10))=TRIM(LOWER(F10)),"N","Y"),"-")</f>
        <v>N</v>
      </c>
      <c r="AK10" s="1146" t="str" cm="1">
        <f t="array" ref="AK10">IFERROR(INDEX('Import 2024 Data'!$E$4:$I$113,_xlfn.XMATCH(COO!$AE10,'Import 2024 Data'!$C$4:$C$113),_xlfn.XMATCH(COO!AK$5,'Import 2024 Data'!$E$3:$I$3)),"-")</f>
        <v>COO</v>
      </c>
      <c r="AL10" s="1116" cm="1">
        <f t="array" ref="AL10">IFERROR(INDEX('Import 2024 Data'!$E$4:$I$113,_xlfn.XMATCH(COO!$AE10,'Import 2024 Data'!$C$4:$C$113),_xlfn.XMATCH(COO!AL$5,'Import 2024 Data'!$E$3:$I$3)),"-")</f>
        <v>3137.5646145299997</v>
      </c>
      <c r="AM10" s="1116" cm="1">
        <f t="array" ref="AM10">IFERROR(INDEX('Import 2024 Data'!$E$4:$I$113,_xlfn.XMATCH(COO!$AE10,'Import 2024 Data'!$C$4:$C$113),_xlfn.XMATCH(COO!AM$5,'Import 2024 Data'!$E$3:$I$3)),"-")</f>
        <v>2550.6485682106331</v>
      </c>
      <c r="AN10" s="1148">
        <f t="shared" si="17"/>
        <v>0.21335874143702416</v>
      </c>
      <c r="AO10" s="1152">
        <f t="shared" si="18"/>
        <v>3842.0134773500004</v>
      </c>
      <c r="AP10" s="1153">
        <f t="shared" si="19"/>
        <v>3094.8517365722014</v>
      </c>
      <c r="AQ10" s="1143" t="s">
        <v>792</v>
      </c>
      <c r="AR10" s="1151">
        <f>826/770 -1</f>
        <v>7.2727272727272751E-2</v>
      </c>
      <c r="AS10" s="1231">
        <f>195-151</f>
        <v>44</v>
      </c>
      <c r="AT10" s="1143"/>
      <c r="AU10" s="1143"/>
      <c r="AV10" s="1143"/>
      <c r="AW10" s="1143"/>
      <c r="AX10" s="1143"/>
      <c r="AY10" s="1143"/>
      <c r="AZ10" s="1143"/>
      <c r="BA10" s="1143"/>
      <c r="BB10" s="1143"/>
      <c r="BC10" s="1143"/>
      <c r="BD10" s="1143"/>
      <c r="BE10" s="1143"/>
      <c r="BF10" s="1143"/>
      <c r="BG10" s="1143"/>
      <c r="BH10" s="1143"/>
      <c r="BI10" s="1143"/>
      <c r="BJ10" s="1143"/>
      <c r="BK10" s="1143"/>
      <c r="BL10" s="1143"/>
      <c r="BM10" s="1143"/>
    </row>
    <row r="11" spans="1:65" s="781" customFormat="1" ht="20.25" customHeight="1">
      <c r="A11" s="1143" t="str">
        <f t="shared" si="0"/>
        <v>TSX:PAAS_2025_COO</v>
      </c>
      <c r="B11" s="1120" t="str">
        <f>'Peer Group'!A9</f>
        <v>TSX:PAAS</v>
      </c>
      <c r="C11" s="847" t="str">
        <f t="shared" si="1"/>
        <v>Pan American Silver Corp.</v>
      </c>
      <c r="D11" s="848" t="str">
        <f>_xll.ciqfunctions.udf.CIQ(B11, "IQ_MARKETCAP", $A$1,$A$2)</f>
        <v>#PEND</v>
      </c>
      <c r="E11" s="848" t="str">
        <f>_xll.ciqfunctions.udf.CIQ($B11, "IQ_TEV", $A$1,$A$2)</f>
        <v>#PEND</v>
      </c>
      <c r="F11" s="849" t="str">
        <f t="shared" si="2"/>
        <v>Scott Campbell</v>
      </c>
      <c r="G11" s="849" t="str">
        <f t="shared" si="2"/>
        <v>COO</v>
      </c>
      <c r="H11" s="848" t="str">
        <f t="shared" si="3"/>
        <v>-</v>
      </c>
      <c r="I11" s="848">
        <f t="shared" si="3"/>
        <v>760</v>
      </c>
      <c r="J11" s="850">
        <f t="shared" si="3"/>
        <v>879.7</v>
      </c>
      <c r="K11" s="851">
        <f t="shared" si="4"/>
        <v>1.1575</v>
      </c>
      <c r="L11" s="851">
        <f t="shared" si="4"/>
        <v>1.1575</v>
      </c>
      <c r="M11" s="852">
        <f t="shared" si="5"/>
        <v>608</v>
      </c>
      <c r="N11" s="853">
        <f t="shared" si="6"/>
        <v>0.8</v>
      </c>
      <c r="O11" s="850">
        <f t="shared" si="7"/>
        <v>1639.7</v>
      </c>
      <c r="P11" s="854">
        <f t="shared" si="7"/>
        <v>1368</v>
      </c>
      <c r="Q11" s="850">
        <f t="shared" si="7"/>
        <v>1672</v>
      </c>
      <c r="R11" s="851">
        <f t="shared" si="8"/>
        <v>2.2000000000000002</v>
      </c>
      <c r="S11" s="851">
        <f t="shared" si="8"/>
        <v>2.2000000000000002</v>
      </c>
      <c r="T11" s="852">
        <f t="shared" si="9"/>
        <v>1672.0000000000002</v>
      </c>
      <c r="U11" s="853">
        <f t="shared" si="10"/>
        <v>2.2000000000000002</v>
      </c>
      <c r="V11" s="850">
        <f t="shared" si="11"/>
        <v>3311.7</v>
      </c>
      <c r="W11" s="855">
        <f t="shared" si="11"/>
        <v>3040</v>
      </c>
      <c r="X11" s="850">
        <f t="shared" si="12"/>
        <v>150</v>
      </c>
      <c r="Y11" s="855" t="str">
        <f t="shared" si="12"/>
        <v>-</v>
      </c>
      <c r="Z11" s="850">
        <f t="shared" si="13"/>
        <v>3461.7</v>
      </c>
      <c r="AA11" s="855">
        <f t="shared" si="13"/>
        <v>3190</v>
      </c>
      <c r="AB11" s="1144"/>
      <c r="AC11" s="1145">
        <f t="shared" si="14"/>
        <v>0.45</v>
      </c>
      <c r="AD11" s="866">
        <f t="shared" si="15"/>
        <v>0.55000000000000004</v>
      </c>
      <c r="AE11" s="1132" t="str">
        <f t="shared" si="16"/>
        <v>TSX:PAAS_2024_COO</v>
      </c>
      <c r="AF11" s="1132"/>
      <c r="AG11" s="1146" t="str" cm="1">
        <f t="array" ref="AG11">IFERROR(INDEX('Import 2024 Data'!$E$4:$I$71,_xlfn.XMATCH(COO!$AE11,'Import 2024 Data'!$C$4:$C$71),_xlfn.XMATCH(COO!AG$5,'Import 2024 Data'!$E$3:$I$3)),"-")</f>
        <v>Pan American Silver Corp.</v>
      </c>
      <c r="AH11" s="1146" t="str" cm="1">
        <f t="array" ref="AH11">IFERROR(INDEX('Import 2024 Data'!$E$4:$I$71,_xlfn.XMATCH(COO!$AE11,'Import 2024 Data'!$C$4:$C$71),_xlfn.XMATCH(COO!AH$5,'Import 2024 Data'!$E$3:$I$3)),"-")</f>
        <v>Steven Busby</v>
      </c>
      <c r="AI11" s="1147" t="str">
        <f>IF(ISNUMBER(_xlfn.XMATCH(C11,'Import 2024 Data'!$E$4:$E$113)),"N","Y")</f>
        <v>N</v>
      </c>
      <c r="AJ11" s="1147" t="str">
        <f t="shared" ref="AJ11:AJ21" si="20">IFERROR(IF(TRIM(LOWER(AH11))=TRIM(LOWER(F11)),"N","Y"),"-")</f>
        <v>Y</v>
      </c>
      <c r="AK11" s="1146" t="str" cm="1">
        <f t="array" ref="AK11">IFERROR(INDEX('Import 2024 Data'!$E$4:$I$113,_xlfn.XMATCH(COO!$AE11,'Import 2024 Data'!$C$4:$C$113),_xlfn.XMATCH(COO!AK$5,'Import 2024 Data'!$E$3:$I$3)),"-")</f>
        <v>COO</v>
      </c>
      <c r="AL11" s="1116" cm="1">
        <f t="array" ref="AL11">IFERROR(INDEX('Import 2024 Data'!$E$4:$I$113,_xlfn.XMATCH(COO!$AE11,'Import 2024 Data'!$C$4:$C$113),_xlfn.XMATCH(COO!AL$5,'Import 2024 Data'!$E$3:$I$3)),"-")</f>
        <v>3135</v>
      </c>
      <c r="AM11" s="1116" cm="1">
        <f t="array" ref="AM11">IFERROR(INDEX('Import 2024 Data'!$E$4:$I$113,_xlfn.XMATCH(COO!$AE11,'Import 2024 Data'!$C$4:$C$113),_xlfn.XMATCH(COO!AM$5,'Import 2024 Data'!$E$3:$I$3)),"-")</f>
        <v>3120</v>
      </c>
      <c r="AN11" s="1148" t="str">
        <f t="shared" si="17"/>
        <v>New Incumbent</v>
      </c>
      <c r="AO11" s="1152">
        <f t="shared" si="18"/>
        <v>3311.7</v>
      </c>
      <c r="AP11" s="1153">
        <f t="shared" si="19"/>
        <v>3040</v>
      </c>
      <c r="AQ11" s="1143"/>
      <c r="AR11" s="1143"/>
      <c r="AS11" s="1143"/>
      <c r="AT11" s="1143"/>
      <c r="AU11" s="1143"/>
      <c r="AV11" s="1143"/>
      <c r="AW11" s="1143"/>
      <c r="AX11" s="1143"/>
      <c r="AY11" s="1143"/>
      <c r="AZ11" s="1143"/>
      <c r="BA11" s="1143"/>
      <c r="BB11" s="1143"/>
      <c r="BC11" s="1143"/>
      <c r="BD11" s="1143"/>
      <c r="BE11" s="1143"/>
      <c r="BF11" s="1143"/>
      <c r="BG11" s="1143"/>
      <c r="BH11" s="1143"/>
      <c r="BI11" s="1143"/>
      <c r="BJ11" s="1143"/>
      <c r="BK11" s="1143"/>
      <c r="BL11" s="1143"/>
      <c r="BM11" s="1143"/>
    </row>
    <row r="12" spans="1:65" s="781" customFormat="1" ht="20.25" customHeight="1">
      <c r="A12" s="1143" t="str">
        <f t="shared" si="0"/>
        <v>TSX:CDE_2025_COO</v>
      </c>
      <c r="B12" s="1120" t="str">
        <f>'Peer Group'!A10</f>
        <v>TSX:CDE</v>
      </c>
      <c r="C12" s="847" t="str">
        <f t="shared" si="1"/>
        <v>Coeur Mining, Inc.</v>
      </c>
      <c r="D12" s="848" t="str">
        <f>_xll.ciqfunctions.udf.CIQ(B12, "IQ_MARKETCAP", $A$1,$A$2)</f>
        <v>#PEND</v>
      </c>
      <c r="E12" s="848" t="str">
        <f>_xll.ciqfunctions.udf.CIQ($B12, "IQ_TEV", $A$1,$A$2)</f>
        <v>#PEND</v>
      </c>
      <c r="F12" s="849" t="str">
        <f t="shared" si="2"/>
        <v>Michael Routledge</v>
      </c>
      <c r="G12" s="849" t="str">
        <f t="shared" si="2"/>
        <v>EVP &amp; COO</v>
      </c>
      <c r="H12" s="848" t="str">
        <f t="shared" si="3"/>
        <v>-</v>
      </c>
      <c r="I12" s="848">
        <f t="shared" si="3"/>
        <v>733.66125</v>
      </c>
      <c r="J12" s="850">
        <f t="shared" si="3"/>
        <v>964.03088250000008</v>
      </c>
      <c r="K12" s="851">
        <f t="shared" si="4"/>
        <v>1.3140000000000001</v>
      </c>
      <c r="L12" s="851">
        <f t="shared" si="4"/>
        <v>1.0693333333333332</v>
      </c>
      <c r="M12" s="852">
        <f t="shared" si="5"/>
        <v>733.66125</v>
      </c>
      <c r="N12" s="853">
        <f t="shared" si="6"/>
        <v>1</v>
      </c>
      <c r="O12" s="850">
        <f t="shared" si="7"/>
        <v>1697.6921325000001</v>
      </c>
      <c r="P12" s="854">
        <f t="shared" si="7"/>
        <v>1467.3225</v>
      </c>
      <c r="Q12" s="850">
        <f t="shared" si="7"/>
        <v>2485.4179281000002</v>
      </c>
      <c r="R12" s="851">
        <f t="shared" si="8"/>
        <v>3.3876914285714288</v>
      </c>
      <c r="S12" s="851">
        <f t="shared" si="8"/>
        <v>2.4672939682539679</v>
      </c>
      <c r="T12" s="852">
        <f t="shared" si="9"/>
        <v>1650.7378125</v>
      </c>
      <c r="U12" s="853">
        <f t="shared" si="10"/>
        <v>2.25</v>
      </c>
      <c r="V12" s="850">
        <f t="shared" si="11"/>
        <v>4183.1100606</v>
      </c>
      <c r="W12" s="855">
        <f t="shared" si="11"/>
        <v>3118.0603124999998</v>
      </c>
      <c r="X12" s="850">
        <f t="shared" si="12"/>
        <v>29.346450000000001</v>
      </c>
      <c r="Y12" s="855">
        <f t="shared" si="12"/>
        <v>71.757660050000013</v>
      </c>
      <c r="Z12" s="850">
        <f t="shared" si="13"/>
        <v>4284.2141706500006</v>
      </c>
      <c r="AA12" s="855">
        <f t="shared" si="13"/>
        <v>3219.1644225500004</v>
      </c>
      <c r="AB12" s="1144"/>
      <c r="AC12" s="1145">
        <f t="shared" si="14"/>
        <v>0.4705882352941177</v>
      </c>
      <c r="AD12" s="866">
        <f t="shared" si="15"/>
        <v>0.52941176470588236</v>
      </c>
      <c r="AE12" s="1132" t="str">
        <f t="shared" si="16"/>
        <v>TSX:CDE_2024_COO</v>
      </c>
      <c r="AF12" s="1132"/>
      <c r="AG12" s="1146" t="str" cm="1">
        <f t="array" ref="AG12">IFERROR(INDEX('Import 2024 Data'!$E$4:$I$71,_xlfn.XMATCH(COO!$AE12,'Import 2024 Data'!$C$4:$C$71),_xlfn.XMATCH(COO!AG$5,'Import 2024 Data'!$E$3:$I$3)),"-")</f>
        <v>-</v>
      </c>
      <c r="AH12" s="1146" t="str" cm="1">
        <f t="array" ref="AH12">IFERROR(INDEX('Import 2024 Data'!$E$4:$I$71,_xlfn.XMATCH(COO!$AE12,'Import 2024 Data'!$C$4:$C$71),_xlfn.XMATCH(COO!AH$5,'Import 2024 Data'!$E$3:$I$3)),"-")</f>
        <v>-</v>
      </c>
      <c r="AI12" s="1147" t="str">
        <f>IF(ISNUMBER(_xlfn.XMATCH(C12,'Import 2024 Data'!$E$4:$E$113)),"N","Y")</f>
        <v>Y</v>
      </c>
      <c r="AJ12" s="1147" t="str">
        <f t="shared" si="20"/>
        <v>Y</v>
      </c>
      <c r="AK12" s="1146" t="str" cm="1">
        <f t="array" ref="AK12">IFERROR(INDEX('Import 2024 Data'!$E$4:$I$113,_xlfn.XMATCH(COO!$AE12,'Import 2024 Data'!$C$4:$C$113),_xlfn.XMATCH(COO!AK$5,'Import 2024 Data'!$E$3:$I$3)),"-")</f>
        <v>-</v>
      </c>
      <c r="AL12" s="1116" t="str" cm="1">
        <f t="array" ref="AL12">IFERROR(INDEX('Import 2024 Data'!$E$4:$I$113,_xlfn.XMATCH(COO!$AE12,'Import 2024 Data'!$C$4:$C$113),_xlfn.XMATCH(COO!AL$5,'Import 2024 Data'!$E$3:$I$3)),"-")</f>
        <v>-</v>
      </c>
      <c r="AM12" s="1116" t="str" cm="1">
        <f t="array" ref="AM12">IFERROR(INDEX('Import 2024 Data'!$E$4:$I$113,_xlfn.XMATCH(COO!$AE12,'Import 2024 Data'!$C$4:$C$113),_xlfn.XMATCH(COO!AM$5,'Import 2024 Data'!$E$3:$I$3)),"-")</f>
        <v>-</v>
      </c>
      <c r="AN12" s="1148" t="str">
        <f t="shared" si="17"/>
        <v>New Incumbent</v>
      </c>
      <c r="AO12" s="1152" t="str">
        <f t="shared" si="18"/>
        <v>-</v>
      </c>
      <c r="AP12" s="1153" t="str">
        <f t="shared" si="19"/>
        <v>-</v>
      </c>
      <c r="AQ12" s="781">
        <f>W12/W24 -1</f>
        <v>9.0235252563031221E-2</v>
      </c>
      <c r="AT12" s="1143"/>
      <c r="AU12" s="1143"/>
      <c r="AV12" s="1143"/>
      <c r="AW12" s="1143"/>
      <c r="AX12" s="1143"/>
      <c r="AY12" s="1143"/>
      <c r="AZ12" s="1143"/>
      <c r="BA12" s="1143"/>
      <c r="BB12" s="1143"/>
      <c r="BC12" s="1143"/>
      <c r="BD12" s="1143"/>
      <c r="BE12" s="1143"/>
      <c r="BF12" s="1143"/>
      <c r="BG12" s="1143"/>
      <c r="BH12" s="1143"/>
      <c r="BI12" s="1143"/>
      <c r="BJ12" s="1143"/>
      <c r="BK12" s="1143"/>
      <c r="BL12" s="1143"/>
      <c r="BM12" s="1143"/>
    </row>
    <row r="13" spans="1:65" s="781" customFormat="1" ht="20.25" customHeight="1">
      <c r="A13" s="1143" t="str">
        <f t="shared" si="0"/>
        <v>TSX:AGI_2025_COO</v>
      </c>
      <c r="B13" s="1120" t="str">
        <f>'Peer Group'!A11</f>
        <v>TSX:AGI</v>
      </c>
      <c r="C13" s="847" t="str">
        <f t="shared" si="1"/>
        <v>Alamos Gold Inc.</v>
      </c>
      <c r="D13" s="848" t="str">
        <f>_xll.ciqfunctions.udf.CIQ(B13, "IQ_MARKETCAP", $A$1,$A$2)</f>
        <v>#PEND</v>
      </c>
      <c r="E13" s="848" t="str">
        <f>_xll.ciqfunctions.udf.CIQ($B13, "IQ_TEV", $A$1,$A$2)</f>
        <v>#PEND</v>
      </c>
      <c r="F13" s="849" t="str">
        <f t="shared" si="2"/>
        <v>Luc Guimond</v>
      </c>
      <c r="G13" s="849" t="str">
        <f t="shared" si="2"/>
        <v>COO</v>
      </c>
      <c r="H13" s="848" t="str">
        <f t="shared" si="3"/>
        <v>-</v>
      </c>
      <c r="I13" s="848">
        <f t="shared" si="3"/>
        <v>674.82161775000009</v>
      </c>
      <c r="J13" s="850">
        <f t="shared" si="3"/>
        <v>437.36831119999999</v>
      </c>
      <c r="K13" s="851">
        <f t="shared" si="4"/>
        <v>0.64812433344722964</v>
      </c>
      <c r="L13" s="851">
        <f t="shared" si="4"/>
        <v>0.88395107057534206</v>
      </c>
      <c r="M13" s="852">
        <f t="shared" si="5"/>
        <v>573.59837508750013</v>
      </c>
      <c r="N13" s="853">
        <f t="shared" si="6"/>
        <v>0.85</v>
      </c>
      <c r="O13" s="850">
        <f t="shared" si="7"/>
        <v>1112.1899289500002</v>
      </c>
      <c r="P13" s="854">
        <f t="shared" si="7"/>
        <v>1248.4199928375003</v>
      </c>
      <c r="Q13" s="850">
        <f t="shared" si="7"/>
        <v>1180.9388791500003</v>
      </c>
      <c r="R13" s="851">
        <f t="shared" si="8"/>
        <v>1.7500015531326687</v>
      </c>
      <c r="S13" s="851">
        <f t="shared" si="8"/>
        <v>1.6739857327888252</v>
      </c>
      <c r="T13" s="852">
        <f t="shared" si="9"/>
        <v>1129.6417602909746</v>
      </c>
      <c r="U13" s="853">
        <f t="shared" si="10"/>
        <v>1.6739857327888252</v>
      </c>
      <c r="V13" s="850">
        <f t="shared" si="11"/>
        <v>2293.1288081000002</v>
      </c>
      <c r="W13" s="855">
        <f t="shared" si="11"/>
        <v>2378.0617531284747</v>
      </c>
      <c r="X13" s="850">
        <f t="shared" si="12"/>
        <v>133.46346225000002</v>
      </c>
      <c r="Y13" s="855">
        <f t="shared" si="12"/>
        <v>40.489716299999998</v>
      </c>
      <c r="Z13" s="850">
        <f t="shared" si="13"/>
        <v>2467.0819866499996</v>
      </c>
      <c r="AA13" s="855">
        <f t="shared" si="13"/>
        <v>2552.0149316784746</v>
      </c>
      <c r="AB13" s="1144"/>
      <c r="AC13" s="1145">
        <f t="shared" si="14"/>
        <v>0.52497374855599654</v>
      </c>
      <c r="AD13" s="866">
        <f t="shared" si="15"/>
        <v>0.47502625144400351</v>
      </c>
      <c r="AE13" s="1132" t="str">
        <f t="shared" si="16"/>
        <v>TSX:AGI_2024_COO</v>
      </c>
      <c r="AF13" s="1132"/>
      <c r="AG13" s="1146" t="str" cm="1">
        <f t="array" ref="AG13">IFERROR(INDEX('Import 2024 Data'!$E$4:$I$71,_xlfn.XMATCH(COO!$AE13,'Import 2024 Data'!$C$4:$C$71),_xlfn.XMATCH(COO!AG$5,'Import 2024 Data'!$E$3:$I$3)),"-")</f>
        <v>Alamos Gold Inc.</v>
      </c>
      <c r="AH13" s="1146" t="str" cm="1">
        <f t="array" ref="AH13">IFERROR(INDEX('Import 2024 Data'!$E$4:$I$71,_xlfn.XMATCH(COO!$AE13,'Import 2024 Data'!$C$4:$C$71),_xlfn.XMATCH(COO!AH$5,'Import 2024 Data'!$E$3:$I$3)),"-")</f>
        <v>Luc Guimond</v>
      </c>
      <c r="AI13" s="1147" t="str">
        <f>IF(ISNUMBER(_xlfn.XMATCH(C13,'Import 2024 Data'!$E$4:$E$113)),"N","Y")</f>
        <v>N</v>
      </c>
      <c r="AJ13" s="1147" t="str">
        <f t="shared" si="20"/>
        <v>N</v>
      </c>
      <c r="AK13" s="1146" t="str" cm="1">
        <f t="array" ref="AK13">IFERROR(INDEX('Import 2024 Data'!$E$4:$I$113,_xlfn.XMATCH(COO!$AE13,'Import 2024 Data'!$C$4:$C$113),_xlfn.XMATCH(COO!AK$5,'Import 2024 Data'!$E$3:$I$3)),"-")</f>
        <v>COO</v>
      </c>
      <c r="AL13" s="1116" cm="1">
        <f t="array" ref="AL13">IFERROR(INDEX('Import 2024 Data'!$E$4:$I$113,_xlfn.XMATCH(COO!$AE13,'Import 2024 Data'!$C$4:$C$113),_xlfn.XMATCH(COO!AL$5,'Import 2024 Data'!$E$3:$I$3)),"-")</f>
        <v>2382.2867486199998</v>
      </c>
      <c r="AM13" s="1116" cm="1">
        <f t="array" ref="AM13">IFERROR(INDEX('Import 2024 Data'!$E$4:$I$113,_xlfn.XMATCH(COO!$AE13,'Import 2024 Data'!$C$4:$C$113),_xlfn.XMATCH(COO!AM$5,'Import 2024 Data'!$E$3:$I$3)),"-")</f>
        <v>2307.5</v>
      </c>
      <c r="AN13" s="1148">
        <f t="shared" si="17"/>
        <v>3.0579307964669455E-2</v>
      </c>
      <c r="AO13" s="1152">
        <f t="shared" si="18"/>
        <v>2293.1288081000002</v>
      </c>
      <c r="AP13" s="1153">
        <f t="shared" si="19"/>
        <v>2378.0617531284747</v>
      </c>
      <c r="AQ13" s="1143"/>
      <c r="AR13" s="1143"/>
      <c r="AS13" s="1143"/>
      <c r="AT13" s="1143"/>
      <c r="AU13" s="1143"/>
      <c r="AV13" s="1143"/>
      <c r="AW13" s="1143"/>
      <c r="AX13" s="1143"/>
      <c r="AY13" s="1143"/>
      <c r="AZ13" s="1143"/>
      <c r="BA13" s="1143"/>
      <c r="BB13" s="1143"/>
      <c r="BC13" s="1143"/>
      <c r="BD13" s="1143"/>
      <c r="BE13" s="1143"/>
      <c r="BF13" s="1143"/>
      <c r="BG13" s="1143"/>
      <c r="BH13" s="1143"/>
      <c r="BI13" s="1143"/>
      <c r="BJ13" s="1143"/>
      <c r="BK13" s="1143"/>
      <c r="BL13" s="1143"/>
      <c r="BM13" s="1143"/>
    </row>
    <row r="14" spans="1:65" s="781" customFormat="1" ht="20.25" customHeight="1">
      <c r="A14" s="1143" t="str">
        <f t="shared" si="0"/>
        <v>NYSE:HL_2025_COO</v>
      </c>
      <c r="B14" s="1120" t="str">
        <f>'Peer Group'!A12</f>
        <v>NYSE:HL</v>
      </c>
      <c r="C14" s="847" t="str">
        <f t="shared" si="1"/>
        <v>Hecla Mining Company</v>
      </c>
      <c r="D14" s="848" t="str">
        <f>_xll.ciqfunctions.udf.CIQ(B14, "IQ_MARKETCAP", $A$1,$A$2)</f>
        <v>#PEND</v>
      </c>
      <c r="E14" s="848" t="str">
        <f>_xll.ciqfunctions.udf.CIQ($B14, "IQ_TEV", $A$1,$A$2)</f>
        <v>#PEND</v>
      </c>
      <c r="F14" s="849" t="str">
        <f t="shared" si="2"/>
        <v>Carlos Aguiar</v>
      </c>
      <c r="G14" s="849" t="str">
        <f t="shared" si="2"/>
        <v>SVP &amp; COO</v>
      </c>
      <c r="H14" s="848">
        <f t="shared" si="3"/>
        <v>607.89075000000003</v>
      </c>
      <c r="I14" s="848">
        <f t="shared" si="3"/>
        <v>607.89075000000003</v>
      </c>
      <c r="J14" s="850">
        <f t="shared" si="3"/>
        <v>831.59454600000004</v>
      </c>
      <c r="K14" s="851">
        <f t="shared" si="4"/>
        <v>1.3680000000000001</v>
      </c>
      <c r="L14" s="851">
        <f t="shared" si="4"/>
        <v>1.3680000000000001</v>
      </c>
      <c r="M14" s="852">
        <f t="shared" si="5"/>
        <v>486.31260000000003</v>
      </c>
      <c r="N14" s="853">
        <f t="shared" si="6"/>
        <v>0.8</v>
      </c>
      <c r="O14" s="850">
        <f t="shared" si="7"/>
        <v>1439.4852960000001</v>
      </c>
      <c r="P14" s="854">
        <f t="shared" si="7"/>
        <v>1094.20335</v>
      </c>
      <c r="Q14" s="850">
        <f t="shared" si="7"/>
        <v>657.20955540000011</v>
      </c>
      <c r="R14" s="851">
        <f t="shared" si="8"/>
        <v>1.0811310344827587</v>
      </c>
      <c r="S14" s="851">
        <f t="shared" si="8"/>
        <v>1.0811310344827587</v>
      </c>
      <c r="T14" s="852">
        <f t="shared" si="9"/>
        <v>1063.8088124999999</v>
      </c>
      <c r="U14" s="853">
        <f t="shared" si="10"/>
        <v>1.75</v>
      </c>
      <c r="V14" s="850">
        <f t="shared" si="11"/>
        <v>2096.6948514000001</v>
      </c>
      <c r="W14" s="855">
        <f t="shared" si="11"/>
        <v>2158.0121625000002</v>
      </c>
      <c r="X14" s="850">
        <f t="shared" si="12"/>
        <v>204.28902315000002</v>
      </c>
      <c r="Y14" s="855">
        <f t="shared" si="12"/>
        <v>33.215989050000005</v>
      </c>
      <c r="Z14" s="850">
        <f t="shared" si="13"/>
        <v>2334.1998635999998</v>
      </c>
      <c r="AA14" s="855">
        <f t="shared" si="13"/>
        <v>2395.5171747000004</v>
      </c>
      <c r="AB14" s="1144"/>
      <c r="AC14" s="1145">
        <f t="shared" si="14"/>
        <v>0.50704225352112675</v>
      </c>
      <c r="AD14" s="866">
        <f t="shared" si="15"/>
        <v>0.49295774647887319</v>
      </c>
      <c r="AE14" s="1132" t="str">
        <f t="shared" si="16"/>
        <v>NYSE:HL_2024_COO</v>
      </c>
      <c r="AF14" s="1132"/>
      <c r="AG14" s="1146" t="str" cm="1">
        <f t="array" ref="AG14">IFERROR(INDEX('Import 2024 Data'!$E$4:$I$71,_xlfn.XMATCH(COO!$AE14,'Import 2024 Data'!$C$4:$C$71),_xlfn.XMATCH(COO!AG$5,'Import 2024 Data'!$E$3:$I$3)),"-")</f>
        <v>-</v>
      </c>
      <c r="AH14" s="1146" t="str" cm="1">
        <f t="array" ref="AH14">IFERROR(INDEX('Import 2024 Data'!$E$4:$I$71,_xlfn.XMATCH(COO!$AE14,'Import 2024 Data'!$C$4:$C$71),_xlfn.XMATCH(COO!AH$5,'Import 2024 Data'!$E$3:$I$3)),"-")</f>
        <v>-</v>
      </c>
      <c r="AI14" s="1147" t="str">
        <f>IF(ISNUMBER(_xlfn.XMATCH(C14,'Import 2024 Data'!$E$4:$E$113)),"N","Y")</f>
        <v>N</v>
      </c>
      <c r="AJ14" s="1147" t="str">
        <f t="shared" si="20"/>
        <v>Y</v>
      </c>
      <c r="AK14" s="1146" t="str" cm="1">
        <f t="array" ref="AK14">IFERROR(INDEX('Import 2024 Data'!$E$4:$I$113,_xlfn.XMATCH(COO!$AE14,'Import 2024 Data'!$C$4:$C$113),_xlfn.XMATCH(COO!AK$5,'Import 2024 Data'!$E$3:$I$3)),"-")</f>
        <v>-</v>
      </c>
      <c r="AL14" s="1116" t="str" cm="1">
        <f t="array" ref="AL14">IFERROR(INDEX('Import 2024 Data'!$E$4:$I$113,_xlfn.XMATCH(COO!$AE14,'Import 2024 Data'!$C$4:$C$113),_xlfn.XMATCH(COO!AL$5,'Import 2024 Data'!$E$3:$I$3)),"-")</f>
        <v>-</v>
      </c>
      <c r="AM14" s="1116" t="str" cm="1">
        <f t="array" ref="AM14">IFERROR(INDEX('Import 2024 Data'!$E$4:$I$113,_xlfn.XMATCH(COO!$AE14,'Import 2024 Data'!$C$4:$C$113),_xlfn.XMATCH(COO!AM$5,'Import 2024 Data'!$E$3:$I$3)),"-")</f>
        <v>-</v>
      </c>
      <c r="AN14" s="1148" t="str">
        <f t="shared" si="17"/>
        <v>New Incumbent</v>
      </c>
      <c r="AO14" s="1152">
        <f t="shared" si="18"/>
        <v>2096.6948514000001</v>
      </c>
      <c r="AP14" s="1153">
        <f t="shared" si="19"/>
        <v>2158.0121625000002</v>
      </c>
      <c r="AQ14" s="1143"/>
      <c r="AR14" s="1143"/>
      <c r="AS14" s="1143"/>
      <c r="AT14" s="1143"/>
      <c r="AU14" s="1143"/>
      <c r="AV14" s="1143"/>
      <c r="AW14" s="1143"/>
      <c r="AX14" s="1143"/>
      <c r="AY14" s="1143"/>
      <c r="AZ14" s="1143"/>
      <c r="BA14" s="1143"/>
      <c r="BB14" s="1143"/>
      <c r="BC14" s="1143"/>
      <c r="BD14" s="1143"/>
      <c r="BE14" s="1143"/>
      <c r="BF14" s="1143"/>
      <c r="BG14" s="1143"/>
      <c r="BH14" s="1143"/>
      <c r="BI14" s="1143"/>
      <c r="BJ14" s="1143"/>
      <c r="BK14" s="1143"/>
      <c r="BL14" s="1143"/>
      <c r="BM14" s="1143"/>
    </row>
    <row r="15" spans="1:65" s="781" customFormat="1" ht="20.25" customHeight="1">
      <c r="A15" s="1143" t="str">
        <f t="shared" si="0"/>
        <v>TSX:IMG_2025_COO</v>
      </c>
      <c r="B15" s="1120" t="str">
        <f>'Peer Group'!A13</f>
        <v>TSX:IMG</v>
      </c>
      <c r="C15" s="847" t="str">
        <f t="shared" si="1"/>
        <v>IAMGOLD Corporation</v>
      </c>
      <c r="D15" s="848" t="str">
        <f>_xll.ciqfunctions.udf.CIQ(B15, "IQ_MARKETCAP", $A$1,$A$2)</f>
        <v>#PEND</v>
      </c>
      <c r="E15" s="848" t="str">
        <f>_xll.ciqfunctions.udf.CIQ($B15, "IQ_TEV", $A$1,$A$2)</f>
        <v>#PEND</v>
      </c>
      <c r="F15" s="849" t="str">
        <f t="shared" si="2"/>
        <v>Bruno Lemelin</v>
      </c>
      <c r="G15" s="849" t="str">
        <f t="shared" si="2"/>
        <v>COO</v>
      </c>
      <c r="H15" s="848" t="str">
        <f t="shared" si="3"/>
        <v>-</v>
      </c>
      <c r="I15" s="848">
        <f t="shared" si="3"/>
        <v>630.10500000000002</v>
      </c>
      <c r="J15" s="850">
        <f t="shared" si="3"/>
        <v>556.91399999999999</v>
      </c>
      <c r="K15" s="851">
        <f t="shared" si="4"/>
        <v>0.88384316899564364</v>
      </c>
      <c r="L15" s="851">
        <f t="shared" si="4"/>
        <v>0.9231615898283122</v>
      </c>
      <c r="M15" s="852">
        <f t="shared" si="5"/>
        <v>504.084</v>
      </c>
      <c r="N15" s="853">
        <f t="shared" si="6"/>
        <v>0.8</v>
      </c>
      <c r="O15" s="850">
        <f t="shared" si="7"/>
        <v>1187.019</v>
      </c>
      <c r="P15" s="854">
        <f t="shared" si="7"/>
        <v>1134.1890000000001</v>
      </c>
      <c r="Q15" s="850">
        <f t="shared" si="7"/>
        <v>1151.8800000000001</v>
      </c>
      <c r="R15" s="851">
        <f t="shared" si="8"/>
        <v>1.8280762730021187</v>
      </c>
      <c r="S15" s="851">
        <f t="shared" si="8"/>
        <v>1.7022309041899588</v>
      </c>
      <c r="T15" s="852">
        <f t="shared" si="9"/>
        <v>1071.1785</v>
      </c>
      <c r="U15" s="853">
        <f t="shared" si="10"/>
        <v>1.7</v>
      </c>
      <c r="V15" s="850">
        <f t="shared" si="11"/>
        <v>2338.8989999999999</v>
      </c>
      <c r="W15" s="855">
        <f t="shared" si="11"/>
        <v>2205.3674999999998</v>
      </c>
      <c r="X15" s="850">
        <f t="shared" si="12"/>
        <v>31.516999999999999</v>
      </c>
      <c r="Y15" s="855">
        <f t="shared" si="12"/>
        <v>75.343000000000004</v>
      </c>
      <c r="Z15" s="850">
        <f t="shared" si="13"/>
        <v>2445.759</v>
      </c>
      <c r="AA15" s="855">
        <f t="shared" si="13"/>
        <v>2312.2275</v>
      </c>
      <c r="AB15" s="1144"/>
      <c r="AC15" s="1145">
        <f t="shared" si="14"/>
        <v>0.51428571428571435</v>
      </c>
      <c r="AD15" s="866">
        <f t="shared" si="15"/>
        <v>0.48571428571428577</v>
      </c>
      <c r="AE15" s="1132" t="str">
        <f t="shared" si="16"/>
        <v>TSX:IMG_2024_COO</v>
      </c>
      <c r="AF15" s="1132"/>
      <c r="AG15" s="1146" t="str" cm="1">
        <f t="array" ref="AG15">IFERROR(INDEX('Import 2024 Data'!$E$4:$I$71,_xlfn.XMATCH(COO!$AE15,'Import 2024 Data'!$C$4:$C$71),_xlfn.XMATCH(COO!AG$5,'Import 2024 Data'!$E$3:$I$3)),"-")</f>
        <v>IAMGOLD Corporation</v>
      </c>
      <c r="AH15" s="1146" t="str" cm="1">
        <f t="array" ref="AH15">IFERROR(INDEX('Import 2024 Data'!$E$4:$I$71,_xlfn.XMATCH(COO!$AE15,'Import 2024 Data'!$C$4:$C$71),_xlfn.XMATCH(COO!AH$5,'Import 2024 Data'!$E$3:$I$3)),"-")</f>
        <v>Bruno Lemelin</v>
      </c>
      <c r="AI15" s="1147" t="str">
        <f>IF(ISNUMBER(_xlfn.XMATCH(C15,'Import 2024 Data'!$E$4:$E$113)),"N","Y")</f>
        <v>N</v>
      </c>
      <c r="AJ15" s="1147" t="str">
        <f t="shared" si="20"/>
        <v>N</v>
      </c>
      <c r="AK15" s="1146" t="str" cm="1">
        <f t="array" ref="AK15">IFERROR(INDEX('Import 2024 Data'!$E$4:$I$113,_xlfn.XMATCH(COO!$AE15,'Import 2024 Data'!$C$4:$C$113),_xlfn.XMATCH(COO!AK$5,'Import 2024 Data'!$E$3:$I$3)),"-")</f>
        <v>COO</v>
      </c>
      <c r="AL15" s="1107" cm="1">
        <f t="array" ref="AL15">IFERROR(INDEX('Import 2024 Data'!$E$4:$I$113,_xlfn.XMATCH(COO!$AE15,'Import 2024 Data'!$C$4:$C$113),_xlfn.XMATCH(COO!AL$5,'Import 2024 Data'!$E$3:$I$3)),"-")</f>
        <v>2124.4520000000002</v>
      </c>
      <c r="AM15" s="1107" cm="1">
        <f t="array" ref="AM15">IFERROR(INDEX('Import 2024 Data'!$E$4:$I$113,_xlfn.XMATCH(COO!$AE15,'Import 2024 Data'!$C$4:$C$113),_xlfn.XMATCH(COO!AM$5,'Import 2024 Data'!$E$3:$I$3)),"-")</f>
        <v>2041.088</v>
      </c>
      <c r="AN15" s="1148">
        <f t="shared" si="17"/>
        <v>8.0486240671641784E-2</v>
      </c>
      <c r="AO15" s="1152">
        <f t="shared" si="18"/>
        <v>2338.8989999999999</v>
      </c>
      <c r="AP15" s="1153">
        <f t="shared" si="19"/>
        <v>2205.3674999999998</v>
      </c>
      <c r="AQ15" s="1143"/>
      <c r="AR15" s="1143"/>
      <c r="AS15" s="1143"/>
      <c r="AT15" s="1143"/>
      <c r="AU15" s="1143"/>
      <c r="AV15" s="1143"/>
      <c r="AW15" s="1143"/>
      <c r="AX15" s="1143"/>
      <c r="AY15" s="1143"/>
      <c r="AZ15" s="1143"/>
      <c r="BA15" s="1143"/>
      <c r="BB15" s="1143"/>
      <c r="BC15" s="1143"/>
      <c r="BD15" s="1143"/>
      <c r="BE15" s="1143"/>
      <c r="BF15" s="1143"/>
      <c r="BG15" s="1143"/>
      <c r="BH15" s="1143"/>
      <c r="BI15" s="1143"/>
      <c r="BJ15" s="1143"/>
      <c r="BK15" s="1143"/>
      <c r="BL15" s="1143"/>
      <c r="BM15" s="1143"/>
    </row>
    <row r="16" spans="1:65" s="781" customFormat="1" ht="20.25" customHeight="1">
      <c r="A16" s="1143" t="str">
        <f t="shared" si="0"/>
        <v>TSX:CS_2025_COO</v>
      </c>
      <c r="B16" s="1120" t="str">
        <f>'Peer Group'!A14</f>
        <v>TSX:CS</v>
      </c>
      <c r="C16" s="847" t="str">
        <f t="shared" si="1"/>
        <v>Capstone Copper Corp.</v>
      </c>
      <c r="D16" s="848" t="str">
        <f>_xll.ciqfunctions.udf.CIQ(B16, "IQ_MARKETCAP", $A$1,$A$2)</f>
        <v>#PEND</v>
      </c>
      <c r="E16" s="848" t="str">
        <f>_xll.ciqfunctions.udf.CIQ($B16, "IQ_TEV", $A$1,$A$2)</f>
        <v>#PEND</v>
      </c>
      <c r="F16" s="849" t="str">
        <f t="shared" si="2"/>
        <v>James Whittaker</v>
      </c>
      <c r="G16" s="849" t="str">
        <f t="shared" si="2"/>
        <v>Senior VP &amp; COO</v>
      </c>
      <c r="H16" s="848" t="str">
        <f t="shared" si="3"/>
        <v>-</v>
      </c>
      <c r="I16" s="848">
        <f t="shared" si="3"/>
        <v>686.20500000000004</v>
      </c>
      <c r="J16" s="850">
        <f t="shared" si="3"/>
        <v>729.29899999999998</v>
      </c>
      <c r="K16" s="851">
        <f t="shared" si="4"/>
        <v>1.06280047507669</v>
      </c>
      <c r="L16" s="851">
        <f t="shared" si="4"/>
        <v>1.06280047507669</v>
      </c>
      <c r="M16" s="852">
        <f t="shared" si="5"/>
        <v>617.58450000000005</v>
      </c>
      <c r="N16" s="853">
        <f t="shared" si="6"/>
        <v>0.9</v>
      </c>
      <c r="O16" s="850">
        <f t="shared" si="7"/>
        <v>1415.5039999999999</v>
      </c>
      <c r="P16" s="854">
        <f t="shared" si="7"/>
        <v>1303.7895000000001</v>
      </c>
      <c r="Q16" s="850">
        <f t="shared" si="7"/>
        <v>1166.5453752669998</v>
      </c>
      <c r="R16" s="851">
        <f t="shared" si="8"/>
        <v>1.6999954463564095</v>
      </c>
      <c r="S16" s="851">
        <f t="shared" si="8"/>
        <v>1.6999954463564095</v>
      </c>
      <c r="T16" s="852">
        <f t="shared" si="9"/>
        <v>1166.5485000000001</v>
      </c>
      <c r="U16" s="853">
        <f t="shared" si="10"/>
        <v>1.7</v>
      </c>
      <c r="V16" s="850">
        <f t="shared" si="11"/>
        <v>2582.049375267</v>
      </c>
      <c r="W16" s="855">
        <f t="shared" si="11"/>
        <v>2470.3380000000002</v>
      </c>
      <c r="X16" s="850" t="str">
        <f t="shared" si="12"/>
        <v>-</v>
      </c>
      <c r="Y16" s="855">
        <f t="shared" si="12"/>
        <v>8.3079999999999998</v>
      </c>
      <c r="Z16" s="850">
        <f t="shared" si="13"/>
        <v>2590.357375267</v>
      </c>
      <c r="AA16" s="855">
        <f t="shared" si="13"/>
        <v>2478.6460000000002</v>
      </c>
      <c r="AB16" s="1144"/>
      <c r="AC16" s="1145">
        <f t="shared" si="14"/>
        <v>0.52777777777777779</v>
      </c>
      <c r="AD16" s="866">
        <f t="shared" si="15"/>
        <v>0.47222222222222221</v>
      </c>
      <c r="AE16" s="1132" t="str">
        <f t="shared" si="16"/>
        <v>TSX:CS_2024_COO</v>
      </c>
      <c r="AF16" s="1132"/>
      <c r="AG16" s="1146" t="str" cm="1">
        <f t="array" ref="AG16">IFERROR(INDEX('Import 2024 Data'!$E$4:$I$71,_xlfn.XMATCH(COO!$AE16,'Import 2024 Data'!$C$4:$C$71),_xlfn.XMATCH(COO!AG$5,'Import 2024 Data'!$E$3:$I$3)),"-")</f>
        <v>Capstone Copper Corp.</v>
      </c>
      <c r="AH16" s="1146" t="str" cm="1">
        <f t="array" ref="AH16">IFERROR(INDEX('Import 2024 Data'!$E$4:$I$71,_xlfn.XMATCH(COO!$AE16,'Import 2024 Data'!$C$4:$C$71),_xlfn.XMATCH(COO!AH$5,'Import 2024 Data'!$E$3:$I$3)),"-")</f>
        <v>Cashel Meagher</v>
      </c>
      <c r="AI16" s="1147" t="str">
        <f>IF(ISNUMBER(_xlfn.XMATCH(C16,'Import 2024 Data'!$E$4:$E$113)),"N","Y")</f>
        <v>N</v>
      </c>
      <c r="AJ16" s="1147" t="str">
        <f t="shared" si="20"/>
        <v>Y</v>
      </c>
      <c r="AK16" s="1146" t="str" cm="1">
        <f t="array" ref="AK16">IFERROR(INDEX('Import 2024 Data'!$E$4:$I$113,_xlfn.XMATCH(COO!$AE16,'Import 2024 Data'!$C$4:$C$113),_xlfn.XMATCH(COO!AK$5,'Import 2024 Data'!$E$3:$I$3)),"-")</f>
        <v>President &amp; COO</v>
      </c>
      <c r="AL16" s="1116" cm="1">
        <f t="array" ref="AL16">IFERROR(INDEX('Import 2024 Data'!$E$4:$I$113,_xlfn.XMATCH(COO!$AE16,'Import 2024 Data'!$C$4:$C$113),_xlfn.XMATCH(COO!AL$5,'Import 2024 Data'!$E$3:$I$3)),"-")</f>
        <v>2375.8020000000001</v>
      </c>
      <c r="AM16" s="1116" cm="1">
        <f t="array" ref="AM16">IFERROR(INDEX('Import 2024 Data'!$E$4:$I$113,_xlfn.XMATCH(COO!$AE16,'Import 2024 Data'!$C$4:$C$113),_xlfn.XMATCH(COO!AM$5,'Import 2024 Data'!$E$3:$I$3)),"-")</f>
        <v>2433.6</v>
      </c>
      <c r="AN16" s="1148" t="str">
        <f t="shared" si="17"/>
        <v>New Incumbent</v>
      </c>
      <c r="AO16" s="1152">
        <f t="shared" si="18"/>
        <v>2582.049375267</v>
      </c>
      <c r="AP16" s="1153">
        <f t="shared" si="19"/>
        <v>2470.3380000000002</v>
      </c>
      <c r="AQ16" s="1143"/>
      <c r="AR16" s="1143"/>
      <c r="AS16" s="1143"/>
      <c r="AT16" s="1143"/>
      <c r="AU16" s="1143"/>
      <c r="AV16" s="1143"/>
      <c r="AW16" s="1143"/>
      <c r="AX16" s="1143"/>
      <c r="AY16" s="1143"/>
      <c r="AZ16" s="1143"/>
      <c r="BA16" s="1143"/>
      <c r="BB16" s="1143"/>
      <c r="BC16" s="1143"/>
      <c r="BD16" s="1143"/>
      <c r="BE16" s="1143"/>
      <c r="BF16" s="1143"/>
      <c r="BG16" s="1143"/>
      <c r="BH16" s="1143"/>
      <c r="BI16" s="1143"/>
      <c r="BJ16" s="1143"/>
      <c r="BK16" s="1143"/>
      <c r="BL16" s="1143"/>
      <c r="BM16" s="1143"/>
    </row>
    <row r="17" spans="1:65" s="781" customFormat="1" ht="20.25" customHeight="1">
      <c r="A17" s="1143" t="str">
        <f t="shared" si="0"/>
        <v>TSX:EQX_2025_COO</v>
      </c>
      <c r="B17" s="1120" t="str">
        <f>'Peer Group'!A16</f>
        <v>TSX:EQX</v>
      </c>
      <c r="C17" s="847" t="str">
        <f t="shared" si="1"/>
        <v>Equinox Gold Corp.</v>
      </c>
      <c r="D17" s="848" t="str">
        <f>_xll.ciqfunctions.udf.CIQ(B17, "IQ_MARKETCAP", $A$1,$A$2)</f>
        <v>#PEND</v>
      </c>
      <c r="E17" s="848" t="str">
        <f>_xll.ciqfunctions.udf.CIQ($B17, "IQ_TEV", $A$1,$A$2)</f>
        <v>#PEND</v>
      </c>
      <c r="F17" s="849" t="str">
        <f t="shared" si="2"/>
        <v>David Schummer</v>
      </c>
      <c r="G17" s="849" t="str">
        <f t="shared" si="2"/>
        <v>COO</v>
      </c>
      <c r="H17" s="848" t="str">
        <f t="shared" si="3"/>
        <v>-</v>
      </c>
      <c r="I17" s="848">
        <f t="shared" si="3"/>
        <v>500</v>
      </c>
      <c r="J17" s="850">
        <f t="shared" si="3"/>
        <v>622.95899999999995</v>
      </c>
      <c r="K17" s="851">
        <f t="shared" si="4"/>
        <v>1.2459180000000001</v>
      </c>
      <c r="L17" s="851">
        <f t="shared" si="4"/>
        <v>1.2459180000000001</v>
      </c>
      <c r="M17" s="852">
        <f t="shared" si="5"/>
        <v>450</v>
      </c>
      <c r="N17" s="853">
        <f t="shared" si="6"/>
        <v>0.9</v>
      </c>
      <c r="O17" s="850">
        <f t="shared" si="7"/>
        <v>1122.9590000000001</v>
      </c>
      <c r="P17" s="854">
        <f t="shared" si="7"/>
        <v>950</v>
      </c>
      <c r="Q17" s="850">
        <f t="shared" si="7"/>
        <v>439.32799999999997</v>
      </c>
      <c r="R17" s="851">
        <f t="shared" si="8"/>
        <v>0.87865599999999999</v>
      </c>
      <c r="S17" s="851">
        <f t="shared" si="8"/>
        <v>0.87865599999999999</v>
      </c>
      <c r="T17" s="852">
        <f t="shared" si="9"/>
        <v>439.32799999999997</v>
      </c>
      <c r="U17" s="853">
        <f t="shared" si="10"/>
        <v>0.87865599999999999</v>
      </c>
      <c r="V17" s="850">
        <f t="shared" si="11"/>
        <v>1562.287</v>
      </c>
      <c r="W17" s="855" t="str">
        <f t="shared" si="11"/>
        <v>-</v>
      </c>
      <c r="X17" s="850" t="str">
        <f t="shared" si="12"/>
        <v>-</v>
      </c>
      <c r="Y17" s="855">
        <f t="shared" si="12"/>
        <v>12.747999999999999</v>
      </c>
      <c r="Z17" s="850">
        <f t="shared" si="13"/>
        <v>1575.0350000000001</v>
      </c>
      <c r="AA17" s="855" t="str">
        <f t="shared" si="13"/>
        <v>-</v>
      </c>
      <c r="AB17" s="1144"/>
      <c r="AC17" s="1145" t="str">
        <f t="shared" si="14"/>
        <v>-</v>
      </c>
      <c r="AD17" s="866" t="str">
        <f t="shared" si="15"/>
        <v>-</v>
      </c>
      <c r="AE17" s="1132" t="str">
        <f t="shared" si="16"/>
        <v>TSX:EQX_2024_COO</v>
      </c>
      <c r="AF17" s="1132"/>
      <c r="AG17" s="1146" t="str" cm="1">
        <f t="array" ref="AG17">IFERROR(INDEX('Import 2024 Data'!$E$4:$I$71,_xlfn.XMATCH(COO!$AE17,'Import 2024 Data'!$C$4:$C$71),_xlfn.XMATCH(COO!AG$5,'Import 2024 Data'!$E$3:$I$3)),"-")</f>
        <v>-</v>
      </c>
      <c r="AH17" s="1146" t="str" cm="1">
        <f t="array" ref="AH17">IFERROR(INDEX('Import 2024 Data'!$E$4:$I$71,_xlfn.XMATCH(COO!$AE17,'Import 2024 Data'!$C$4:$C$71),_xlfn.XMATCH(COO!AH$5,'Import 2024 Data'!$E$3:$I$3)),"-")</f>
        <v>-</v>
      </c>
      <c r="AI17" s="1147" t="str">
        <f>IF(ISNUMBER(_xlfn.XMATCH(C17,'Import 2024 Data'!$E$4:$E$113)),"N","Y")</f>
        <v>Y</v>
      </c>
      <c r="AJ17" s="1147" t="str">
        <f t="shared" si="20"/>
        <v>Y</v>
      </c>
      <c r="AK17" s="1146" t="str" cm="1">
        <f t="array" ref="AK17">IFERROR(INDEX('Import 2024 Data'!$E$4:$I$113,_xlfn.XMATCH(COO!$AE17,'Import 2024 Data'!$C$4:$C$113),_xlfn.XMATCH(COO!AK$5,'Import 2024 Data'!$E$3:$I$3)),"-")</f>
        <v>-</v>
      </c>
      <c r="AL17" s="1116" t="str" cm="1">
        <f t="array" ref="AL17">IFERROR(INDEX('Import 2024 Data'!$E$4:$I$113,_xlfn.XMATCH(COO!$AE17,'Import 2024 Data'!$C$4:$C$113),_xlfn.XMATCH(COO!AL$5,'Import 2024 Data'!$E$3:$I$3)),"-")</f>
        <v>-</v>
      </c>
      <c r="AM17" s="1116" t="str" cm="1">
        <f t="array" ref="AM17">IFERROR(INDEX('Import 2024 Data'!$E$4:$I$113,_xlfn.XMATCH(COO!$AE17,'Import 2024 Data'!$C$4:$C$113),_xlfn.XMATCH(COO!AM$5,'Import 2024 Data'!$E$3:$I$3)),"-")</f>
        <v>-</v>
      </c>
      <c r="AN17" s="1148" t="str">
        <f t="shared" si="17"/>
        <v>New Incumbent</v>
      </c>
      <c r="AO17" s="1152" t="str">
        <f t="shared" si="18"/>
        <v>-</v>
      </c>
      <c r="AP17" s="1153" t="str">
        <f t="shared" si="19"/>
        <v>-</v>
      </c>
      <c r="AQ17" s="1143"/>
      <c r="AR17" s="1143"/>
      <c r="AS17" s="1143"/>
      <c r="AT17" s="1143"/>
      <c r="AU17" s="1143"/>
      <c r="AV17" s="1143"/>
      <c r="AW17" s="1143"/>
      <c r="AX17" s="1143"/>
      <c r="AY17" s="1143"/>
      <c r="AZ17" s="1143"/>
      <c r="BA17" s="1143"/>
      <c r="BB17" s="1143"/>
      <c r="BC17" s="1143"/>
      <c r="BD17" s="1143"/>
      <c r="BE17" s="1143"/>
      <c r="BF17" s="1143"/>
      <c r="BG17" s="1143"/>
      <c r="BH17" s="1143"/>
      <c r="BI17" s="1143"/>
      <c r="BJ17" s="1143"/>
      <c r="BK17" s="1143"/>
      <c r="BL17" s="1143"/>
      <c r="BM17" s="1143"/>
    </row>
    <row r="18" spans="1:65" s="781" customFormat="1" ht="20.25" customHeight="1">
      <c r="A18" s="1143" t="str">
        <f t="shared" si="0"/>
        <v>TSX:SSRM_2025_COO</v>
      </c>
      <c r="B18" s="1120" t="str">
        <f>'Peer Group'!A17</f>
        <v>TSX:SSRM</v>
      </c>
      <c r="C18" s="847" t="str">
        <f t="shared" si="1"/>
        <v>SSR Mining Inc.</v>
      </c>
      <c r="D18" s="848" t="str">
        <f>_xll.ciqfunctions.udf.CIQ(B18, "IQ_MARKETCAP", $A$1,$A$2)</f>
        <v>#PEND</v>
      </c>
      <c r="E18" s="848" t="str">
        <f>_xll.ciqfunctions.udf.CIQ($B18, "IQ_TEV", $A$1,$A$2)</f>
        <v>#PEND</v>
      </c>
      <c r="F18" s="849" t="str">
        <f t="shared" si="2"/>
        <v>Bill MacNevin</v>
      </c>
      <c r="G18" s="849" t="str">
        <f t="shared" si="2"/>
        <v>Executive VP, Operations &amp; Sustainability</v>
      </c>
      <c r="H18" s="848" t="str">
        <f t="shared" si="3"/>
        <v>-</v>
      </c>
      <c r="I18" s="848">
        <f t="shared" si="3"/>
        <v>838.47</v>
      </c>
      <c r="J18" s="850">
        <f t="shared" si="3"/>
        <v>768.65898779999998</v>
      </c>
      <c r="K18" s="851">
        <f t="shared" si="4"/>
        <v>0.91674</v>
      </c>
      <c r="L18" s="851">
        <f t="shared" si="4"/>
        <v>0.74576000000000009</v>
      </c>
      <c r="M18" s="852">
        <f t="shared" si="5"/>
        <v>628.85249999999996</v>
      </c>
      <c r="N18" s="853">
        <f t="shared" si="6"/>
        <v>0.75</v>
      </c>
      <c r="O18" s="850">
        <f t="shared" si="7"/>
        <v>1607.1289878</v>
      </c>
      <c r="P18" s="854">
        <f t="shared" si="7"/>
        <v>1467.3225</v>
      </c>
      <c r="Q18" s="850">
        <f t="shared" si="7"/>
        <v>1467.3225</v>
      </c>
      <c r="R18" s="851">
        <f t="shared" si="8"/>
        <v>1.75</v>
      </c>
      <c r="S18" s="851">
        <f t="shared" si="8"/>
        <v>1.6666666666666667</v>
      </c>
      <c r="T18" s="852">
        <f t="shared" si="9"/>
        <v>1467.3225</v>
      </c>
      <c r="U18" s="853">
        <f t="shared" si="10"/>
        <v>1.75</v>
      </c>
      <c r="V18" s="850">
        <f t="shared" si="11"/>
        <v>3074.4514878000005</v>
      </c>
      <c r="W18" s="855">
        <f t="shared" si="11"/>
        <v>2934.645</v>
      </c>
      <c r="X18" s="850">
        <f t="shared" si="12"/>
        <v>39.128600000000006</v>
      </c>
      <c r="Y18" s="855">
        <f t="shared" si="12"/>
        <v>47.4601969</v>
      </c>
      <c r="Z18" s="850">
        <f t="shared" si="13"/>
        <v>3161.0402847</v>
      </c>
      <c r="AA18" s="855">
        <f t="shared" si="13"/>
        <v>3021.2337969</v>
      </c>
      <c r="AB18" s="1144"/>
      <c r="AC18" s="1145">
        <f t="shared" si="14"/>
        <v>0.5</v>
      </c>
      <c r="AD18" s="866">
        <f t="shared" si="15"/>
        <v>0.5</v>
      </c>
      <c r="AE18" s="1132" t="str">
        <f t="shared" si="16"/>
        <v>TSX:SSRM_2024_COO</v>
      </c>
      <c r="AF18" s="1132"/>
      <c r="AG18" s="1146" t="str" cm="1">
        <f t="array" ref="AG18">IFERROR(INDEX('Import 2024 Data'!$E$4:$I$71,_xlfn.XMATCH(COO!$AE18,'Import 2024 Data'!$C$4:$C$71),_xlfn.XMATCH(COO!AG$5,'Import 2024 Data'!$E$3:$I$3)),"-")</f>
        <v>SSR Mining Inc.</v>
      </c>
      <c r="AH18" s="1146" t="str" cm="1">
        <f t="array" ref="AH18">IFERROR(INDEX('Import 2024 Data'!$E$4:$I$71,_xlfn.XMATCH(COO!$AE18,'Import 2024 Data'!$C$4:$C$71),_xlfn.XMATCH(COO!AH$5,'Import 2024 Data'!$E$3:$I$3)),"-")</f>
        <v>Bill MacNevin</v>
      </c>
      <c r="AI18" s="1147" t="str">
        <f>IF(ISNUMBER(_xlfn.XMATCH(C18,'Import 2024 Data'!$E$4:$E$113)),"N","Y")</f>
        <v>N</v>
      </c>
      <c r="AJ18" s="1147" t="str">
        <f t="shared" si="20"/>
        <v>N</v>
      </c>
      <c r="AK18" s="1146" t="str" cm="1">
        <f t="array" ref="AK18">IFERROR(INDEX('Import 2024 Data'!$E$4:$I$113,_xlfn.XMATCH(COO!$AE18,'Import 2024 Data'!$C$4:$C$113),_xlfn.XMATCH(COO!AK$5,'Import 2024 Data'!$E$3:$I$3)),"-")</f>
        <v>EVP, Operations and Sustainability</v>
      </c>
      <c r="AL18" s="1116" cm="1">
        <f t="array" ref="AL18">IFERROR(INDEX('Import 2024 Data'!$E$4:$I$113,_xlfn.XMATCH(COO!$AE18,'Import 2024 Data'!$C$4:$C$113),_xlfn.XMATCH(COO!AL$5,'Import 2024 Data'!$E$3:$I$3)),"-")</f>
        <v>2821.8651150000001</v>
      </c>
      <c r="AM18" s="1116" cm="1">
        <f t="array" ref="AM18">IFERROR(INDEX('Import 2024 Data'!$E$4:$I$113,_xlfn.XMATCH(COO!$AE18,'Import 2024 Data'!$C$4:$C$113),_xlfn.XMATCH(COO!AM$5,'Import 2024 Data'!$E$3:$I$3)),"-")</f>
        <v>2877.3570000000004</v>
      </c>
      <c r="AN18" s="1148">
        <f t="shared" si="17"/>
        <v>1.9909938182853137E-2</v>
      </c>
      <c r="AO18" s="1152">
        <f t="shared" si="18"/>
        <v>3074.4514878000005</v>
      </c>
      <c r="AP18" s="1153">
        <f t="shared" si="19"/>
        <v>2934.645</v>
      </c>
      <c r="AQ18" s="1143"/>
      <c r="AR18" s="1143"/>
      <c r="AS18" s="1143"/>
      <c r="AT18" s="1143"/>
      <c r="AU18" s="1143"/>
      <c r="AV18" s="1143"/>
      <c r="AW18" s="1143"/>
      <c r="AX18" s="1143"/>
      <c r="AY18" s="1143"/>
      <c r="AZ18" s="1143"/>
      <c r="BA18" s="1143"/>
      <c r="BB18" s="1143"/>
      <c r="BC18" s="1143"/>
      <c r="BD18" s="1143"/>
      <c r="BE18" s="1143"/>
      <c r="BF18" s="1143"/>
      <c r="BG18" s="1143"/>
      <c r="BH18" s="1143"/>
      <c r="BI18" s="1143"/>
      <c r="BJ18" s="1143"/>
      <c r="BK18" s="1143"/>
      <c r="BL18" s="1143"/>
      <c r="BM18" s="1143"/>
    </row>
    <row r="19" spans="1:65" s="781" customFormat="1" ht="20.25" customHeight="1">
      <c r="A19" s="1143" t="str">
        <f t="shared" si="0"/>
        <v>TSX:BTO_2025_COO</v>
      </c>
      <c r="B19" s="1120" t="str">
        <f>'Peer Group'!A18</f>
        <v>TSX:BTO</v>
      </c>
      <c r="C19" s="847" t="str">
        <f t="shared" si="1"/>
        <v>B2Gold Corp.</v>
      </c>
      <c r="D19" s="848" t="str">
        <f>_xll.ciqfunctions.udf.CIQ(B19, "IQ_MARKETCAP", $A$1,$A$2)</f>
        <v>#PEND</v>
      </c>
      <c r="E19" s="848" t="str">
        <f>_xll.ciqfunctions.udf.CIQ($B19, "IQ_TEV", $A$1,$A$2)</f>
        <v>#PEND</v>
      </c>
      <c r="F19" s="849" t="str">
        <f t="shared" si="2"/>
        <v>William Lytle</v>
      </c>
      <c r="G19" s="849" t="str">
        <f t="shared" si="2"/>
        <v>Senior VP Operations &amp; COO</v>
      </c>
      <c r="H19" s="848" t="str">
        <f t="shared" si="3"/>
        <v>-</v>
      </c>
      <c r="I19" s="848">
        <f t="shared" si="3"/>
        <v>663.09002499999997</v>
      </c>
      <c r="J19" s="850">
        <f t="shared" si="3"/>
        <v>529.64333214999999</v>
      </c>
      <c r="K19" s="851">
        <f t="shared" si="4"/>
        <v>0.79875026343519495</v>
      </c>
      <c r="L19" s="851">
        <f t="shared" si="4"/>
        <v>0.68125043905865823</v>
      </c>
      <c r="M19" s="852">
        <f t="shared" si="5"/>
        <v>497.31751875000003</v>
      </c>
      <c r="N19" s="853">
        <f>IFERROR(IF(INDEX(Raw_Data,MATCH($A19,Look_Up2,0),MATCH(N$4,Component,0))="-",L19,INDEX(Raw_Data,MATCH($A19,Look_Up2,0),MATCH(N$4,Component,0))),"-")</f>
        <v>0.75</v>
      </c>
      <c r="O19" s="850">
        <f t="shared" si="7"/>
        <v>1192.7333571500001</v>
      </c>
      <c r="P19" s="854">
        <f t="shared" si="7"/>
        <v>1160.4075437500003</v>
      </c>
      <c r="Q19" s="850">
        <f t="shared" si="7"/>
        <v>2162.4392841000004</v>
      </c>
      <c r="R19" s="851">
        <f t="shared" si="8"/>
        <v>3.2611548998946263</v>
      </c>
      <c r="S19" s="851">
        <f t="shared" si="8"/>
        <v>2.8819234281700035</v>
      </c>
      <c r="T19" s="852">
        <f t="shared" si="9"/>
        <v>1910.9746780333332</v>
      </c>
      <c r="U19" s="853">
        <f>IFERROR(IF(INDEX(Raw_Data,MATCH($A19,Look_Up2,0),MATCH(U$4,Component,0))="-",S19,INDEX(Raw_Data,MATCH($A19,Look_Up2,0),MATCH(U$4,Component,0))),"-")</f>
        <v>2.8819234281700035</v>
      </c>
      <c r="V19" s="850">
        <f t="shared" si="11"/>
        <v>3355.1726412500002</v>
      </c>
      <c r="W19" s="855">
        <f t="shared" si="11"/>
        <v>3071.3822217833335</v>
      </c>
      <c r="X19" s="850" t="str">
        <f t="shared" si="12"/>
        <v>-</v>
      </c>
      <c r="Y19" s="855">
        <f t="shared" si="12"/>
        <v>1.0201385000000001</v>
      </c>
      <c r="Z19" s="850">
        <f t="shared" si="13"/>
        <v>3356.1927797500002</v>
      </c>
      <c r="AA19" s="855">
        <f t="shared" si="13"/>
        <v>3072.4023602833336</v>
      </c>
      <c r="AB19" s="1144"/>
      <c r="AC19" s="1145">
        <f>IFERROR(P19/W19,"-")</f>
        <v>0.37781280868267642</v>
      </c>
      <c r="AD19" s="866">
        <f>IFERROR(T19/W19,"-")</f>
        <v>0.62218719131732358</v>
      </c>
      <c r="AE19" s="1132" t="str">
        <f>B19&amp;"_"&amp;$AE$6&amp;"_"&amp;$C$2</f>
        <v>TSX:BTO_2024_COO</v>
      </c>
      <c r="AF19" s="1132"/>
      <c r="AG19" s="1146" t="str" cm="1">
        <f t="array" ref="AG19">IFERROR(INDEX('Import 2024 Data'!$E$4:$I$71,_xlfn.XMATCH(COO!$AE19,'Import 2024 Data'!$C$4:$C$71),_xlfn.XMATCH(COO!AG$5,'Import 2024 Data'!$E$3:$I$3)),"-")</f>
        <v>B2Gold Corp.</v>
      </c>
      <c r="AH19" s="1146" t="str" cm="1">
        <f t="array" ref="AH19">IFERROR(INDEX('Import 2024 Data'!$E$4:$I$71,_xlfn.XMATCH(COO!$AE19,'Import 2024 Data'!$C$4:$C$71),_xlfn.XMATCH(COO!AH$5,'Import 2024 Data'!$E$3:$I$3)),"-")</f>
        <v>William Lytle</v>
      </c>
      <c r="AI19" s="1147" t="str">
        <f>IF(ISNUMBER(_xlfn.XMATCH(C19,'Import 2024 Data'!$E$4:$E$113)),"N","Y")</f>
        <v>N</v>
      </c>
      <c r="AJ19" s="1147" t="str">
        <f>IFERROR(IF(TRIM(LOWER(AH19))=TRIM(LOWER(F19)),"N","Y"),"-")</f>
        <v>N</v>
      </c>
      <c r="AK19" s="1146" t="str" cm="1">
        <f t="array" ref="AK19">IFERROR(INDEX('Import 2024 Data'!$E$4:$I$113,_xlfn.XMATCH(COO!$AE19,'Import 2024 Data'!$C$4:$C$113),_xlfn.XMATCH(COO!AK$5,'Import 2024 Data'!$E$3:$I$3)),"-")</f>
        <v>SVP, Operations &amp; COO</v>
      </c>
      <c r="AL19" s="1154" cm="1">
        <f t="array" ref="AL19">IFERROR(INDEX('Import 2024 Data'!$E$4:$I$113,_xlfn.XMATCH(COO!$AE19,'Import 2024 Data'!$C$4:$C$113),_xlfn.XMATCH(COO!AL$5,'Import 2024 Data'!$E$3:$I$3)),"-")</f>
        <v>2721.75</v>
      </c>
      <c r="AM19" s="1154" cm="1">
        <f t="array" ref="AM19">IFERROR(INDEX('Import 2024 Data'!$E$4:$I$113,_xlfn.XMATCH(COO!$AE19,'Import 2024 Data'!$C$4:$C$113),_xlfn.XMATCH(COO!AM$5,'Import 2024 Data'!$E$3:$I$3)),"-")</f>
        <v>2887.5</v>
      </c>
      <c r="AN19" s="1148">
        <f t="shared" si="17"/>
        <v>6.3682154730158702E-2</v>
      </c>
      <c r="AO19" s="1152">
        <f t="shared" si="18"/>
        <v>3355.1726412500002</v>
      </c>
      <c r="AP19" s="1153">
        <f t="shared" si="19"/>
        <v>3071.3822217833335</v>
      </c>
      <c r="AQ19" s="1155"/>
      <c r="AR19" s="1143"/>
      <c r="AS19" s="1143"/>
      <c r="AT19" s="1143"/>
      <c r="AU19" s="1143"/>
      <c r="AV19" s="1143"/>
      <c r="AW19" s="1143"/>
      <c r="AX19" s="1143"/>
      <c r="AY19" s="1143"/>
      <c r="AZ19" s="1143"/>
      <c r="BA19" s="1143"/>
      <c r="BB19" s="1143"/>
      <c r="BC19" s="1143"/>
      <c r="BD19" s="1143"/>
      <c r="BE19" s="1143"/>
      <c r="BF19" s="1143"/>
      <c r="BG19" s="1143"/>
      <c r="BH19" s="1143"/>
      <c r="BI19" s="1143"/>
      <c r="BJ19" s="1143"/>
      <c r="BK19" s="1143"/>
      <c r="BL19" s="1143"/>
      <c r="BM19" s="1143"/>
    </row>
    <row r="20" spans="1:65" s="781" customFormat="1" ht="20.25" customHeight="1">
      <c r="A20" s="1143" t="str">
        <f t="shared" si="0"/>
        <v>TSX:OGC_2025_COO</v>
      </c>
      <c r="B20" s="1120" t="str">
        <f>'Peer Group'!A19</f>
        <v>TSX:OGC</v>
      </c>
      <c r="C20" s="847" t="str">
        <f t="shared" si="1"/>
        <v>OceanaGold Corporation</v>
      </c>
      <c r="D20" s="848" t="str">
        <f>_xll.ciqfunctions.udf.CIQ(B20, "IQ_MARKETCAP", $A$1,$A$2)</f>
        <v>#PEND</v>
      </c>
      <c r="E20" s="848" t="str">
        <f>_xll.ciqfunctions.udf.CIQ($B20, "IQ_TEV", $A$1,$A$2)</f>
        <v>#PEND</v>
      </c>
      <c r="F20" s="849" t="str">
        <f t="shared" si="2"/>
        <v>Bhuvanesh Malhotra</v>
      </c>
      <c r="G20" s="849" t="str">
        <f t="shared" si="2"/>
        <v>EVP &amp; COO</v>
      </c>
      <c r="H20" s="848" t="str">
        <f t="shared" si="3"/>
        <v>-</v>
      </c>
      <c r="I20" s="848">
        <f t="shared" si="3"/>
        <v>610.06797710000001</v>
      </c>
      <c r="J20" s="850">
        <f t="shared" si="3"/>
        <v>797.89224435000006</v>
      </c>
      <c r="K20" s="851">
        <f t="shared" si="4"/>
        <v>1.3078743259773042</v>
      </c>
      <c r="L20" s="851">
        <f t="shared" si="4"/>
        <v>1.3078743259773042</v>
      </c>
      <c r="M20" s="852">
        <f t="shared" si="5"/>
        <v>427.04758397000001</v>
      </c>
      <c r="N20" s="853">
        <f t="shared" si="6"/>
        <v>0.7</v>
      </c>
      <c r="O20" s="850">
        <f t="shared" si="7"/>
        <v>1407.9602214500001</v>
      </c>
      <c r="P20" s="854">
        <f t="shared" si="7"/>
        <v>1037.11556107</v>
      </c>
      <c r="Q20" s="850">
        <f t="shared" si="7"/>
        <v>2608.2076672499998</v>
      </c>
      <c r="R20" s="851">
        <f t="shared" si="8"/>
        <v>4.2752738467740823</v>
      </c>
      <c r="S20" s="851">
        <f t="shared" si="8"/>
        <v>4.2752738467740823</v>
      </c>
      <c r="T20" s="852">
        <f t="shared" si="9"/>
        <v>2608.2076672499998</v>
      </c>
      <c r="U20" s="853">
        <f t="shared" si="10"/>
        <v>4.2752738467740823</v>
      </c>
      <c r="V20" s="850">
        <f t="shared" si="11"/>
        <v>4016.1678886999998</v>
      </c>
      <c r="W20" s="855">
        <f t="shared" si="11"/>
        <v>3645.3232283199995</v>
      </c>
      <c r="X20" s="850">
        <f t="shared" si="12"/>
        <v>39.8748383</v>
      </c>
      <c r="Y20" s="855" t="str">
        <f t="shared" si="12"/>
        <v>-</v>
      </c>
      <c r="Z20" s="850">
        <f t="shared" si="13"/>
        <v>4056.042727</v>
      </c>
      <c r="AA20" s="855">
        <f t="shared" si="13"/>
        <v>3685.1980666199997</v>
      </c>
      <c r="AB20" s="1144"/>
      <c r="AC20" s="1145">
        <f t="shared" si="14"/>
        <v>0.28450578895522793</v>
      </c>
      <c r="AD20" s="866">
        <f t="shared" si="15"/>
        <v>0.71549421104477207</v>
      </c>
      <c r="AE20" s="1132" t="str">
        <f t="shared" si="16"/>
        <v>TSX:OGC_2024_COO</v>
      </c>
      <c r="AF20" s="1132"/>
      <c r="AG20" s="1146" t="str" cm="1">
        <f t="array" ref="AG20">IFERROR(INDEX('Import 2024 Data'!$E$4:$I$71,_xlfn.XMATCH(COO!$AE20,'Import 2024 Data'!$C$4:$C$71),_xlfn.XMATCH(COO!AG$5,'Import 2024 Data'!$E$3:$I$3)),"-")</f>
        <v>-</v>
      </c>
      <c r="AH20" s="1146" t="str" cm="1">
        <f t="array" ref="AH20">IFERROR(INDEX('Import 2024 Data'!$E$4:$I$71,_xlfn.XMATCH(COO!$AE20,'Import 2024 Data'!$C$4:$C$71),_xlfn.XMATCH(COO!AH$5,'Import 2024 Data'!$E$3:$I$3)),"-")</f>
        <v>-</v>
      </c>
      <c r="AI20" s="1147" t="str">
        <f>IF(ISNUMBER(_xlfn.XMATCH(C20,'Import 2024 Data'!$E$4:$E$113)),"N","Y")</f>
        <v>N</v>
      </c>
      <c r="AJ20" s="1147" t="str">
        <f t="shared" si="20"/>
        <v>Y</v>
      </c>
      <c r="AK20" s="1146" t="str" cm="1">
        <f t="array" ref="AK20">IFERROR(INDEX('Import 2024 Data'!$E$4:$I$113,_xlfn.XMATCH(COO!$AE20,'Import 2024 Data'!$C$4:$C$113),_xlfn.XMATCH(COO!AK$5,'Import 2024 Data'!$E$3:$I$3)),"-")</f>
        <v>-</v>
      </c>
      <c r="AL20" s="1154" t="str" cm="1">
        <f t="array" ref="AL20">IFERROR(INDEX('Import 2024 Data'!$E$4:$I$113,_xlfn.XMATCH(COO!$AE20,'Import 2024 Data'!$C$4:$C$113),_xlfn.XMATCH(COO!AL$5,'Import 2024 Data'!$E$3:$I$3)),"-")</f>
        <v>-</v>
      </c>
      <c r="AM20" s="1154" t="str" cm="1">
        <f t="array" ref="AM20">IFERROR(INDEX('Import 2024 Data'!$E$4:$I$113,_xlfn.XMATCH(COO!$AE20,'Import 2024 Data'!$C$4:$C$113),_xlfn.XMATCH(COO!AM$5,'Import 2024 Data'!$E$3:$I$3)),"-")</f>
        <v>-</v>
      </c>
      <c r="AN20" s="1148" t="str">
        <f t="shared" si="17"/>
        <v>New Incumbent</v>
      </c>
      <c r="AO20" s="1152">
        <f t="shared" si="18"/>
        <v>4016.1678886999998</v>
      </c>
      <c r="AP20" s="1156">
        <f t="shared" si="18"/>
        <v>4016.1678886999998</v>
      </c>
      <c r="AQ20" s="1155"/>
      <c r="AR20" s="1143"/>
      <c r="AS20" s="1143"/>
      <c r="AT20" s="1143"/>
      <c r="AU20" s="1143"/>
      <c r="AV20" s="1143"/>
      <c r="AW20" s="1143"/>
      <c r="AX20" s="1143"/>
      <c r="AY20" s="1143"/>
      <c r="AZ20" s="1143"/>
      <c r="BA20" s="1143"/>
      <c r="BB20" s="1143"/>
      <c r="BC20" s="1143"/>
      <c r="BD20" s="1143"/>
      <c r="BE20" s="1143"/>
      <c r="BF20" s="1143"/>
      <c r="BG20" s="1143"/>
      <c r="BH20" s="1143"/>
      <c r="BI20" s="1143"/>
      <c r="BJ20" s="1143"/>
      <c r="BK20" s="1143"/>
      <c r="BL20" s="1143"/>
      <c r="BM20" s="1143"/>
    </row>
    <row r="21" spans="1:65" s="781" customFormat="1" ht="20.25" customHeight="1">
      <c r="A21" s="1143" t="str">
        <f t="shared" si="0"/>
        <v>TSX:CG_2025_COO</v>
      </c>
      <c r="B21" s="1120" t="str">
        <f>'Peer Group'!A20</f>
        <v>TSX:CG</v>
      </c>
      <c r="C21" s="847" t="str">
        <f t="shared" si="1"/>
        <v>Centerra Gold Inc.</v>
      </c>
      <c r="D21" s="848" t="str">
        <f>_xll.ciqfunctions.udf.CIQ(B21, "IQ_MARKETCAP", $A$1,$A$2)</f>
        <v>#PEND</v>
      </c>
      <c r="E21" s="848" t="str">
        <f>_xll.ciqfunctions.udf.CIQ($B21, "IQ_TEV", $A$1,$A$2)</f>
        <v>#PEND</v>
      </c>
      <c r="F21" s="849" t="str">
        <f t="shared" si="2"/>
        <v>David Hendriks</v>
      </c>
      <c r="G21" s="849" t="str">
        <f t="shared" si="2"/>
        <v>EVP &amp; COO</v>
      </c>
      <c r="H21" s="848" t="str">
        <f t="shared" si="3"/>
        <v>-</v>
      </c>
      <c r="I21" s="848">
        <f t="shared" si="3"/>
        <v>552.13099999999997</v>
      </c>
      <c r="J21" s="850">
        <f t="shared" si="3"/>
        <v>533.35799999999995</v>
      </c>
      <c r="K21" s="851">
        <f t="shared" si="4"/>
        <v>0.96599901110424879</v>
      </c>
      <c r="L21" s="851">
        <f t="shared" si="4"/>
        <v>0.96599901110424879</v>
      </c>
      <c r="M21" s="852">
        <f t="shared" si="5"/>
        <v>441.70480000000003</v>
      </c>
      <c r="N21" s="853">
        <f t="shared" si="6"/>
        <v>0.8</v>
      </c>
      <c r="O21" s="850">
        <f t="shared" si="7"/>
        <v>1085.489</v>
      </c>
      <c r="P21" s="854">
        <f t="shared" si="7"/>
        <v>993.83580000000006</v>
      </c>
      <c r="Q21" s="850">
        <f t="shared" si="7"/>
        <v>745.37699999999995</v>
      </c>
      <c r="R21" s="851">
        <f t="shared" si="8"/>
        <v>1.3500002716746569</v>
      </c>
      <c r="S21" s="851">
        <f t="shared" si="8"/>
        <v>1.3500002716746569</v>
      </c>
      <c r="T21" s="852">
        <f t="shared" si="9"/>
        <v>993.83580000000006</v>
      </c>
      <c r="U21" s="853">
        <f t="shared" si="10"/>
        <v>1.8</v>
      </c>
      <c r="V21" s="850">
        <f t="shared" si="11"/>
        <v>1830.866</v>
      </c>
      <c r="W21" s="855">
        <f t="shared" si="11"/>
        <v>1987.6716000000001</v>
      </c>
      <c r="X21" s="850" t="str">
        <f t="shared" si="12"/>
        <v>-</v>
      </c>
      <c r="Y21" s="855">
        <f t="shared" si="12"/>
        <v>201.05400000000003</v>
      </c>
      <c r="Z21" s="850">
        <f t="shared" si="13"/>
        <v>2031.92</v>
      </c>
      <c r="AA21" s="855">
        <f t="shared" si="13"/>
        <v>2188.7256000000002</v>
      </c>
      <c r="AB21" s="1144"/>
      <c r="AC21" s="1145">
        <f t="shared" si="14"/>
        <v>0.5</v>
      </c>
      <c r="AD21" s="866">
        <f t="shared" si="15"/>
        <v>0.5</v>
      </c>
      <c r="AE21" s="1132" t="str">
        <f t="shared" si="16"/>
        <v>TSX:CG_2024_COO</v>
      </c>
      <c r="AF21" s="1132"/>
      <c r="AG21" s="1157" t="str" cm="1">
        <f t="array" ref="AG21">IFERROR(INDEX('Import 2024 Data'!$E$4:$I$71,_xlfn.XMATCH(COO!$AE21,'Import 2024 Data'!$C$4:$C$71),_xlfn.XMATCH(COO!AG$5,'Import 2024 Data'!$E$3:$I$3)),"-")</f>
        <v>Centerra Gold Inc.</v>
      </c>
      <c r="AH21" s="1157" t="str" cm="1">
        <f t="array" ref="AH21">IFERROR(INDEX('Import 2024 Data'!$E$4:$I$71,_xlfn.XMATCH(COO!$AE21,'Import 2024 Data'!$C$4:$C$71),_xlfn.XMATCH(COO!AH$5,'Import 2024 Data'!$E$3:$I$3)),"-")</f>
        <v>Paul Chawrun</v>
      </c>
      <c r="AI21" s="1158" t="str">
        <f>IF(ISNUMBER(_xlfn.XMATCH(C21,'Import 2024 Data'!$E$4:$E$113)),"N","Y")</f>
        <v>N</v>
      </c>
      <c r="AJ21" s="1158" t="str">
        <f t="shared" si="20"/>
        <v>Y</v>
      </c>
      <c r="AK21" s="1157" t="str" cm="1">
        <f t="array" ref="AK21">IFERROR(INDEX('Import 2024 Data'!$E$4:$I$113,_xlfn.XMATCH(COO!$AE21,'Import 2024 Data'!$C$4:$C$113),_xlfn.XMATCH(COO!AK$5,'Import 2024 Data'!$E$3:$I$3)),"-")</f>
        <v>EVP, COO</v>
      </c>
      <c r="AL21" s="1117" cm="1">
        <f t="array" ref="AL21">IFERROR(INDEX('Import 2024 Data'!$E$4:$I$113,_xlfn.XMATCH(COO!$AE21,'Import 2024 Data'!$C$4:$C$113),_xlfn.XMATCH(COO!AL$5,'Import 2024 Data'!$E$3:$I$3)),"-")</f>
        <v>1944.8000000000002</v>
      </c>
      <c r="AM21" s="1117" cm="1">
        <f t="array" ref="AM21">IFERROR(INDEX('Import 2024 Data'!$E$4:$I$113,_xlfn.XMATCH(COO!$AE21,'Import 2024 Data'!$C$4:$C$113),_xlfn.XMATCH(COO!AM$5,'Import 2024 Data'!$E$3:$I$3)),"-")</f>
        <v>1980</v>
      </c>
      <c r="AN21" s="1346" t="str">
        <f t="shared" si="17"/>
        <v>New Incumbent</v>
      </c>
      <c r="AO21" s="1152">
        <f t="shared" si="18"/>
        <v>1830.866</v>
      </c>
      <c r="AP21" s="1159">
        <f t="shared" si="18"/>
        <v>1830.866</v>
      </c>
      <c r="AQ21" s="1143"/>
      <c r="AR21" s="1143"/>
      <c r="AS21" s="1143"/>
      <c r="AT21" s="1143"/>
      <c r="AU21" s="1143"/>
      <c r="AV21" s="1143"/>
      <c r="AW21" s="1143"/>
      <c r="AX21" s="1143"/>
      <c r="AY21" s="1143"/>
      <c r="AZ21" s="1143"/>
      <c r="BA21" s="1143"/>
      <c r="BB21" s="1143"/>
      <c r="BC21" s="1143"/>
      <c r="BD21" s="1143"/>
      <c r="BE21" s="1143"/>
      <c r="BF21" s="1143"/>
      <c r="BG21" s="1143"/>
      <c r="BH21" s="1143"/>
      <c r="BI21" s="1143"/>
      <c r="BJ21" s="1143"/>
      <c r="BK21" s="1143"/>
      <c r="BL21" s="1143"/>
      <c r="BM21" s="1143"/>
    </row>
    <row r="22" spans="1:65" ht="20.25" customHeight="1">
      <c r="A22" s="1120"/>
      <c r="B22" s="1120"/>
      <c r="C22" s="856" t="str">
        <f>$C$3&amp;" Summary Statistics"</f>
        <v>2025 Summary Statistics</v>
      </c>
      <c r="D22" s="857"/>
      <c r="E22" s="857"/>
      <c r="F22" s="857"/>
      <c r="G22" s="857"/>
      <c r="H22" s="857"/>
      <c r="I22" s="857"/>
      <c r="J22" s="857"/>
      <c r="K22" s="858"/>
      <c r="L22" s="858"/>
      <c r="M22" s="857"/>
      <c r="N22" s="858"/>
      <c r="O22" s="857"/>
      <c r="P22" s="857"/>
      <c r="Q22" s="857"/>
      <c r="R22" s="858"/>
      <c r="S22" s="858"/>
      <c r="T22" s="857"/>
      <c r="U22" s="858"/>
      <c r="V22" s="857"/>
      <c r="W22" s="859"/>
      <c r="X22" s="857"/>
      <c r="Y22" s="859"/>
      <c r="Z22" s="857"/>
      <c r="AA22" s="859"/>
      <c r="AB22" s="1108"/>
      <c r="AC22" s="1160"/>
      <c r="AD22" s="1161"/>
      <c r="AE22" s="1132"/>
      <c r="AF22" s="1132"/>
      <c r="AG22" s="1132"/>
      <c r="AH22" s="1132"/>
      <c r="AI22" s="1132"/>
      <c r="AJ22" s="1132"/>
      <c r="AK22" s="1132"/>
      <c r="AL22" s="1110"/>
      <c r="AM22" s="1111"/>
      <c r="AN22" s="1120"/>
      <c r="AO22" s="1162" t="s">
        <v>774</v>
      </c>
      <c r="AP22" s="1111"/>
      <c r="AQ22" s="1120"/>
      <c r="AR22" s="1120"/>
      <c r="AS22" s="1120"/>
      <c r="AT22" s="1120"/>
      <c r="AU22" s="1120"/>
      <c r="AV22" s="1120"/>
      <c r="AW22" s="1120"/>
      <c r="AX22" s="1120"/>
      <c r="AY22" s="1120"/>
      <c r="AZ22" s="1120"/>
      <c r="BA22" s="1120"/>
      <c r="BB22" s="1120"/>
      <c r="BC22" s="1120"/>
      <c r="BD22" s="1120"/>
      <c r="BE22" s="1120"/>
      <c r="BF22" s="1120"/>
      <c r="BG22" s="1120"/>
      <c r="BH22" s="1120"/>
      <c r="BI22" s="1120"/>
      <c r="BJ22" s="1120"/>
      <c r="BK22" s="1120"/>
      <c r="BL22" s="1120"/>
      <c r="BM22" s="1120"/>
    </row>
    <row r="23" spans="1:65" s="17" customFormat="1" ht="20.25" customHeight="1">
      <c r="A23" s="1163"/>
      <c r="B23" s="1163">
        <v>0.75</v>
      </c>
      <c r="C23" s="860" t="s">
        <v>9</v>
      </c>
      <c r="D23" s="861" t="e">
        <f t="shared" ref="D23:E25" si="21">PERCENTILE(D$8:D$21,$B23)</f>
        <v>#NUM!</v>
      </c>
      <c r="E23" s="861" t="e">
        <f t="shared" si="21"/>
        <v>#NUM!</v>
      </c>
      <c r="F23" s="862"/>
      <c r="G23" s="862"/>
      <c r="H23" s="862"/>
      <c r="I23" s="861">
        <f>PERCENTILE(I$8:I$21,$B23)</f>
        <v>753.41531250000003</v>
      </c>
      <c r="J23" s="863">
        <f t="shared" ref="I23:R25" si="22">PERCENTILE(J$8:J$21,$B23)</f>
        <v>823.1689705875001</v>
      </c>
      <c r="K23" s="864">
        <f t="shared" si="22"/>
        <v>1.2238135000000001</v>
      </c>
      <c r="L23" s="864">
        <f t="shared" si="22"/>
        <v>1.1517917496388081</v>
      </c>
      <c r="M23" s="865">
        <f t="shared" si="22"/>
        <v>616.88998764000007</v>
      </c>
      <c r="N23" s="866">
        <f t="shared" si="22"/>
        <v>0.88749999999999996</v>
      </c>
      <c r="O23" s="863">
        <f t="shared" si="22"/>
        <v>1579.16461585</v>
      </c>
      <c r="P23" s="867">
        <f t="shared" si="22"/>
        <v>1442.4918749999999</v>
      </c>
      <c r="Q23" s="863">
        <f t="shared" si="22"/>
        <v>2027.9738502</v>
      </c>
      <c r="R23" s="864">
        <f t="shared" si="22"/>
        <v>2.5642566788708501</v>
      </c>
      <c r="S23" s="864">
        <f t="shared" ref="S23:AA25" si="23">PERCENTILE(S$8:S$21,$B23)</f>
        <v>2.2650000000000001</v>
      </c>
      <c r="T23" s="865">
        <f t="shared" si="23"/>
        <v>1640.2521847155504</v>
      </c>
      <c r="U23" s="866">
        <f t="shared" si="23"/>
        <v>2.2374999999999998</v>
      </c>
      <c r="V23" s="863">
        <f t="shared" si="23"/>
        <v>3344.3044809375001</v>
      </c>
      <c r="W23" s="867">
        <f t="shared" si="23"/>
        <v>3071.3822217833335</v>
      </c>
      <c r="X23" s="863">
        <f t="shared" si="23"/>
        <v>150</v>
      </c>
      <c r="Y23" s="867">
        <f t="shared" si="23"/>
        <v>83.244660850000002</v>
      </c>
      <c r="Z23" s="863">
        <f t="shared" si="23"/>
        <v>3459.6196099999997</v>
      </c>
      <c r="AA23" s="867">
        <f t="shared" si="23"/>
        <v>3161.6295055180003</v>
      </c>
      <c r="AB23" s="1164"/>
      <c r="AC23" s="1145">
        <f t="shared" ref="AC23:AD25" si="24">PERCENTILE(AC$8:AC$21,$B23)</f>
        <v>0.51428571428571435</v>
      </c>
      <c r="AD23" s="866">
        <f t="shared" si="24"/>
        <v>0.54617834394904463</v>
      </c>
      <c r="AE23" s="1132"/>
      <c r="AF23" s="1132"/>
      <c r="AG23" s="1132"/>
      <c r="AH23" s="1132"/>
      <c r="AI23" s="1132"/>
      <c r="AJ23" s="1132"/>
      <c r="AK23" s="1132"/>
      <c r="AL23" s="863">
        <f>PERCENTILE(AL$8:AL$21,$B23)</f>
        <v>2821.8651150000001</v>
      </c>
      <c r="AM23" s="861">
        <f>PERCENTILE(AM$8:AM$22,$B23)</f>
        <v>2877.3570000000004</v>
      </c>
      <c r="AN23" s="1347"/>
      <c r="AO23" s="863">
        <f>PERCENTILE(AO$8:AO$21,$B23)</f>
        <v>3333.436320625</v>
      </c>
      <c r="AP23" s="863">
        <f>PERCENTILE(AP$8:AP$22,$B23)</f>
        <v>3055.6911108916665</v>
      </c>
      <c r="AQ23" s="1163"/>
      <c r="AR23" s="1163"/>
      <c r="AS23" s="1163"/>
      <c r="AT23" s="1163"/>
      <c r="AU23" s="1163"/>
      <c r="AV23" s="1163"/>
      <c r="AW23" s="1163"/>
      <c r="AX23" s="1163"/>
      <c r="AY23" s="1163"/>
      <c r="AZ23" s="1163"/>
      <c r="BA23" s="1163"/>
      <c r="BB23" s="1163"/>
      <c r="BC23" s="1163"/>
      <c r="BD23" s="1163"/>
      <c r="BE23" s="1163"/>
      <c r="BF23" s="1163"/>
      <c r="BG23" s="1163"/>
      <c r="BH23" s="1163"/>
      <c r="BI23" s="1163"/>
      <c r="BJ23" s="1163"/>
      <c r="BK23" s="1163"/>
      <c r="BL23" s="1163"/>
      <c r="BM23" s="1163"/>
    </row>
    <row r="24" spans="1:65" s="17" customFormat="1" ht="20.25" customHeight="1">
      <c r="A24" s="1163"/>
      <c r="B24" s="1163">
        <v>0.5</v>
      </c>
      <c r="C24" s="868" t="s">
        <v>8</v>
      </c>
      <c r="D24" s="869" t="e">
        <f t="shared" si="21"/>
        <v>#NUM!</v>
      </c>
      <c r="E24" s="869" t="e">
        <f t="shared" si="21"/>
        <v>#NUM!</v>
      </c>
      <c r="F24" s="870"/>
      <c r="G24" s="870"/>
      <c r="H24" s="870"/>
      <c r="I24" s="869">
        <f t="shared" si="22"/>
        <v>678.96994807500005</v>
      </c>
      <c r="J24" s="871">
        <f t="shared" si="22"/>
        <v>745.06124282500002</v>
      </c>
      <c r="K24" s="872">
        <f t="shared" si="22"/>
        <v>1.065400146133916</v>
      </c>
      <c r="L24" s="872">
        <f t="shared" si="22"/>
        <v>1.0660669042050115</v>
      </c>
      <c r="M24" s="873">
        <f t="shared" si="22"/>
        <v>573.27643754375003</v>
      </c>
      <c r="N24" s="874">
        <f t="shared" si="22"/>
        <v>0.8</v>
      </c>
      <c r="O24" s="871">
        <f t="shared" si="22"/>
        <v>1427.4946479999999</v>
      </c>
      <c r="P24" s="875">
        <f t="shared" si="22"/>
        <v>1273.1723608987502</v>
      </c>
      <c r="Q24" s="871">
        <f t="shared" si="22"/>
        <v>1324.1306895750001</v>
      </c>
      <c r="R24" s="872">
        <f t="shared" si="22"/>
        <v>1.7890389130673938</v>
      </c>
      <c r="S24" s="872">
        <f t="shared" si="23"/>
        <v>1.7011131752731843</v>
      </c>
      <c r="T24" s="873">
        <f t="shared" si="23"/>
        <v>1316.9355</v>
      </c>
      <c r="U24" s="874">
        <f t="shared" si="23"/>
        <v>1.7749999999999999</v>
      </c>
      <c r="V24" s="871">
        <f t="shared" si="23"/>
        <v>2828.2504315335</v>
      </c>
      <c r="W24" s="875">
        <f t="shared" si="23"/>
        <v>2859.9885255680001</v>
      </c>
      <c r="X24" s="871">
        <f t="shared" si="23"/>
        <v>39.8748383</v>
      </c>
      <c r="Y24" s="875">
        <f t="shared" si="23"/>
        <v>43.974956599999999</v>
      </c>
      <c r="Z24" s="871">
        <f t="shared" si="23"/>
        <v>2938.7653813249999</v>
      </c>
      <c r="AA24" s="875">
        <f t="shared" si="23"/>
        <v>3021.2337969</v>
      </c>
      <c r="AB24" s="1164"/>
      <c r="AC24" s="1165">
        <f t="shared" si="24"/>
        <v>0.5</v>
      </c>
      <c r="AD24" s="874">
        <f t="shared" si="24"/>
        <v>0.5</v>
      </c>
      <c r="AE24" s="1132"/>
      <c r="AF24" s="1132"/>
      <c r="AG24" s="1132"/>
      <c r="AH24" s="1132"/>
      <c r="AI24" s="1132"/>
      <c r="AJ24" s="1132"/>
      <c r="AK24" s="1132"/>
      <c r="AL24" s="863">
        <f>PERCENTILE(AL$8:AL$22,$B24)</f>
        <v>2673.1948191500005</v>
      </c>
      <c r="AM24" s="861">
        <f>PERCENTILE(AM$8:AM$22,$B24)</f>
        <v>2509.2151248181212</v>
      </c>
      <c r="AN24" s="1348"/>
      <c r="AO24" s="863">
        <f>PERCENTILE(AO$8:AO$22,$B24)</f>
        <v>3074.4514878000005</v>
      </c>
      <c r="AP24" s="863">
        <f>PERCENTILE(AP$8:AP$22,$B24)</f>
        <v>2859.9885255680001</v>
      </c>
      <c r="AQ24" s="1163"/>
      <c r="AR24" s="1163"/>
      <c r="AS24" s="1163"/>
      <c r="AT24" s="1163"/>
      <c r="AU24" s="1163"/>
      <c r="AV24" s="1163"/>
      <c r="AW24" s="1163"/>
      <c r="AX24" s="1163"/>
      <c r="AY24" s="1163"/>
      <c r="AZ24" s="1163"/>
      <c r="BA24" s="1163"/>
      <c r="BB24" s="1163"/>
      <c r="BC24" s="1163"/>
      <c r="BD24" s="1163"/>
      <c r="BE24" s="1163"/>
      <c r="BF24" s="1163"/>
      <c r="BG24" s="1163"/>
      <c r="BH24" s="1163"/>
      <c r="BI24" s="1163"/>
      <c r="BJ24" s="1163"/>
      <c r="BK24" s="1163"/>
      <c r="BL24" s="1163"/>
      <c r="BM24" s="1163"/>
    </row>
    <row r="25" spans="1:65" s="17" customFormat="1" ht="20.25" customHeight="1">
      <c r="A25" s="1163"/>
      <c r="B25" s="1163">
        <v>0.25</v>
      </c>
      <c r="C25" s="860" t="s">
        <v>7</v>
      </c>
      <c r="D25" s="861" t="e">
        <f t="shared" si="21"/>
        <v>#NUM!</v>
      </c>
      <c r="E25" s="861" t="e">
        <f t="shared" si="21"/>
        <v>#NUM!</v>
      </c>
      <c r="F25" s="862"/>
      <c r="G25" s="862"/>
      <c r="H25" s="862"/>
      <c r="I25" s="861">
        <f t="shared" si="22"/>
        <v>615.07723282500001</v>
      </c>
      <c r="J25" s="863">
        <f t="shared" si="22"/>
        <v>539.24699999999996</v>
      </c>
      <c r="K25" s="864">
        <f t="shared" si="22"/>
        <v>0.89206737674673275</v>
      </c>
      <c r="L25" s="864">
        <f t="shared" si="22"/>
        <v>0.89375370038858459</v>
      </c>
      <c r="M25" s="865">
        <f t="shared" si="22"/>
        <v>489.06382968750006</v>
      </c>
      <c r="N25" s="866">
        <f t="shared" si="22"/>
        <v>0.76249999999999996</v>
      </c>
      <c r="O25" s="863">
        <f t="shared" si="22"/>
        <v>1188.4475892875</v>
      </c>
      <c r="P25" s="867">
        <f t="shared" si="22"/>
        <v>1104.1997624999999</v>
      </c>
      <c r="Q25" s="863">
        <f t="shared" si="22"/>
        <v>916.82249999999999</v>
      </c>
      <c r="R25" s="864">
        <f t="shared" si="22"/>
        <v>1.437499065345095</v>
      </c>
      <c r="S25" s="864">
        <f t="shared" si="23"/>
        <v>1.4291668704226592</v>
      </c>
      <c r="T25" s="865">
        <f t="shared" si="23"/>
        <v>1065.6512343750001</v>
      </c>
      <c r="U25" s="866">
        <f t="shared" si="23"/>
        <v>1.7</v>
      </c>
      <c r="V25" s="863">
        <f t="shared" si="23"/>
        <v>2303.2819810750002</v>
      </c>
      <c r="W25" s="867">
        <f t="shared" si="23"/>
        <v>2378.0617531284747</v>
      </c>
      <c r="X25" s="863">
        <f t="shared" si="23"/>
        <v>31.516999999999999</v>
      </c>
      <c r="Y25" s="867">
        <f t="shared" si="23"/>
        <v>11.638</v>
      </c>
      <c r="Z25" s="863">
        <f t="shared" si="23"/>
        <v>2451.0897466625001</v>
      </c>
      <c r="AA25" s="867">
        <f t="shared" si="23"/>
        <v>2478.6460000000002</v>
      </c>
      <c r="AB25" s="1164"/>
      <c r="AC25" s="1145">
        <f t="shared" si="24"/>
        <v>0.45382165605095542</v>
      </c>
      <c r="AD25" s="866">
        <f t="shared" si="24"/>
        <v>0.48571428571428577</v>
      </c>
      <c r="AE25" s="1132"/>
      <c r="AF25" s="1132"/>
      <c r="AG25" s="1132"/>
      <c r="AH25" s="1132"/>
      <c r="AI25" s="1132"/>
      <c r="AJ25" s="1132"/>
      <c r="AK25" s="1132"/>
      <c r="AL25" s="863">
        <f>PERCENTILE(AL$8:AL$21,$B25)</f>
        <v>2375.8020000000001</v>
      </c>
      <c r="AM25" s="861">
        <f>PERCENTILE(AM$8:AM$21,$B25)</f>
        <v>2307.5</v>
      </c>
      <c r="AN25" s="1349"/>
      <c r="AO25" s="863">
        <f>PERCENTILE(AO$8:AO$21,$B25)</f>
        <v>2316.0139040499998</v>
      </c>
      <c r="AP25" s="863">
        <f>PERCENTILE(AP$8:AP$21,$B25)</f>
        <v>2291.7146265642373</v>
      </c>
      <c r="AQ25" s="1163"/>
      <c r="AR25" s="1163"/>
      <c r="AS25" s="1163"/>
      <c r="AT25" s="1163"/>
      <c r="AU25" s="1163"/>
      <c r="AV25" s="1163"/>
      <c r="AW25" s="1163"/>
      <c r="AX25" s="1163"/>
      <c r="AY25" s="1163"/>
      <c r="AZ25" s="1163"/>
      <c r="BA25" s="1163"/>
      <c r="BB25" s="1163"/>
      <c r="BC25" s="1163"/>
      <c r="BD25" s="1163"/>
      <c r="BE25" s="1163"/>
      <c r="BF25" s="1163"/>
      <c r="BG25" s="1163"/>
      <c r="BH25" s="1163"/>
      <c r="BI25" s="1163"/>
      <c r="BJ25" s="1163"/>
      <c r="BK25" s="1163"/>
      <c r="BL25" s="1163"/>
      <c r="BM25" s="1163"/>
    </row>
    <row r="26" spans="1:65" s="17" customFormat="1" ht="20.25" customHeight="1">
      <c r="A26" s="1120"/>
      <c r="B26" s="1120"/>
      <c r="C26" s="876" t="s">
        <v>6</v>
      </c>
      <c r="D26" s="877" t="e">
        <f>AVERAGE(D8:D21)</f>
        <v>#DIV/0!</v>
      </c>
      <c r="E26" s="877" t="e">
        <f>AVERAGE(E8:E21)</f>
        <v>#DIV/0!</v>
      </c>
      <c r="F26" s="876"/>
      <c r="G26" s="876"/>
      <c r="H26" s="876"/>
      <c r="I26" s="877">
        <f t="shared" ref="I26:AA26" si="25">AVERAGE(I8:I21)</f>
        <v>707.93262904999995</v>
      </c>
      <c r="J26" s="878">
        <f t="shared" si="25"/>
        <v>688.80935406785727</v>
      </c>
      <c r="K26" s="879">
        <f t="shared" si="25"/>
        <v>1.0111555843183766</v>
      </c>
      <c r="L26" s="879">
        <f t="shared" si="25"/>
        <v>0.99235968181803869</v>
      </c>
      <c r="M26" s="880">
        <f t="shared" si="25"/>
        <v>558.31382893767864</v>
      </c>
      <c r="N26" s="881">
        <f t="shared" si="25"/>
        <v>0.8035714285714286</v>
      </c>
      <c r="O26" s="878">
        <f t="shared" si="25"/>
        <v>1396.7419831178574</v>
      </c>
      <c r="P26" s="882">
        <f t="shared" si="25"/>
        <v>1266.2464579876789</v>
      </c>
      <c r="Q26" s="878">
        <f t="shared" si="25"/>
        <v>1458.4022704905001</v>
      </c>
      <c r="R26" s="879">
        <f t="shared" si="25"/>
        <v>2.0913831173421231</v>
      </c>
      <c r="S26" s="879">
        <f t="shared" si="25"/>
        <v>1.9243406436685917</v>
      </c>
      <c r="T26" s="880">
        <f t="shared" si="25"/>
        <v>1371.705348467465</v>
      </c>
      <c r="U26" s="881">
        <f t="shared" si="25"/>
        <v>1.9889410210097558</v>
      </c>
      <c r="V26" s="878">
        <f t="shared" si="25"/>
        <v>2855.1442536083573</v>
      </c>
      <c r="W26" s="882">
        <f t="shared" si="25"/>
        <v>2733.9997915670779</v>
      </c>
      <c r="X26" s="878">
        <f t="shared" si="25"/>
        <v>92.63938092222223</v>
      </c>
      <c r="Y26" s="882">
        <f t="shared" si="25"/>
        <v>81.295620470833342</v>
      </c>
      <c r="Z26" s="878">
        <f t="shared" si="25"/>
        <v>2984.3801017476426</v>
      </c>
      <c r="AA26" s="882">
        <f t="shared" si="25"/>
        <v>2872.1962434093857</v>
      </c>
      <c r="AB26" s="1164"/>
      <c r="AC26" s="1166">
        <f>AVERAGE(AC8:AC21)</f>
        <v>0.48135731746071148</v>
      </c>
      <c r="AD26" s="881">
        <f>AVERAGE(AD8:AD21)</f>
        <v>0.51864268253928847</v>
      </c>
      <c r="AE26" s="1132"/>
      <c r="AF26" s="1132"/>
      <c r="AG26" s="1132"/>
      <c r="AH26" s="1132"/>
      <c r="AI26" s="1132"/>
      <c r="AJ26" s="1132"/>
      <c r="AK26" s="1132"/>
      <c r="AL26" s="1082">
        <f>AVERAGE(AL8:AL21)</f>
        <v>2590.7461441444443</v>
      </c>
      <c r="AM26" s="1351">
        <f>AVERAGE(AM8:AM21)</f>
        <v>2522.989854780973</v>
      </c>
      <c r="AN26" s="1350"/>
      <c r="AO26" s="1082">
        <f>AVERAGE(AO8:AO21)</f>
        <v>2899.3528172651818</v>
      </c>
      <c r="AP26" s="1082">
        <f>AVERAGE(AP8:AP21)</f>
        <v>2732.6982534774561</v>
      </c>
      <c r="AQ26" s="1163"/>
      <c r="AR26" s="1163"/>
      <c r="AS26" s="1163"/>
      <c r="AT26" s="1163"/>
      <c r="AU26" s="1163"/>
      <c r="AV26" s="1163"/>
      <c r="AW26" s="1163"/>
      <c r="AX26" s="1163"/>
      <c r="AY26" s="1163"/>
      <c r="AZ26" s="1163"/>
      <c r="BA26" s="1163"/>
      <c r="BB26" s="1163"/>
      <c r="BC26" s="1163"/>
      <c r="BD26" s="1163"/>
      <c r="BE26" s="1163"/>
      <c r="BF26" s="1163"/>
      <c r="BG26" s="1163"/>
      <c r="BH26" s="1163"/>
      <c r="BI26" s="1163"/>
      <c r="BJ26" s="1163"/>
      <c r="BK26" s="1163"/>
      <c r="BL26" s="1163"/>
      <c r="BM26" s="1163"/>
    </row>
    <row r="27" spans="1:65" s="17" customFormat="1" ht="20.25" customHeight="1" outlineLevel="1">
      <c r="A27" s="1120"/>
      <c r="B27" s="1120"/>
      <c r="C27" s="856" t="str">
        <f>$C$3+1&amp;" Estimated Summary Statistics "</f>
        <v xml:space="preserve">2026 Estimated Summary Statistics </v>
      </c>
      <c r="D27" s="857"/>
      <c r="E27" s="857"/>
      <c r="F27" s="857"/>
      <c r="G27" s="857"/>
      <c r="H27" s="857"/>
      <c r="I27" s="857"/>
      <c r="J27" s="857"/>
      <c r="K27" s="858"/>
      <c r="L27" s="858"/>
      <c r="M27" s="857"/>
      <c r="N27" s="858"/>
      <c r="O27" s="857"/>
      <c r="P27" s="857"/>
      <c r="Q27" s="857"/>
      <c r="R27" s="858"/>
      <c r="S27" s="858"/>
      <c r="T27" s="857"/>
      <c r="U27" s="858"/>
      <c r="V27" s="857"/>
      <c r="W27" s="859"/>
      <c r="X27" s="856"/>
      <c r="Y27" s="856"/>
      <c r="Z27" s="857"/>
      <c r="AA27" s="859"/>
      <c r="AB27" s="1164"/>
      <c r="AC27" s="1167"/>
      <c r="AD27" s="1167"/>
      <c r="AE27" s="1132"/>
      <c r="AF27" s="1132"/>
      <c r="AG27" s="1132"/>
      <c r="AH27" s="1132"/>
      <c r="AI27" s="1132"/>
      <c r="AJ27" s="1132"/>
      <c r="AK27" s="1132"/>
      <c r="AL27" s="1132"/>
      <c r="AM27" s="1132"/>
      <c r="AN27" s="1163"/>
      <c r="AO27" s="1163"/>
      <c r="AP27" s="1163"/>
      <c r="AQ27" s="1163"/>
      <c r="AR27" s="1163"/>
      <c r="AS27" s="1163"/>
      <c r="AT27" s="1163"/>
      <c r="AU27" s="1163"/>
      <c r="AV27" s="1163"/>
      <c r="AW27" s="1163"/>
      <c r="AX27" s="1163"/>
      <c r="AY27" s="1163"/>
      <c r="AZ27" s="1163"/>
      <c r="BA27" s="1163"/>
      <c r="BB27" s="1163"/>
      <c r="BC27" s="1163"/>
      <c r="BD27" s="1163"/>
      <c r="BE27" s="1163"/>
      <c r="BF27" s="1163"/>
      <c r="BG27" s="1163"/>
      <c r="BH27" s="1163"/>
      <c r="BI27" s="1163"/>
      <c r="BJ27" s="1163"/>
      <c r="BK27" s="1163"/>
      <c r="BL27" s="1163"/>
      <c r="BM27" s="1163"/>
    </row>
    <row r="28" spans="1:65" s="17" customFormat="1" ht="20.25" customHeight="1" outlineLevel="1">
      <c r="A28" s="1120"/>
      <c r="B28" s="1163">
        <v>0.75</v>
      </c>
      <c r="C28" s="860" t="s">
        <v>9</v>
      </c>
      <c r="D28" s="861" t="e">
        <f t="shared" ref="D28:E30" si="26">PERCENTILE(D$8:D$21,$B28)</f>
        <v>#NUM!</v>
      </c>
      <c r="E28" s="861" t="e">
        <f t="shared" si="26"/>
        <v>#NUM!</v>
      </c>
      <c r="F28" s="862"/>
      <c r="G28" s="862"/>
      <c r="H28" s="862"/>
      <c r="I28" s="861">
        <f>I62</f>
        <v>776.01777187500011</v>
      </c>
      <c r="J28" s="863">
        <f t="shared" ref="I28:M31" si="27">J62</f>
        <v>0</v>
      </c>
      <c r="K28" s="864">
        <f t="shared" si="27"/>
        <v>0</v>
      </c>
      <c r="L28" s="864">
        <f t="shared" si="27"/>
        <v>0</v>
      </c>
      <c r="M28" s="865">
        <f t="shared" si="27"/>
        <v>635.39668726920002</v>
      </c>
      <c r="N28" s="866">
        <f>PERCENTILE(N$8:N$21,$B28)</f>
        <v>0.88749999999999996</v>
      </c>
      <c r="O28" s="863" t="s">
        <v>78</v>
      </c>
      <c r="P28" s="861">
        <f t="shared" ref="P28:T31" si="28">P62</f>
        <v>1485.76663125</v>
      </c>
      <c r="Q28" s="863">
        <f t="shared" si="28"/>
        <v>0</v>
      </c>
      <c r="R28" s="864">
        <f t="shared" si="28"/>
        <v>0</v>
      </c>
      <c r="S28" s="864">
        <f t="shared" si="28"/>
        <v>0</v>
      </c>
      <c r="T28" s="865">
        <f t="shared" si="28"/>
        <v>1699.5140707344181</v>
      </c>
      <c r="U28" s="866">
        <f>PERCENTILE(U$8:U$21,$B28)</f>
        <v>2.2374999999999998</v>
      </c>
      <c r="V28" s="863" t="s">
        <v>78</v>
      </c>
      <c r="W28" s="867">
        <f>W62</f>
        <v>3155.4427663276251</v>
      </c>
      <c r="X28" s="863">
        <f t="shared" ref="X28:Y31" si="29">X23</f>
        <v>150</v>
      </c>
      <c r="Y28" s="867">
        <f t="shared" si="29"/>
        <v>83.244660850000002</v>
      </c>
      <c r="Z28" s="863" t="s">
        <v>78</v>
      </c>
      <c r="AA28" s="867">
        <f>AA62</f>
        <v>3265.076855915765</v>
      </c>
      <c r="AB28" s="1164"/>
      <c r="AC28" s="1167"/>
      <c r="AD28" s="1167"/>
      <c r="AE28" s="1132"/>
      <c r="AF28" s="1132"/>
      <c r="AG28" s="1132"/>
      <c r="AH28" s="1132"/>
      <c r="AI28" s="1132"/>
      <c r="AJ28" s="1132"/>
      <c r="AK28" s="1132"/>
      <c r="AL28" s="1144"/>
      <c r="AM28" s="1144"/>
      <c r="AN28" s="1168"/>
      <c r="AO28" s="1163"/>
      <c r="AP28" s="1163"/>
      <c r="AQ28" s="1163"/>
      <c r="AR28" s="1163"/>
      <c r="AS28" s="1163"/>
      <c r="AT28" s="1163"/>
      <c r="AU28" s="1163"/>
      <c r="AV28" s="1163"/>
      <c r="AW28" s="1163"/>
      <c r="AX28" s="1163"/>
      <c r="AY28" s="1163"/>
      <c r="AZ28" s="1163"/>
      <c r="BA28" s="1163"/>
      <c r="BB28" s="1163"/>
      <c r="BC28" s="1163"/>
      <c r="BD28" s="1163"/>
      <c r="BE28" s="1163"/>
      <c r="BF28" s="1163"/>
      <c r="BG28" s="1163"/>
      <c r="BH28" s="1163"/>
      <c r="BI28" s="1163"/>
      <c r="BJ28" s="1163"/>
      <c r="BK28" s="1163"/>
      <c r="BL28" s="1163"/>
      <c r="BM28" s="1163"/>
    </row>
    <row r="29" spans="1:65" s="17" customFormat="1" ht="20.25" customHeight="1" outlineLevel="1">
      <c r="A29" s="1120"/>
      <c r="B29" s="1163">
        <v>0.5</v>
      </c>
      <c r="C29" s="868" t="s">
        <v>8</v>
      </c>
      <c r="D29" s="869" t="e">
        <f t="shared" si="26"/>
        <v>#NUM!</v>
      </c>
      <c r="E29" s="869" t="e">
        <f t="shared" si="26"/>
        <v>#NUM!</v>
      </c>
      <c r="F29" s="870"/>
      <c r="G29" s="870"/>
      <c r="H29" s="870"/>
      <c r="I29" s="869">
        <f t="shared" si="27"/>
        <v>699.33904651725015</v>
      </c>
      <c r="J29" s="871">
        <f t="shared" si="27"/>
        <v>0</v>
      </c>
      <c r="K29" s="872">
        <f t="shared" si="27"/>
        <v>0</v>
      </c>
      <c r="L29" s="872">
        <f t="shared" si="27"/>
        <v>0</v>
      </c>
      <c r="M29" s="873">
        <f t="shared" si="27"/>
        <v>581.88041317006264</v>
      </c>
      <c r="N29" s="874">
        <f>PERCENTILE(N$8:N$21,$B29)</f>
        <v>0.8</v>
      </c>
      <c r="O29" s="871" t="s">
        <v>78</v>
      </c>
      <c r="P29" s="869">
        <f t="shared" si="28"/>
        <v>1311.3675317257128</v>
      </c>
      <c r="Q29" s="871">
        <f t="shared" si="28"/>
        <v>0</v>
      </c>
      <c r="R29" s="872">
        <f t="shared" si="28"/>
        <v>0</v>
      </c>
      <c r="S29" s="872">
        <f t="shared" si="28"/>
        <v>0</v>
      </c>
      <c r="T29" s="873">
        <f t="shared" si="28"/>
        <v>1356.443565</v>
      </c>
      <c r="U29" s="874">
        <f>PERCENTILE(U$8:U$21,$B29)</f>
        <v>1.7749999999999999</v>
      </c>
      <c r="V29" s="871" t="s">
        <v>78</v>
      </c>
      <c r="W29" s="875">
        <f>W63</f>
        <v>2762.0417156675203</v>
      </c>
      <c r="X29" s="871">
        <f t="shared" si="29"/>
        <v>39.8748383</v>
      </c>
      <c r="Y29" s="875">
        <f t="shared" si="29"/>
        <v>43.974956599999999</v>
      </c>
      <c r="Z29" s="871" t="s">
        <v>78</v>
      </c>
      <c r="AA29" s="875">
        <f>AA63</f>
        <v>3035.1586874250002</v>
      </c>
      <c r="AB29" s="1164"/>
      <c r="AC29" s="1167"/>
      <c r="AD29" s="1167"/>
      <c r="AE29" s="1132"/>
      <c r="AF29" s="1132"/>
      <c r="AG29" s="1132"/>
      <c r="AH29" s="1132"/>
      <c r="AI29" s="1132"/>
      <c r="AJ29" s="1132"/>
      <c r="AK29" s="1132"/>
      <c r="AL29" s="1144"/>
      <c r="AM29" s="1144"/>
      <c r="AN29" s="1163"/>
      <c r="AO29" s="1163"/>
      <c r="AP29" s="1163"/>
      <c r="AQ29" s="1163"/>
      <c r="AR29" s="1163"/>
      <c r="AS29" s="1163"/>
      <c r="AT29" s="1163"/>
      <c r="AU29" s="1163"/>
      <c r="AV29" s="1163"/>
      <c r="AW29" s="1163"/>
      <c r="AX29" s="1163"/>
      <c r="AY29" s="1163"/>
      <c r="AZ29" s="1163"/>
      <c r="BA29" s="1163"/>
      <c r="BB29" s="1163"/>
      <c r="BC29" s="1163"/>
      <c r="BD29" s="1163"/>
      <c r="BE29" s="1163"/>
      <c r="BF29" s="1163"/>
      <c r="BG29" s="1163"/>
      <c r="BH29" s="1163"/>
      <c r="BI29" s="1163"/>
      <c r="BJ29" s="1163"/>
      <c r="BK29" s="1163"/>
      <c r="BL29" s="1163"/>
      <c r="BM29" s="1163"/>
    </row>
    <row r="30" spans="1:65" s="17" customFormat="1" ht="20.25" customHeight="1" outlineLevel="1">
      <c r="A30" s="1120"/>
      <c r="B30" s="1163">
        <v>0.25</v>
      </c>
      <c r="C30" s="860" t="s">
        <v>7</v>
      </c>
      <c r="D30" s="861" t="e">
        <f t="shared" si="26"/>
        <v>#NUM!</v>
      </c>
      <c r="E30" s="861" t="e">
        <f t="shared" si="26"/>
        <v>#NUM!</v>
      </c>
      <c r="F30" s="862"/>
      <c r="G30" s="862"/>
      <c r="H30" s="862"/>
      <c r="I30" s="861">
        <f t="shared" si="27"/>
        <v>633.52954980975005</v>
      </c>
      <c r="J30" s="863">
        <f t="shared" si="27"/>
        <v>0</v>
      </c>
      <c r="K30" s="864">
        <f t="shared" si="27"/>
        <v>0</v>
      </c>
      <c r="L30" s="864">
        <f t="shared" si="27"/>
        <v>0</v>
      </c>
      <c r="M30" s="865">
        <f t="shared" si="27"/>
        <v>492.793711078125</v>
      </c>
      <c r="N30" s="866">
        <f>PERCENTILE(N$8:N$21,$B30)</f>
        <v>0.76249999999999996</v>
      </c>
      <c r="O30" s="863" t="s">
        <v>78</v>
      </c>
      <c r="P30" s="861">
        <f t="shared" si="28"/>
        <v>1112.7061800000001</v>
      </c>
      <c r="Q30" s="863">
        <f t="shared" si="28"/>
        <v>0</v>
      </c>
      <c r="R30" s="864">
        <f t="shared" si="28"/>
        <v>0</v>
      </c>
      <c r="S30" s="864">
        <f t="shared" si="28"/>
        <v>0</v>
      </c>
      <c r="T30" s="865">
        <f t="shared" si="28"/>
        <v>1073.6850731249999</v>
      </c>
      <c r="U30" s="866">
        <f>PERCENTILE(U$8:U$21,$B30)</f>
        <v>1.7</v>
      </c>
      <c r="V30" s="863" t="s">
        <v>78</v>
      </c>
      <c r="W30" s="867">
        <f>W64</f>
        <v>2315.9972951805821</v>
      </c>
      <c r="X30" s="863">
        <f t="shared" si="29"/>
        <v>31.516999999999999</v>
      </c>
      <c r="Y30" s="867">
        <f t="shared" si="29"/>
        <v>11.638</v>
      </c>
      <c r="Z30" s="863" t="s">
        <v>78</v>
      </c>
      <c r="AA30" s="867">
        <f>AA64</f>
        <v>2434.8269160250002</v>
      </c>
      <c r="AB30" s="1164"/>
      <c r="AC30" s="1167"/>
      <c r="AD30" s="1167"/>
      <c r="AE30" s="1132"/>
      <c r="AF30" s="1132"/>
      <c r="AG30" s="1132"/>
      <c r="AH30" s="1132"/>
      <c r="AI30" s="1132"/>
      <c r="AJ30" s="1132"/>
      <c r="AK30" s="1132"/>
      <c r="AL30" s="1144"/>
      <c r="AM30" s="1144"/>
      <c r="AN30" s="1163"/>
      <c r="AO30" s="1163"/>
      <c r="AP30" s="1163"/>
      <c r="AQ30" s="1163"/>
      <c r="AR30" s="1163"/>
      <c r="AS30" s="1163"/>
      <c r="AT30" s="1163"/>
      <c r="AU30" s="1163"/>
      <c r="AV30" s="1163"/>
      <c r="AW30" s="1163"/>
      <c r="AX30" s="1163"/>
      <c r="AY30" s="1163"/>
      <c r="AZ30" s="1163"/>
      <c r="BA30" s="1163"/>
      <c r="BB30" s="1163"/>
      <c r="BC30" s="1163"/>
      <c r="BD30" s="1163"/>
      <c r="BE30" s="1163"/>
      <c r="BF30" s="1163"/>
      <c r="BG30" s="1163"/>
      <c r="BH30" s="1163"/>
      <c r="BI30" s="1163"/>
      <c r="BJ30" s="1163"/>
      <c r="BK30" s="1163"/>
      <c r="BL30" s="1163"/>
      <c r="BM30" s="1163"/>
    </row>
    <row r="31" spans="1:65" s="17" customFormat="1" ht="20.25" customHeight="1" outlineLevel="1">
      <c r="A31" s="1120"/>
      <c r="B31" s="1120"/>
      <c r="C31" s="876" t="s">
        <v>6</v>
      </c>
      <c r="D31" s="877" t="e">
        <f>AVERAGE(D13:D26)</f>
        <v>#NUM!</v>
      </c>
      <c r="E31" s="877" t="e">
        <f>AVERAGE(E13:E26)</f>
        <v>#NUM!</v>
      </c>
      <c r="F31" s="876"/>
      <c r="G31" s="876"/>
      <c r="H31" s="876"/>
      <c r="I31" s="877">
        <f t="shared" si="27"/>
        <v>726.88663261053568</v>
      </c>
      <c r="J31" s="878">
        <f t="shared" si="27"/>
        <v>0</v>
      </c>
      <c r="K31" s="879">
        <f t="shared" si="27"/>
        <v>0</v>
      </c>
      <c r="L31" s="879">
        <f t="shared" si="27"/>
        <v>0</v>
      </c>
      <c r="M31" s="880">
        <f t="shared" si="27"/>
        <v>573.97271934275182</v>
      </c>
      <c r="N31" s="881">
        <f>AVERAGE(N13:N26)</f>
        <v>0.80796703296703298</v>
      </c>
      <c r="O31" s="878" t="s">
        <v>78</v>
      </c>
      <c r="P31" s="877">
        <f t="shared" si="28"/>
        <v>1300.8593519532874</v>
      </c>
      <c r="Q31" s="878">
        <f t="shared" si="28"/>
        <v>0</v>
      </c>
      <c r="R31" s="879">
        <f t="shared" si="28"/>
        <v>0</v>
      </c>
      <c r="S31" s="879">
        <f t="shared" si="28"/>
        <v>0</v>
      </c>
      <c r="T31" s="880">
        <f t="shared" si="28"/>
        <v>1411.6079421382462</v>
      </c>
      <c r="U31" s="881">
        <f>AVERAGE(U13:U26)</f>
        <v>2.0085600022109742</v>
      </c>
      <c r="V31" s="878" t="s">
        <v>78</v>
      </c>
      <c r="W31" s="882">
        <f>W65</f>
        <v>2712.4672940915334</v>
      </c>
      <c r="X31" s="878">
        <f t="shared" si="29"/>
        <v>92.63938092222223</v>
      </c>
      <c r="Y31" s="882">
        <f t="shared" si="29"/>
        <v>81.295620470833342</v>
      </c>
      <c r="Z31" s="878" t="s">
        <v>78</v>
      </c>
      <c r="AA31" s="882">
        <f>AA65</f>
        <v>2841.70314223082</v>
      </c>
      <c r="AB31" s="1164"/>
      <c r="AC31" s="1167"/>
      <c r="AD31" s="1167"/>
      <c r="AE31" s="1132"/>
      <c r="AF31" s="1132"/>
      <c r="AG31" s="1132"/>
      <c r="AH31" s="1132"/>
      <c r="AI31" s="1132"/>
      <c r="AJ31" s="1132"/>
      <c r="AK31" s="1132"/>
      <c r="AL31" s="1144"/>
      <c r="AM31" s="1144"/>
      <c r="AN31" s="1163"/>
      <c r="AO31" s="1163"/>
      <c r="AP31" s="1163"/>
      <c r="AQ31" s="1163"/>
      <c r="AR31" s="1163"/>
      <c r="AS31" s="1163"/>
      <c r="AT31" s="1163"/>
      <c r="AU31" s="1163"/>
      <c r="AV31" s="1163"/>
      <c r="AW31" s="1163"/>
      <c r="AX31" s="1163"/>
      <c r="AY31" s="1163"/>
      <c r="AZ31" s="1163"/>
      <c r="BA31" s="1163"/>
      <c r="BB31" s="1163"/>
      <c r="BC31" s="1163"/>
      <c r="BD31" s="1163"/>
      <c r="BE31" s="1163"/>
      <c r="BF31" s="1163"/>
      <c r="BG31" s="1163"/>
      <c r="BH31" s="1163"/>
      <c r="BI31" s="1163"/>
      <c r="BJ31" s="1163"/>
      <c r="BK31" s="1163"/>
      <c r="BL31" s="1163"/>
      <c r="BM31" s="1163"/>
    </row>
    <row r="32" spans="1:65" ht="7.5" customHeight="1">
      <c r="A32" s="1120"/>
      <c r="B32" s="1120"/>
      <c r="C32" s="883"/>
      <c r="D32" s="883"/>
      <c r="E32" s="883"/>
      <c r="F32" s="883"/>
      <c r="G32" s="883"/>
      <c r="H32" s="883"/>
      <c r="I32" s="884"/>
      <c r="J32" s="885"/>
      <c r="K32" s="886"/>
      <c r="L32" s="886"/>
      <c r="M32" s="884"/>
      <c r="N32" s="887"/>
      <c r="O32" s="885"/>
      <c r="P32" s="884"/>
      <c r="Q32" s="884"/>
      <c r="R32" s="887"/>
      <c r="S32" s="887"/>
      <c r="T32" s="885"/>
      <c r="U32" s="886"/>
      <c r="V32" s="885"/>
      <c r="W32" s="884"/>
      <c r="X32" s="886"/>
      <c r="Y32" s="885"/>
      <c r="Z32" s="884"/>
      <c r="AA32" s="884"/>
      <c r="AB32" s="1108"/>
      <c r="AC32" s="883"/>
      <c r="AD32" s="883"/>
      <c r="AE32" s="1132"/>
      <c r="AF32" s="1132"/>
      <c r="AG32" s="1132"/>
      <c r="AH32" s="1132"/>
      <c r="AI32" s="1132"/>
      <c r="AJ32" s="1132"/>
      <c r="AK32" s="1132"/>
      <c r="AL32" s="1144"/>
      <c r="AM32" s="1144"/>
      <c r="AN32" s="1120"/>
      <c r="AO32" s="1120"/>
      <c r="AP32" s="1120"/>
      <c r="AQ32" s="1120"/>
      <c r="AR32" s="1120"/>
      <c r="AS32" s="1120"/>
      <c r="AT32" s="1120"/>
      <c r="AU32" s="1120"/>
      <c r="AV32" s="1120"/>
      <c r="AW32" s="1120"/>
      <c r="AX32" s="1120"/>
      <c r="AY32" s="1120"/>
      <c r="AZ32" s="1120"/>
      <c r="BA32" s="1120"/>
      <c r="BB32" s="1120"/>
      <c r="BC32" s="1120"/>
      <c r="BD32" s="1120"/>
      <c r="BE32" s="1120"/>
      <c r="BF32" s="1120"/>
      <c r="BG32" s="1120"/>
      <c r="BH32" s="1120"/>
      <c r="BI32" s="1120"/>
      <c r="BJ32" s="1120"/>
      <c r="BK32" s="1120"/>
      <c r="BL32" s="1120"/>
      <c r="BM32" s="1120"/>
    </row>
    <row r="33" spans="1:65" s="35" customFormat="1" ht="20.25" customHeight="1">
      <c r="A33" s="1169" t="str">
        <f>$B33&amp;"_"&amp;$C$3&amp;"_"&amp;$C$2</f>
        <v>TSX:HBM_2025_COO</v>
      </c>
      <c r="B33" s="1169" t="str">
        <f>'Raw Data'!H6</f>
        <v>TSX:HBM</v>
      </c>
      <c r="C33" s="888" t="str">
        <f>IFERROR(INDEX(Raw_Data,MATCH($A33,Look_Up2,0),MATCH(C$4,Component,0)),"-")</f>
        <v>Hudbay Minerals Inc.</v>
      </c>
      <c r="D33" s="889" t="str">
        <f>_xll.ciqfunctions.udf.CIQ(B33, "IQ_MARKETCAP", $A$1,$A$2)</f>
        <v>#PEND</v>
      </c>
      <c r="E33" s="889" t="str">
        <f>_xll.ciqfunctions.udf.CIQ($B33, "IQ_TEV", $A$1,$A$2)</f>
        <v>#PEND</v>
      </c>
      <c r="F33" s="890" t="str">
        <f>IFERROR(INDEX(Raw_Data,MATCH($A33,Look_Up2,0),MATCH(F$4,Component,0)),"-")</f>
        <v>Andre Lauzon</v>
      </c>
      <c r="G33" s="890" t="str">
        <f>IFERROR(INDEX(Raw_Data,MATCH($A33,Look_Up2,0),MATCH(G$4,Component,0)),"-")</f>
        <v>COO</v>
      </c>
      <c r="H33" s="890">
        <f>IFERROR(INDEX(Raw_Data,MATCH($A33,Look_Up2,0),MATCH(H$4,Component,0))/1000,"-")</f>
        <v>696.57</v>
      </c>
      <c r="I33" s="889">
        <f>IFERROR(INDEX(Raw_Data,MATCH($A33,Look_Up2,0),MATCH(I$4,Component,0))/1000,"-")</f>
        <v>696.57</v>
      </c>
      <c r="J33" s="889">
        <f>IFERROR(INDEX(Raw_Data,MATCH($A33,Look_Up2,0),MATCH(J$4,Component,0))/1000,"-")</f>
        <v>749.952</v>
      </c>
      <c r="K33" s="891">
        <f>IFERROR(INDEX(Raw_Data,MATCH($A33,Look_Up2,0),MATCH(K$4,Component,0)),"-")</f>
        <v>1.0766355140186916</v>
      </c>
      <c r="L33" s="891">
        <f>IFERROR(INDEX(Raw_Data,MATCH($A33,Look_Up2,0),MATCH(L$4,Component,0)),"-")</f>
        <v>1.1211787203450754</v>
      </c>
      <c r="M33" s="889">
        <f>IFERROR(INDEX(Raw_Data,MATCH($A33,Look_Up2,0),MATCH(M$4,Component,0))/1000,"-")</f>
        <v>626.91300000000001</v>
      </c>
      <c r="N33" s="891">
        <f>IFERROR(IF(INDEX(Raw_Data,MATCH($A33,Look_Up2,0),MATCH(N$4,Component,0))="-",L33,INDEX(Raw_Data,MATCH($A33,Look_Up2,0),MATCH(N$4,Component,0))),"-")</f>
        <v>0.9</v>
      </c>
      <c r="O33" s="889" t="s">
        <v>78</v>
      </c>
      <c r="P33" s="889">
        <f>IFERROR(INDEX(Raw_Data,MATCH($A33,Look_Up2,0),MATCH(P$4,Component,0))/1000,"-")</f>
        <v>1323.4829999999999</v>
      </c>
      <c r="Q33" s="889">
        <f>IFERROR(INDEX(Raw_Data,MATCH($A33,Look_Up2,0),MATCH(Q$4,Component,0))/1000,"-")</f>
        <v>1106.7</v>
      </c>
      <c r="R33" s="891" t="str">
        <f>IFERROR(INDEX(Raw_Data,MATCH($A33,Look_Up2,0),MATCH(R$4,Component,0)),"-")</f>
        <v>-</v>
      </c>
      <c r="S33" s="891" t="str">
        <f>IFERROR(INDEX(Raw_Data,MATCH($A33,Look_Up2,0),MATCH(S$4,Component,0)),"-")</f>
        <v>N/A</v>
      </c>
      <c r="T33" s="889">
        <f>IFERROR(INDEX(Raw_Data,MATCH($A33,Look_Up2,0),MATCH(T$4,Component,0))/1000,"-")</f>
        <v>1253.826</v>
      </c>
      <c r="U33" s="891">
        <f>IFERROR(IF(INDEX(Raw_Data,MATCH($A33,Look_Up2,0),MATCH(U$4,Component,0))="-",S33,INDEX(Raw_Data,MATCH($A33,Look_Up2,0),MATCH(U$4,Component,0))),"-")</f>
        <v>1.8</v>
      </c>
      <c r="V33" s="889" t="s">
        <v>78</v>
      </c>
      <c r="W33" s="889">
        <f>IFERROR(INDEX(Raw_Data,MATCH($A33,Look_Up2,0),MATCH(W$4,Component,0))/1000,"-")</f>
        <v>2577.3090000000002</v>
      </c>
      <c r="X33" s="892">
        <f>IFERROR((INDEX(Raw_Data,MATCH($A33,Look_Up2,0),MATCH(X$4,Component,0))/1000),"-")</f>
        <v>44.31</v>
      </c>
      <c r="Y33" s="889" t="str">
        <f>IFERROR((INDEX(Raw_Data,MATCH($A33,Look_Up2,0),MATCH(Y$4,Component,0))/1000),"-")</f>
        <v>-</v>
      </c>
      <c r="Z33" s="889">
        <f>IFERROR(INDEX(Raw_Data,MATCH($A33,Look_Up2,0),MATCH(Z$4,Component,0))/1000,"-")</f>
        <v>2597.5320000000002</v>
      </c>
      <c r="AA33" s="893">
        <f>IFERROR(INDEX(Raw_Data,MATCH($A33,Look_Up2,0),MATCH(AA$4,Component,0))/1000,"-")</f>
        <v>2621.6190000000001</v>
      </c>
      <c r="AB33" s="1164">
        <f>AA33/W33</f>
        <v>1.0171923506261764</v>
      </c>
      <c r="AC33" s="1170">
        <f>IFERROR(P33/W33,0)</f>
        <v>0.51351351351351349</v>
      </c>
      <c r="AD33" s="1171">
        <f>IFERROR(T33/W33,0)</f>
        <v>0.48648648648648646</v>
      </c>
      <c r="AE33" s="1132" t="str">
        <f>B33&amp;"_"&amp;$AE$6&amp;"_"&amp;$C$2</f>
        <v>TSX:HBM_2024_COO</v>
      </c>
      <c r="AF33" s="1132"/>
      <c r="AG33" s="1132"/>
      <c r="AH33" s="1132"/>
      <c r="AI33" s="1132"/>
      <c r="AJ33" s="1132"/>
      <c r="AK33" s="1132"/>
      <c r="AL33" s="1144"/>
      <c r="AM33" s="1144"/>
      <c r="AN33" s="1169"/>
      <c r="AO33" s="1169"/>
      <c r="AP33" s="1169"/>
      <c r="AQ33" s="1169"/>
      <c r="AR33" s="1169"/>
      <c r="AS33" s="1169"/>
      <c r="AT33" s="1169"/>
      <c r="AU33" s="1169"/>
      <c r="AV33" s="1169"/>
      <c r="AW33" s="1169"/>
      <c r="AX33" s="1169"/>
      <c r="AY33" s="1169"/>
      <c r="AZ33" s="1169"/>
      <c r="BA33" s="1169"/>
      <c r="BB33" s="1169"/>
      <c r="BC33" s="1169"/>
      <c r="BD33" s="1169"/>
      <c r="BE33" s="1169"/>
      <c r="BF33" s="1169"/>
      <c r="BG33" s="1169"/>
      <c r="BH33" s="1169"/>
      <c r="BI33" s="1169"/>
      <c r="BJ33" s="1169"/>
      <c r="BK33" s="1169"/>
      <c r="BL33" s="1169"/>
      <c r="BM33" s="1169"/>
    </row>
    <row r="34" spans="1:65" ht="20.25" customHeight="1">
      <c r="A34" s="1120"/>
      <c r="B34" s="1172"/>
      <c r="C34" s="894" t="s">
        <v>5</v>
      </c>
      <c r="D34" s="895" t="str">
        <f>IF(D$33&gt;=MAX(D$8:D$21),"max",IF(D$33&lt;=MIN(D$8:D$21),"min",PERCENTRANK(D$8:D$21,D$33)))</f>
        <v>max</v>
      </c>
      <c r="E34" s="895" t="str">
        <f>IF(E$33&gt;=MAX(E$8:E$21),"max",IF(E$33&lt;=MIN(E$8:E$21),"min",PERCENTRANK(E$8:E$21,E$33)))</f>
        <v>max</v>
      </c>
      <c r="F34" s="896"/>
      <c r="G34" s="896"/>
      <c r="H34" s="896"/>
      <c r="I34" s="895">
        <f>IF(I$33&gt;=MAX(I$41:I$60),"max",IF(I$33&lt;=MIN(I$41:I$60),"min",PERCENTRANK(I$41:I$60,I$33)))</f>
        <v>0.47499999999999998</v>
      </c>
      <c r="J34" s="895">
        <f>IF(J$33&gt;=MAX(J$8:J$21),"max",IF(J$33&lt;=MIN(J$8:J$21),"min",PERCENTRANK(J$8:J$21,J$33)))</f>
        <v>0.51100000000000001</v>
      </c>
      <c r="K34" s="895">
        <f>IF(K$33&gt;=MAX(K$8:K$21),"max",IF(K$33&lt;=MIN(K$8:K$21),"min",PERCENTRANK(K$8:K$21,K$33)))</f>
        <v>0.55200000000000005</v>
      </c>
      <c r="L34" s="895">
        <f>IF(L$33&gt;=MAX(L$8:L$21),"max",IF(L$33&lt;=MIN(L$8:L$21),"min",PERCENTRANK(L$8:L$21,L$33)))</f>
        <v>0.65</v>
      </c>
      <c r="M34" s="895">
        <f>IF(M$33&gt;=MAX(M$41:M$60),"max",IF(M$33&lt;=MIN(M$41:M$60),"min",PERCENTRANK(M$41:M$60,M$33)))</f>
        <v>0.622</v>
      </c>
      <c r="N34" s="895">
        <f>IF(N$33&gt;=MAX(N$8:N$21),"max",IF(N$33&lt;=MIN(N$8:N$21),"min",PERCENTRANK(N$8:N$21,N$33)))</f>
        <v>0.76900000000000002</v>
      </c>
      <c r="O34" s="895" t="s">
        <v>78</v>
      </c>
      <c r="P34" s="895">
        <f>IF(P$33&gt;=MAX(P$41:P$60),"max",IF(P$33&lt;=MIN(P$41:P$60),"min",PERCENTRANK(P$41:P$60,P$33)))</f>
        <v>0.51800000000000002</v>
      </c>
      <c r="Q34" s="895">
        <f>IF(Q$33&gt;=MAX(Q$8:Q$21),"max",IF(Q$33&lt;=MIN(Q$8:Q$21),"min",PERCENTRANK(Q$8:Q$21,Q$33)))</f>
        <v>0.29599999999999999</v>
      </c>
      <c r="R34" s="895" t="str">
        <f>IF(R$33&gt;=MAX(R$8:R$21),"max",IF(R$33&lt;=MIN(R$8:R$21),"min",PERCENTRANK(R$8:R$21,R$33)))</f>
        <v>max</v>
      </c>
      <c r="S34" s="895" t="str">
        <f>IF(S$33&gt;=MAX(S$8:S$21),"max",IF(S$33&lt;=MIN(S$8:S$21),"min",PERCENTRANK(S$8:S$21,S$33)))</f>
        <v>max</v>
      </c>
      <c r="T34" s="895">
        <f>IF(T$33&gt;=MAX(T$41:T$60),"max",IF(T$33&lt;=MIN(T$41:T$60),"min",PERCENTRANK(T$41:T$60,T$33)))</f>
        <v>0.47399999999999998</v>
      </c>
      <c r="U34" s="895">
        <f>IF(U$33&gt;=MAX(U$8:U$21),"max",IF(U$33&lt;=MIN(U$8:U$21),"min",PERCENTRANK(U$8:U$21,U$33)))</f>
        <v>0.53800000000000003</v>
      </c>
      <c r="V34" s="895" t="s">
        <v>78</v>
      </c>
      <c r="W34" s="895">
        <f>IF(W$33&gt;=MAX(W$41:W$60),"max",IF(W$33&lt;=MIN(W$41:W$60),"min",PERCENTRANK(W$41:W$60,W$33)))</f>
        <v>0.45900000000000002</v>
      </c>
      <c r="X34" s="895">
        <f>IF(X$33&gt;=MAX(X$8:X$21),"max",IF(X$33&lt;=MIN(X$8:X$21),"min",PERCENTRANK(X$8:X$21,X$33)))</f>
        <v>0.505</v>
      </c>
      <c r="Y34" s="895" t="str">
        <f>IF(Y$33&gt;=MAX(Y$8:Y$21),"max",IF(Y$33&lt;=MIN(Y$8:Y$21),"min",PERCENTRANK(Y$8:Y$21,Y$33)))</f>
        <v>max</v>
      </c>
      <c r="Z34" s="895">
        <f>IF(Z$33&gt;=MAX(Z$8:Z$21),"max",IF(Z$33&lt;=MIN(Z$8:Z$21),"min",PERCENTRANK(Z$8:Z$21,Z$33)))</f>
        <v>0.38800000000000001</v>
      </c>
      <c r="AA34" s="897">
        <f>IF(AA$33&gt;=MAX(AA$41:AA$60),"max",IF(AA$33&lt;=MIN(AA$41:AA$60),"min",PERCENTRANK(AA$41:AA$60,AA$33)))</f>
        <v>0.38200000000000001</v>
      </c>
      <c r="AB34" s="1108"/>
      <c r="AC34" s="1173">
        <f>IF(AC$33&gt;=MAX(AC$8:AC21),"max",IF(AC$33&lt;=MIN(AC$8:AC21),"min",PERCENTRANK(AC$8:AC21,AC$33)))</f>
        <v>0.74099999999999999</v>
      </c>
      <c r="AD34" s="1174">
        <f>IF(AD$33&gt;=MAX(AD$8:AD21),"max",IF(AD$33&lt;=MIN(AD$8:AD21),"min",PERCENTRANK(AD$8:AD21,AD$33)))</f>
        <v>0.25800000000000001</v>
      </c>
      <c r="AE34" s="1132"/>
      <c r="AF34" s="1132"/>
      <c r="AG34" s="1132"/>
      <c r="AH34" s="1132"/>
      <c r="AI34" s="1132"/>
      <c r="AJ34" s="1132"/>
      <c r="AK34" s="1132"/>
      <c r="AL34" s="1144"/>
      <c r="AM34" s="1144"/>
      <c r="AN34" s="1120"/>
      <c r="AO34" s="1120"/>
      <c r="AP34" s="1120"/>
      <c r="AQ34" s="1120"/>
      <c r="AR34" s="1120"/>
      <c r="AS34" s="1120"/>
      <c r="AT34" s="1120"/>
      <c r="AU34" s="1120"/>
      <c r="AV34" s="1120"/>
      <c r="AW34" s="1120"/>
      <c r="AX34" s="1120"/>
      <c r="AY34" s="1120"/>
      <c r="AZ34" s="1120"/>
      <c r="BA34" s="1120"/>
      <c r="BB34" s="1120"/>
      <c r="BC34" s="1120"/>
      <c r="BD34" s="1120"/>
      <c r="BE34" s="1120"/>
      <c r="BF34" s="1120"/>
      <c r="BG34" s="1120"/>
      <c r="BH34" s="1120"/>
      <c r="BI34" s="1120"/>
      <c r="BJ34" s="1120"/>
      <c r="BK34" s="1120"/>
      <c r="BL34" s="1120"/>
      <c r="BM34" s="1120"/>
    </row>
    <row r="35" spans="1:65" ht="25.5" customHeight="1">
      <c r="A35" s="1120"/>
      <c r="B35" s="1172"/>
      <c r="C35" s="1175"/>
      <c r="D35" s="1175"/>
      <c r="E35" s="1127"/>
      <c r="F35" s="1127"/>
      <c r="G35" s="1127"/>
      <c r="H35" s="1127"/>
      <c r="I35" s="1176"/>
      <c r="J35" s="1176"/>
      <c r="K35" s="1176"/>
      <c r="L35" s="1176"/>
      <c r="M35" s="1176"/>
      <c r="N35" s="1176"/>
      <c r="O35" s="1176"/>
      <c r="P35" s="1176"/>
      <c r="Q35" s="1176"/>
      <c r="R35" s="1176"/>
      <c r="S35" s="1176"/>
      <c r="T35" s="1176"/>
      <c r="U35" s="1176"/>
      <c r="V35" s="1177" t="s">
        <v>779</v>
      </c>
      <c r="W35" s="1176">
        <v>2313.654</v>
      </c>
      <c r="X35" s="1176" t="s">
        <v>788</v>
      </c>
      <c r="Y35" s="1178">
        <f>'Raw Data'!S32/'Raw Data'!Q32 -1</f>
        <v>4.9999761342211402E-2</v>
      </c>
      <c r="Z35" s="1176"/>
      <c r="AA35" s="1176"/>
      <c r="AB35" s="1120"/>
      <c r="AC35" s="1127"/>
      <c r="AD35" s="1127"/>
      <c r="AE35" s="1179"/>
      <c r="AF35" s="1179"/>
      <c r="AG35" s="1179"/>
      <c r="AH35" s="1179"/>
      <c r="AI35" s="1179"/>
      <c r="AJ35" s="1179"/>
      <c r="AK35" s="1179"/>
      <c r="AL35" s="1120"/>
      <c r="AM35" s="1120"/>
      <c r="AN35" s="1120"/>
      <c r="AO35" s="1120"/>
      <c r="AP35" s="1120"/>
      <c r="AQ35" s="1120"/>
      <c r="AR35" s="1120"/>
      <c r="AS35" s="1120"/>
      <c r="AT35" s="1120"/>
      <c r="AU35" s="1120"/>
      <c r="AV35" s="1120"/>
      <c r="AW35" s="1120"/>
      <c r="AX35" s="1120"/>
      <c r="AY35" s="1120"/>
      <c r="AZ35" s="1120"/>
      <c r="BA35" s="1120"/>
      <c r="BB35" s="1120"/>
      <c r="BC35" s="1120"/>
      <c r="BD35" s="1120"/>
      <c r="BE35" s="1120"/>
      <c r="BF35" s="1120"/>
      <c r="BG35" s="1120"/>
      <c r="BH35" s="1120"/>
      <c r="BI35" s="1120"/>
      <c r="BJ35" s="1120"/>
      <c r="BK35" s="1120"/>
      <c r="BL35" s="1120"/>
      <c r="BM35" s="1120"/>
    </row>
    <row r="36" spans="1:65" ht="15" customHeight="1">
      <c r="A36" s="1120"/>
      <c r="B36" s="1172"/>
      <c r="C36" s="1175" t="s">
        <v>243</v>
      </c>
      <c r="D36" s="1175"/>
      <c r="E36" s="1127"/>
      <c r="F36" s="1127"/>
      <c r="G36" s="1127"/>
      <c r="H36" s="1127"/>
      <c r="I36" s="1176"/>
      <c r="J36" s="1176"/>
      <c r="K36" s="1176"/>
      <c r="L36" s="1176"/>
      <c r="M36" s="1176"/>
      <c r="N36" s="1176"/>
      <c r="O36" s="1176"/>
      <c r="P36" s="1176"/>
      <c r="Q36" s="1176"/>
      <c r="R36" s="1176"/>
      <c r="S36" s="1176"/>
      <c r="T36" s="1176"/>
      <c r="U36" s="1176"/>
      <c r="V36" s="1177" t="s">
        <v>780</v>
      </c>
      <c r="W36" s="1178">
        <f>PERCENTRANK(W41:W60,W35)</f>
        <v>0.248</v>
      </c>
      <c r="X36" s="1176" t="s">
        <v>789</v>
      </c>
      <c r="Y36" s="1178">
        <f>W35/W33-1</f>
        <v>-0.10229856024248551</v>
      </c>
      <c r="Z36" s="1176"/>
      <c r="AA36" s="1176"/>
      <c r="AB36" s="1120"/>
      <c r="AC36" s="1127"/>
      <c r="AD36" s="1127"/>
      <c r="AE36" s="1179"/>
      <c r="AF36" s="1179"/>
      <c r="AG36" s="1179"/>
      <c r="AH36" s="1179"/>
      <c r="AI36" s="1179"/>
      <c r="AJ36" s="1179"/>
      <c r="AK36" s="1179"/>
      <c r="AL36" s="1120"/>
      <c r="AM36" s="1120"/>
      <c r="AN36" s="1120"/>
      <c r="AO36" s="1120"/>
      <c r="AP36" s="1120"/>
      <c r="AQ36" s="1120"/>
      <c r="AR36" s="1120"/>
      <c r="AS36" s="1120"/>
      <c r="AT36" s="1120"/>
      <c r="AU36" s="1120"/>
      <c r="AV36" s="1120"/>
      <c r="AW36" s="1120"/>
      <c r="AX36" s="1120"/>
      <c r="AY36" s="1120"/>
      <c r="AZ36" s="1120"/>
      <c r="BA36" s="1120"/>
      <c r="BB36" s="1120"/>
      <c r="BC36" s="1120"/>
      <c r="BD36" s="1120"/>
      <c r="BE36" s="1120"/>
      <c r="BF36" s="1120"/>
      <c r="BG36" s="1120"/>
      <c r="BH36" s="1120"/>
      <c r="BI36" s="1120"/>
      <c r="BJ36" s="1120"/>
      <c r="BK36" s="1120"/>
      <c r="BL36" s="1120"/>
      <c r="BM36" s="1120"/>
    </row>
    <row r="37" spans="1:65" ht="102">
      <c r="A37" s="1120"/>
      <c r="B37" s="1172"/>
      <c r="C37" s="1180"/>
      <c r="D37" s="1180"/>
      <c r="E37" s="1180"/>
      <c r="F37" s="1181" t="s">
        <v>759</v>
      </c>
      <c r="G37" s="1180"/>
      <c r="H37" s="1180"/>
      <c r="I37" s="1180"/>
      <c r="J37" s="1180"/>
      <c r="K37" s="1180"/>
      <c r="L37" s="1180"/>
      <c r="M37" s="1180"/>
      <c r="N37" s="1180"/>
      <c r="O37" s="1180"/>
      <c r="P37" s="1180"/>
      <c r="Q37" s="1180"/>
      <c r="R37" s="1180"/>
      <c r="S37" s="1180"/>
      <c r="T37" s="1180"/>
      <c r="U37" s="1180"/>
      <c r="V37" s="1182" t="s">
        <v>781</v>
      </c>
      <c r="W37" s="1183">
        <f>W29-W35</f>
        <v>448.3877156675203</v>
      </c>
      <c r="X37" s="1180"/>
      <c r="Y37" s="1180"/>
      <c r="Z37" s="1180"/>
      <c r="AA37" s="1180"/>
      <c r="AB37" s="1120"/>
      <c r="AC37" s="1127"/>
      <c r="AD37" s="1127"/>
      <c r="AE37" s="1120"/>
      <c r="AF37" s="1120"/>
      <c r="AG37" s="1120"/>
      <c r="AH37" s="1120"/>
      <c r="AI37" s="1120"/>
      <c r="AJ37" s="1120"/>
      <c r="AK37" s="1120"/>
      <c r="AL37" s="1120"/>
      <c r="AM37" s="1120"/>
      <c r="AN37" s="1120"/>
      <c r="AO37" s="1120"/>
      <c r="AP37" s="1120"/>
      <c r="AQ37" s="1120"/>
      <c r="AR37" s="1120"/>
      <c r="AS37" s="1120"/>
      <c r="AT37" s="1120"/>
      <c r="AU37" s="1120"/>
      <c r="AV37" s="1120"/>
      <c r="AW37" s="1120"/>
      <c r="AX37" s="1120"/>
      <c r="AY37" s="1120"/>
      <c r="AZ37" s="1120"/>
      <c r="BA37" s="1120"/>
      <c r="BB37" s="1120"/>
      <c r="BC37" s="1120"/>
      <c r="BD37" s="1120"/>
      <c r="BE37" s="1120"/>
      <c r="BF37" s="1120"/>
      <c r="BG37" s="1120"/>
      <c r="BH37" s="1120"/>
      <c r="BI37" s="1120"/>
      <c r="BJ37" s="1120"/>
      <c r="BK37" s="1120"/>
      <c r="BL37" s="1120"/>
      <c r="BM37" s="1120"/>
    </row>
    <row r="38" spans="1:65" ht="18">
      <c r="A38" s="1120"/>
      <c r="B38" s="1172"/>
      <c r="C38" s="1184"/>
      <c r="D38" s="1184"/>
      <c r="E38" s="1184"/>
      <c r="F38" s="1184"/>
      <c r="G38" s="1184"/>
      <c r="H38" s="1184"/>
      <c r="I38" s="1184"/>
      <c r="J38" s="1184"/>
      <c r="K38" s="1184"/>
      <c r="L38" s="1184"/>
      <c r="M38" s="1184"/>
      <c r="N38" s="1184"/>
      <c r="O38" s="1184"/>
      <c r="P38" s="1184"/>
      <c r="Q38" s="1184"/>
      <c r="R38" s="1184"/>
      <c r="S38" s="1184"/>
      <c r="T38" s="1184"/>
      <c r="U38" s="1184"/>
      <c r="V38" s="1185" t="s">
        <v>782</v>
      </c>
      <c r="W38" s="1186">
        <f>W35/W29-1</f>
        <v>-0.16233922649468591</v>
      </c>
      <c r="X38" s="1184"/>
      <c r="Y38" s="1184"/>
      <c r="Z38" s="1184"/>
      <c r="AA38" s="1184"/>
      <c r="AB38" s="1120"/>
      <c r="AC38" s="1187"/>
      <c r="AD38" s="1187"/>
      <c r="AE38" s="1120"/>
      <c r="AF38" s="1120"/>
      <c r="AG38" s="1120"/>
      <c r="AH38" s="1120"/>
      <c r="AI38" s="1120"/>
      <c r="AJ38" s="1120"/>
      <c r="AK38" s="1120"/>
      <c r="AL38" s="1120"/>
      <c r="AM38" s="1120"/>
      <c r="AN38" s="1120"/>
      <c r="AO38" s="1120"/>
      <c r="AP38" s="1120"/>
      <c r="AQ38" s="1120"/>
      <c r="AR38" s="1120"/>
      <c r="AS38" s="1120"/>
      <c r="AT38" s="1120"/>
      <c r="AU38" s="1120"/>
      <c r="AV38" s="1120"/>
      <c r="AW38" s="1120"/>
      <c r="AX38" s="1120"/>
      <c r="AY38" s="1120"/>
      <c r="AZ38" s="1120"/>
      <c r="BA38" s="1120"/>
      <c r="BB38" s="1120"/>
      <c r="BC38" s="1120"/>
      <c r="BD38" s="1120"/>
      <c r="BE38" s="1120"/>
      <c r="BF38" s="1120"/>
      <c r="BG38" s="1120"/>
      <c r="BH38" s="1120"/>
      <c r="BI38" s="1120"/>
      <c r="BJ38" s="1120"/>
      <c r="BK38" s="1120"/>
      <c r="BL38" s="1120"/>
      <c r="BM38" s="1120"/>
    </row>
    <row r="39" spans="1:65" ht="18">
      <c r="A39" s="1120"/>
      <c r="B39" s="1172"/>
      <c r="C39" s="1188" t="s">
        <v>110</v>
      </c>
      <c r="D39" s="1189"/>
      <c r="E39" s="1190"/>
      <c r="F39" s="1190"/>
      <c r="G39" s="1190"/>
      <c r="H39" s="1190"/>
      <c r="I39" s="1190"/>
      <c r="J39" s="1190"/>
      <c r="K39" s="1190"/>
      <c r="L39" s="1190"/>
      <c r="M39" s="1190"/>
      <c r="N39" s="1190"/>
      <c r="O39" s="1190"/>
      <c r="P39" s="1190"/>
      <c r="Q39" s="1190"/>
      <c r="R39" s="1190"/>
      <c r="S39" s="1190"/>
      <c r="T39" s="1190"/>
      <c r="U39" s="1190"/>
      <c r="V39" s="1190"/>
      <c r="W39" s="1190"/>
      <c r="X39" s="1190"/>
      <c r="Y39" s="1190"/>
      <c r="Z39" s="1190"/>
      <c r="AA39" s="1190"/>
      <c r="AB39" s="1120"/>
      <c r="AC39" s="1191"/>
      <c r="AD39" s="1191"/>
      <c r="AE39" s="1192"/>
      <c r="AF39" s="1192"/>
      <c r="AG39" s="1192"/>
      <c r="AH39" s="1192"/>
      <c r="AI39" s="1192"/>
      <c r="AJ39" s="1192"/>
      <c r="AK39" s="1192"/>
      <c r="AL39" s="1120"/>
      <c r="AM39" s="1120"/>
      <c r="AN39" s="1120"/>
      <c r="AO39" s="1120"/>
      <c r="AP39" s="1120"/>
      <c r="AQ39" s="1120"/>
      <c r="AR39" s="1120"/>
      <c r="AS39" s="1120"/>
      <c r="AT39" s="1120"/>
      <c r="AU39" s="1120"/>
      <c r="AV39" s="1120"/>
      <c r="AW39" s="1120"/>
      <c r="AX39" s="1120"/>
      <c r="AY39" s="1120"/>
      <c r="AZ39" s="1120"/>
      <c r="BA39" s="1120"/>
      <c r="BB39" s="1120"/>
      <c r="BC39" s="1120"/>
      <c r="BD39" s="1120"/>
      <c r="BE39" s="1120"/>
      <c r="BF39" s="1120"/>
      <c r="BG39" s="1120"/>
      <c r="BH39" s="1120"/>
      <c r="BI39" s="1120"/>
      <c r="BJ39" s="1120"/>
      <c r="BK39" s="1120"/>
      <c r="BL39" s="1120"/>
      <c r="BM39" s="1120"/>
    </row>
    <row r="40" spans="1:65" ht="64">
      <c r="A40" s="1120"/>
      <c r="B40" s="1172"/>
      <c r="C40" s="1193" t="s">
        <v>111</v>
      </c>
      <c r="D40" s="1120"/>
      <c r="E40" s="1184"/>
      <c r="F40" s="1184"/>
      <c r="G40" s="1194" t="s">
        <v>119</v>
      </c>
      <c r="H40" s="1195" t="s">
        <v>115</v>
      </c>
      <c r="I40" s="1195" t="s">
        <v>116</v>
      </c>
      <c r="J40" s="1195"/>
      <c r="K40" s="1195"/>
      <c r="L40" s="1195"/>
      <c r="M40" s="1195" t="s">
        <v>16</v>
      </c>
      <c r="N40" s="1120"/>
      <c r="O40" s="1195"/>
      <c r="P40" s="1195" t="s">
        <v>117</v>
      </c>
      <c r="Q40" s="1195"/>
      <c r="R40" s="1195"/>
      <c r="S40" s="1195"/>
      <c r="T40" s="1195" t="s">
        <v>14</v>
      </c>
      <c r="U40" s="1120"/>
      <c r="V40" s="1195"/>
      <c r="W40" s="1195" t="s">
        <v>118</v>
      </c>
      <c r="X40" s="1120"/>
      <c r="Y40" s="1195"/>
      <c r="Z40" s="1195"/>
      <c r="AA40" s="1195" t="s">
        <v>246</v>
      </c>
      <c r="AB40" s="1120"/>
      <c r="AC40" s="1187"/>
      <c r="AD40" s="1187"/>
      <c r="AE40" s="1120"/>
      <c r="AF40" s="1120"/>
      <c r="AG40" s="1120"/>
      <c r="AH40" s="1120"/>
      <c r="AI40" s="1120"/>
      <c r="AJ40" s="1120"/>
      <c r="AK40" s="1120"/>
      <c r="AL40" s="1120"/>
      <c r="AM40" s="1120"/>
      <c r="AN40" s="1120"/>
      <c r="AO40" s="1120"/>
      <c r="AP40" s="1120"/>
      <c r="AQ40" s="1120"/>
      <c r="AR40" s="1120"/>
      <c r="AS40" s="1120"/>
      <c r="AT40" s="1120"/>
      <c r="AU40" s="1120"/>
      <c r="AV40" s="1120"/>
      <c r="AW40" s="1120"/>
      <c r="AX40" s="1120"/>
      <c r="AY40" s="1120"/>
      <c r="AZ40" s="1120"/>
      <c r="BA40" s="1120"/>
      <c r="BB40" s="1120"/>
      <c r="BC40" s="1120"/>
      <c r="BD40" s="1120"/>
      <c r="BE40" s="1120"/>
      <c r="BF40" s="1120"/>
      <c r="BG40" s="1120"/>
      <c r="BH40" s="1120"/>
      <c r="BI40" s="1120"/>
      <c r="BJ40" s="1120"/>
      <c r="BK40" s="1120"/>
      <c r="BL40" s="1120"/>
      <c r="BM40" s="1120"/>
    </row>
    <row r="41" spans="1:65" ht="19">
      <c r="A41" s="1196" t="str">
        <f t="shared" ref="A41:B52" si="30">A8</f>
        <v>TSX:FM_2025_COO</v>
      </c>
      <c r="B41" s="1196" t="str">
        <f t="shared" si="30"/>
        <v>TSX:FM</v>
      </c>
      <c r="C41" s="1197" t="str">
        <f>_xll.ciqfunctions.udf.CIQ(B41,"IQ_COMPANY_NAME")</f>
        <v>First Quantum Minerals Ltd.</v>
      </c>
      <c r="D41" s="1120"/>
      <c r="E41" s="1184"/>
      <c r="F41" s="1184"/>
      <c r="G41" s="1198" t="s">
        <v>398</v>
      </c>
      <c r="H41" s="1199">
        <f t="shared" ref="H41:H60" si="31">IFERROR(INDEX(Raw_Data,MATCH($A41,Look_Up2,0),MATCH(H$4,Component,0))/1000,"-")</f>
        <v>1145.9090000000001</v>
      </c>
      <c r="I41" s="1199">
        <f>IFERROR(IF(G41="y",IF(H41&lt;&gt;"-",H41,INDEX(Raw_Data,MATCH($A41,Look_Up2,0),MATCH(I$4,Component,0))/1000*(1+'Raw Data'!$H$13)),(INDEX(Raw_Data,MATCH($A41,Look_Up2,0),MATCH(I$4,Component,0))/1000)),"-")</f>
        <v>1145.9090000000001</v>
      </c>
      <c r="J41" s="1200"/>
      <c r="K41" s="1200"/>
      <c r="L41" s="1200"/>
      <c r="M41" s="1199">
        <f t="shared" ref="M41:M52" si="32">IFERROR(I41*N8,"-")</f>
        <v>572.95450000000005</v>
      </c>
      <c r="N41" s="1201"/>
      <c r="O41" s="1200"/>
      <c r="P41" s="1199">
        <f>IFERROR(IF(SUM(M41,I41)=0,"-",SUM(M41,I41)),"-")</f>
        <v>1718.8635000000002</v>
      </c>
      <c r="Q41" s="1200"/>
      <c r="R41" s="1200"/>
      <c r="S41" s="1200"/>
      <c r="T41" s="1199">
        <f t="shared" ref="T41:T52" si="33">IFERROR(I41*U8,"-")</f>
        <v>859.43175000000008</v>
      </c>
      <c r="U41" s="1201"/>
      <c r="V41" s="1200"/>
      <c r="W41" s="1199">
        <f>IFERROR(IF(SUM(T41,P41)=0,"-",SUM(T41,P41)),"-")</f>
        <v>2578.2952500000001</v>
      </c>
      <c r="X41" s="1201"/>
      <c r="Y41" s="1200"/>
      <c r="Z41" s="1200"/>
      <c r="AA41" s="1199">
        <f t="shared" ref="AA41:AA52" si="34">IFERROR(IF(SUM(W41,X8,Y8)=0,"-",SUM(W41,X8,Y8)),"-")</f>
        <v>2961.0442279500003</v>
      </c>
      <c r="AB41" s="1201"/>
      <c r="AC41" s="1120"/>
      <c r="AD41" s="1120"/>
      <c r="AE41" s="1120"/>
      <c r="AF41" s="1120"/>
      <c r="AG41" s="1120"/>
      <c r="AH41" s="1120"/>
      <c r="AI41" s="1120"/>
      <c r="AJ41" s="1120"/>
      <c r="AK41" s="1120"/>
      <c r="AL41" s="1120"/>
      <c r="AM41" s="1120"/>
      <c r="AN41" s="1120"/>
      <c r="AO41" s="1120"/>
      <c r="AP41" s="1120"/>
      <c r="AQ41" s="1120"/>
      <c r="AR41" s="1120"/>
      <c r="AS41" s="1120"/>
      <c r="AT41" s="1120"/>
      <c r="AU41" s="1120"/>
      <c r="AV41" s="1120"/>
      <c r="AW41" s="1120"/>
      <c r="AX41" s="1120"/>
      <c r="AY41" s="1120"/>
      <c r="AZ41" s="1120"/>
      <c r="BA41" s="1120"/>
      <c r="BB41" s="1120"/>
      <c r="BC41" s="1120"/>
      <c r="BD41" s="1120"/>
      <c r="BE41" s="1120"/>
      <c r="BF41" s="1120"/>
      <c r="BG41" s="1120"/>
      <c r="BH41" s="1120"/>
      <c r="BI41" s="1120"/>
      <c r="BJ41" s="1120"/>
      <c r="BK41" s="1120"/>
      <c r="BL41" s="1120"/>
      <c r="BM41" s="1120"/>
    </row>
    <row r="42" spans="1:65" ht="19">
      <c r="A42" s="1196" t="str">
        <f t="shared" si="30"/>
        <v>TSX:K_2025_COO</v>
      </c>
      <c r="B42" s="1196" t="str">
        <f t="shared" si="30"/>
        <v>TSX:K</v>
      </c>
      <c r="C42" s="1197" t="str">
        <f>_xll.ciqfunctions.udf.CIQ(B42,"IQ_COMPANY_NAME")</f>
        <v>Kinross Gold Corporation</v>
      </c>
      <c r="D42" s="1120"/>
      <c r="E42" s="1184"/>
      <c r="F42" s="1184"/>
      <c r="G42" s="1198" t="s">
        <v>398</v>
      </c>
      <c r="H42" s="1202" t="str">
        <f t="shared" si="31"/>
        <v>-</v>
      </c>
      <c r="I42" s="1202">
        <f>IFERROR(IF(G42="y",IF(H42&lt;&gt;"-",H42,INDEX(Raw_Data,MATCH($A42,Look_Up2,0),MATCH(I$4,Component,0))/1000*(1+'Raw Data'!$H$13)),(INDEX(Raw_Data,MATCH($A42,Look_Up2,0),MATCH(I$4,Component,0))/1000)),"-")</f>
        <v>703.61182675200018</v>
      </c>
      <c r="J42" s="1200"/>
      <c r="K42" s="1200"/>
      <c r="L42" s="1200"/>
      <c r="M42" s="1202">
        <f t="shared" si="32"/>
        <v>633.2506440768002</v>
      </c>
      <c r="N42" s="1201"/>
      <c r="O42" s="1200"/>
      <c r="P42" s="1202">
        <f t="shared" ref="P42:P60" si="35">IFERROR(IF(SUM(M42,I42)=0,"-",SUM(M42,I42)),"-")</f>
        <v>1336.8624708288003</v>
      </c>
      <c r="Q42" s="1200"/>
      <c r="R42" s="1200"/>
      <c r="S42" s="1200"/>
      <c r="T42" s="1202">
        <f t="shared" si="33"/>
        <v>1608.9257105062404</v>
      </c>
      <c r="U42" s="1201"/>
      <c r="V42" s="1200"/>
      <c r="W42" s="1202">
        <f t="shared" ref="W42:W60" si="36">IFERROR(IF(SUM(T42,P42)=0,"-",SUM(T42,P42)),"-")</f>
        <v>2945.7881813350405</v>
      </c>
      <c r="X42" s="1201"/>
      <c r="Y42" s="1200"/>
      <c r="Z42" s="1200"/>
      <c r="AA42" s="1202">
        <f t="shared" si="34"/>
        <v>3247.4291612850402</v>
      </c>
      <c r="AB42" s="1201"/>
      <c r="AC42" s="1120"/>
      <c r="AD42" s="1120"/>
      <c r="AE42" s="1120"/>
      <c r="AF42" s="1120"/>
      <c r="AG42" s="1120"/>
      <c r="AH42" s="1120"/>
      <c r="AI42" s="1120"/>
      <c r="AJ42" s="1120"/>
      <c r="AK42" s="1120"/>
      <c r="AL42" s="1120"/>
      <c r="AM42" s="1120"/>
      <c r="AN42" s="1120"/>
      <c r="AO42" s="1120"/>
      <c r="AP42" s="1120"/>
      <c r="AQ42" s="1120"/>
      <c r="AR42" s="1120"/>
      <c r="AS42" s="1120"/>
      <c r="AT42" s="1120"/>
      <c r="AU42" s="1120"/>
      <c r="AV42" s="1120"/>
      <c r="AW42" s="1120"/>
      <c r="AX42" s="1120"/>
      <c r="AY42" s="1120"/>
      <c r="AZ42" s="1120"/>
      <c r="BA42" s="1120"/>
      <c r="BB42" s="1120"/>
      <c r="BC42" s="1120"/>
      <c r="BD42" s="1120"/>
      <c r="BE42" s="1120"/>
      <c r="BF42" s="1120"/>
      <c r="BG42" s="1120"/>
      <c r="BH42" s="1120"/>
      <c r="BI42" s="1120"/>
      <c r="BJ42" s="1120"/>
      <c r="BK42" s="1120"/>
      <c r="BL42" s="1120"/>
      <c r="BM42" s="1120"/>
    </row>
    <row r="43" spans="1:65" ht="19">
      <c r="A43" s="1196" t="str">
        <f t="shared" si="30"/>
        <v>TSX:LUN_2025_COO</v>
      </c>
      <c r="B43" s="1196" t="str">
        <f t="shared" si="30"/>
        <v>TSX:LUN</v>
      </c>
      <c r="C43" s="1197" t="str">
        <f>_xll.ciqfunctions.udf.CIQ(B43,"IQ_COMPANY_NAME")</f>
        <v>Lundin Mining Corporation</v>
      </c>
      <c r="D43" s="1120"/>
      <c r="E43" s="1184"/>
      <c r="F43" s="1184"/>
      <c r="G43" s="1198" t="s">
        <v>398</v>
      </c>
      <c r="H43" s="1202">
        <f t="shared" si="31"/>
        <v>870.99285385000007</v>
      </c>
      <c r="I43" s="1202">
        <f>IFERROR(IF(G43="y",IF(H43&lt;&gt;"-",H43,INDEX(Raw_Data,MATCH($A43,Look_Up2,0),MATCH(I$4,Component,0))/1000*(1+'Raw Data'!$H$13)),(INDEX(Raw_Data,MATCH($A43,Look_Up2,0),MATCH(I$4,Component,0))/1000)),"-")</f>
        <v>870.99285385000007</v>
      </c>
      <c r="J43" s="1200"/>
      <c r="K43" s="1200"/>
      <c r="L43" s="1200"/>
      <c r="M43" s="1202">
        <f t="shared" si="32"/>
        <v>696.79428308000013</v>
      </c>
      <c r="N43" s="1201"/>
      <c r="O43" s="1200"/>
      <c r="P43" s="1202">
        <f t="shared" si="35"/>
        <v>1567.7871369300001</v>
      </c>
      <c r="Q43" s="1200"/>
      <c r="R43" s="1200"/>
      <c r="S43" s="1200"/>
      <c r="T43" s="1202">
        <f t="shared" si="33"/>
        <v>1697.2764423126728</v>
      </c>
      <c r="U43" s="1201"/>
      <c r="V43" s="1200"/>
      <c r="W43" s="1202">
        <f t="shared" si="36"/>
        <v>3265.0635792426729</v>
      </c>
      <c r="X43" s="1201"/>
      <c r="Y43" s="1200"/>
      <c r="Z43" s="1200"/>
      <c r="AA43" s="1202">
        <f t="shared" si="34"/>
        <v>3270.959420792673</v>
      </c>
      <c r="AB43" s="1201"/>
      <c r="AC43" s="1120"/>
      <c r="AD43" s="1120"/>
      <c r="AE43" s="1120"/>
      <c r="AF43" s="1120"/>
      <c r="AG43" s="1120"/>
      <c r="AH43" s="1120"/>
      <c r="AI43" s="1120"/>
      <c r="AJ43" s="1120"/>
      <c r="AK43" s="1120"/>
      <c r="AL43" s="1120"/>
      <c r="AM43" s="1120"/>
      <c r="AN43" s="1120"/>
      <c r="AO43" s="1120"/>
      <c r="AP43" s="1120"/>
      <c r="AQ43" s="1120"/>
      <c r="AR43" s="1120"/>
      <c r="AS43" s="1120"/>
      <c r="AT43" s="1120"/>
      <c r="AU43" s="1120"/>
      <c r="AV43" s="1120"/>
      <c r="AW43" s="1120"/>
      <c r="AX43" s="1120"/>
      <c r="AY43" s="1120"/>
      <c r="AZ43" s="1120"/>
      <c r="BA43" s="1120"/>
      <c r="BB43" s="1120"/>
      <c r="BC43" s="1120"/>
      <c r="BD43" s="1120"/>
      <c r="BE43" s="1120"/>
      <c r="BF43" s="1120"/>
      <c r="BG43" s="1120"/>
      <c r="BH43" s="1120"/>
      <c r="BI43" s="1120"/>
      <c r="BJ43" s="1120"/>
      <c r="BK43" s="1120"/>
      <c r="BL43" s="1120"/>
      <c r="BM43" s="1120"/>
    </row>
    <row r="44" spans="1:65" ht="19">
      <c r="A44" s="1196" t="str">
        <f t="shared" si="30"/>
        <v>TSX:PAAS_2025_COO</v>
      </c>
      <c r="B44" s="1196" t="str">
        <f t="shared" si="30"/>
        <v>TSX:PAAS</v>
      </c>
      <c r="C44" s="1197" t="str">
        <f>_xll.ciqfunctions.udf.CIQ(B44,"IQ_COMPANY_NAME")</f>
        <v>Pan American Silver Corp.</v>
      </c>
      <c r="D44" s="1120"/>
      <c r="E44" s="1120"/>
      <c r="F44" s="1120"/>
      <c r="G44" s="1198" t="s">
        <v>398</v>
      </c>
      <c r="H44" s="1202" t="str">
        <f t="shared" si="31"/>
        <v>-</v>
      </c>
      <c r="I44" s="1202">
        <f>IFERROR(IF(G44="y",IF(H44&lt;&gt;"-",H44,INDEX(Raw_Data,MATCH($A44,Look_Up2,0),MATCH(I$4,Component,0))/1000*(1+'Raw Data'!$H$13)),(INDEX(Raw_Data,MATCH($A44,Look_Up2,0),MATCH(I$4,Component,0))/1000)),"-")</f>
        <v>782.80000000000007</v>
      </c>
      <c r="J44" s="1201"/>
      <c r="K44" s="1201"/>
      <c r="L44" s="1201"/>
      <c r="M44" s="1202">
        <f t="shared" si="32"/>
        <v>626.24000000000012</v>
      </c>
      <c r="N44" s="1201"/>
      <c r="O44" s="1201"/>
      <c r="P44" s="1202">
        <f t="shared" si="35"/>
        <v>1409.0400000000002</v>
      </c>
      <c r="Q44" s="1201"/>
      <c r="R44" s="1201"/>
      <c r="S44" s="1201"/>
      <c r="T44" s="1202">
        <f t="shared" si="33"/>
        <v>1722.1600000000003</v>
      </c>
      <c r="U44" s="1201"/>
      <c r="V44" s="1201"/>
      <c r="W44" s="1202">
        <f t="shared" si="36"/>
        <v>3131.2000000000007</v>
      </c>
      <c r="X44" s="1201"/>
      <c r="Y44" s="1201"/>
      <c r="Z44" s="1201"/>
      <c r="AA44" s="1202">
        <f t="shared" si="34"/>
        <v>3281.2000000000007</v>
      </c>
      <c r="AB44" s="1201"/>
      <c r="AC44" s="1120"/>
      <c r="AD44" s="1120"/>
      <c r="AE44" s="1120"/>
      <c r="AF44" s="1120"/>
      <c r="AG44" s="1120"/>
      <c r="AH44" s="1120"/>
      <c r="AI44" s="1120"/>
      <c r="AJ44" s="1120"/>
      <c r="AK44" s="1120"/>
      <c r="AL44" s="1120"/>
      <c r="AM44" s="1120"/>
      <c r="AN44" s="1120"/>
      <c r="AO44" s="1120"/>
      <c r="AP44" s="1120"/>
      <c r="AQ44" s="1120"/>
      <c r="AR44" s="1120"/>
      <c r="AS44" s="1120"/>
      <c r="AT44" s="1120"/>
      <c r="AU44" s="1120"/>
      <c r="AV44" s="1120"/>
      <c r="AW44" s="1120"/>
      <c r="AX44" s="1120"/>
      <c r="AY44" s="1120"/>
      <c r="AZ44" s="1120"/>
      <c r="BA44" s="1120"/>
      <c r="BB44" s="1120"/>
      <c r="BC44" s="1120"/>
      <c r="BD44" s="1120"/>
      <c r="BE44" s="1120"/>
      <c r="BF44" s="1120"/>
      <c r="BG44" s="1120"/>
      <c r="BH44" s="1120"/>
      <c r="BI44" s="1120"/>
      <c r="BJ44" s="1120"/>
      <c r="BK44" s="1120"/>
      <c r="BL44" s="1120"/>
      <c r="BM44" s="1120"/>
    </row>
    <row r="45" spans="1:65" ht="19">
      <c r="A45" s="1196" t="str">
        <f t="shared" si="30"/>
        <v>TSX:CDE_2025_COO</v>
      </c>
      <c r="B45" s="1196" t="str">
        <f t="shared" si="30"/>
        <v>TSX:CDE</v>
      </c>
      <c r="C45" s="1197" t="str">
        <f>_xll.ciqfunctions.udf.CIQ(B45,"IQ_COMPANY_NAME")</f>
        <v>Coeur Mining, Inc.</v>
      </c>
      <c r="D45" s="1120"/>
      <c r="E45" s="1120"/>
      <c r="F45" s="1120"/>
      <c r="G45" s="1198" t="s">
        <v>398</v>
      </c>
      <c r="H45" s="1202" t="str">
        <f t="shared" si="31"/>
        <v>-</v>
      </c>
      <c r="I45" s="1202">
        <f>IFERROR(IF(G45="y",IF(H45&lt;&gt;"-",H45,INDEX(Raw_Data,MATCH($A45,Look_Up2,0),MATCH(I$4,Component,0))/1000*(1+'Raw Data'!$H$13)),(INDEX(Raw_Data,MATCH($A45,Look_Up2,0),MATCH(I$4,Component,0))/1000)),"-")</f>
        <v>755.6710875</v>
      </c>
      <c r="J45" s="1201"/>
      <c r="K45" s="1201"/>
      <c r="L45" s="1201"/>
      <c r="M45" s="1202">
        <f t="shared" si="32"/>
        <v>755.6710875</v>
      </c>
      <c r="N45" s="1201"/>
      <c r="O45" s="1201"/>
      <c r="P45" s="1202">
        <f t="shared" si="35"/>
        <v>1511.342175</v>
      </c>
      <c r="Q45" s="1201"/>
      <c r="R45" s="1201"/>
      <c r="S45" s="1201"/>
      <c r="T45" s="1202">
        <f t="shared" si="33"/>
        <v>1700.259946875</v>
      </c>
      <c r="U45" s="1201"/>
      <c r="V45" s="1201"/>
      <c r="W45" s="1202">
        <f t="shared" si="36"/>
        <v>3211.6021218750002</v>
      </c>
      <c r="X45" s="1201"/>
      <c r="Y45" s="1201"/>
      <c r="Z45" s="1201"/>
      <c r="AA45" s="1202">
        <f t="shared" si="34"/>
        <v>3312.7062319250003</v>
      </c>
      <c r="AB45" s="1201"/>
      <c r="AC45" s="1120"/>
      <c r="AD45" s="1120"/>
      <c r="AE45" s="1120"/>
      <c r="AF45" s="1120"/>
      <c r="AG45" s="1120"/>
      <c r="AH45" s="1120"/>
      <c r="AI45" s="1120"/>
      <c r="AJ45" s="1120"/>
      <c r="AK45" s="1120"/>
      <c r="AL45" s="1120"/>
      <c r="AM45" s="1120"/>
      <c r="AN45" s="1120"/>
      <c r="AO45" s="1120"/>
      <c r="AP45" s="1120"/>
      <c r="AQ45" s="1120"/>
      <c r="AR45" s="1120"/>
      <c r="AS45" s="1120"/>
      <c r="AT45" s="1120"/>
      <c r="AU45" s="1120"/>
      <c r="AV45" s="1120"/>
      <c r="AW45" s="1120"/>
      <c r="AX45" s="1120"/>
      <c r="AY45" s="1120"/>
      <c r="AZ45" s="1120"/>
      <c r="BA45" s="1120"/>
      <c r="BB45" s="1120"/>
      <c r="BC45" s="1120"/>
      <c r="BD45" s="1120"/>
      <c r="BE45" s="1120"/>
      <c r="BF45" s="1120"/>
      <c r="BG45" s="1120"/>
      <c r="BH45" s="1120"/>
      <c r="BI45" s="1120"/>
      <c r="BJ45" s="1120"/>
      <c r="BK45" s="1120"/>
      <c r="BL45" s="1120"/>
      <c r="BM45" s="1120"/>
    </row>
    <row r="46" spans="1:65" ht="19">
      <c r="A46" s="1196" t="str">
        <f t="shared" si="30"/>
        <v>TSX:AGI_2025_COO</v>
      </c>
      <c r="B46" s="1196" t="str">
        <f t="shared" si="30"/>
        <v>TSX:AGI</v>
      </c>
      <c r="C46" s="1197" t="str">
        <f>_xll.ciqfunctions.udf.CIQ(B46,"IQ_COMPANY_NAME")</f>
        <v>Alamos Gold Inc.</v>
      </c>
      <c r="D46" s="1120"/>
      <c r="E46" s="1120"/>
      <c r="F46" s="1120"/>
      <c r="G46" s="1198" t="s">
        <v>398</v>
      </c>
      <c r="H46" s="1202" t="str">
        <f t="shared" si="31"/>
        <v>-</v>
      </c>
      <c r="I46" s="1202">
        <f>IFERROR(IF(G46="y",IF(H46&lt;&gt;"-",H46,INDEX(Raw_Data,MATCH($A46,Look_Up2,0),MATCH(I$4,Component,0))/1000*(1+'Raw Data'!$H$13)),(INDEX(Raw_Data,MATCH($A46,Look_Up2,0),MATCH(I$4,Component,0))/1000)),"-")</f>
        <v>695.06626628250012</v>
      </c>
      <c r="J46" s="1201"/>
      <c r="K46" s="1201"/>
      <c r="L46" s="1201"/>
      <c r="M46" s="1202">
        <f t="shared" si="32"/>
        <v>590.80632634012511</v>
      </c>
      <c r="N46" s="1201"/>
      <c r="O46" s="1201"/>
      <c r="P46" s="1202">
        <f t="shared" si="35"/>
        <v>1285.8725926226252</v>
      </c>
      <c r="Q46" s="1201"/>
      <c r="R46" s="1201"/>
      <c r="S46" s="1201"/>
      <c r="T46" s="1202">
        <f t="shared" si="33"/>
        <v>1163.5310130997036</v>
      </c>
      <c r="U46" s="1201"/>
      <c r="V46" s="1201"/>
      <c r="W46" s="1202">
        <f t="shared" si="36"/>
        <v>2449.4036057223288</v>
      </c>
      <c r="X46" s="1201"/>
      <c r="Y46" s="1201"/>
      <c r="Z46" s="1201"/>
      <c r="AA46" s="1202">
        <f t="shared" si="34"/>
        <v>2623.3567842723292</v>
      </c>
      <c r="AB46" s="1201"/>
      <c r="AC46" s="1120"/>
      <c r="AD46" s="1120"/>
      <c r="AE46" s="1120"/>
      <c r="AF46" s="1120"/>
      <c r="AG46" s="1120"/>
      <c r="AH46" s="1120"/>
      <c r="AI46" s="1120"/>
      <c r="AJ46" s="1120"/>
      <c r="AK46" s="1120"/>
      <c r="AL46" s="1120"/>
      <c r="AM46" s="1120"/>
      <c r="AN46" s="1120"/>
      <c r="AO46" s="1120"/>
      <c r="AP46" s="1120"/>
      <c r="AQ46" s="1120"/>
      <c r="AR46" s="1120"/>
      <c r="AS46" s="1120"/>
      <c r="AT46" s="1120"/>
      <c r="AU46" s="1120"/>
      <c r="AV46" s="1120"/>
      <c r="AW46" s="1120"/>
      <c r="AX46" s="1120"/>
      <c r="AY46" s="1120"/>
      <c r="AZ46" s="1120"/>
      <c r="BA46" s="1120"/>
      <c r="BB46" s="1120"/>
      <c r="BC46" s="1120"/>
      <c r="BD46" s="1120"/>
      <c r="BE46" s="1120"/>
      <c r="BF46" s="1120"/>
      <c r="BG46" s="1120"/>
      <c r="BH46" s="1120"/>
      <c r="BI46" s="1120"/>
      <c r="BJ46" s="1120"/>
      <c r="BK46" s="1120"/>
      <c r="BL46" s="1120"/>
      <c r="BM46" s="1120"/>
    </row>
    <row r="47" spans="1:65" ht="19">
      <c r="A47" s="1196" t="str">
        <f t="shared" si="30"/>
        <v>NYSE:HL_2025_COO</v>
      </c>
      <c r="B47" s="1196" t="str">
        <f t="shared" si="30"/>
        <v>NYSE:HL</v>
      </c>
      <c r="C47" s="1197" t="str">
        <f>_xll.ciqfunctions.udf.CIQ(B47,"IQ_COMPANY_NAME")</f>
        <v>Hecla Mining Company</v>
      </c>
      <c r="D47" s="1120"/>
      <c r="E47" s="1120"/>
      <c r="F47" s="1120"/>
      <c r="G47" s="1198" t="s">
        <v>398</v>
      </c>
      <c r="H47" s="1202">
        <f t="shared" si="31"/>
        <v>607.89075000000003</v>
      </c>
      <c r="I47" s="1202">
        <f>IFERROR(IF(G47="y",IF(H47&lt;&gt;"-",H47,INDEX(Raw_Data,MATCH($A47,Look_Up2,0),MATCH(I$4,Component,0))/1000*(1+'Raw Data'!$H$13)),(INDEX(Raw_Data,MATCH($A47,Look_Up2,0),MATCH(I$4,Component,0))/1000)),"-")</f>
        <v>607.89075000000003</v>
      </c>
      <c r="J47" s="1201"/>
      <c r="K47" s="1201"/>
      <c r="L47" s="1201"/>
      <c r="M47" s="1202">
        <f t="shared" si="32"/>
        <v>486.31260000000003</v>
      </c>
      <c r="N47" s="1201"/>
      <c r="O47" s="1201"/>
      <c r="P47" s="1202">
        <f t="shared" si="35"/>
        <v>1094.20335</v>
      </c>
      <c r="Q47" s="1201"/>
      <c r="R47" s="1201"/>
      <c r="S47" s="1201"/>
      <c r="T47" s="1202">
        <f t="shared" si="33"/>
        <v>1063.8088124999999</v>
      </c>
      <c r="U47" s="1201"/>
      <c r="V47" s="1201"/>
      <c r="W47" s="1202">
        <f t="shared" si="36"/>
        <v>2158.0121625000002</v>
      </c>
      <c r="X47" s="1201"/>
      <c r="Y47" s="1201"/>
      <c r="Z47" s="1201"/>
      <c r="AA47" s="1202">
        <f t="shared" si="34"/>
        <v>2395.5171747000004</v>
      </c>
      <c r="AB47" s="1201"/>
      <c r="AC47" s="1120"/>
      <c r="AD47" s="1120"/>
      <c r="AE47" s="1120"/>
      <c r="AF47" s="1120"/>
      <c r="AG47" s="1120"/>
      <c r="AH47" s="1120"/>
      <c r="AI47" s="1120"/>
      <c r="AJ47" s="1120"/>
      <c r="AK47" s="1120"/>
      <c r="AL47" s="1120"/>
      <c r="AM47" s="1120"/>
      <c r="AN47" s="1120"/>
      <c r="AO47" s="1120"/>
      <c r="AP47" s="1120"/>
      <c r="AQ47" s="1120"/>
      <c r="AR47" s="1120"/>
      <c r="AS47" s="1120"/>
      <c r="AT47" s="1120"/>
      <c r="AU47" s="1120"/>
      <c r="AV47" s="1120"/>
      <c r="AW47" s="1120"/>
      <c r="AX47" s="1120"/>
      <c r="AY47" s="1120"/>
      <c r="AZ47" s="1120"/>
      <c r="BA47" s="1120"/>
      <c r="BB47" s="1120"/>
      <c r="BC47" s="1120"/>
      <c r="BD47" s="1120"/>
      <c r="BE47" s="1120"/>
      <c r="BF47" s="1120"/>
      <c r="BG47" s="1120"/>
      <c r="BH47" s="1120"/>
      <c r="BI47" s="1120"/>
      <c r="BJ47" s="1120"/>
      <c r="BK47" s="1120"/>
      <c r="BL47" s="1120"/>
      <c r="BM47" s="1120"/>
    </row>
    <row r="48" spans="1:65" s="17" customFormat="1" ht="19">
      <c r="A48" s="1196" t="str">
        <f t="shared" si="30"/>
        <v>TSX:IMG_2025_COO</v>
      </c>
      <c r="B48" s="1196" t="str">
        <f t="shared" si="30"/>
        <v>TSX:IMG</v>
      </c>
      <c r="C48" s="1197" t="str">
        <f>_xll.ciqfunctions.udf.CIQ(B48,"IQ_COMPANY_NAME")</f>
        <v>IAMGOLD Corporation</v>
      </c>
      <c r="D48" s="1163"/>
      <c r="E48" s="1203"/>
      <c r="F48" s="1204"/>
      <c r="G48" s="1198" t="s">
        <v>398</v>
      </c>
      <c r="H48" s="1202" t="str">
        <f t="shared" si="31"/>
        <v>-</v>
      </c>
      <c r="I48" s="1202">
        <f>IFERROR(IF(G48="y",IF(H48&lt;&gt;"-",H48,INDEX(Raw_Data,MATCH($A48,Look_Up2,0),MATCH(I$4,Component,0))/1000*(1+'Raw Data'!$H$13)),(INDEX(Raw_Data,MATCH($A48,Look_Up2,0),MATCH(I$4,Component,0))/1000)),"-")</f>
        <v>649.00815</v>
      </c>
      <c r="J48" s="1203"/>
      <c r="K48" s="1205"/>
      <c r="L48" s="1205"/>
      <c r="M48" s="1202">
        <f t="shared" si="32"/>
        <v>519.20652000000007</v>
      </c>
      <c r="N48" s="1206"/>
      <c r="O48" s="1203"/>
      <c r="P48" s="1202">
        <f t="shared" si="35"/>
        <v>1168.2146700000001</v>
      </c>
      <c r="Q48" s="1207"/>
      <c r="R48" s="1208"/>
      <c r="S48" s="1208"/>
      <c r="T48" s="1202">
        <f t="shared" si="33"/>
        <v>1103.3138549999999</v>
      </c>
      <c r="U48" s="1206"/>
      <c r="V48" s="1203"/>
      <c r="W48" s="1202">
        <f t="shared" si="36"/>
        <v>2271.5285249999997</v>
      </c>
      <c r="X48" s="1206"/>
      <c r="Y48" s="1203"/>
      <c r="Z48" s="1203"/>
      <c r="AA48" s="1202">
        <f t="shared" si="34"/>
        <v>2378.3885249999994</v>
      </c>
      <c r="AB48" s="1206"/>
      <c r="AC48" s="1209"/>
      <c r="AD48" s="1209"/>
      <c r="AE48" s="1163"/>
      <c r="AF48" s="1163"/>
      <c r="AG48" s="1163"/>
      <c r="AH48" s="1163"/>
      <c r="AI48" s="1163"/>
      <c r="AJ48" s="1163"/>
      <c r="AK48" s="1163"/>
      <c r="AL48" s="1163"/>
      <c r="AM48" s="1163"/>
      <c r="AN48" s="1163"/>
      <c r="AO48" s="1163"/>
      <c r="AP48" s="1163"/>
      <c r="AQ48" s="1163"/>
      <c r="AR48" s="1163"/>
      <c r="AS48" s="1163"/>
      <c r="AT48" s="1163"/>
      <c r="AU48" s="1163"/>
      <c r="AV48" s="1163"/>
      <c r="AW48" s="1163"/>
      <c r="AX48" s="1163"/>
      <c r="AY48" s="1163"/>
      <c r="AZ48" s="1163"/>
      <c r="BA48" s="1163"/>
      <c r="BB48" s="1163"/>
      <c r="BC48" s="1163"/>
      <c r="BD48" s="1163"/>
      <c r="BE48" s="1163"/>
      <c r="BF48" s="1163"/>
      <c r="BG48" s="1163"/>
      <c r="BH48" s="1163"/>
      <c r="BI48" s="1163"/>
      <c r="BJ48" s="1163"/>
      <c r="BK48" s="1163"/>
      <c r="BL48" s="1163"/>
      <c r="BM48" s="1163"/>
    </row>
    <row r="49" spans="1:65" ht="19">
      <c r="A49" s="1196" t="str">
        <f t="shared" si="30"/>
        <v>TSX:CS_2025_COO</v>
      </c>
      <c r="B49" s="1196" t="str">
        <f t="shared" si="30"/>
        <v>TSX:CS</v>
      </c>
      <c r="C49" s="1197" t="str">
        <f>_xll.ciqfunctions.udf.CIQ(B49,"IQ_COMPANY_NAME")</f>
        <v>Capstone Copper Corp.</v>
      </c>
      <c r="D49" s="1120"/>
      <c r="E49" s="1120"/>
      <c r="F49" s="1120"/>
      <c r="G49" s="1198" t="s">
        <v>398</v>
      </c>
      <c r="H49" s="1202" t="str">
        <f t="shared" si="31"/>
        <v>-</v>
      </c>
      <c r="I49" s="1202">
        <f>IFERROR(IF(G49="y",IF(H49&lt;&gt;"-",H49,INDEX(Raw_Data,MATCH($A49,Look_Up2,0),MATCH(I$4,Component,0))/1000*(1+'Raw Data'!$H$13)),(INDEX(Raw_Data,MATCH($A49,Look_Up2,0),MATCH(I$4,Component,0))/1000)),"-")</f>
        <v>706.79115000000002</v>
      </c>
      <c r="J49" s="1210"/>
      <c r="K49" s="1210"/>
      <c r="L49" s="1210"/>
      <c r="M49" s="1202">
        <f t="shared" si="32"/>
        <v>636.11203499999999</v>
      </c>
      <c r="N49" s="1201"/>
      <c r="O49" s="1210"/>
      <c r="P49" s="1202">
        <f t="shared" si="35"/>
        <v>1342.9031850000001</v>
      </c>
      <c r="Q49" s="1210"/>
      <c r="R49" s="1210"/>
      <c r="S49" s="1210"/>
      <c r="T49" s="1202">
        <f t="shared" si="33"/>
        <v>1201.5449550000001</v>
      </c>
      <c r="U49" s="1201"/>
      <c r="V49" s="1210"/>
      <c r="W49" s="1202">
        <f t="shared" si="36"/>
        <v>2544.4481400000004</v>
      </c>
      <c r="X49" s="1201"/>
      <c r="Y49" s="1210"/>
      <c r="Z49" s="1210"/>
      <c r="AA49" s="1202">
        <f t="shared" si="34"/>
        <v>2552.7561400000004</v>
      </c>
      <c r="AB49" s="1201"/>
      <c r="AC49" s="1120"/>
      <c r="AD49" s="1120"/>
      <c r="AE49" s="1120"/>
      <c r="AF49" s="1120"/>
      <c r="AG49" s="1120"/>
      <c r="AH49" s="1120"/>
      <c r="AI49" s="1120"/>
      <c r="AJ49" s="1120"/>
      <c r="AK49" s="1120"/>
      <c r="AL49" s="1120"/>
      <c r="AM49" s="1120"/>
      <c r="AN49" s="1120"/>
      <c r="AO49" s="1120"/>
      <c r="AP49" s="1120"/>
      <c r="AQ49" s="1120"/>
      <c r="AR49" s="1120"/>
      <c r="AS49" s="1120"/>
      <c r="AT49" s="1120"/>
      <c r="AU49" s="1120"/>
      <c r="AV49" s="1120"/>
      <c r="AW49" s="1120"/>
      <c r="AX49" s="1120"/>
      <c r="AY49" s="1120"/>
      <c r="AZ49" s="1120"/>
      <c r="BA49" s="1120"/>
      <c r="BB49" s="1120"/>
      <c r="BC49" s="1120"/>
      <c r="BD49" s="1120"/>
      <c r="BE49" s="1120"/>
      <c r="BF49" s="1120"/>
      <c r="BG49" s="1120"/>
      <c r="BH49" s="1120"/>
      <c r="BI49" s="1120"/>
      <c r="BJ49" s="1120"/>
      <c r="BK49" s="1120"/>
      <c r="BL49" s="1120"/>
      <c r="BM49" s="1120"/>
    </row>
    <row r="50" spans="1:65" ht="19">
      <c r="A50" s="1196" t="str">
        <f t="shared" si="30"/>
        <v>TSX:EQX_2025_COO</v>
      </c>
      <c r="B50" s="1196" t="str">
        <f t="shared" si="30"/>
        <v>TSX:EQX</v>
      </c>
      <c r="C50" s="1197" t="str">
        <f>_xll.ciqfunctions.udf.CIQ(B50,"IQ_COMPANY_NAME")</f>
        <v>Equinox Gold Corp.</v>
      </c>
      <c r="D50" s="1120"/>
      <c r="E50" s="1120"/>
      <c r="F50" s="1120"/>
      <c r="G50" s="1198" t="s">
        <v>398</v>
      </c>
      <c r="H50" s="1202" t="str">
        <f t="shared" si="31"/>
        <v>-</v>
      </c>
      <c r="I50" s="1202">
        <f>IFERROR(IF(G50="y",IF(H50&lt;&gt;"-",H50,INDEX(Raw_Data,MATCH($A50,Look_Up2,0),MATCH(I$4,Component,0))/1000*(1+'Raw Data'!$H$13)),(INDEX(Raw_Data,MATCH($A50,Look_Up2,0),MATCH(I$4,Component,0))/1000)),"-")</f>
        <v>515</v>
      </c>
      <c r="J50" s="1201"/>
      <c r="K50" s="1201"/>
      <c r="L50" s="1201"/>
      <c r="M50" s="1202">
        <f t="shared" si="32"/>
        <v>463.5</v>
      </c>
      <c r="N50" s="1201"/>
      <c r="O50" s="1201"/>
      <c r="P50" s="1202">
        <f t="shared" si="35"/>
        <v>978.5</v>
      </c>
      <c r="Q50" s="1201"/>
      <c r="R50" s="1201"/>
      <c r="S50" s="1201"/>
      <c r="T50" s="1202">
        <f t="shared" si="33"/>
        <v>452.50783999999999</v>
      </c>
      <c r="U50" s="1201"/>
      <c r="V50" s="1201"/>
      <c r="W50" s="1202">
        <f t="shared" si="36"/>
        <v>1431.00784</v>
      </c>
      <c r="X50" s="1201"/>
      <c r="Y50" s="1201"/>
      <c r="Z50" s="1201"/>
      <c r="AA50" s="1202">
        <f t="shared" si="34"/>
        <v>1443.75584</v>
      </c>
      <c r="AB50" s="1201"/>
      <c r="AC50" s="1120"/>
      <c r="AD50" s="1120"/>
      <c r="AE50" s="1120"/>
      <c r="AF50" s="1120"/>
      <c r="AG50" s="1120"/>
      <c r="AH50" s="1120"/>
      <c r="AI50" s="1120"/>
      <c r="AJ50" s="1120"/>
      <c r="AK50" s="1120"/>
      <c r="AL50" s="1120"/>
      <c r="AM50" s="1120"/>
      <c r="AN50" s="1120"/>
      <c r="AO50" s="1120"/>
      <c r="AP50" s="1120"/>
      <c r="AQ50" s="1120"/>
      <c r="AR50" s="1120"/>
      <c r="AS50" s="1120"/>
      <c r="AT50" s="1120"/>
      <c r="AU50" s="1120"/>
      <c r="AV50" s="1120"/>
      <c r="AW50" s="1120"/>
      <c r="AX50" s="1120"/>
      <c r="AY50" s="1120"/>
      <c r="AZ50" s="1120"/>
      <c r="BA50" s="1120"/>
      <c r="BB50" s="1120"/>
      <c r="BC50" s="1120"/>
      <c r="BD50" s="1120"/>
      <c r="BE50" s="1120"/>
      <c r="BF50" s="1120"/>
      <c r="BG50" s="1120"/>
      <c r="BH50" s="1120"/>
      <c r="BI50" s="1120"/>
      <c r="BJ50" s="1120"/>
      <c r="BK50" s="1120"/>
      <c r="BL50" s="1120"/>
      <c r="BM50" s="1120"/>
    </row>
    <row r="51" spans="1:65" ht="19">
      <c r="A51" s="1196" t="str">
        <f t="shared" si="30"/>
        <v>TSX:SSRM_2025_COO</v>
      </c>
      <c r="B51" s="1196" t="str">
        <f t="shared" si="30"/>
        <v>TSX:SSRM</v>
      </c>
      <c r="C51" s="1197" t="str">
        <f>_xll.ciqfunctions.udf.CIQ(B51,"IQ_COMPANY_NAME")</f>
        <v>SSR Mining Inc.</v>
      </c>
      <c r="D51" s="1120"/>
      <c r="E51" s="1120"/>
      <c r="F51" s="1120"/>
      <c r="G51" s="1198" t="s">
        <v>398</v>
      </c>
      <c r="H51" s="1202" t="str">
        <f t="shared" si="31"/>
        <v>-</v>
      </c>
      <c r="I51" s="1202">
        <f>IFERROR(IF(G51="y",IF(H51&lt;&gt;"-",H51,INDEX(Raw_Data,MATCH($A51,Look_Up2,0),MATCH(I$4,Component,0))/1000*(1+'Raw Data'!$H$13)),(INDEX(Raw_Data,MATCH($A51,Look_Up2,0),MATCH(I$4,Component,0))/1000)),"-")</f>
        <v>863.6241</v>
      </c>
      <c r="J51" s="1201"/>
      <c r="K51" s="1201"/>
      <c r="L51" s="1201"/>
      <c r="M51" s="1202">
        <f t="shared" si="32"/>
        <v>647.718075</v>
      </c>
      <c r="N51" s="1201"/>
      <c r="O51" s="1201"/>
      <c r="P51" s="1202">
        <f t="shared" si="35"/>
        <v>1511.342175</v>
      </c>
      <c r="Q51" s="1201"/>
      <c r="R51" s="1201"/>
      <c r="S51" s="1201"/>
      <c r="T51" s="1202">
        <f t="shared" si="33"/>
        <v>1511.342175</v>
      </c>
      <c r="U51" s="1201"/>
      <c r="V51" s="1201"/>
      <c r="W51" s="1202">
        <f t="shared" si="36"/>
        <v>3022.68435</v>
      </c>
      <c r="X51" s="1201"/>
      <c r="Y51" s="1201"/>
      <c r="Z51" s="1201"/>
      <c r="AA51" s="1202">
        <f t="shared" si="34"/>
        <v>3109.2731469</v>
      </c>
      <c r="AB51" s="1201"/>
      <c r="AC51" s="1120"/>
      <c r="AD51" s="1120"/>
      <c r="AE51" s="1120"/>
      <c r="AF51" s="1120"/>
      <c r="AG51" s="1120"/>
      <c r="AH51" s="1120"/>
      <c r="AI51" s="1120"/>
      <c r="AJ51" s="1120"/>
      <c r="AK51" s="1120"/>
      <c r="AL51" s="1120"/>
      <c r="AM51" s="1120"/>
      <c r="AN51" s="1120"/>
      <c r="AO51" s="1120"/>
      <c r="AP51" s="1120"/>
      <c r="AQ51" s="1120"/>
      <c r="AR51" s="1120"/>
      <c r="AS51" s="1120"/>
      <c r="AT51" s="1120"/>
      <c r="AU51" s="1120"/>
      <c r="AV51" s="1120"/>
      <c r="AW51" s="1120"/>
      <c r="AX51" s="1120"/>
      <c r="AY51" s="1120"/>
      <c r="AZ51" s="1120"/>
      <c r="BA51" s="1120"/>
      <c r="BB51" s="1120"/>
      <c r="BC51" s="1120"/>
      <c r="BD51" s="1120"/>
      <c r="BE51" s="1120"/>
      <c r="BF51" s="1120"/>
      <c r="BG51" s="1120"/>
      <c r="BH51" s="1120"/>
      <c r="BI51" s="1120"/>
      <c r="BJ51" s="1120"/>
      <c r="BK51" s="1120"/>
      <c r="BL51" s="1120"/>
      <c r="BM51" s="1120"/>
    </row>
    <row r="52" spans="1:65" ht="19">
      <c r="A52" s="1196" t="str">
        <f t="shared" si="30"/>
        <v>TSX:BTO_2025_COO</v>
      </c>
      <c r="B52" s="1196" t="str">
        <f t="shared" si="30"/>
        <v>TSX:BTO</v>
      </c>
      <c r="C52" s="1197" t="str">
        <f>_xll.ciqfunctions.udf.CIQ(B52,"IQ_COMPANY_NAME")</f>
        <v>B2Gold Corp.</v>
      </c>
      <c r="D52" s="1120"/>
      <c r="E52" s="1120"/>
      <c r="F52" s="1120"/>
      <c r="G52" s="1198" t="s">
        <v>398</v>
      </c>
      <c r="H52" s="1202" t="str">
        <f t="shared" si="31"/>
        <v>-</v>
      </c>
      <c r="I52" s="1202">
        <f>IFERROR(IF(G52="y",IF(H52&lt;&gt;"-",H52,INDEX(Raw_Data,MATCH($A52,Look_Up2,0),MATCH(I$4,Component,0))/1000*(1+'Raw Data'!$H$13)),(INDEX(Raw_Data,MATCH($A52,Look_Up2,0),MATCH(I$4,Component,0))/1000)),"-")</f>
        <v>682.98272574999999</v>
      </c>
      <c r="J52" s="1201"/>
      <c r="K52" s="1201"/>
      <c r="L52" s="1201"/>
      <c r="M52" s="1202">
        <f t="shared" si="32"/>
        <v>512.23704431249996</v>
      </c>
      <c r="N52" s="1201"/>
      <c r="O52" s="1201"/>
      <c r="P52" s="1202">
        <f t="shared" si="35"/>
        <v>1195.2197700624999</v>
      </c>
      <c r="Q52" s="1201"/>
      <c r="R52" s="1201"/>
      <c r="S52" s="1201"/>
      <c r="T52" s="1202">
        <f t="shared" si="33"/>
        <v>1968.3039183743333</v>
      </c>
      <c r="U52" s="1201"/>
      <c r="V52" s="1201"/>
      <c r="W52" s="1202">
        <f t="shared" si="36"/>
        <v>3163.5236884368333</v>
      </c>
      <c r="X52" s="1201"/>
      <c r="Y52" s="1201"/>
      <c r="Z52" s="1201"/>
      <c r="AA52" s="1202">
        <f t="shared" si="34"/>
        <v>3164.5438269368333</v>
      </c>
      <c r="AB52" s="1201"/>
      <c r="AC52" s="1120"/>
      <c r="AD52" s="1120"/>
      <c r="AE52" s="1120"/>
      <c r="AF52" s="1120"/>
      <c r="AG52" s="1120"/>
      <c r="AH52" s="1120"/>
      <c r="AI52" s="1120"/>
      <c r="AJ52" s="1120"/>
      <c r="AK52" s="1120"/>
      <c r="AL52" s="1120"/>
      <c r="AM52" s="1120"/>
      <c r="AN52" s="1120"/>
      <c r="AO52" s="1120"/>
      <c r="AP52" s="1120"/>
      <c r="AQ52" s="1120"/>
      <c r="AR52" s="1120"/>
      <c r="AS52" s="1120"/>
      <c r="AT52" s="1120"/>
      <c r="AU52" s="1120"/>
      <c r="AV52" s="1120"/>
      <c r="AW52" s="1120"/>
      <c r="AX52" s="1120"/>
      <c r="AY52" s="1120"/>
      <c r="AZ52" s="1120"/>
      <c r="BA52" s="1120"/>
      <c r="BB52" s="1120"/>
      <c r="BC52" s="1120"/>
      <c r="BD52" s="1120"/>
      <c r="BE52" s="1120"/>
      <c r="BF52" s="1120"/>
      <c r="BG52" s="1120"/>
      <c r="BH52" s="1120"/>
      <c r="BI52" s="1120"/>
      <c r="BJ52" s="1120"/>
      <c r="BK52" s="1120"/>
      <c r="BL52" s="1120"/>
      <c r="BM52" s="1120"/>
    </row>
    <row r="53" spans="1:65" ht="19">
      <c r="A53" s="1196" t="str">
        <f>A20</f>
        <v>TSX:OGC_2025_COO</v>
      </c>
      <c r="B53" s="1196" t="str">
        <f>B20</f>
        <v>TSX:OGC</v>
      </c>
      <c r="C53" s="1197" t="str">
        <f>_xll.ciqfunctions.udf.CIQ(B53,"IQ_COMPANY_NAME")</f>
        <v>OceanaGold Corporation</v>
      </c>
      <c r="D53" s="1120"/>
      <c r="E53" s="1120"/>
      <c r="F53" s="1120"/>
      <c r="G53" s="1198" t="s">
        <v>398</v>
      </c>
      <c r="H53" s="1202" t="str">
        <f t="shared" si="31"/>
        <v>-</v>
      </c>
      <c r="I53" s="1202">
        <f>IFERROR(IF(G53="y",IF(H53&lt;&gt;"-",H53,INDEX(Raw_Data,MATCH($A53,Look_Up2,0),MATCH(I$4,Component,0))/1000*(1+'Raw Data'!$H$13)),(INDEX(Raw_Data,MATCH($A53,Look_Up2,0),MATCH(I$4,Component,0))/1000)),"-")</f>
        <v>628.37001641300003</v>
      </c>
      <c r="J53" s="1201"/>
      <c r="K53" s="1201"/>
      <c r="L53" s="1201"/>
      <c r="M53" s="1202">
        <f>IFERROR(I53*N20,"-")</f>
        <v>439.8590114891</v>
      </c>
      <c r="N53" s="1201"/>
      <c r="O53" s="1201"/>
      <c r="P53" s="1202">
        <f t="shared" si="35"/>
        <v>1068.2290279020999</v>
      </c>
      <c r="Q53" s="1201"/>
      <c r="R53" s="1201"/>
      <c r="S53" s="1201"/>
      <c r="T53" s="1202">
        <f>IFERROR(I53*U20,"-")</f>
        <v>2686.4538972675</v>
      </c>
      <c r="U53" s="1201"/>
      <c r="V53" s="1201"/>
      <c r="W53" s="1202">
        <f t="shared" si="36"/>
        <v>3754.6829251695999</v>
      </c>
      <c r="X53" s="1201"/>
      <c r="Y53" s="1201"/>
      <c r="Z53" s="1201"/>
      <c r="AA53" s="1202">
        <f>IFERROR(IF(SUM(W53,X20,Y20)=0,"-",SUM(W53,X20,Y20)),"-")</f>
        <v>3794.5577634696001</v>
      </c>
      <c r="AB53" s="1201"/>
      <c r="AC53" s="1120"/>
      <c r="AD53" s="1120"/>
      <c r="AE53" s="1120"/>
      <c r="AF53" s="1120"/>
      <c r="AG53" s="1120"/>
      <c r="AH53" s="1120"/>
      <c r="AI53" s="1120"/>
      <c r="AJ53" s="1120"/>
      <c r="AK53" s="1120"/>
      <c r="AL53" s="1120"/>
      <c r="AM53" s="1120"/>
      <c r="AN53" s="1120"/>
      <c r="AO53" s="1120"/>
      <c r="AP53" s="1120"/>
      <c r="AQ53" s="1120"/>
      <c r="AR53" s="1120"/>
      <c r="AS53" s="1120"/>
      <c r="AT53" s="1120"/>
      <c r="AU53" s="1120"/>
      <c r="AV53" s="1120"/>
      <c r="AW53" s="1120"/>
      <c r="AX53" s="1120"/>
      <c r="AY53" s="1120"/>
      <c r="AZ53" s="1120"/>
      <c r="BA53" s="1120"/>
      <c r="BB53" s="1120"/>
      <c r="BC53" s="1120"/>
      <c r="BD53" s="1120"/>
      <c r="BE53" s="1120"/>
      <c r="BF53" s="1120"/>
      <c r="BG53" s="1120"/>
      <c r="BH53" s="1120"/>
      <c r="BI53" s="1120"/>
      <c r="BJ53" s="1120"/>
      <c r="BK53" s="1120"/>
      <c r="BL53" s="1120"/>
      <c r="BM53" s="1120"/>
    </row>
    <row r="54" spans="1:65" ht="19">
      <c r="A54" s="1196" t="str">
        <f>A21</f>
        <v>TSX:CG_2025_COO</v>
      </c>
      <c r="B54" s="1196" t="str">
        <f>B21</f>
        <v>TSX:CG</v>
      </c>
      <c r="C54" s="1197" t="str">
        <f>_xll.ciqfunctions.udf.CIQ(B54,"IQ_COMPANY_NAME")</f>
        <v>Centerra Gold Inc.</v>
      </c>
      <c r="D54" s="1120"/>
      <c r="E54" s="1120"/>
      <c r="F54" s="1120"/>
      <c r="G54" s="1198" t="s">
        <v>398</v>
      </c>
      <c r="H54" s="1202" t="str">
        <f t="shared" si="31"/>
        <v>-</v>
      </c>
      <c r="I54" s="1202">
        <f>IFERROR(IF(G54="y",IF(H54&lt;&gt;"-",H54,INDEX(Raw_Data,MATCH($A54,Look_Up2,0),MATCH(I$4,Component,0))/1000*(1+'Raw Data'!$H$13)),(INDEX(Raw_Data,MATCH($A54,Look_Up2,0),MATCH(I$4,Component,0))/1000)),"-")</f>
        <v>568.69493</v>
      </c>
      <c r="J54" s="1201"/>
      <c r="K54" s="1201"/>
      <c r="L54" s="1201"/>
      <c r="M54" s="1202">
        <f>IFERROR(I54*N21,"-")</f>
        <v>454.95594400000004</v>
      </c>
      <c r="N54" s="1201"/>
      <c r="O54" s="1201"/>
      <c r="P54" s="1202">
        <f t="shared" si="35"/>
        <v>1023.650874</v>
      </c>
      <c r="Q54" s="1201"/>
      <c r="R54" s="1201"/>
      <c r="S54" s="1201"/>
      <c r="T54" s="1202">
        <f>IFERROR(I54*U21,"-")</f>
        <v>1023.650874</v>
      </c>
      <c r="U54" s="1201"/>
      <c r="V54" s="1201"/>
      <c r="W54" s="1202">
        <f t="shared" si="36"/>
        <v>2047.3017480000001</v>
      </c>
      <c r="X54" s="1201"/>
      <c r="Y54" s="1201"/>
      <c r="Z54" s="1201"/>
      <c r="AA54" s="1202">
        <f>IFERROR(IF(SUM(W54,X21,Y21)=0,"-",SUM(W54,X21,Y21)),"-")</f>
        <v>2248.3557479999999</v>
      </c>
      <c r="AB54" s="1201"/>
      <c r="AC54" s="1120"/>
      <c r="AD54" s="1120"/>
      <c r="AE54" s="1120"/>
      <c r="AF54" s="1120"/>
      <c r="AG54" s="1120"/>
      <c r="AH54" s="1120"/>
      <c r="AI54" s="1120"/>
      <c r="AJ54" s="1120"/>
      <c r="AK54" s="1120"/>
      <c r="AL54" s="1120"/>
      <c r="AM54" s="1120"/>
      <c r="AN54" s="1120"/>
      <c r="AO54" s="1120"/>
      <c r="AP54" s="1120"/>
      <c r="AQ54" s="1120"/>
      <c r="AR54" s="1120"/>
      <c r="AS54" s="1120"/>
      <c r="AT54" s="1120"/>
      <c r="AU54" s="1120"/>
      <c r="AV54" s="1120"/>
      <c r="AW54" s="1120"/>
      <c r="AX54" s="1120"/>
      <c r="AY54" s="1120"/>
      <c r="AZ54" s="1120"/>
      <c r="BA54" s="1120"/>
      <c r="BB54" s="1120"/>
      <c r="BC54" s="1120"/>
      <c r="BD54" s="1120"/>
      <c r="BE54" s="1120"/>
      <c r="BF54" s="1120"/>
      <c r="BG54" s="1120"/>
      <c r="BH54" s="1120"/>
      <c r="BI54" s="1120"/>
      <c r="BJ54" s="1120"/>
      <c r="BK54" s="1120"/>
      <c r="BL54" s="1120"/>
      <c r="BM54" s="1120"/>
    </row>
    <row r="55" spans="1:65" ht="19">
      <c r="A55" s="1196" t="e">
        <f>#REF!</f>
        <v>#REF!</v>
      </c>
      <c r="B55" s="1196" t="e">
        <f>#REF!</f>
        <v>#REF!</v>
      </c>
      <c r="C55" s="1197" t="str">
        <f>_xll.ciqfunctions.udf.CIQ(B55,"IQ_COMPANY_NAME")</f>
        <v>#NA</v>
      </c>
      <c r="D55" s="1120"/>
      <c r="E55" s="1120"/>
      <c r="F55" s="1120"/>
      <c r="G55" s="1198" t="s">
        <v>398</v>
      </c>
      <c r="H55" s="1202" t="str">
        <f t="shared" si="31"/>
        <v>-</v>
      </c>
      <c r="I55" s="1202" t="str">
        <f>IFERROR(IF(G55="y",IF(H55&lt;&gt;"-",H55,INDEX(Raw_Data,MATCH($A55,Look_Up2,0),MATCH(I$4,Component,0))/1000*(1+'Raw Data'!$H$13)),(INDEX(Raw_Data,MATCH($A55,Look_Up2,0),MATCH(I$4,Component,0))/1000)),"-")</f>
        <v>-</v>
      </c>
      <c r="J55" s="1201"/>
      <c r="K55" s="1201"/>
      <c r="L55" s="1201"/>
      <c r="M55" s="1202" t="str">
        <f>IFERROR(I55*#REF!,"-")</f>
        <v>-</v>
      </c>
      <c r="N55" s="1201"/>
      <c r="O55" s="1201"/>
      <c r="P55" s="1202" t="str">
        <f t="shared" si="35"/>
        <v>-</v>
      </c>
      <c r="Q55" s="1201"/>
      <c r="R55" s="1201"/>
      <c r="S55" s="1201"/>
      <c r="T55" s="1202" t="str">
        <f>IFERROR(I55*#REF!,"-")</f>
        <v>-</v>
      </c>
      <c r="U55" s="1201"/>
      <c r="V55" s="1201"/>
      <c r="W55" s="1202" t="str">
        <f t="shared" si="36"/>
        <v>-</v>
      </c>
      <c r="X55" s="1201"/>
      <c r="Y55" s="1201"/>
      <c r="Z55" s="1201"/>
      <c r="AA55" s="1202" t="str">
        <f>IFERROR(IF(SUM(W55,#REF!,#REF!)=0,"-",SUM(W55,#REF!,#REF!)),"-")</f>
        <v>-</v>
      </c>
      <c r="AB55" s="1201"/>
      <c r="AC55" s="1120"/>
      <c r="AD55" s="1120"/>
      <c r="AE55" s="1120"/>
      <c r="AF55" s="1120"/>
      <c r="AG55" s="1120"/>
      <c r="AH55" s="1120"/>
      <c r="AI55" s="1120"/>
      <c r="AJ55" s="1120"/>
      <c r="AK55" s="1120"/>
      <c r="AL55" s="1120"/>
      <c r="AM55" s="1120"/>
      <c r="AN55" s="1120"/>
      <c r="AO55" s="1120"/>
      <c r="AP55" s="1120"/>
      <c r="AQ55" s="1120"/>
      <c r="AR55" s="1120"/>
      <c r="AS55" s="1120"/>
      <c r="AT55" s="1120"/>
      <c r="AU55" s="1120"/>
      <c r="AV55" s="1120"/>
      <c r="AW55" s="1120"/>
      <c r="AX55" s="1120"/>
      <c r="AY55" s="1120"/>
      <c r="AZ55" s="1120"/>
      <c r="BA55" s="1120"/>
      <c r="BB55" s="1120"/>
      <c r="BC55" s="1120"/>
      <c r="BD55" s="1120"/>
      <c r="BE55" s="1120"/>
      <c r="BF55" s="1120"/>
      <c r="BG55" s="1120"/>
      <c r="BH55" s="1120"/>
      <c r="BI55" s="1120"/>
      <c r="BJ55" s="1120"/>
      <c r="BK55" s="1120"/>
      <c r="BL55" s="1120"/>
      <c r="BM55" s="1120"/>
    </row>
    <row r="56" spans="1:65" ht="19">
      <c r="A56" s="1196" t="e">
        <f>#REF!</f>
        <v>#REF!</v>
      </c>
      <c r="B56" s="1196" t="e">
        <f>#REF!</f>
        <v>#REF!</v>
      </c>
      <c r="C56" s="1197" t="str">
        <f>_xll.ciqfunctions.udf.CIQ(B56,"IQ_COMPANY_NAME")</f>
        <v>#NA</v>
      </c>
      <c r="D56" s="1120"/>
      <c r="E56" s="1120"/>
      <c r="F56" s="1120"/>
      <c r="G56" s="1198" t="s">
        <v>398</v>
      </c>
      <c r="H56" s="1202" t="str">
        <f t="shared" si="31"/>
        <v>-</v>
      </c>
      <c r="I56" s="1202" t="str">
        <f>IFERROR(IF(G56="y",IF(H56&lt;&gt;"-",H56,INDEX(Raw_Data,MATCH($A56,Look_Up2,0),MATCH(I$4,Component,0))/1000*(1+'Raw Data'!$H$13)),(INDEX(Raw_Data,MATCH($A56,Look_Up2,0),MATCH(I$4,Component,0))/1000)),"-")</f>
        <v>-</v>
      </c>
      <c r="J56" s="1201"/>
      <c r="K56" s="1201"/>
      <c r="L56" s="1201"/>
      <c r="M56" s="1202" t="str">
        <f>IFERROR(I56*#REF!,"-")</f>
        <v>-</v>
      </c>
      <c r="N56" s="1201"/>
      <c r="O56" s="1201"/>
      <c r="P56" s="1202" t="str">
        <f t="shared" si="35"/>
        <v>-</v>
      </c>
      <c r="Q56" s="1201"/>
      <c r="R56" s="1201"/>
      <c r="S56" s="1201"/>
      <c r="T56" s="1202" t="str">
        <f>IFERROR(I56*#REF!,"-")</f>
        <v>-</v>
      </c>
      <c r="U56" s="1201"/>
      <c r="V56" s="1201"/>
      <c r="W56" s="1202" t="str">
        <f t="shared" si="36"/>
        <v>-</v>
      </c>
      <c r="X56" s="1201"/>
      <c r="Y56" s="1201"/>
      <c r="Z56" s="1201"/>
      <c r="AA56" s="1202" t="str">
        <f>IFERROR(IF(SUM(W56,#REF!,#REF!)=0,"-",SUM(W56,#REF!,#REF!)),"-")</f>
        <v>-</v>
      </c>
      <c r="AB56" s="1201"/>
      <c r="AC56" s="1120"/>
      <c r="AD56" s="1120"/>
      <c r="AE56" s="1120"/>
      <c r="AF56" s="1120"/>
      <c r="AG56" s="1120"/>
      <c r="AH56" s="1120"/>
      <c r="AI56" s="1120"/>
      <c r="AJ56" s="1120"/>
      <c r="AK56" s="1120"/>
      <c r="AL56" s="1120"/>
      <c r="AM56" s="1120"/>
      <c r="AN56" s="1120"/>
      <c r="AO56" s="1120"/>
      <c r="AP56" s="1120"/>
      <c r="AQ56" s="1120"/>
      <c r="AR56" s="1120"/>
      <c r="AS56" s="1120"/>
      <c r="AT56" s="1120"/>
      <c r="AU56" s="1120"/>
      <c r="AV56" s="1120"/>
      <c r="AW56" s="1120"/>
      <c r="AX56" s="1120"/>
      <c r="AY56" s="1120"/>
      <c r="AZ56" s="1120"/>
      <c r="BA56" s="1120"/>
      <c r="BB56" s="1120"/>
      <c r="BC56" s="1120"/>
      <c r="BD56" s="1120"/>
      <c r="BE56" s="1120"/>
      <c r="BF56" s="1120"/>
      <c r="BG56" s="1120"/>
      <c r="BH56" s="1120"/>
      <c r="BI56" s="1120"/>
      <c r="BJ56" s="1120"/>
      <c r="BK56" s="1120"/>
      <c r="BL56" s="1120"/>
      <c r="BM56" s="1120"/>
    </row>
    <row r="57" spans="1:65" ht="19">
      <c r="A57" s="1196" t="e">
        <f>#REF!</f>
        <v>#REF!</v>
      </c>
      <c r="B57" s="1196" t="e">
        <f>#REF!</f>
        <v>#REF!</v>
      </c>
      <c r="C57" s="1197" t="str">
        <f>_xll.ciqfunctions.udf.CIQ(B57,"IQ_COMPANY_NAME")</f>
        <v>#NA</v>
      </c>
      <c r="D57" s="1120"/>
      <c r="E57" s="1120"/>
      <c r="F57" s="1120"/>
      <c r="G57" s="1198" t="s">
        <v>398</v>
      </c>
      <c r="H57" s="1202" t="str">
        <f t="shared" si="31"/>
        <v>-</v>
      </c>
      <c r="I57" s="1202" t="str">
        <f>IFERROR(IF(G57="y",IF(H57&lt;&gt;"-",H57,INDEX(Raw_Data,MATCH($A57,Look_Up2,0),MATCH(I$4,Component,0))/1000*(1+'Raw Data'!$H$13)),(INDEX(Raw_Data,MATCH($A57,Look_Up2,0),MATCH(I$4,Component,0))/1000)),"-")</f>
        <v>-</v>
      </c>
      <c r="J57" s="1201"/>
      <c r="K57" s="1201"/>
      <c r="L57" s="1201"/>
      <c r="M57" s="1202" t="str">
        <f>IFERROR(I57*#REF!,"-")</f>
        <v>-</v>
      </c>
      <c r="N57" s="1201"/>
      <c r="O57" s="1201"/>
      <c r="P57" s="1202" t="str">
        <f t="shared" si="35"/>
        <v>-</v>
      </c>
      <c r="Q57" s="1201"/>
      <c r="R57" s="1201"/>
      <c r="S57" s="1201"/>
      <c r="T57" s="1202" t="str">
        <f>IFERROR(I57*#REF!,"-")</f>
        <v>-</v>
      </c>
      <c r="U57" s="1201"/>
      <c r="V57" s="1201"/>
      <c r="W57" s="1202" t="str">
        <f t="shared" si="36"/>
        <v>-</v>
      </c>
      <c r="X57" s="1201"/>
      <c r="Y57" s="1201"/>
      <c r="Z57" s="1201"/>
      <c r="AA57" s="1202" t="str">
        <f>IFERROR(IF(SUM(W57,#REF!,#REF!)=0,"-",SUM(W57,#REF!,#REF!)),"-")</f>
        <v>-</v>
      </c>
      <c r="AB57" s="1201"/>
      <c r="AC57" s="1120"/>
      <c r="AD57" s="1120"/>
      <c r="AE57" s="1120"/>
      <c r="AF57" s="1120"/>
      <c r="AG57" s="1120"/>
      <c r="AH57" s="1120"/>
      <c r="AI57" s="1120"/>
      <c r="AJ57" s="1120"/>
      <c r="AK57" s="1120"/>
      <c r="AL57" s="1120"/>
      <c r="AM57" s="1120"/>
      <c r="AN57" s="1120"/>
      <c r="AO57" s="1120"/>
      <c r="AP57" s="1120"/>
      <c r="AQ57" s="1120"/>
      <c r="AR57" s="1120"/>
      <c r="AS57" s="1120"/>
      <c r="AT57" s="1120"/>
      <c r="AU57" s="1120"/>
      <c r="AV57" s="1120"/>
      <c r="AW57" s="1120"/>
      <c r="AX57" s="1120"/>
      <c r="AY57" s="1120"/>
      <c r="AZ57" s="1120"/>
      <c r="BA57" s="1120"/>
      <c r="BB57" s="1120"/>
      <c r="BC57" s="1120"/>
      <c r="BD57" s="1120"/>
      <c r="BE57" s="1120"/>
      <c r="BF57" s="1120"/>
      <c r="BG57" s="1120"/>
      <c r="BH57" s="1120"/>
      <c r="BI57" s="1120"/>
      <c r="BJ57" s="1120"/>
      <c r="BK57" s="1120"/>
      <c r="BL57" s="1120"/>
      <c r="BM57" s="1120"/>
    </row>
    <row r="58" spans="1:65" ht="19">
      <c r="A58" s="1196" t="e">
        <f>#REF!</f>
        <v>#REF!</v>
      </c>
      <c r="B58" s="1196" t="e">
        <f>#REF!</f>
        <v>#REF!</v>
      </c>
      <c r="C58" s="1197" t="str">
        <f>_xll.ciqfunctions.udf.CIQ(B58,"IQ_COMPANY_NAME")</f>
        <v>#NA</v>
      </c>
      <c r="D58" s="1120"/>
      <c r="E58" s="1120"/>
      <c r="F58" s="1120"/>
      <c r="G58" s="1198" t="s">
        <v>398</v>
      </c>
      <c r="H58" s="1202" t="str">
        <f t="shared" si="31"/>
        <v>-</v>
      </c>
      <c r="I58" s="1202" t="str">
        <f>IFERROR(IF(G58="y",IF(H58&lt;&gt;"-",H58,INDEX(Raw_Data,MATCH($A58,Look_Up2,0),MATCH(I$4,Component,0))/1000*(1+'Raw Data'!$H$13)),(INDEX(Raw_Data,MATCH($A58,Look_Up2,0),MATCH(I$4,Component,0))/1000)),"-")</f>
        <v>-</v>
      </c>
      <c r="J58" s="1201"/>
      <c r="K58" s="1201"/>
      <c r="L58" s="1201"/>
      <c r="M58" s="1202" t="str">
        <f>IFERROR(I58*#REF!,"-")</f>
        <v>-</v>
      </c>
      <c r="N58" s="1201"/>
      <c r="O58" s="1201"/>
      <c r="P58" s="1202" t="str">
        <f t="shared" si="35"/>
        <v>-</v>
      </c>
      <c r="Q58" s="1201"/>
      <c r="R58" s="1201"/>
      <c r="S58" s="1201"/>
      <c r="T58" s="1202" t="str">
        <f>IFERROR(I58*#REF!,"-")</f>
        <v>-</v>
      </c>
      <c r="U58" s="1201"/>
      <c r="V58" s="1201"/>
      <c r="W58" s="1202" t="str">
        <f t="shared" si="36"/>
        <v>-</v>
      </c>
      <c r="X58" s="1201"/>
      <c r="Y58" s="1201"/>
      <c r="Z58" s="1201"/>
      <c r="AA58" s="1202" t="str">
        <f>IFERROR(IF(SUM(W58,#REF!,#REF!)=0,"-",SUM(W58,#REF!,#REF!)),"-")</f>
        <v>-</v>
      </c>
      <c r="AB58" s="1201"/>
      <c r="AC58" s="1120"/>
      <c r="AD58" s="1120"/>
      <c r="AE58" s="1120"/>
      <c r="AF58" s="1120"/>
      <c r="AG58" s="1120"/>
      <c r="AH58" s="1120"/>
      <c r="AI58" s="1120"/>
      <c r="AJ58" s="1120"/>
      <c r="AK58" s="1120"/>
      <c r="AL58" s="1120"/>
      <c r="AM58" s="1120"/>
      <c r="AN58" s="1120"/>
      <c r="AO58" s="1120"/>
      <c r="AP58" s="1120"/>
      <c r="AQ58" s="1120"/>
      <c r="AR58" s="1120"/>
      <c r="AS58" s="1120"/>
      <c r="AT58" s="1120"/>
      <c r="AU58" s="1120"/>
      <c r="AV58" s="1120"/>
      <c r="AW58" s="1120"/>
      <c r="AX58" s="1120"/>
      <c r="AY58" s="1120"/>
      <c r="AZ58" s="1120"/>
      <c r="BA58" s="1120"/>
      <c r="BB58" s="1120"/>
      <c r="BC58" s="1120"/>
      <c r="BD58" s="1120"/>
      <c r="BE58" s="1120"/>
      <c r="BF58" s="1120"/>
      <c r="BG58" s="1120"/>
      <c r="BH58" s="1120"/>
      <c r="BI58" s="1120"/>
      <c r="BJ58" s="1120"/>
      <c r="BK58" s="1120"/>
      <c r="BL58" s="1120"/>
      <c r="BM58" s="1120"/>
    </row>
    <row r="59" spans="1:65" ht="19">
      <c r="A59" s="1196" t="e">
        <f>#REF!</f>
        <v>#REF!</v>
      </c>
      <c r="B59" s="1196" t="e">
        <f>#REF!</f>
        <v>#REF!</v>
      </c>
      <c r="C59" s="1197" t="str">
        <f>_xll.ciqfunctions.udf.CIQ(B59,"IQ_COMPANY_NAME")</f>
        <v>#NA</v>
      </c>
      <c r="D59" s="1120"/>
      <c r="E59" s="1120"/>
      <c r="F59" s="1120"/>
      <c r="G59" s="1198" t="s">
        <v>398</v>
      </c>
      <c r="H59" s="1202" t="str">
        <f t="shared" si="31"/>
        <v>-</v>
      </c>
      <c r="I59" s="1202" t="str">
        <f>IFERROR(IF(G59="y",IF(H59&lt;&gt;"-",H59,INDEX(Raw_Data,MATCH($A59,Look_Up2,0),MATCH(I$4,Component,0))/1000*(1+'Raw Data'!$H$13)),(INDEX(Raw_Data,MATCH($A59,Look_Up2,0),MATCH(I$4,Component,0))/1000)),"-")</f>
        <v>-</v>
      </c>
      <c r="J59" s="1201"/>
      <c r="K59" s="1201"/>
      <c r="L59" s="1201"/>
      <c r="M59" s="1202" t="str">
        <f>IFERROR(I59*#REF!,"-")</f>
        <v>-</v>
      </c>
      <c r="N59" s="1201"/>
      <c r="O59" s="1201"/>
      <c r="P59" s="1202" t="str">
        <f t="shared" si="35"/>
        <v>-</v>
      </c>
      <c r="Q59" s="1201"/>
      <c r="R59" s="1201"/>
      <c r="S59" s="1201"/>
      <c r="T59" s="1202" t="str">
        <f>IFERROR(I59*#REF!,"-")</f>
        <v>-</v>
      </c>
      <c r="U59" s="1201"/>
      <c r="V59" s="1201"/>
      <c r="W59" s="1202" t="str">
        <f t="shared" si="36"/>
        <v>-</v>
      </c>
      <c r="X59" s="1201"/>
      <c r="Y59" s="1201"/>
      <c r="Z59" s="1201"/>
      <c r="AA59" s="1202" t="str">
        <f>IFERROR(IF(SUM(W59,#REF!,#REF!)=0,"-",SUM(W59,#REF!,#REF!)),"-")</f>
        <v>-</v>
      </c>
      <c r="AB59" s="1201"/>
      <c r="AC59" s="1120"/>
      <c r="AD59" s="1120"/>
      <c r="AE59" s="1120"/>
      <c r="AF59" s="1120"/>
      <c r="AG59" s="1120"/>
      <c r="AH59" s="1120"/>
      <c r="AI59" s="1120"/>
      <c r="AJ59" s="1120"/>
      <c r="AK59" s="1120"/>
      <c r="AL59" s="1120"/>
      <c r="AM59" s="1120"/>
      <c r="AN59" s="1120"/>
      <c r="AO59" s="1120"/>
      <c r="AP59" s="1120"/>
      <c r="AQ59" s="1120"/>
      <c r="AR59" s="1120"/>
      <c r="AS59" s="1120"/>
      <c r="AT59" s="1120"/>
      <c r="AU59" s="1120"/>
      <c r="AV59" s="1120"/>
      <c r="AW59" s="1120"/>
      <c r="AX59" s="1120"/>
      <c r="AY59" s="1120"/>
      <c r="AZ59" s="1120"/>
      <c r="BA59" s="1120"/>
      <c r="BB59" s="1120"/>
      <c r="BC59" s="1120"/>
      <c r="BD59" s="1120"/>
      <c r="BE59" s="1120"/>
      <c r="BF59" s="1120"/>
      <c r="BG59" s="1120"/>
      <c r="BH59" s="1120"/>
      <c r="BI59" s="1120"/>
      <c r="BJ59" s="1120"/>
      <c r="BK59" s="1120"/>
      <c r="BL59" s="1120"/>
      <c r="BM59" s="1120"/>
    </row>
    <row r="60" spans="1:65" ht="19">
      <c r="A60" s="1196" t="e">
        <f>#REF!</f>
        <v>#REF!</v>
      </c>
      <c r="B60" s="1196" t="e">
        <f>#REF!</f>
        <v>#REF!</v>
      </c>
      <c r="C60" s="1197" t="str">
        <f>_xll.ciqfunctions.udf.CIQ(B60,"IQ_COMPANY_NAME")</f>
        <v>#NA</v>
      </c>
      <c r="D60" s="1120"/>
      <c r="E60" s="1120"/>
      <c r="F60" s="1120"/>
      <c r="G60" s="1198" t="s">
        <v>398</v>
      </c>
      <c r="H60" s="1211" t="str">
        <f t="shared" si="31"/>
        <v>-</v>
      </c>
      <c r="I60" s="1202" t="str">
        <f>IFERROR(IF(G60="y",IF(H60&lt;&gt;"-",H60,INDEX(Raw_Data,MATCH($A60,Look_Up2,0),MATCH(I$4,Component,0))/1000*(1+'Raw Data'!$H$13)),(INDEX(Raw_Data,MATCH($A60,Look_Up2,0),MATCH(I$4,Component,0))/1000)),"-")</f>
        <v>-</v>
      </c>
      <c r="J60" s="1201"/>
      <c r="K60" s="1201"/>
      <c r="L60" s="1201"/>
      <c r="M60" s="1202" t="str">
        <f>IFERROR(I60*#REF!,"-")</f>
        <v>-</v>
      </c>
      <c r="N60" s="1201"/>
      <c r="O60" s="1201"/>
      <c r="P60" s="1211" t="str">
        <f t="shared" si="35"/>
        <v>-</v>
      </c>
      <c r="Q60" s="1201"/>
      <c r="R60" s="1201"/>
      <c r="S60" s="1201"/>
      <c r="T60" s="1202" t="str">
        <f>IFERROR(I60*#REF!,"-")</f>
        <v>-</v>
      </c>
      <c r="U60" s="1201"/>
      <c r="V60" s="1201"/>
      <c r="W60" s="1211" t="str">
        <f t="shared" si="36"/>
        <v>-</v>
      </c>
      <c r="X60" s="1201"/>
      <c r="Y60" s="1201"/>
      <c r="Z60" s="1201"/>
      <c r="AA60" s="1211" t="str">
        <f>IFERROR(IF(SUM(W60,#REF!,#REF!)=0,"-",SUM(W60,#REF!,#REF!)),"-")</f>
        <v>-</v>
      </c>
      <c r="AB60" s="1201"/>
      <c r="AC60" s="1120"/>
      <c r="AD60" s="1120"/>
      <c r="AE60" s="1120"/>
      <c r="AF60" s="1120"/>
      <c r="AG60" s="1120"/>
      <c r="AH60" s="1120"/>
      <c r="AI60" s="1120"/>
      <c r="AJ60" s="1120"/>
      <c r="AK60" s="1120"/>
      <c r="AL60" s="1120"/>
      <c r="AM60" s="1120"/>
      <c r="AN60" s="1120"/>
      <c r="AO60" s="1120"/>
      <c r="AP60" s="1120"/>
      <c r="AQ60" s="1120"/>
      <c r="AR60" s="1120"/>
      <c r="AS60" s="1120"/>
      <c r="AT60" s="1120"/>
      <c r="AU60" s="1120"/>
      <c r="AV60" s="1120"/>
      <c r="AW60" s="1120"/>
      <c r="AX60" s="1120"/>
      <c r="AY60" s="1120"/>
      <c r="AZ60" s="1120"/>
      <c r="BA60" s="1120"/>
      <c r="BB60" s="1120"/>
      <c r="BC60" s="1120"/>
      <c r="BD60" s="1120"/>
      <c r="BE60" s="1120"/>
      <c r="BF60" s="1120"/>
      <c r="BG60" s="1120"/>
      <c r="BH60" s="1120"/>
      <c r="BI60" s="1120"/>
      <c r="BJ60" s="1120"/>
      <c r="BK60" s="1120"/>
      <c r="BL60" s="1120"/>
      <c r="BM60" s="1120"/>
    </row>
    <row r="61" spans="1:65" ht="18">
      <c r="A61" s="1172"/>
      <c r="B61" s="1172"/>
      <c r="C61" s="1120"/>
      <c r="D61" s="1120"/>
      <c r="E61" s="1120"/>
      <c r="F61" s="1120"/>
      <c r="G61" s="1120"/>
      <c r="H61" s="1120"/>
      <c r="I61" s="1212"/>
      <c r="J61" s="1120"/>
      <c r="K61" s="1120"/>
      <c r="L61" s="1120"/>
      <c r="M61" s="1212"/>
      <c r="N61" s="1120"/>
      <c r="O61" s="1120"/>
      <c r="P61" s="1212"/>
      <c r="Q61" s="1120"/>
      <c r="R61" s="1120"/>
      <c r="S61" s="1120"/>
      <c r="T61" s="1212"/>
      <c r="U61" s="1120"/>
      <c r="V61" s="1120"/>
      <c r="W61" s="1212"/>
      <c r="X61" s="1120"/>
      <c r="Y61" s="1120"/>
      <c r="Z61" s="1120"/>
      <c r="AA61" s="1212"/>
      <c r="AB61" s="1120"/>
      <c r="AC61" s="1120"/>
      <c r="AD61" s="1120"/>
      <c r="AE61" s="1120"/>
      <c r="AF61" s="1120"/>
      <c r="AG61" s="1120"/>
      <c r="AH61" s="1120"/>
      <c r="AI61" s="1120"/>
      <c r="AJ61" s="1120"/>
      <c r="AK61" s="1120"/>
      <c r="AL61" s="1120"/>
      <c r="AM61" s="1120"/>
      <c r="AN61" s="1120"/>
      <c r="AO61" s="1120"/>
      <c r="AP61" s="1120"/>
      <c r="AQ61" s="1120"/>
      <c r="AR61" s="1120"/>
      <c r="AS61" s="1120"/>
      <c r="AT61" s="1120"/>
      <c r="AU61" s="1120"/>
      <c r="AV61" s="1120"/>
      <c r="AW61" s="1120"/>
      <c r="AX61" s="1120"/>
      <c r="AY61" s="1120"/>
      <c r="AZ61" s="1120"/>
      <c r="BA61" s="1120"/>
      <c r="BB61" s="1120"/>
      <c r="BC61" s="1120"/>
      <c r="BD61" s="1120"/>
      <c r="BE61" s="1120"/>
      <c r="BF61" s="1120"/>
      <c r="BG61" s="1120"/>
      <c r="BH61" s="1120"/>
      <c r="BI61" s="1120"/>
      <c r="BJ61" s="1120"/>
      <c r="BK61" s="1120"/>
      <c r="BL61" s="1120"/>
      <c r="BM61" s="1120"/>
    </row>
    <row r="62" spans="1:65" ht="18">
      <c r="A62" s="1172"/>
      <c r="B62" s="1172"/>
      <c r="C62" s="1120"/>
      <c r="D62" s="1120"/>
      <c r="E62" s="1120"/>
      <c r="F62" s="1120"/>
      <c r="G62" s="1120"/>
      <c r="H62" s="1120"/>
      <c r="I62" s="1202">
        <f>PERCENTILE(I$41:I$60,$B23)</f>
        <v>776.01777187500011</v>
      </c>
      <c r="J62" s="1120"/>
      <c r="K62" s="1120"/>
      <c r="L62" s="1120"/>
      <c r="M62" s="1202">
        <f>PERCENTILE(M$41:M$60,$B23)</f>
        <v>635.39668726920002</v>
      </c>
      <c r="N62" s="1120"/>
      <c r="O62" s="1120"/>
      <c r="P62" s="1202">
        <f>PERCENTILE(P$41:P$60,$B23)</f>
        <v>1485.76663125</v>
      </c>
      <c r="Q62" s="1120"/>
      <c r="R62" s="1120"/>
      <c r="S62" s="1120"/>
      <c r="T62" s="1202">
        <f>PERCENTILE(T$41:T$60,$B23)</f>
        <v>1699.5140707344181</v>
      </c>
      <c r="U62" s="1120"/>
      <c r="V62" s="1120"/>
      <c r="W62" s="1202">
        <f>PERCENTILE(W$41:W$60,$B23)</f>
        <v>3155.4427663276251</v>
      </c>
      <c r="X62" s="1120"/>
      <c r="Y62" s="1120"/>
      <c r="Z62" s="1120"/>
      <c r="AA62" s="1202">
        <f>PERCENTILE(AA$41:AA$60,$B23)</f>
        <v>3265.076855915765</v>
      </c>
      <c r="AB62" s="1120"/>
      <c r="AC62" s="1120"/>
      <c r="AD62" s="1120"/>
      <c r="AE62" s="1120"/>
      <c r="AF62" s="1120"/>
      <c r="AG62" s="1120"/>
      <c r="AH62" s="1120"/>
      <c r="AI62" s="1120"/>
      <c r="AJ62" s="1120"/>
      <c r="AK62" s="1120"/>
      <c r="AL62" s="1120"/>
      <c r="AM62" s="1120"/>
      <c r="AN62" s="1120"/>
      <c r="AO62" s="1120"/>
      <c r="AP62" s="1120"/>
      <c r="AQ62" s="1120"/>
      <c r="AR62" s="1120"/>
      <c r="AS62" s="1120"/>
      <c r="AT62" s="1120"/>
      <c r="AU62" s="1120"/>
      <c r="AV62" s="1120"/>
      <c r="AW62" s="1120"/>
      <c r="AX62" s="1120"/>
      <c r="AY62" s="1120"/>
      <c r="AZ62" s="1120"/>
      <c r="BA62" s="1120"/>
      <c r="BB62" s="1120"/>
      <c r="BC62" s="1120"/>
      <c r="BD62" s="1120"/>
      <c r="BE62" s="1120"/>
      <c r="BF62" s="1120"/>
      <c r="BG62" s="1120"/>
      <c r="BH62" s="1120"/>
      <c r="BI62" s="1120"/>
      <c r="BJ62" s="1120"/>
      <c r="BK62" s="1120"/>
      <c r="BL62" s="1120"/>
      <c r="BM62" s="1120"/>
    </row>
    <row r="63" spans="1:65" ht="18">
      <c r="A63" s="1172"/>
      <c r="B63" s="1172"/>
      <c r="C63" s="1120"/>
      <c r="D63" s="1120"/>
      <c r="E63" s="1120"/>
      <c r="F63" s="1120"/>
      <c r="G63" s="1120"/>
      <c r="H63" s="1120"/>
      <c r="I63" s="1213">
        <f>PERCENTILE(I$41:I$60,$B24)</f>
        <v>699.33904651725015</v>
      </c>
      <c r="J63" s="1120"/>
      <c r="K63" s="1120"/>
      <c r="L63" s="1120"/>
      <c r="M63" s="1213">
        <f>PERCENTILE(M$41:M$60,$B24)</f>
        <v>581.88041317006264</v>
      </c>
      <c r="N63" s="1120"/>
      <c r="O63" s="1120"/>
      <c r="P63" s="1213">
        <f>PERCENTILE(P$41:P$60,$B24)</f>
        <v>1311.3675317257128</v>
      </c>
      <c r="Q63" s="1120"/>
      <c r="R63" s="1120"/>
      <c r="S63" s="1120"/>
      <c r="T63" s="1213">
        <f>PERCENTILE(T$41:T$60,$B24)</f>
        <v>1356.443565</v>
      </c>
      <c r="U63" s="1120"/>
      <c r="V63" s="1120"/>
      <c r="W63" s="1213">
        <f>PERCENTILE(W$41:W$60,$B24)</f>
        <v>2762.0417156675203</v>
      </c>
      <c r="X63" s="1120"/>
      <c r="Y63" s="1120"/>
      <c r="Z63" s="1120"/>
      <c r="AA63" s="1213">
        <f>PERCENTILE(AA$41:AA$60,$B24)</f>
        <v>3035.1586874250002</v>
      </c>
      <c r="AB63" s="1120"/>
      <c r="AC63" s="1120"/>
      <c r="AD63" s="1120"/>
      <c r="AE63" s="1120"/>
      <c r="AF63" s="1120"/>
      <c r="AG63" s="1120"/>
      <c r="AH63" s="1120"/>
      <c r="AI63" s="1120"/>
      <c r="AJ63" s="1120"/>
      <c r="AK63" s="1120"/>
      <c r="AL63" s="1120"/>
      <c r="AM63" s="1120"/>
      <c r="AN63" s="1120"/>
      <c r="AO63" s="1120"/>
      <c r="AP63" s="1120"/>
      <c r="AQ63" s="1120"/>
      <c r="AR63" s="1120"/>
      <c r="AS63" s="1120"/>
      <c r="AT63" s="1120"/>
      <c r="AU63" s="1120"/>
      <c r="AV63" s="1120"/>
      <c r="AW63" s="1120"/>
      <c r="AX63" s="1120"/>
      <c r="AY63" s="1120"/>
      <c r="AZ63" s="1120"/>
      <c r="BA63" s="1120"/>
      <c r="BB63" s="1120"/>
      <c r="BC63" s="1120"/>
      <c r="BD63" s="1120"/>
      <c r="BE63" s="1120"/>
      <c r="BF63" s="1120"/>
      <c r="BG63" s="1120"/>
      <c r="BH63" s="1120"/>
      <c r="BI63" s="1120"/>
      <c r="BJ63" s="1120"/>
      <c r="BK63" s="1120"/>
      <c r="BL63" s="1120"/>
      <c r="BM63" s="1120"/>
    </row>
    <row r="64" spans="1:65" ht="18">
      <c r="A64" s="1172"/>
      <c r="B64" s="1172"/>
      <c r="C64" s="1120"/>
      <c r="D64" s="1120"/>
      <c r="E64" s="1120"/>
      <c r="F64" s="1120"/>
      <c r="G64" s="1120"/>
      <c r="H64" s="1120"/>
      <c r="I64" s="1202">
        <f>PERCENTILE(I$41:I$60,$B25)</f>
        <v>633.52954980975005</v>
      </c>
      <c r="J64" s="1120"/>
      <c r="K64" s="1120"/>
      <c r="L64" s="1120"/>
      <c r="M64" s="1202">
        <f>PERCENTILE(M$41:M$60,$B25)</f>
        <v>492.793711078125</v>
      </c>
      <c r="N64" s="1120"/>
      <c r="O64" s="1120"/>
      <c r="P64" s="1202">
        <f>PERCENTILE(P$41:P$60,$B25)</f>
        <v>1112.7061800000001</v>
      </c>
      <c r="Q64" s="1120"/>
      <c r="R64" s="1120"/>
      <c r="S64" s="1120"/>
      <c r="T64" s="1202">
        <f>PERCENTILE(T$41:T$60,$B25)</f>
        <v>1073.6850731249999</v>
      </c>
      <c r="U64" s="1120"/>
      <c r="V64" s="1120"/>
      <c r="W64" s="1202">
        <f>PERCENTILE(W$41:W$60,$B25)</f>
        <v>2315.9972951805821</v>
      </c>
      <c r="X64" s="1120"/>
      <c r="Y64" s="1120"/>
      <c r="Z64" s="1120"/>
      <c r="AA64" s="1202">
        <f>PERCENTILE(AA$41:AA$60,$B25)</f>
        <v>2434.8269160250002</v>
      </c>
      <c r="AB64" s="1120"/>
      <c r="AC64" s="1120"/>
      <c r="AD64" s="1120"/>
      <c r="AE64" s="1120"/>
      <c r="AF64" s="1120"/>
      <c r="AG64" s="1120"/>
      <c r="AH64" s="1120"/>
      <c r="AI64" s="1120"/>
      <c r="AJ64" s="1120"/>
      <c r="AK64" s="1120"/>
      <c r="AL64" s="1120"/>
      <c r="AM64" s="1120"/>
      <c r="AN64" s="1120"/>
      <c r="AO64" s="1120"/>
      <c r="AP64" s="1120"/>
      <c r="AQ64" s="1120"/>
      <c r="AR64" s="1120"/>
      <c r="AS64" s="1120"/>
      <c r="AT64" s="1120"/>
      <c r="AU64" s="1120"/>
      <c r="AV64" s="1120"/>
      <c r="AW64" s="1120"/>
      <c r="AX64" s="1120"/>
      <c r="AY64" s="1120"/>
      <c r="AZ64" s="1120"/>
      <c r="BA64" s="1120"/>
      <c r="BB64" s="1120"/>
      <c r="BC64" s="1120"/>
      <c r="BD64" s="1120"/>
      <c r="BE64" s="1120"/>
      <c r="BF64" s="1120"/>
      <c r="BG64" s="1120"/>
      <c r="BH64" s="1120"/>
      <c r="BI64" s="1120"/>
      <c r="BJ64" s="1120"/>
      <c r="BK64" s="1120"/>
      <c r="BL64" s="1120"/>
      <c r="BM64" s="1120"/>
    </row>
    <row r="65" spans="1:65" ht="18">
      <c r="A65" s="1172"/>
      <c r="B65" s="1172"/>
      <c r="C65" s="1120"/>
      <c r="D65" s="1120"/>
      <c r="E65" s="1120"/>
      <c r="F65" s="1120"/>
      <c r="G65" s="1120"/>
      <c r="H65" s="1120"/>
      <c r="I65" s="1214">
        <f>AVERAGE(I41:I60)</f>
        <v>726.88663261053568</v>
      </c>
      <c r="J65" s="1120"/>
      <c r="K65" s="1120"/>
      <c r="L65" s="1120"/>
      <c r="M65" s="1214">
        <f>AVERAGE(M41:M60)</f>
        <v>573.97271934275182</v>
      </c>
      <c r="N65" s="1120"/>
      <c r="O65" s="1120"/>
      <c r="P65" s="1214">
        <f>AVERAGE(P41:P60)</f>
        <v>1300.8593519532874</v>
      </c>
      <c r="Q65" s="1120"/>
      <c r="R65" s="1120"/>
      <c r="S65" s="1120"/>
      <c r="T65" s="1214">
        <f>AVERAGE(T41:T60)</f>
        <v>1411.6079421382462</v>
      </c>
      <c r="U65" s="1120"/>
      <c r="V65" s="1120"/>
      <c r="W65" s="1214">
        <f>AVERAGE(W41:W60)</f>
        <v>2712.4672940915334</v>
      </c>
      <c r="X65" s="1120"/>
      <c r="Y65" s="1120"/>
      <c r="Z65" s="1120"/>
      <c r="AA65" s="1214">
        <f>AVERAGE(AA41:AA60)</f>
        <v>2841.70314223082</v>
      </c>
      <c r="AB65" s="1120"/>
      <c r="AC65" s="1120"/>
      <c r="AD65" s="1120"/>
      <c r="AE65" s="1120"/>
      <c r="AF65" s="1120"/>
      <c r="AG65" s="1120"/>
      <c r="AH65" s="1120"/>
      <c r="AI65" s="1120"/>
      <c r="AJ65" s="1120"/>
      <c r="AK65" s="1120"/>
      <c r="AL65" s="1120"/>
      <c r="AM65" s="1120"/>
      <c r="AN65" s="1120"/>
      <c r="AO65" s="1120"/>
      <c r="AP65" s="1120"/>
      <c r="AQ65" s="1120"/>
      <c r="AR65" s="1120"/>
      <c r="AS65" s="1120"/>
      <c r="AT65" s="1120"/>
      <c r="AU65" s="1120"/>
      <c r="AV65" s="1120"/>
      <c r="AW65" s="1120"/>
      <c r="AX65" s="1120"/>
      <c r="AY65" s="1120"/>
      <c r="AZ65" s="1120"/>
      <c r="BA65" s="1120"/>
      <c r="BB65" s="1120"/>
      <c r="BC65" s="1120"/>
      <c r="BD65" s="1120"/>
      <c r="BE65" s="1120"/>
      <c r="BF65" s="1120"/>
      <c r="BG65" s="1120"/>
      <c r="BH65" s="1120"/>
      <c r="BI65" s="1120"/>
      <c r="BJ65" s="1120"/>
      <c r="BK65" s="1120"/>
      <c r="BL65" s="1120"/>
      <c r="BM65" s="1120"/>
    </row>
    <row r="66" spans="1:65" ht="18">
      <c r="A66" s="1172"/>
      <c r="B66" s="1172"/>
      <c r="C66" s="1120"/>
      <c r="D66" s="1120"/>
      <c r="E66" s="1120"/>
      <c r="F66" s="1120"/>
      <c r="G66" s="1120"/>
      <c r="H66" s="1120"/>
      <c r="I66" s="1120"/>
      <c r="J66" s="1120"/>
      <c r="K66" s="1120"/>
      <c r="L66" s="1120"/>
      <c r="M66" s="1120"/>
      <c r="N66" s="1120"/>
      <c r="O66" s="1120"/>
      <c r="P66" s="1120"/>
      <c r="Q66" s="1120"/>
      <c r="R66" s="1120"/>
      <c r="S66" s="1120"/>
      <c r="T66" s="1120"/>
      <c r="U66" s="1120"/>
      <c r="V66" s="1120"/>
      <c r="W66" s="1120"/>
      <c r="X66" s="1120"/>
      <c r="Y66" s="1120"/>
      <c r="Z66" s="1120"/>
      <c r="AA66" s="1120"/>
      <c r="AB66" s="1120"/>
      <c r="AC66" s="1120"/>
      <c r="AD66" s="1120"/>
      <c r="AE66" s="1120"/>
      <c r="AF66" s="1120"/>
      <c r="AG66" s="1120"/>
      <c r="AH66" s="1120"/>
      <c r="AI66" s="1120"/>
      <c r="AJ66" s="1120"/>
      <c r="AK66" s="1120"/>
      <c r="AL66" s="1120"/>
      <c r="AM66" s="1120"/>
      <c r="AN66" s="1120"/>
      <c r="AO66" s="1120"/>
      <c r="AP66" s="1120"/>
      <c r="AQ66" s="1120"/>
      <c r="AR66" s="1120"/>
      <c r="AS66" s="1120"/>
      <c r="AT66" s="1120"/>
      <c r="AU66" s="1120"/>
      <c r="AV66" s="1120"/>
      <c r="AW66" s="1120"/>
      <c r="AX66" s="1120"/>
      <c r="AY66" s="1120"/>
      <c r="AZ66" s="1120"/>
      <c r="BA66" s="1120"/>
      <c r="BB66" s="1120"/>
      <c r="BC66" s="1120"/>
      <c r="BD66" s="1120"/>
      <c r="BE66" s="1120"/>
      <c r="BF66" s="1120"/>
      <c r="BG66" s="1120"/>
      <c r="BH66" s="1120"/>
      <c r="BI66" s="1120"/>
      <c r="BJ66" s="1120"/>
      <c r="BK66" s="1120"/>
      <c r="BL66" s="1120"/>
      <c r="BM66" s="1120"/>
    </row>
    <row r="67" spans="1:65" ht="16">
      <c r="A67" s="1120"/>
      <c r="B67" s="1120"/>
      <c r="C67" s="1120"/>
      <c r="D67" s="1120"/>
      <c r="E67" s="1120"/>
      <c r="F67" s="1120"/>
      <c r="G67" s="1120"/>
      <c r="H67" s="1120"/>
      <c r="I67" s="1120"/>
      <c r="J67" s="1120"/>
      <c r="K67" s="1120"/>
      <c r="L67" s="1120"/>
      <c r="M67" s="1120"/>
      <c r="N67" s="1120"/>
      <c r="O67" s="1120"/>
      <c r="P67" s="1120"/>
      <c r="Q67" s="1120"/>
      <c r="R67" s="1120"/>
      <c r="S67" s="1120"/>
      <c r="T67" s="1120"/>
      <c r="U67" s="1120"/>
      <c r="V67" s="1120"/>
      <c r="W67" s="1120"/>
      <c r="X67" s="1120"/>
      <c r="Y67" s="1120"/>
      <c r="Z67" s="1120"/>
      <c r="AA67" s="1120"/>
      <c r="AB67" s="1120"/>
      <c r="AC67" s="1120"/>
      <c r="AD67" s="1120"/>
      <c r="AE67" s="1120"/>
      <c r="AF67" s="1120"/>
      <c r="AG67" s="1120"/>
      <c r="AH67" s="1120"/>
      <c r="AI67" s="1120"/>
      <c r="AJ67" s="1120"/>
      <c r="AK67" s="1120"/>
      <c r="AL67" s="1120"/>
      <c r="AM67" s="1120"/>
      <c r="AN67" s="1120"/>
      <c r="AO67" s="1120"/>
      <c r="AP67" s="1120"/>
      <c r="AQ67" s="1120"/>
      <c r="AR67" s="1120"/>
      <c r="AS67" s="1120"/>
      <c r="AT67" s="1120"/>
      <c r="AU67" s="1120"/>
      <c r="AV67" s="1120"/>
      <c r="AW67" s="1120"/>
      <c r="AX67" s="1120"/>
      <c r="AY67" s="1120"/>
      <c r="AZ67" s="1120"/>
      <c r="BA67" s="1120"/>
      <c r="BB67" s="1120"/>
      <c r="BC67" s="1120"/>
      <c r="BD67" s="1120"/>
      <c r="BE67" s="1120"/>
      <c r="BF67" s="1120"/>
      <c r="BG67" s="1120"/>
      <c r="BH67" s="1120"/>
      <c r="BI67" s="1120"/>
      <c r="BJ67" s="1120"/>
      <c r="BK67" s="1120"/>
      <c r="BL67" s="1120"/>
      <c r="BM67" s="1120"/>
    </row>
    <row r="68" spans="1:65" ht="16">
      <c r="A68" s="1120"/>
      <c r="B68" s="1120"/>
      <c r="C68" s="1120"/>
      <c r="D68" s="1120"/>
      <c r="E68" s="1120"/>
      <c r="F68" s="1120"/>
      <c r="G68" s="1120"/>
      <c r="H68" s="1120"/>
      <c r="I68" s="1120"/>
      <c r="J68" s="1120"/>
      <c r="K68" s="1120"/>
      <c r="L68" s="1120"/>
      <c r="M68" s="1120"/>
      <c r="N68" s="1120"/>
      <c r="O68" s="1120"/>
      <c r="P68" s="1120"/>
      <c r="Q68" s="1120"/>
      <c r="R68" s="1120"/>
      <c r="S68" s="1120"/>
      <c r="T68" s="1120"/>
      <c r="U68" s="1120"/>
      <c r="V68" s="1120"/>
      <c r="W68" s="1120"/>
      <c r="X68" s="1120"/>
      <c r="Y68" s="1120"/>
      <c r="Z68" s="1120"/>
      <c r="AA68" s="1120"/>
      <c r="AB68" s="1120"/>
      <c r="AC68" s="1120"/>
      <c r="AD68" s="1120"/>
      <c r="AE68" s="1120"/>
      <c r="AF68" s="1120"/>
      <c r="AG68" s="1120"/>
      <c r="AH68" s="1120"/>
      <c r="AI68" s="1120"/>
      <c r="AJ68" s="1120"/>
      <c r="AK68" s="1120"/>
      <c r="AL68" s="1120"/>
      <c r="AM68" s="1120"/>
      <c r="AN68" s="1120"/>
      <c r="AO68" s="1120"/>
      <c r="AP68" s="1120"/>
      <c r="AQ68" s="1120"/>
      <c r="AR68" s="1120"/>
      <c r="AS68" s="1120"/>
      <c r="AT68" s="1120"/>
      <c r="AU68" s="1120"/>
      <c r="AV68" s="1120"/>
      <c r="AW68" s="1120"/>
      <c r="AX68" s="1120"/>
      <c r="AY68" s="1120"/>
      <c r="AZ68" s="1120"/>
      <c r="BA68" s="1120"/>
      <c r="BB68" s="1120"/>
      <c r="BC68" s="1120"/>
      <c r="BD68" s="1120"/>
      <c r="BE68" s="1120"/>
      <c r="BF68" s="1120"/>
      <c r="BG68" s="1120"/>
      <c r="BH68" s="1120"/>
      <c r="BI68" s="1120"/>
      <c r="BJ68" s="1120"/>
      <c r="BK68" s="1120"/>
      <c r="BL68" s="1120"/>
      <c r="BM68" s="1120"/>
    </row>
    <row r="69" spans="1:65" ht="16">
      <c r="A69" s="1120"/>
      <c r="B69" s="1120"/>
      <c r="C69" s="1120"/>
      <c r="D69" s="1120"/>
      <c r="E69" s="1120"/>
      <c r="F69" s="1120"/>
      <c r="G69" s="1120"/>
      <c r="H69" s="1120"/>
      <c r="I69" s="1120"/>
      <c r="J69" s="1120"/>
      <c r="K69" s="1120"/>
      <c r="L69" s="1120"/>
      <c r="M69" s="1120"/>
      <c r="N69" s="1120"/>
      <c r="O69" s="1120"/>
      <c r="P69" s="1120"/>
      <c r="Q69" s="1120"/>
      <c r="R69" s="1120"/>
      <c r="S69" s="1120"/>
      <c r="T69" s="1120"/>
      <c r="U69" s="1120"/>
      <c r="V69" s="1120"/>
      <c r="W69" s="1120"/>
      <c r="X69" s="1120"/>
      <c r="Y69" s="1120"/>
      <c r="Z69" s="1120"/>
      <c r="AA69" s="1120"/>
      <c r="AB69" s="1120"/>
      <c r="AC69" s="1120"/>
      <c r="AD69" s="1120"/>
      <c r="AE69" s="1120"/>
      <c r="AF69" s="1120"/>
      <c r="AG69" s="1120"/>
      <c r="AH69" s="1120"/>
      <c r="AI69" s="1120"/>
      <c r="AJ69" s="1120"/>
      <c r="AK69" s="1120"/>
      <c r="AL69" s="1120"/>
      <c r="AM69" s="1120"/>
      <c r="AN69" s="1120"/>
      <c r="AO69" s="1120"/>
      <c r="AP69" s="1120"/>
      <c r="AQ69" s="1120"/>
      <c r="AR69" s="1120"/>
      <c r="AS69" s="1120"/>
      <c r="AT69" s="1120"/>
      <c r="AU69" s="1120"/>
      <c r="AV69" s="1120"/>
      <c r="AW69" s="1120"/>
      <c r="AX69" s="1120"/>
      <c r="AY69" s="1120"/>
      <c r="AZ69" s="1120"/>
      <c r="BA69" s="1120"/>
      <c r="BB69" s="1120"/>
      <c r="BC69" s="1120"/>
      <c r="BD69" s="1120"/>
      <c r="BE69" s="1120"/>
      <c r="BF69" s="1120"/>
      <c r="BG69" s="1120"/>
      <c r="BH69" s="1120"/>
      <c r="BI69" s="1120"/>
      <c r="BJ69" s="1120"/>
      <c r="BK69" s="1120"/>
      <c r="BL69" s="1120"/>
      <c r="BM69" s="1120"/>
    </row>
    <row r="70" spans="1:65" ht="16">
      <c r="A70" s="1120"/>
      <c r="B70" s="1120"/>
      <c r="C70" s="1120"/>
      <c r="D70" s="1120"/>
      <c r="E70" s="1120"/>
      <c r="F70" s="1120"/>
      <c r="G70" s="1120"/>
      <c r="H70" s="1120"/>
      <c r="I70" s="1120"/>
      <c r="J70" s="1120"/>
      <c r="K70" s="1120"/>
      <c r="L70" s="1120"/>
      <c r="M70" s="1120"/>
      <c r="N70" s="1120"/>
      <c r="O70" s="1120"/>
      <c r="P70" s="1120"/>
      <c r="Q70" s="1120"/>
      <c r="R70" s="1120"/>
      <c r="S70" s="1120"/>
      <c r="T70" s="1120"/>
      <c r="U70" s="1120"/>
      <c r="V70" s="1120"/>
      <c r="W70" s="1120"/>
      <c r="X70" s="1120"/>
      <c r="Y70" s="1120"/>
      <c r="Z70" s="1120"/>
      <c r="AA70" s="1120"/>
      <c r="AB70" s="1120"/>
      <c r="AC70" s="1120"/>
      <c r="AD70" s="1120"/>
      <c r="AE70" s="1120"/>
      <c r="AF70" s="1120"/>
      <c r="AG70" s="1120"/>
      <c r="AH70" s="1120"/>
      <c r="AI70" s="1120"/>
      <c r="AJ70" s="1120"/>
      <c r="AK70" s="1120"/>
      <c r="AL70" s="1120"/>
      <c r="AM70" s="1120"/>
      <c r="AN70" s="1120"/>
      <c r="AO70" s="1120"/>
      <c r="AP70" s="1120"/>
      <c r="AQ70" s="1120"/>
      <c r="AR70" s="1120"/>
      <c r="AS70" s="1120"/>
      <c r="AT70" s="1120"/>
      <c r="AU70" s="1120"/>
      <c r="AV70" s="1120"/>
      <c r="AW70" s="1120"/>
      <c r="AX70" s="1120"/>
      <c r="AY70" s="1120"/>
      <c r="AZ70" s="1120"/>
      <c r="BA70" s="1120"/>
      <c r="BB70" s="1120"/>
      <c r="BC70" s="1120"/>
      <c r="BD70" s="1120"/>
      <c r="BE70" s="1120"/>
      <c r="BF70" s="1120"/>
      <c r="BG70" s="1120"/>
      <c r="BH70" s="1120"/>
      <c r="BI70" s="1120"/>
      <c r="BJ70" s="1120"/>
      <c r="BK70" s="1120"/>
      <c r="BL70" s="1120"/>
      <c r="BM70" s="1120"/>
    </row>
    <row r="71" spans="1:65" ht="16">
      <c r="A71" s="1120"/>
      <c r="B71" s="1120"/>
      <c r="C71" s="1120"/>
      <c r="D71" s="1120"/>
      <c r="E71" s="1120"/>
      <c r="F71" s="1120"/>
      <c r="G71" s="1120"/>
      <c r="H71" s="1120"/>
      <c r="I71" s="1120"/>
      <c r="J71" s="1120"/>
      <c r="K71" s="1120"/>
      <c r="L71" s="1120"/>
      <c r="M71" s="1120"/>
      <c r="N71" s="1120"/>
      <c r="O71" s="1120"/>
      <c r="P71" s="1120"/>
      <c r="Q71" s="1120"/>
      <c r="R71" s="1120"/>
      <c r="S71" s="1120"/>
      <c r="T71" s="1120"/>
      <c r="U71" s="1120"/>
      <c r="V71" s="1120"/>
      <c r="W71" s="1120"/>
      <c r="X71" s="1120"/>
      <c r="Y71" s="1120"/>
      <c r="Z71" s="1120"/>
      <c r="AA71" s="1120"/>
      <c r="AB71" s="1120"/>
      <c r="AC71" s="1120"/>
      <c r="AD71" s="1120"/>
      <c r="AE71" s="1120"/>
      <c r="AF71" s="1120"/>
      <c r="AG71" s="1120"/>
      <c r="AH71" s="1120"/>
      <c r="AI71" s="1120"/>
      <c r="AJ71" s="1120"/>
      <c r="AK71" s="1120"/>
      <c r="AL71" s="1120"/>
      <c r="AM71" s="1120"/>
      <c r="AN71" s="1120"/>
      <c r="AO71" s="1120"/>
      <c r="AP71" s="1120"/>
      <c r="AQ71" s="1120"/>
      <c r="AR71" s="1120"/>
      <c r="AS71" s="1120"/>
      <c r="AT71" s="1120"/>
      <c r="AU71" s="1120"/>
      <c r="AV71" s="1120"/>
      <c r="AW71" s="1120"/>
      <c r="AX71" s="1120"/>
      <c r="AY71" s="1120"/>
      <c r="AZ71" s="1120"/>
      <c r="BA71" s="1120"/>
      <c r="BB71" s="1120"/>
      <c r="BC71" s="1120"/>
      <c r="BD71" s="1120"/>
      <c r="BE71" s="1120"/>
      <c r="BF71" s="1120"/>
      <c r="BG71" s="1120"/>
      <c r="BH71" s="1120"/>
      <c r="BI71" s="1120"/>
      <c r="BJ71" s="1120"/>
      <c r="BK71" s="1120"/>
      <c r="BL71" s="1120"/>
      <c r="BM71" s="1120"/>
    </row>
    <row r="72" spans="1:65" ht="16">
      <c r="A72" s="1120"/>
      <c r="B72" s="1120"/>
      <c r="C72" s="1120"/>
      <c r="D72" s="1120"/>
      <c r="E72" s="1120"/>
      <c r="F72" s="1120"/>
      <c r="G72" s="1120"/>
      <c r="H72" s="1120"/>
      <c r="I72" s="1120"/>
      <c r="J72" s="1120"/>
      <c r="K72" s="1120"/>
      <c r="L72" s="1120"/>
      <c r="M72" s="1120"/>
      <c r="N72" s="1120"/>
      <c r="O72" s="1120"/>
      <c r="P72" s="1120"/>
      <c r="Q72" s="1120"/>
      <c r="R72" s="1120"/>
      <c r="S72" s="1120"/>
      <c r="T72" s="1120"/>
      <c r="U72" s="1120"/>
      <c r="V72" s="1120"/>
      <c r="W72" s="1120"/>
      <c r="X72" s="1120"/>
      <c r="Y72" s="1120"/>
      <c r="Z72" s="1120"/>
      <c r="AA72" s="1120"/>
      <c r="AB72" s="1120"/>
      <c r="AC72" s="1120"/>
      <c r="AD72" s="1120"/>
      <c r="AE72" s="1120"/>
      <c r="AF72" s="1120"/>
      <c r="AG72" s="1120"/>
      <c r="AH72" s="1120"/>
      <c r="AI72" s="1120"/>
      <c r="AJ72" s="1120"/>
      <c r="AK72" s="1120"/>
      <c r="AL72" s="1120"/>
      <c r="AM72" s="1120"/>
      <c r="AN72" s="1120"/>
      <c r="AO72" s="1120"/>
      <c r="AP72" s="1120"/>
      <c r="AQ72" s="1120"/>
      <c r="AR72" s="1120"/>
      <c r="AS72" s="1120"/>
      <c r="AT72" s="1120"/>
      <c r="AU72" s="1120"/>
      <c r="AV72" s="1120"/>
      <c r="AW72" s="1120"/>
      <c r="AX72" s="1120"/>
      <c r="AY72" s="1120"/>
      <c r="AZ72" s="1120"/>
      <c r="BA72" s="1120"/>
      <c r="BB72" s="1120"/>
      <c r="BC72" s="1120"/>
      <c r="BD72" s="1120"/>
      <c r="BE72" s="1120"/>
      <c r="BF72" s="1120"/>
      <c r="BG72" s="1120"/>
      <c r="BH72" s="1120"/>
      <c r="BI72" s="1120"/>
      <c r="BJ72" s="1120"/>
      <c r="BK72" s="1120"/>
      <c r="BL72" s="1120"/>
      <c r="BM72" s="1120"/>
    </row>
    <row r="73" spans="1:65" ht="16">
      <c r="A73" s="1120"/>
      <c r="B73" s="1120"/>
      <c r="C73" s="1120"/>
      <c r="D73" s="1120"/>
      <c r="E73" s="1120"/>
      <c r="F73" s="1120"/>
      <c r="G73" s="1120"/>
      <c r="H73" s="1120"/>
      <c r="I73" s="1120"/>
      <c r="J73" s="1120"/>
      <c r="K73" s="1120"/>
      <c r="L73" s="1120"/>
      <c r="M73" s="1120"/>
      <c r="N73" s="1120"/>
      <c r="O73" s="1120"/>
      <c r="P73" s="1120"/>
      <c r="Q73" s="1120"/>
      <c r="R73" s="1120"/>
      <c r="S73" s="1120"/>
      <c r="T73" s="1120"/>
      <c r="U73" s="1120"/>
      <c r="V73" s="1120"/>
      <c r="W73" s="1120"/>
      <c r="X73" s="1120"/>
      <c r="Y73" s="1120"/>
      <c r="Z73" s="1120"/>
      <c r="AA73" s="1120"/>
      <c r="AB73" s="1120"/>
      <c r="AC73" s="1120"/>
      <c r="AD73" s="1120"/>
      <c r="AE73" s="1120"/>
      <c r="AF73" s="1120"/>
      <c r="AG73" s="1120"/>
      <c r="AH73" s="1120"/>
      <c r="AI73" s="1120"/>
      <c r="AJ73" s="1120"/>
      <c r="AK73" s="1120"/>
      <c r="AL73" s="1120"/>
      <c r="AM73" s="1120"/>
      <c r="AN73" s="1120"/>
      <c r="AO73" s="1120"/>
      <c r="AP73" s="1120"/>
      <c r="AQ73" s="1120"/>
      <c r="AR73" s="1120"/>
      <c r="AS73" s="1120"/>
      <c r="AT73" s="1120"/>
      <c r="AU73" s="1120"/>
      <c r="AV73" s="1120"/>
      <c r="AW73" s="1120"/>
      <c r="AX73" s="1120"/>
      <c r="AY73" s="1120"/>
      <c r="AZ73" s="1120"/>
      <c r="BA73" s="1120"/>
      <c r="BB73" s="1120"/>
      <c r="BC73" s="1120"/>
      <c r="BD73" s="1120"/>
      <c r="BE73" s="1120"/>
      <c r="BF73" s="1120"/>
      <c r="BG73" s="1120"/>
      <c r="BH73" s="1120"/>
      <c r="BI73" s="1120"/>
      <c r="BJ73" s="1120"/>
      <c r="BK73" s="1120"/>
      <c r="BL73" s="1120"/>
      <c r="BM73" s="1120"/>
    </row>
    <row r="74" spans="1:65" ht="16">
      <c r="A74" s="1120"/>
      <c r="B74" s="1120"/>
      <c r="C74" s="1120"/>
      <c r="D74" s="1120"/>
      <c r="E74" s="1120"/>
      <c r="F74" s="1120"/>
      <c r="G74" s="1120"/>
      <c r="H74" s="1120"/>
      <c r="I74" s="1120"/>
      <c r="J74" s="1120"/>
      <c r="K74" s="1120"/>
      <c r="L74" s="1120"/>
      <c r="M74" s="1120"/>
      <c r="N74" s="1120"/>
      <c r="O74" s="1120"/>
      <c r="P74" s="1120"/>
      <c r="Q74" s="1120"/>
      <c r="R74" s="1120"/>
      <c r="S74" s="1120"/>
      <c r="T74" s="1120"/>
      <c r="U74" s="1120"/>
      <c r="V74" s="1120"/>
      <c r="W74" s="1120"/>
      <c r="X74" s="1120"/>
      <c r="Y74" s="1120"/>
      <c r="Z74" s="1120"/>
      <c r="AA74" s="1120"/>
      <c r="AB74" s="1120"/>
      <c r="AC74" s="1120"/>
      <c r="AD74" s="1120"/>
      <c r="AE74" s="1120"/>
      <c r="AF74" s="1120"/>
      <c r="AG74" s="1120"/>
      <c r="AH74" s="1120"/>
      <c r="AI74" s="1120"/>
      <c r="AJ74" s="1120"/>
      <c r="AK74" s="1120"/>
      <c r="AL74" s="1120"/>
      <c r="AM74" s="1120"/>
      <c r="AN74" s="1120"/>
      <c r="AO74" s="1120"/>
      <c r="AP74" s="1120"/>
      <c r="AQ74" s="1120"/>
      <c r="AR74" s="1120"/>
      <c r="AS74" s="1120"/>
      <c r="AT74" s="1120"/>
      <c r="AU74" s="1120"/>
      <c r="AV74" s="1120"/>
      <c r="AW74" s="1120"/>
      <c r="AX74" s="1120"/>
      <c r="AY74" s="1120"/>
      <c r="AZ74" s="1120"/>
      <c r="BA74" s="1120"/>
      <c r="BB74" s="1120"/>
      <c r="BC74" s="1120"/>
      <c r="BD74" s="1120"/>
      <c r="BE74" s="1120"/>
      <c r="BF74" s="1120"/>
      <c r="BG74" s="1120"/>
      <c r="BH74" s="1120"/>
      <c r="BI74" s="1120"/>
      <c r="BJ74" s="1120"/>
      <c r="BK74" s="1120"/>
      <c r="BL74" s="1120"/>
      <c r="BM74" s="1120"/>
    </row>
  </sheetData>
  <sortState xmlns:xlrd2="http://schemas.microsoft.com/office/spreadsheetml/2017/richdata2" ref="A8:AP21">
    <sortCondition descending="1" ref="E8:E21"/>
  </sortState>
  <mergeCells count="11">
    <mergeCell ref="AO6:AP6"/>
    <mergeCell ref="C6:C7"/>
    <mergeCell ref="D6:D7"/>
    <mergeCell ref="E6:E7"/>
    <mergeCell ref="F6:F7"/>
    <mergeCell ref="G6:G7"/>
    <mergeCell ref="I6:I7"/>
    <mergeCell ref="X6:X7"/>
    <mergeCell ref="Y6:Y7"/>
    <mergeCell ref="Z6:AA6"/>
    <mergeCell ref="H6:H7"/>
  </mergeCells>
  <conditionalFormatting sqref="C8:AA15">
    <cfRule type="expression" dxfId="91" priority="7">
      <formula>MOD(ROW(),2)=0</formula>
    </cfRule>
  </conditionalFormatting>
  <conditionalFormatting sqref="C16:AA21">
    <cfRule type="expression" dxfId="90" priority="6">
      <formula>MOD(ROW(),2)=1</formula>
    </cfRule>
  </conditionalFormatting>
  <conditionalFormatting sqref="C23:AA26">
    <cfRule type="expression" dxfId="89" priority="8">
      <formula>MOD(ROW(),2)=0</formula>
    </cfRule>
  </conditionalFormatting>
  <conditionalFormatting sqref="C28:AA31">
    <cfRule type="expression" dxfId="88" priority="5">
      <formula>MOD(ROW(),2)=0</formula>
    </cfRule>
  </conditionalFormatting>
  <conditionalFormatting sqref="H41:I60">
    <cfRule type="expression" dxfId="87" priority="100">
      <formula>MOD(ROW(),2)=0</formula>
    </cfRule>
  </conditionalFormatting>
  <conditionalFormatting sqref="I62:I65">
    <cfRule type="expression" dxfId="86" priority="105">
      <formula>MOD(ROW(),2)=0</formula>
    </cfRule>
  </conditionalFormatting>
  <conditionalFormatting sqref="M41:M60">
    <cfRule type="expression" dxfId="85" priority="108">
      <formula>MOD(ROW(),2)=0</formula>
    </cfRule>
  </conditionalFormatting>
  <conditionalFormatting sqref="M62:M65">
    <cfRule type="expression" dxfId="84" priority="104">
      <formula>MOD(ROW(),2)=0</formula>
    </cfRule>
  </conditionalFormatting>
  <conditionalFormatting sqref="P41:P60">
    <cfRule type="expression" dxfId="83" priority="107">
      <formula>MOD(ROW(),2)=0</formula>
    </cfRule>
  </conditionalFormatting>
  <conditionalFormatting sqref="P62:P65">
    <cfRule type="expression" dxfId="82" priority="103">
      <formula>MOD(ROW(),2)=0</formula>
    </cfRule>
  </conditionalFormatting>
  <conditionalFormatting sqref="T41:T60">
    <cfRule type="expression" dxfId="81" priority="106">
      <formula>MOD(ROW(),2)=0</formula>
    </cfRule>
  </conditionalFormatting>
  <conditionalFormatting sqref="T62:T65">
    <cfRule type="expression" dxfId="80" priority="102">
      <formula>MOD(ROW(),2)=0</formula>
    </cfRule>
  </conditionalFormatting>
  <conditionalFormatting sqref="W41:W60">
    <cfRule type="expression" dxfId="79" priority="98">
      <formula>MOD(ROW(),2)=0</formula>
    </cfRule>
  </conditionalFormatting>
  <conditionalFormatting sqref="W62:W65">
    <cfRule type="expression" dxfId="78" priority="101">
      <formula>MOD(ROW(),2)=0</formula>
    </cfRule>
  </conditionalFormatting>
  <conditionalFormatting sqref="AA41:AA60">
    <cfRule type="expression" dxfId="77" priority="95">
      <formula>MOD(ROW(),2)=0</formula>
    </cfRule>
  </conditionalFormatting>
  <conditionalFormatting sqref="AA62:AA65">
    <cfRule type="expression" dxfId="76" priority="96">
      <formula>MOD(ROW(),2)=0</formula>
    </cfRule>
  </conditionalFormatting>
  <conditionalFormatting sqref="AC8:AD21 AI9:AK14 AG9:AH21">
    <cfRule type="expression" dxfId="75" priority="58">
      <formula>MOD(ROW(),2)=0</formula>
    </cfRule>
  </conditionalFormatting>
  <conditionalFormatting sqref="AC23:AD31">
    <cfRule type="expression" dxfId="74" priority="60">
      <formula>MOD(ROW(),2)=0</formula>
    </cfRule>
  </conditionalFormatting>
  <conditionalFormatting sqref="AI16:AK21">
    <cfRule type="expression" dxfId="73" priority="57">
      <formula>MOD(ROW(),2)=1</formula>
    </cfRule>
  </conditionalFormatting>
  <conditionalFormatting sqref="AL6:AM21">
    <cfRule type="containsText" dxfId="72" priority="2" operator="containsText" text="-">
      <formula>NOT(ISERROR(SEARCH("-",AL6)))</formula>
    </cfRule>
  </conditionalFormatting>
  <conditionalFormatting sqref="AL23:AM26">
    <cfRule type="expression" dxfId="71" priority="1">
      <formula>MOD(ROW(),2)=0</formula>
    </cfRule>
  </conditionalFormatting>
  <conditionalFormatting sqref="AO23:AP26">
    <cfRule type="expression" dxfId="70" priority="9">
      <formula>MOD(ROW(),2)=0</formula>
    </cfRule>
  </conditionalFormatting>
  <dataValidations disablePrompts="1" count="1">
    <dataValidation type="list" allowBlank="1" showInputMessage="1" showErrorMessage="1" sqref="G41:G60" xr:uid="{C2DA89B2-6FF8-4939-8176-B1CFB8CA4131}">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72B33-6C8E-435A-8773-7C502782D4BE}">
  <sheetPr>
    <tabColor theme="2" tint="0.749992370372631"/>
    <pageSetUpPr fitToPage="1"/>
  </sheetPr>
  <dimension ref="A1:AN60"/>
  <sheetViews>
    <sheetView topLeftCell="A6" workbookViewId="0">
      <selection activeCell="C6" sqref="C6:AE7"/>
    </sheetView>
  </sheetViews>
  <sheetFormatPr defaultColWidth="9.1796875" defaultRowHeight="14" outlineLevelRow="1" outlineLevelCol="3"/>
  <cols>
    <col min="1" max="1" width="10.453125" style="12" bestFit="1" customWidth="1"/>
    <col min="2" max="2" width="8.1796875" style="12" customWidth="1"/>
    <col min="3" max="3" width="43.54296875" style="12" bestFit="1" customWidth="1"/>
    <col min="4" max="5" width="19.1796875" style="12" hidden="1" customWidth="1" outlineLevel="2"/>
    <col min="6" max="6" width="22.81640625" style="12" bestFit="1" customWidth="1" outlineLevel="1" collapsed="1"/>
    <col min="7" max="7" width="59.7265625" style="12" bestFit="1" customWidth="1"/>
    <col min="8" max="8" width="5.7265625" style="12" hidden="1" customWidth="1" outlineLevel="1"/>
    <col min="9" max="9" width="10.81640625" style="12" bestFit="1" customWidth="1" collapsed="1"/>
    <col min="10" max="11" width="11.26953125" style="12" customWidth="1" outlineLevel="1"/>
    <col min="12" max="12" width="14.81640625" style="12" customWidth="1" outlineLevel="1"/>
    <col min="13" max="13" width="10.26953125" style="12" bestFit="1" customWidth="1"/>
    <col min="14" max="14" width="10.81640625" style="12" bestFit="1" customWidth="1"/>
    <col min="15" max="15" width="10.7265625" style="12" bestFit="1" customWidth="1"/>
    <col min="16" max="16" width="10.26953125" style="12" bestFit="1" customWidth="1"/>
    <col min="17" max="18" width="10.1796875" style="12" hidden="1" customWidth="1" outlineLevel="1"/>
    <col min="19" max="19" width="26.1796875" style="12" hidden="1" customWidth="1" outlineLevel="1"/>
    <col min="20" max="20" width="10.26953125" style="12" bestFit="1" customWidth="1" collapsed="1"/>
    <col min="21" max="21" width="10.81640625" style="12" bestFit="1" customWidth="1"/>
    <col min="22" max="22" width="10.1796875" style="12" bestFit="1" customWidth="1"/>
    <col min="23" max="23" width="10.26953125" style="12" bestFit="1" customWidth="1"/>
    <col min="24" max="27" width="13.26953125" style="12" customWidth="1" outlineLevel="3"/>
    <col min="28" max="28" width="9.1796875" style="12" customWidth="1" outlineLevel="2"/>
    <col min="29" max="30" width="13.26953125" style="12" customWidth="1" outlineLevel="2"/>
    <col min="31" max="31" width="8.7265625" style="12" customWidth="1" outlineLevel="1"/>
    <col min="32" max="32" width="2.7265625" style="12" customWidth="1"/>
    <col min="33" max="34" width="15.7265625" style="12" hidden="1" customWidth="1" outlineLevel="1"/>
    <col min="35" max="35" width="15.7265625" style="12" hidden="1" customWidth="1" outlineLevel="2"/>
    <col min="36" max="36" width="15.7265625" style="12" hidden="1" customWidth="1" outlineLevel="3"/>
    <col min="37" max="37" width="28.54296875" style="12" hidden="1" customWidth="1" outlineLevel="1" collapsed="1"/>
    <col min="38" max="38" width="12.81640625" style="12" customWidth="1" collapsed="1"/>
    <col min="39" max="39" width="12.81640625" style="12" customWidth="1"/>
    <col min="40" max="40" width="16" style="12" bestFit="1" customWidth="1"/>
    <col min="41" max="16384" width="9.1796875" style="12"/>
  </cols>
  <sheetData>
    <row r="1" spans="1:40" s="48" customFormat="1" ht="17.25" customHeight="1">
      <c r="A1" s="111">
        <v>45852</v>
      </c>
    </row>
    <row r="2" spans="1:40">
      <c r="A2" s="12" t="s">
        <v>2</v>
      </c>
      <c r="B2" s="49" t="s">
        <v>24</v>
      </c>
      <c r="C2" s="53" t="s">
        <v>361</v>
      </c>
      <c r="D2" s="12" t="s">
        <v>272</v>
      </c>
    </row>
    <row r="3" spans="1:40">
      <c r="B3" s="49" t="s">
        <v>23</v>
      </c>
      <c r="C3" s="53">
        <f>'Raw Data'!$G$9</f>
        <v>2025</v>
      </c>
    </row>
    <row r="4" spans="1:40" s="157" customFormat="1" ht="35.15"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Data'!AR31</f>
        <v>Pension Converted</v>
      </c>
      <c r="Y4" s="157" t="str">
        <f>'Raw Data'!AU31</f>
        <v>Other Converted</v>
      </c>
      <c r="Z4" s="157" t="s">
        <v>247</v>
      </c>
      <c r="AA4" s="157" t="s">
        <v>248</v>
      </c>
      <c r="AC4" s="157" t="s">
        <v>11</v>
      </c>
      <c r="AD4" s="157" t="s">
        <v>10</v>
      </c>
    </row>
    <row r="5" spans="1:40" ht="21">
      <c r="B5" s="26"/>
      <c r="C5" s="256" t="str">
        <f>+C2&amp; " Benchmarking - "&amp;'Raw Data'!H5&amp;" $000s"</f>
        <v>Tech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370</v>
      </c>
      <c r="AM5" t="s">
        <v>68</v>
      </c>
      <c r="AN5"/>
    </row>
    <row r="6" spans="1:40" ht="40" customHeight="1">
      <c r="B6" s="45"/>
      <c r="C6" s="1260" t="s">
        <v>22</v>
      </c>
      <c r="D6" s="1262" t="s">
        <v>21</v>
      </c>
      <c r="E6" s="1262" t="s">
        <v>20</v>
      </c>
      <c r="F6" s="1262" t="s">
        <v>19</v>
      </c>
      <c r="G6" s="1262" t="s">
        <v>18</v>
      </c>
      <c r="H6" s="1258" t="s">
        <v>114</v>
      </c>
      <c r="I6" s="1258" t="s">
        <v>17</v>
      </c>
      <c r="J6" s="841" t="s">
        <v>16</v>
      </c>
      <c r="K6" s="841"/>
      <c r="L6" s="841"/>
      <c r="M6" s="841" t="s">
        <v>16</v>
      </c>
      <c r="N6" s="841"/>
      <c r="O6" s="841" t="s">
        <v>15</v>
      </c>
      <c r="P6" s="841"/>
      <c r="Q6" s="841" t="s">
        <v>14</v>
      </c>
      <c r="R6" s="841"/>
      <c r="S6" s="841"/>
      <c r="T6" s="841" t="s">
        <v>14</v>
      </c>
      <c r="U6" s="841"/>
      <c r="V6" s="841" t="s">
        <v>670</v>
      </c>
      <c r="W6" s="1337"/>
      <c r="X6" s="1277" t="s">
        <v>31</v>
      </c>
      <c r="Y6" s="1279" t="s">
        <v>245</v>
      </c>
      <c r="Z6" s="1279" t="s">
        <v>244</v>
      </c>
      <c r="AA6" s="1281"/>
      <c r="AB6" s="1338"/>
      <c r="AC6" s="804" t="s">
        <v>12</v>
      </c>
      <c r="AD6" s="795"/>
      <c r="AE6" s="1338">
        <v>2024</v>
      </c>
      <c r="AF6" s="805"/>
      <c r="AG6" s="812" t="s">
        <v>393</v>
      </c>
      <c r="AH6" s="813"/>
      <c r="AI6" s="813"/>
      <c r="AJ6" s="813"/>
      <c r="AK6" s="813"/>
      <c r="AL6" s="812" t="s">
        <v>393</v>
      </c>
      <c r="AM6" s="814"/>
      <c r="AN6" s="918"/>
    </row>
    <row r="7" spans="1:40" ht="53.25" customHeight="1">
      <c r="A7" s="52" t="s">
        <v>54</v>
      </c>
      <c r="B7" s="52" t="s">
        <v>25</v>
      </c>
      <c r="C7" s="1339"/>
      <c r="D7" s="1263" t="s">
        <v>21</v>
      </c>
      <c r="E7" s="1263" t="s">
        <v>20</v>
      </c>
      <c r="F7" s="1263" t="s">
        <v>19</v>
      </c>
      <c r="G7" s="1263" t="s">
        <v>18</v>
      </c>
      <c r="H7" s="1259" t="s">
        <v>17</v>
      </c>
      <c r="I7" s="1259" t="s">
        <v>17</v>
      </c>
      <c r="J7" s="843" t="s">
        <v>40</v>
      </c>
      <c r="K7" s="843" t="s">
        <v>51</v>
      </c>
      <c r="L7" s="843" t="s">
        <v>104</v>
      </c>
      <c r="M7" s="843" t="s">
        <v>42</v>
      </c>
      <c r="N7" s="843" t="s">
        <v>41</v>
      </c>
      <c r="O7" s="843" t="s">
        <v>53</v>
      </c>
      <c r="P7" s="843" t="s">
        <v>42</v>
      </c>
      <c r="Q7" s="843" t="s">
        <v>40</v>
      </c>
      <c r="R7" s="844" t="s">
        <v>52</v>
      </c>
      <c r="S7" s="844" t="s">
        <v>105</v>
      </c>
      <c r="T7" s="843" t="s">
        <v>42</v>
      </c>
      <c r="U7" s="844" t="s">
        <v>41</v>
      </c>
      <c r="V7" s="843" t="s">
        <v>40</v>
      </c>
      <c r="W7" s="1340" t="s">
        <v>42</v>
      </c>
      <c r="X7" s="1278"/>
      <c r="Y7" s="1280"/>
      <c r="Z7" s="796" t="s">
        <v>40</v>
      </c>
      <c r="AA7" s="800" t="s">
        <v>42</v>
      </c>
      <c r="AB7" s="1338"/>
      <c r="AC7" s="807" t="s">
        <v>11</v>
      </c>
      <c r="AD7" s="808" t="s">
        <v>10</v>
      </c>
      <c r="AE7" s="1341" t="str">
        <f>AE6&amp;" Lookup"</f>
        <v>2024 Lookup</v>
      </c>
      <c r="AF7" s="805"/>
      <c r="AG7" s="817" t="s">
        <v>22</v>
      </c>
      <c r="AH7" s="1025" t="s">
        <v>19</v>
      </c>
      <c r="AI7" s="818" t="s">
        <v>397</v>
      </c>
      <c r="AJ7" s="819" t="s">
        <v>395</v>
      </c>
      <c r="AK7" s="1025" t="s">
        <v>18</v>
      </c>
      <c r="AL7" s="1027" t="s">
        <v>40</v>
      </c>
      <c r="AM7" s="1028" t="s">
        <v>42</v>
      </c>
      <c r="AN7" s="919" t="s">
        <v>396</v>
      </c>
    </row>
    <row r="8" spans="1:40" ht="20.25" customHeight="1">
      <c r="A8" s="12" t="str">
        <f t="shared" ref="A8:A15" si="0">$B8&amp;"_"&amp;$C$3&amp;"_"&amp;$C$2</f>
        <v>TSX:FM_2025_Tech</v>
      </c>
      <c r="B8" s="12" t="str">
        <f>'Peer Group'!A6</f>
        <v>TSX:FM</v>
      </c>
      <c r="C8" s="1235" t="str">
        <f t="shared" ref="C8:C15" si="1">IFERROR(INDEX(Raw_Data,MATCH($A8,Look_Up2,0),MATCH(C$4,Component,0)),"-")</f>
        <v>First Quantum Minerals Ltd.</v>
      </c>
      <c r="D8" s="1236" t="str">
        <f>_xll.ciqfunctions.udf.CIQ(B8, "IQ_MARKETCAP", $A$1,$A$2)</f>
        <v>#PEND</v>
      </c>
      <c r="E8" s="1237" t="str">
        <f>_xll.ciqfunctions.udf.CIQ($B8, "IQ_TEV", $A$1,$A$2)</f>
        <v>#PEND</v>
      </c>
      <c r="F8" s="1238" t="str">
        <f t="shared" ref="F8:G15" si="2">IFERROR(INDEX(Raw_Data,MATCH($A8,Look_Up2,0),MATCH(F$4,Component,0)),"-")</f>
        <v>Gavin Ashley</v>
      </c>
      <c r="G8" s="1238" t="str">
        <f t="shared" si="2"/>
        <v>Director, Technical Reporting</v>
      </c>
      <c r="H8" s="1237">
        <f t="shared" ref="H8:J15" si="3">IFERROR(INDEX(Raw_Data,MATCH($A8,Look_Up2,0),MATCH(H$4,Component,0))/1000,"-")</f>
        <v>594.80223330000013</v>
      </c>
      <c r="I8" s="1237">
        <f t="shared" si="3"/>
        <v>594.80223330000013</v>
      </c>
      <c r="J8" s="1239">
        <f t="shared" si="3"/>
        <v>249.56780060000003</v>
      </c>
      <c r="K8" s="1240">
        <f t="shared" ref="K8:L15" si="4">IFERROR(INDEX(Raw_Data,MATCH($A8,Look_Up2,0),MATCH(K$4,Component,0)),"-")</f>
        <v>0.41958114248391809</v>
      </c>
      <c r="L8" s="1240">
        <f t="shared" si="4"/>
        <v>0.34293980686893</v>
      </c>
      <c r="M8" s="1241">
        <f t="shared" ref="M8:M15" si="5">IFERROR(INDEX(Raw_Data,MATCH($A8,Look_Up2,0),MATCH(M$4,Component,0))/1000,"-")</f>
        <v>297.40111665000006</v>
      </c>
      <c r="N8" s="1242">
        <f t="shared" ref="N8:N15" si="6">IFERROR(IF(INDEX(Raw_Data,MATCH($A8,Look_Up2,0),MATCH(N$4,Component,0))="-",L8,INDEX(Raw_Data,MATCH($A8,Look_Up2,0),MATCH(N$4,Component,0))),"-")</f>
        <v>0.5</v>
      </c>
      <c r="O8" s="1239">
        <f t="shared" ref="O8:Q15" si="7">IFERROR(INDEX(Raw_Data,MATCH($A8,Look_Up2,0),MATCH(O$4,Component,0))/1000,"-")</f>
        <v>844.37003390000018</v>
      </c>
      <c r="P8" s="1243">
        <f t="shared" si="7"/>
        <v>892.20334995000019</v>
      </c>
      <c r="Q8" s="1239">
        <f t="shared" si="7"/>
        <v>405.54697725</v>
      </c>
      <c r="R8" s="1240">
        <f t="shared" ref="R8:S15" si="8">IFERROR(INDEX(Raw_Data,MATCH($A8,Look_Up2,0),MATCH(R$4,Component,0)),"-")</f>
        <v>0.68181818181818177</v>
      </c>
      <c r="S8" s="1240">
        <f t="shared" si="8"/>
        <v>0.91985758824873953</v>
      </c>
      <c r="T8" s="1241">
        <f t="shared" ref="T8:T15" si="9">IFERROR(INDEX(Raw_Data,MATCH($A8,Look_Up2,0),MATCH(T$4,Component,0))/1000,"-")</f>
        <v>446.10167497500009</v>
      </c>
      <c r="U8" s="1242">
        <f t="shared" ref="U8:U15" si="10">IFERROR(IF(INDEX(Raw_Data,MATCH($A8,Look_Up2,0),MATCH(U$4,Component,0))="-",S8,INDEX(Raw_Data,MATCH($A8,Look_Up2,0),MATCH(U$4,Component,0))),"-")</f>
        <v>0.75</v>
      </c>
      <c r="V8" s="1239">
        <f t="shared" ref="V8:W15" si="11">IFERROR(INDEX(Raw_Data,MATCH($A8,Look_Up2,0),MATCH(V$4,Component,0))/1000,"-")</f>
        <v>1249.9170111500002</v>
      </c>
      <c r="W8" s="1244">
        <f t="shared" si="11"/>
        <v>1338.3050249250002</v>
      </c>
      <c r="X8" s="605">
        <f t="shared" ref="X8:Y15" si="12">IFERROR((INDEX(Raw_Data,MATCH($A8,Look_Up2,0),MATCH(X$4,Component,0))/1000),"-")</f>
        <v>27.005721250000001</v>
      </c>
      <c r="Y8" s="606">
        <f t="shared" si="12"/>
        <v>24.690146599999999</v>
      </c>
      <c r="Z8" s="605">
        <f t="shared" ref="Z8:AA15" si="13">IFERROR(INDEX(Raw_Data,MATCH($A8,Look_Up2,0),MATCH(Z$4,Component,0))/1000,"-")</f>
        <v>1301.6128790000002</v>
      </c>
      <c r="AA8" s="606">
        <f t="shared" si="13"/>
        <v>1390.0008927750002</v>
      </c>
      <c r="AB8" s="623"/>
      <c r="AC8" s="498">
        <f>IFERROR(P8/W8,"-")</f>
        <v>0.66666666666666674</v>
      </c>
      <c r="AD8" s="499">
        <f>IFERROR(T8/W8,"-")</f>
        <v>0.33333333333333337</v>
      </c>
      <c r="AE8" s="624" t="str">
        <f t="shared" ref="AE8:AE15" si="14">B8&amp;"_"&amp;$AE$6&amp;"_"&amp;$C$2</f>
        <v>TSX:FM_2024_Tech</v>
      </c>
      <c r="AF8" s="624"/>
      <c r="AG8" s="625" t="str" cm="1">
        <f t="array" ref="AG8">IFERROR(INDEX('Import 2024 Data'!$E$4:$I$113,_xlfn.XMATCH(Tech!$AE8,'Import 2024 Data'!$C$4:$C$113),_xlfn.XMATCH(Tech!AG$5,'Import 2024 Data'!$E$3:$I$3)),"-")</f>
        <v>-</v>
      </c>
      <c r="AH8" s="624" t="str" cm="1">
        <f t="array" ref="AH8">IFERROR(INDEX('Import 2024 Data'!$E$4:$I$113,_xlfn.XMATCH(Tech!$AE8,'Import 2024 Data'!$C$4:$C$113),_xlfn.XMATCH(Tech!AH$5,'Import 2024 Data'!$E$3:$I$3)),"-")</f>
        <v>-</v>
      </c>
      <c r="AI8" s="626" t="str">
        <f>IF(ISNUMBER(_xlfn.XMATCH(C8,#REF!)),"N","Y")</f>
        <v>Y</v>
      </c>
      <c r="AJ8" s="626" t="str">
        <f>IFERROR(IF(TRIM(LOWER(AH8))=TRIM(LOWER(F8)),"N","Y"),"-")</f>
        <v>Y</v>
      </c>
      <c r="AK8" s="624" t="str" cm="1">
        <f t="array" ref="AK8">IFERROR(INDEX('Import 2024 Data'!$E$4:$I$113,_xlfn.XMATCH(Tech!$AE8,'Import 2024 Data'!$C$4:$C$113),_xlfn.XMATCH(Tech!AK$5,'Import 2024 Data'!$E$3:$I$3)),"-")</f>
        <v>-</v>
      </c>
      <c r="AL8" s="1014" t="str" cm="1">
        <f t="array" ref="AL8">IFERROR(INDEX('Import 2024 Data'!$E$4:$I$113,_xlfn.XMATCH(Tech!$AE8,'Import 2024 Data'!$C$4:$C$113),_xlfn.XMATCH(Tech!AL$5,'Import 2024 Data'!$E$3:$I$3)),"-")</f>
        <v>-</v>
      </c>
      <c r="AM8" s="1014" t="str" cm="1">
        <f t="array" ref="AM8">IFERROR(INDEX('Import 2024 Data'!$E$4:$I$113,_xlfn.XMATCH(Tech!$AE8,'Import 2024 Data'!$C$4:$C$113),_xlfn.XMATCH(Tech!AM$5,'Import 2024 Data'!$E$3:$I$3)),"-")</f>
        <v>-</v>
      </c>
      <c r="AN8" s="920" t="str">
        <f>IF(AJ8="N",IFERROR(W8/AM8-1,"-"),"-")</f>
        <v>-</v>
      </c>
    </row>
    <row r="9" spans="1:40" ht="20.25" customHeight="1">
      <c r="A9" s="12" t="str">
        <f t="shared" si="0"/>
        <v>TSX:CDE_2025_Tech</v>
      </c>
      <c r="B9" s="12" t="str">
        <f>'Peer Group'!A10</f>
        <v>TSX:CDE</v>
      </c>
      <c r="C9" s="847" t="str">
        <f t="shared" si="1"/>
        <v>Coeur Mining, Inc.</v>
      </c>
      <c r="D9" s="848" t="str">
        <f>_xll.ciqfunctions.udf.CIQ(B9, "IQ_MARKETCAP", $A$1,$A$2)</f>
        <v>#PEND</v>
      </c>
      <c r="E9" s="848" t="str">
        <f>_xll.ciqfunctions.udf.CIQ($B9, "IQ_TEV", $A$1,$A$2)</f>
        <v>#PEND</v>
      </c>
      <c r="F9" s="849" t="str">
        <f t="shared" si="2"/>
        <v>Aoife McGrath</v>
      </c>
      <c r="G9" s="849" t="str">
        <f t="shared" si="2"/>
        <v>EVP, Exploration</v>
      </c>
      <c r="H9" s="848" t="str">
        <f t="shared" si="3"/>
        <v>-</v>
      </c>
      <c r="I9" s="848">
        <f t="shared" si="3"/>
        <v>503.08200000000005</v>
      </c>
      <c r="J9" s="850">
        <f t="shared" si="3"/>
        <v>476.92173600000001</v>
      </c>
      <c r="K9" s="851">
        <f t="shared" si="4"/>
        <v>0.94799999999999995</v>
      </c>
      <c r="L9" s="851">
        <f t="shared" si="4"/>
        <v>0.94799999999999995</v>
      </c>
      <c r="M9" s="852">
        <f t="shared" si="5"/>
        <v>377.31150000000008</v>
      </c>
      <c r="N9" s="853">
        <f t="shared" si="6"/>
        <v>0.75</v>
      </c>
      <c r="O9" s="850">
        <f t="shared" si="7"/>
        <v>980.003736</v>
      </c>
      <c r="P9" s="854">
        <f t="shared" si="7"/>
        <v>880.39350000000013</v>
      </c>
      <c r="Q9" s="850">
        <f t="shared" si="7"/>
        <v>1439.1666774000003</v>
      </c>
      <c r="R9" s="851">
        <f t="shared" si="8"/>
        <v>2.8607</v>
      </c>
      <c r="S9" s="851">
        <f t="shared" si="8"/>
        <v>2.8607</v>
      </c>
      <c r="T9" s="852">
        <f t="shared" si="9"/>
        <v>955.85580000000004</v>
      </c>
      <c r="U9" s="853">
        <f t="shared" si="10"/>
        <v>1.9</v>
      </c>
      <c r="V9" s="850">
        <f t="shared" si="11"/>
        <v>2419.1704134000001</v>
      </c>
      <c r="W9" s="855">
        <f t="shared" si="11"/>
        <v>1836.2493000000002</v>
      </c>
      <c r="X9" s="359">
        <f t="shared" si="12"/>
        <v>29.346450000000001</v>
      </c>
      <c r="Y9" s="360">
        <f t="shared" si="12"/>
        <v>48.139357600000004</v>
      </c>
      <c r="Z9" s="359">
        <f t="shared" si="13"/>
        <v>2496.6562210000002</v>
      </c>
      <c r="AA9" s="360">
        <f t="shared" si="13"/>
        <v>1913.7351076000002</v>
      </c>
      <c r="AB9" s="623"/>
      <c r="AC9" s="498">
        <f t="shared" ref="AC9:AC15" si="15">IFERROR(P9/W9,"-")</f>
        <v>0.47945205479452058</v>
      </c>
      <c r="AD9" s="499">
        <f t="shared" ref="AD9:AD15" si="16">IFERROR(T9/W9,"-")</f>
        <v>0.52054794520547942</v>
      </c>
      <c r="AE9" s="624" t="str">
        <f t="shared" si="14"/>
        <v>TSX:CDE_2024_Tech</v>
      </c>
      <c r="AF9" s="624"/>
      <c r="AG9" s="627" t="str" cm="1">
        <f t="array" ref="AG9">IFERROR(INDEX('Import 2024 Data'!$E$4:$I$113,_xlfn.XMATCH(Tech!$AE9,'Import 2024 Data'!$C$4:$C$113),_xlfn.XMATCH(Tech!AG$5,'Import 2024 Data'!$E$3:$I$3)),"-")</f>
        <v>-</v>
      </c>
      <c r="AH9" s="624" t="str" cm="1">
        <f t="array" ref="AH9">IFERROR(INDEX('Import 2024 Data'!$E$4:$I$113,_xlfn.XMATCH(Tech!$AE9,'Import 2024 Data'!$C$4:$C$113),_xlfn.XMATCH(Tech!AH$5,'Import 2024 Data'!$E$3:$I$3)),"-")</f>
        <v>-</v>
      </c>
      <c r="AI9" s="628" t="str">
        <f>IF(ISNUMBER(_xlfn.XMATCH(C9,#REF!)),"N","Y")</f>
        <v>Y</v>
      </c>
      <c r="AJ9" s="628" t="s">
        <v>442</v>
      </c>
      <c r="AK9" s="624" t="str" cm="1">
        <f t="array" ref="AK9">IFERROR(INDEX('Import 2024 Data'!$E$4:$I$113,_xlfn.XMATCH(Tech!$AE9,'Import 2024 Data'!$C$4:$C$113),_xlfn.XMATCH(Tech!AK$5,'Import 2024 Data'!$E$3:$I$3)),"-")</f>
        <v>-</v>
      </c>
      <c r="AL9" s="1014" t="str" cm="1">
        <f t="array" ref="AL9">IFERROR(INDEX('Import 2024 Data'!$E$4:$I$113,_xlfn.XMATCH(Tech!$AE9,'Import 2024 Data'!$C$4:$C$113),_xlfn.XMATCH(Tech!AL$5,'Import 2024 Data'!$E$3:$I$3)),"-")</f>
        <v>-</v>
      </c>
      <c r="AM9" s="1014" t="str" cm="1">
        <f t="array" ref="AM9">IFERROR(INDEX('Import 2024 Data'!$E$4:$I$113,_xlfn.XMATCH(Tech!$AE9,'Import 2024 Data'!$C$4:$C$113),_xlfn.XMATCH(Tech!AM$5,'Import 2024 Data'!$E$3:$I$3)),"-")</f>
        <v>-</v>
      </c>
      <c r="AN9" s="920" t="str">
        <f t="shared" ref="AN9:AN12" si="17">IF(AJ9="N",IFERROR(W9/AM9-1,"-"),"-")</f>
        <v>-</v>
      </c>
    </row>
    <row r="10" spans="1:40" ht="20.25" customHeight="1">
      <c r="A10" s="12" t="str">
        <f t="shared" si="0"/>
        <v>TSX:AGI_2025_Tech</v>
      </c>
      <c r="B10" s="12" t="str">
        <f>'Peer Group'!A11</f>
        <v>TSX:AGI</v>
      </c>
      <c r="C10" s="847" t="str">
        <f t="shared" si="1"/>
        <v>Alamos Gold Inc.</v>
      </c>
      <c r="D10" s="848" t="str">
        <f>_xll.ciqfunctions.udf.CIQ(B10, "IQ_MARKETCAP", $A$1,$A$2)</f>
        <v>#PEND</v>
      </c>
      <c r="E10" s="848" t="str">
        <f>_xll.ciqfunctions.udf.CIQ($B10, "IQ_TEV", $A$1,$A$2)</f>
        <v>#PEND</v>
      </c>
      <c r="F10" s="849" t="str">
        <f t="shared" si="2"/>
        <v>Christopher Bostwick</v>
      </c>
      <c r="G10" s="849" t="str">
        <f t="shared" si="2"/>
        <v>SVP, Technical Services</v>
      </c>
      <c r="H10" s="848" t="str">
        <f t="shared" si="3"/>
        <v>-</v>
      </c>
      <c r="I10" s="848">
        <f t="shared" si="3"/>
        <v>464.87711445000008</v>
      </c>
      <c r="J10" s="850">
        <f t="shared" si="3"/>
        <v>285.23827082999998</v>
      </c>
      <c r="K10" s="851">
        <f t="shared" si="4"/>
        <v>0.61357778639515892</v>
      </c>
      <c r="L10" s="851">
        <f t="shared" si="4"/>
        <v>0.72127570188721146</v>
      </c>
      <c r="M10" s="852">
        <f t="shared" si="5"/>
        <v>325.41398011500002</v>
      </c>
      <c r="N10" s="853">
        <f t="shared" si="6"/>
        <v>0.7</v>
      </c>
      <c r="O10" s="850">
        <f t="shared" si="7"/>
        <v>750.11538528000005</v>
      </c>
      <c r="P10" s="854">
        <f t="shared" si="7"/>
        <v>790.29109456500021</v>
      </c>
      <c r="Q10" s="850">
        <f t="shared" si="7"/>
        <v>743.80254465000007</v>
      </c>
      <c r="R10" s="851">
        <f t="shared" si="8"/>
        <v>1.5999981963620622</v>
      </c>
      <c r="S10" s="851">
        <f t="shared" si="8"/>
        <v>1.4436314527748344</v>
      </c>
      <c r="T10" s="852">
        <f t="shared" si="9"/>
        <v>671.11122409522648</v>
      </c>
      <c r="U10" s="853">
        <f t="shared" si="10"/>
        <v>1.4436314527748344</v>
      </c>
      <c r="V10" s="850">
        <f t="shared" si="11"/>
        <v>1493.9179299300001</v>
      </c>
      <c r="W10" s="855">
        <f t="shared" si="11"/>
        <v>1461.4023186602267</v>
      </c>
      <c r="X10" s="359">
        <f t="shared" si="12"/>
        <v>89.953856500000015</v>
      </c>
      <c r="Y10" s="360">
        <f t="shared" si="12"/>
        <v>29.030626300000002</v>
      </c>
      <c r="Z10" s="359">
        <f t="shared" si="13"/>
        <v>1612.9024127299999</v>
      </c>
      <c r="AA10" s="360">
        <f t="shared" si="13"/>
        <v>1580.3868014602265</v>
      </c>
      <c r="AB10" s="623"/>
      <c r="AC10" s="498">
        <f t="shared" si="15"/>
        <v>0.54077585923739147</v>
      </c>
      <c r="AD10" s="499">
        <f t="shared" si="16"/>
        <v>0.45922414076260859</v>
      </c>
      <c r="AE10" s="624" t="str">
        <f t="shared" si="14"/>
        <v>TSX:AGI_2024_Tech</v>
      </c>
      <c r="AF10" s="624"/>
      <c r="AG10" s="627" t="str" cm="1">
        <f t="array" ref="AG10">IFERROR(INDEX('Import 2024 Data'!$E$4:$I$113,_xlfn.XMATCH(Tech!$AE10,'Import 2024 Data'!$C$4:$C$113),_xlfn.XMATCH(Tech!AG$5,'Import 2024 Data'!$E$3:$I$3)),"-")</f>
        <v>-</v>
      </c>
      <c r="AH10" s="624" t="str" cm="1">
        <f t="array" ref="AH10">IFERROR(INDEX('Import 2024 Data'!$E$4:$I$113,_xlfn.XMATCH(Tech!$AE10,'Import 2024 Data'!$C$4:$C$113),_xlfn.XMATCH(Tech!AH$5,'Import 2024 Data'!$E$3:$I$3)),"-")</f>
        <v>-</v>
      </c>
      <c r="AI10" s="628" t="str">
        <f>IF(ISNUMBER(_xlfn.XMATCH(C10,#REF!)),"N","Y")</f>
        <v>Y</v>
      </c>
      <c r="AJ10" s="628" t="str">
        <f t="shared" ref="AJ10:AJ15" si="18">IFERROR(IF(TRIM(LOWER(AH10))=TRIM(LOWER(F10)),"N","Y"),"-")</f>
        <v>Y</v>
      </c>
      <c r="AK10" s="624" t="str" cm="1">
        <f t="array" ref="AK10">IFERROR(INDEX('Import 2024 Data'!$E$4:$I$113,_xlfn.XMATCH(Tech!$AE10,'Import 2024 Data'!$C$4:$C$113),_xlfn.XMATCH(Tech!AK$5,'Import 2024 Data'!$E$3:$I$3)),"-")</f>
        <v>-</v>
      </c>
      <c r="AL10" s="1014" t="str" cm="1">
        <f t="array" ref="AL10">IFERROR(INDEX('Import 2024 Data'!$E$4:$I$113,_xlfn.XMATCH(Tech!$AE10,'Import 2024 Data'!$C$4:$C$113),_xlfn.XMATCH(Tech!AL$5,'Import 2024 Data'!$E$3:$I$3)),"-")</f>
        <v>-</v>
      </c>
      <c r="AM10" s="1014" t="str" cm="1">
        <f t="array" ref="AM10">IFERROR(INDEX('Import 2024 Data'!$E$4:$I$113,_xlfn.XMATCH(Tech!$AE10,'Import 2024 Data'!$C$4:$C$113),_xlfn.XMATCH(Tech!AM$5,'Import 2024 Data'!$E$3:$I$3)),"-")</f>
        <v>-</v>
      </c>
      <c r="AN10" s="920" t="str">
        <f t="shared" si="17"/>
        <v>-</v>
      </c>
    </row>
    <row r="11" spans="1:40" ht="20.25" customHeight="1">
      <c r="A11" s="12" t="str">
        <f t="shared" si="0"/>
        <v>TSX:ELD_2025_Tech</v>
      </c>
      <c r="B11" s="12" t="str">
        <f>'Peer Group'!A15</f>
        <v>TSX:ELD</v>
      </c>
      <c r="C11" s="847" t="str">
        <f t="shared" si="1"/>
        <v>Eldorado Gold Corporation</v>
      </c>
      <c r="D11" s="848" t="str">
        <f>_xll.ciqfunctions.udf.CIQ(B11, "IQ_MARKETCAP", $A$1,$A$2)</f>
        <v>#PEND</v>
      </c>
      <c r="E11" s="848" t="str">
        <f>_xll.ciqfunctions.udf.CIQ($B11, "IQ_TEV", $A$1,$A$2)</f>
        <v>#PEND</v>
      </c>
      <c r="F11" s="849" t="str">
        <f t="shared" si="2"/>
        <v>Simon Hille</v>
      </c>
      <c r="G11" s="849" t="str">
        <f t="shared" si="2"/>
        <v>Executive Vice President, Technical Services &amp; Operations</v>
      </c>
      <c r="H11" s="848" t="str">
        <f t="shared" si="3"/>
        <v>-</v>
      </c>
      <c r="I11" s="848">
        <f t="shared" si="3"/>
        <v>531.9</v>
      </c>
      <c r="J11" s="850">
        <f t="shared" si="3"/>
        <v>489.34800000000001</v>
      </c>
      <c r="K11" s="851">
        <f t="shared" si="4"/>
        <v>0.92</v>
      </c>
      <c r="L11" s="851">
        <f t="shared" si="4"/>
        <v>0.88665424436273732</v>
      </c>
      <c r="M11" s="852">
        <f t="shared" si="5"/>
        <v>425.52</v>
      </c>
      <c r="N11" s="853">
        <f t="shared" si="6"/>
        <v>0.8</v>
      </c>
      <c r="O11" s="850">
        <f t="shared" si="7"/>
        <v>1021.248</v>
      </c>
      <c r="P11" s="854">
        <f t="shared" si="7"/>
        <v>957.42</v>
      </c>
      <c r="Q11" s="850">
        <f t="shared" si="7"/>
        <v>797.833998204875</v>
      </c>
      <c r="R11" s="851">
        <f t="shared" si="8"/>
        <v>1.499969915782807</v>
      </c>
      <c r="S11" s="851">
        <f t="shared" si="8"/>
        <v>1.3922299110485172</v>
      </c>
      <c r="T11" s="852">
        <f t="shared" si="9"/>
        <v>797.85</v>
      </c>
      <c r="U11" s="853">
        <f t="shared" si="10"/>
        <v>1.5</v>
      </c>
      <c r="V11" s="850">
        <f t="shared" si="11"/>
        <v>1819.0819982048749</v>
      </c>
      <c r="W11" s="855">
        <f t="shared" si="11"/>
        <v>1755.27</v>
      </c>
      <c r="X11" s="359">
        <f t="shared" si="12"/>
        <v>95.742000000000004</v>
      </c>
      <c r="Y11" s="360" t="str">
        <f t="shared" si="12"/>
        <v>-</v>
      </c>
      <c r="Z11" s="359">
        <f t="shared" si="13"/>
        <v>1914.8239982048751</v>
      </c>
      <c r="AA11" s="360">
        <f t="shared" si="13"/>
        <v>1851.0119999999999</v>
      </c>
      <c r="AB11" s="623"/>
      <c r="AC11" s="498">
        <f t="shared" si="15"/>
        <v>0.54545454545454541</v>
      </c>
      <c r="AD11" s="499">
        <f t="shared" si="16"/>
        <v>0.45454545454545459</v>
      </c>
      <c r="AE11" s="624" t="str">
        <f t="shared" si="14"/>
        <v>TSX:ELD_2024_Tech</v>
      </c>
      <c r="AF11" s="624"/>
      <c r="AG11" s="627" t="str" cm="1">
        <f t="array" ref="AG11">IFERROR(INDEX('Import 2024 Data'!$E$4:$I$113,_xlfn.XMATCH(Tech!$AE11,'Import 2024 Data'!$C$4:$C$113),_xlfn.XMATCH(Tech!AG$5,'Import 2024 Data'!$E$3:$I$3)),"-")</f>
        <v>-</v>
      </c>
      <c r="AH11" s="624" t="str" cm="1">
        <f t="array" ref="AH11">IFERROR(INDEX('Import 2024 Data'!$E$4:$I$113,_xlfn.XMATCH(Tech!$AE11,'Import 2024 Data'!$C$4:$C$113),_xlfn.XMATCH(Tech!AH$5,'Import 2024 Data'!$E$3:$I$3)),"-")</f>
        <v>-</v>
      </c>
      <c r="AI11" s="628" t="str">
        <f>IF(ISNUMBER(_xlfn.XMATCH(C11,#REF!)),"N","Y")</f>
        <v>Y</v>
      </c>
      <c r="AJ11" s="628" t="str">
        <f t="shared" si="18"/>
        <v>Y</v>
      </c>
      <c r="AK11" s="624" t="str" cm="1">
        <f t="array" ref="AK11">IFERROR(INDEX('Import 2024 Data'!$E$4:$I$113,_xlfn.XMATCH(Tech!$AE11,'Import 2024 Data'!$C$4:$C$113),_xlfn.XMATCH(Tech!AK$5,'Import 2024 Data'!$E$3:$I$3)),"-")</f>
        <v>-</v>
      </c>
      <c r="AL11" s="1014" t="str" cm="1">
        <f t="array" ref="AL11">IFERROR(INDEX('Import 2024 Data'!$E$4:$I$113,_xlfn.XMATCH(Tech!$AE11,'Import 2024 Data'!$C$4:$C$113),_xlfn.XMATCH(Tech!AL$5,'Import 2024 Data'!$E$3:$I$3)),"-")</f>
        <v>-</v>
      </c>
      <c r="AM11" s="1014" t="str" cm="1">
        <f t="array" ref="AM11">IFERROR(INDEX('Import 2024 Data'!$E$4:$I$113,_xlfn.XMATCH(Tech!$AE11,'Import 2024 Data'!$C$4:$C$113),_xlfn.XMATCH(Tech!AM$5,'Import 2024 Data'!$E$3:$I$3)),"-")</f>
        <v>-</v>
      </c>
      <c r="AN11" s="920" t="str">
        <f t="shared" si="17"/>
        <v>-</v>
      </c>
    </row>
    <row r="12" spans="1:40" ht="20.25" customHeight="1">
      <c r="A12" s="12" t="str">
        <f t="shared" si="0"/>
        <v>TSX:SSRM_2025_Tech</v>
      </c>
      <c r="B12" s="12" t="str">
        <f>'Peer Group'!A17</f>
        <v>TSX:SSRM</v>
      </c>
      <c r="C12" s="847" t="str">
        <f t="shared" si="1"/>
        <v>SSR Mining Inc.</v>
      </c>
      <c r="D12" s="1222" t="str">
        <f>_xll.ciqfunctions.udf.CIQ(B12, "IQ_MARKETCAP", $A$1,$A$2)</f>
        <v>#PEND</v>
      </c>
      <c r="E12" s="1222" t="str">
        <f>_xll.ciqfunctions.udf.CIQ($B12, "IQ_TEV", $A$1,$A$2)</f>
        <v>#PEND</v>
      </c>
      <c r="F12" s="849" t="str">
        <f t="shared" si="2"/>
        <v>John Ebbett</v>
      </c>
      <c r="G12" s="849" t="str">
        <f t="shared" si="2"/>
        <v>Executive VP, Growth and Innovation</v>
      </c>
      <c r="H12" s="1222" t="str">
        <f t="shared" si="3"/>
        <v>-</v>
      </c>
      <c r="I12" s="848">
        <f t="shared" si="3"/>
        <v>684.75049999999999</v>
      </c>
      <c r="J12" s="850">
        <f t="shared" si="3"/>
        <v>638.00998985000001</v>
      </c>
      <c r="K12" s="851">
        <f t="shared" si="4"/>
        <v>0.93174081632653061</v>
      </c>
      <c r="L12" s="851">
        <f t="shared" si="4"/>
        <v>0.7432602721088436</v>
      </c>
      <c r="M12" s="852">
        <f t="shared" si="5"/>
        <v>513.56287499999996</v>
      </c>
      <c r="N12" s="853">
        <f t="shared" si="6"/>
        <v>0.75</v>
      </c>
      <c r="O12" s="850">
        <f t="shared" si="7"/>
        <v>1322.7604898500001</v>
      </c>
      <c r="P12" s="854">
        <f t="shared" si="7"/>
        <v>1198.313375</v>
      </c>
      <c r="Q12" s="1223">
        <f t="shared" si="7"/>
        <v>1198.313375</v>
      </c>
      <c r="R12" s="1224">
        <f t="shared" si="8"/>
        <v>1.75</v>
      </c>
      <c r="S12" s="1224">
        <f t="shared" si="8"/>
        <v>1.5833333333333333</v>
      </c>
      <c r="T12" s="852">
        <f t="shared" si="9"/>
        <v>1198.313375</v>
      </c>
      <c r="U12" s="853">
        <f t="shared" si="10"/>
        <v>1.75</v>
      </c>
      <c r="V12" s="850">
        <f t="shared" si="11"/>
        <v>2521.0738648500001</v>
      </c>
      <c r="W12" s="854">
        <f t="shared" si="11"/>
        <v>2396.6267499999999</v>
      </c>
      <c r="X12" s="359">
        <f t="shared" si="12"/>
        <v>39.128600000000006</v>
      </c>
      <c r="Y12" s="360">
        <f t="shared" si="12"/>
        <v>23.566596800000003</v>
      </c>
      <c r="Z12" s="359">
        <f t="shared" si="13"/>
        <v>2583.7690616499999</v>
      </c>
      <c r="AA12" s="360">
        <f t="shared" si="13"/>
        <v>2459.3219468000002</v>
      </c>
      <c r="AB12" s="623"/>
      <c r="AC12" s="498">
        <f t="shared" si="15"/>
        <v>0.5</v>
      </c>
      <c r="AD12" s="499">
        <f t="shared" si="16"/>
        <v>0.5</v>
      </c>
      <c r="AE12" s="624" t="str">
        <f t="shared" si="14"/>
        <v>TSX:SSRM_2024_Tech</v>
      </c>
      <c r="AF12" s="624"/>
      <c r="AG12" s="627" t="str" cm="1">
        <f t="array" ref="AG12">IFERROR(INDEX('Import 2024 Data'!$E$4:$I$113,_xlfn.XMATCH(Tech!$AE12,'Import 2024 Data'!$C$4:$C$113),_xlfn.XMATCH(Tech!AG$5,'Import 2024 Data'!$E$3:$I$3)),"-")</f>
        <v>-</v>
      </c>
      <c r="AH12" s="624" t="str" cm="1">
        <f t="array" ref="AH12">IFERROR(INDEX('Import 2024 Data'!$E$4:$I$113,_xlfn.XMATCH(Tech!$AE12,'Import 2024 Data'!$C$4:$C$113),_xlfn.XMATCH(Tech!AH$5,'Import 2024 Data'!$E$3:$I$3)),"-")</f>
        <v>-</v>
      </c>
      <c r="AI12" s="629" t="str">
        <f>IF(ISNUMBER(_xlfn.XMATCH(C12,#REF!)),"N","Y")</f>
        <v>Y</v>
      </c>
      <c r="AJ12" s="629" t="str">
        <f t="shared" si="18"/>
        <v>Y</v>
      </c>
      <c r="AK12" s="624" t="str" cm="1">
        <f t="array" ref="AK12">IFERROR(INDEX('Import 2024 Data'!$E$4:$I$113,_xlfn.XMATCH(Tech!$AE12,'Import 2024 Data'!$C$4:$C$113),_xlfn.XMATCH(Tech!AK$5,'Import 2024 Data'!$E$3:$I$3)),"-")</f>
        <v>-</v>
      </c>
      <c r="AL12" s="1014" t="str" cm="1">
        <f t="array" ref="AL12">IFERROR(INDEX('Import 2024 Data'!$E$4:$I$113,_xlfn.XMATCH(Tech!$AE12,'Import 2024 Data'!$C$4:$C$113),_xlfn.XMATCH(Tech!AL$5,'Import 2024 Data'!$E$3:$I$3)),"-")</f>
        <v>-</v>
      </c>
      <c r="AM12" s="1014" t="str" cm="1">
        <f t="array" ref="AM12">IFERROR(INDEX('Import 2024 Data'!$E$4:$I$113,_xlfn.XMATCH(Tech!$AE12,'Import 2024 Data'!$C$4:$C$113),_xlfn.XMATCH(Tech!AM$5,'Import 2024 Data'!$E$3:$I$3)),"-")</f>
        <v>-</v>
      </c>
      <c r="AN12" s="920" t="str">
        <f t="shared" si="17"/>
        <v>-</v>
      </c>
    </row>
    <row r="13" spans="1:40" ht="20.25" customHeight="1">
      <c r="A13" s="12" t="str">
        <f t="shared" si="0"/>
        <v>TSX:BTO_2025_Tech</v>
      </c>
      <c r="B13" s="12" t="str">
        <f>'Peer Group'!A18</f>
        <v>TSX:BTO</v>
      </c>
      <c r="C13" s="847" t="str">
        <f t="shared" si="1"/>
        <v>B2Gold Corp.</v>
      </c>
      <c r="D13" s="848" t="str">
        <f>_xll.ciqfunctions.udf.CIQ(B13, "IQ_MARKETCAP", $A$1,$A$2)</f>
        <v>#PEND</v>
      </c>
      <c r="E13" s="848" t="str">
        <f>_xll.ciqfunctions.udf.CIQ($B13, "IQ_TEV", $A$1,$A$2)</f>
        <v>#PEND</v>
      </c>
      <c r="F13" s="849" t="str">
        <f t="shared" si="2"/>
        <v>Victor King</v>
      </c>
      <c r="G13" s="849" t="str">
        <f t="shared" si="2"/>
        <v>Senior VP Exploration</v>
      </c>
      <c r="H13" s="848" t="str">
        <f t="shared" si="3"/>
        <v>-</v>
      </c>
      <c r="I13" s="848">
        <f t="shared" si="3"/>
        <v>612.08310000000006</v>
      </c>
      <c r="J13" s="850">
        <f t="shared" si="3"/>
        <v>488.90207485000002</v>
      </c>
      <c r="K13" s="851">
        <f t="shared" si="4"/>
        <v>0.79875114155251137</v>
      </c>
      <c r="L13" s="851">
        <f t="shared" si="4"/>
        <v>0.64791704718417042</v>
      </c>
      <c r="M13" s="852">
        <f t="shared" si="5"/>
        <v>459.06232500000004</v>
      </c>
      <c r="N13" s="853">
        <f t="shared" si="6"/>
        <v>0.75</v>
      </c>
      <c r="O13" s="850">
        <f t="shared" si="7"/>
        <v>1100.98517485</v>
      </c>
      <c r="P13" s="854">
        <f t="shared" si="7"/>
        <v>1071.1454250000004</v>
      </c>
      <c r="Q13" s="850">
        <f t="shared" si="7"/>
        <v>1856.3977341</v>
      </c>
      <c r="R13" s="851">
        <f t="shared" si="8"/>
        <v>3.0329178082191777</v>
      </c>
      <c r="S13" s="851">
        <f t="shared" si="8"/>
        <v>2.6220837138508366</v>
      </c>
      <c r="T13" s="852">
        <f t="shared" si="9"/>
        <v>1604.9331280333333</v>
      </c>
      <c r="U13" s="853">
        <f t="shared" si="10"/>
        <v>2.6220837138508366</v>
      </c>
      <c r="V13" s="850">
        <f t="shared" si="11"/>
        <v>2957.38290895</v>
      </c>
      <c r="W13" s="854">
        <f t="shared" si="11"/>
        <v>2676.0785530333333</v>
      </c>
      <c r="X13" s="359" t="str">
        <f t="shared" si="12"/>
        <v>-</v>
      </c>
      <c r="Y13" s="360">
        <f t="shared" si="12"/>
        <v>7.3142533000000007</v>
      </c>
      <c r="Z13" s="359">
        <f t="shared" si="13"/>
        <v>2964.69716225</v>
      </c>
      <c r="AA13" s="360">
        <f t="shared" si="13"/>
        <v>2683.3928063333333</v>
      </c>
      <c r="AB13" s="623"/>
      <c r="AC13" s="498">
        <f t="shared" si="15"/>
        <v>0.40026680972644013</v>
      </c>
      <c r="AD13" s="499">
        <f t="shared" si="16"/>
        <v>0.59973319027356009</v>
      </c>
      <c r="AE13" s="624" t="str">
        <f t="shared" si="14"/>
        <v>TSX:BTO_2024_Tech</v>
      </c>
      <c r="AF13" s="624"/>
      <c r="AG13" s="627" t="str" cm="1">
        <f t="array" ref="AG13">IFERROR(INDEX('Import 2024 Data'!$E$4:$I$113,_xlfn.XMATCH(Tech!$AE13,'Import 2024 Data'!$C$4:$C$113),_xlfn.XMATCH(Tech!AG$5,'Import 2024 Data'!$E$3:$I$3)),"-")</f>
        <v>-</v>
      </c>
      <c r="AH13" s="624" t="str" cm="1">
        <f t="array" ref="AH13">IFERROR(INDEX('Import 2024 Data'!$E$4:$I$113,_xlfn.XMATCH(Tech!$AE13,'Import 2024 Data'!$C$4:$C$113),_xlfn.XMATCH(Tech!AH$5,'Import 2024 Data'!$E$3:$I$3)),"-")</f>
        <v>-</v>
      </c>
      <c r="AI13" s="628" t="str">
        <f>IF(ISNUMBER(_xlfn.XMATCH(C13,#REF!)),"N","Y")</f>
        <v>Y</v>
      </c>
      <c r="AJ13" s="628" t="str">
        <f t="shared" si="18"/>
        <v>Y</v>
      </c>
      <c r="AK13" s="624" t="str" cm="1">
        <f t="array" ref="AK13">IFERROR(INDEX('Import 2024 Data'!$E$4:$I$113,_xlfn.XMATCH(Tech!$AE13,'Import 2024 Data'!$C$4:$C$113),_xlfn.XMATCH(Tech!AK$5,'Import 2024 Data'!$E$3:$I$3)),"-")</f>
        <v>-</v>
      </c>
      <c r="AL13" s="1014" t="str" cm="1">
        <f t="array" ref="AL13">IFERROR(INDEX('Import 2024 Data'!$E$4:$I$113,_xlfn.XMATCH(Tech!$AE13,'Import 2024 Data'!$C$4:$C$113),_xlfn.XMATCH(Tech!AL$5,'Import 2024 Data'!$E$3:$I$3)),"-")</f>
        <v>-</v>
      </c>
      <c r="AM13" s="1014" t="str" cm="1">
        <f t="array" ref="AM13">IFERROR(INDEX('Import 2024 Data'!$E$4:$I$113,_xlfn.XMATCH(Tech!$AE13,'Import 2024 Data'!$C$4:$C$113),_xlfn.XMATCH(Tech!AM$5,'Import 2024 Data'!$E$3:$I$3)),"-")</f>
        <v>-</v>
      </c>
      <c r="AN13" s="921" t="str">
        <f>IFERROR(IF(AJ13="Y","New Incumbent",W13/AM13-1),"-")</f>
        <v>New Incumbent</v>
      </c>
    </row>
    <row r="14" spans="1:40" ht="20.25" customHeight="1">
      <c r="A14" s="12" t="str">
        <f t="shared" si="0"/>
        <v>TSX:OGC_2025_Tech</v>
      </c>
      <c r="B14" s="12" t="str">
        <f>'Peer Group'!A19</f>
        <v>TSX:OGC</v>
      </c>
      <c r="C14" s="847" t="str">
        <f t="shared" si="1"/>
        <v>OceanaGold Corporation</v>
      </c>
      <c r="D14" s="848" t="str">
        <f>_xll.ciqfunctions.udf.CIQ(B14, "IQ_MARKETCAP", $A$1,$A$2)</f>
        <v>#PEND</v>
      </c>
      <c r="E14" s="848" t="str">
        <f>_xll.ciqfunctions.udf.CIQ($B14, "IQ_TEV", $A$1,$A$2)</f>
        <v>#PEND</v>
      </c>
      <c r="F14" s="849" t="str">
        <f t="shared" si="2"/>
        <v>Michelle Edelson</v>
      </c>
      <c r="G14" s="849" t="str">
        <f t="shared" si="2"/>
        <v>EVP &amp; CPO &amp; CTO</v>
      </c>
      <c r="H14" s="848" t="str">
        <f t="shared" si="3"/>
        <v>-</v>
      </c>
      <c r="I14" s="848">
        <f t="shared" si="3"/>
        <v>488.25365805000001</v>
      </c>
      <c r="J14" s="850">
        <f t="shared" si="3"/>
        <v>488.90067740000006</v>
      </c>
      <c r="K14" s="851">
        <f t="shared" si="4"/>
        <v>1.0013251705119508</v>
      </c>
      <c r="L14" s="851">
        <f t="shared" si="4"/>
        <v>0.75371441910430881</v>
      </c>
      <c r="M14" s="852">
        <f t="shared" si="5"/>
        <v>292.95219483</v>
      </c>
      <c r="N14" s="853">
        <f t="shared" si="6"/>
        <v>0.6</v>
      </c>
      <c r="O14" s="850">
        <f t="shared" si="7"/>
        <v>977.15433545000008</v>
      </c>
      <c r="P14" s="854">
        <f t="shared" si="7"/>
        <v>781.20585288000007</v>
      </c>
      <c r="Q14" s="850">
        <f t="shared" si="7"/>
        <v>1226.3546067000002</v>
      </c>
      <c r="R14" s="851">
        <f t="shared" si="8"/>
        <v>2.5117161673664596</v>
      </c>
      <c r="S14" s="851">
        <f t="shared" si="8"/>
        <v>2.6136371303019379</v>
      </c>
      <c r="T14" s="852">
        <f t="shared" si="9"/>
        <v>1276.1178896852257</v>
      </c>
      <c r="U14" s="853">
        <f t="shared" si="10"/>
        <v>2.6136371303019379</v>
      </c>
      <c r="V14" s="850">
        <f t="shared" si="11"/>
        <v>2203.5089421500006</v>
      </c>
      <c r="W14" s="855">
        <f t="shared" si="11"/>
        <v>2057.323742565226</v>
      </c>
      <c r="X14" s="359">
        <f t="shared" si="12"/>
        <v>34.922275500000005</v>
      </c>
      <c r="Y14" s="360" t="str">
        <f t="shared" si="12"/>
        <v>-</v>
      </c>
      <c r="Z14" s="359">
        <f t="shared" si="13"/>
        <v>2238.4312176500007</v>
      </c>
      <c r="AA14" s="360">
        <f t="shared" si="13"/>
        <v>2092.2460180652256</v>
      </c>
      <c r="AB14" s="623"/>
      <c r="AC14" s="498">
        <f t="shared" si="15"/>
        <v>0.37971945626113945</v>
      </c>
      <c r="AD14" s="499">
        <f t="shared" si="16"/>
        <v>0.62028054373886043</v>
      </c>
      <c r="AE14" s="624" t="str">
        <f t="shared" si="14"/>
        <v>TSX:OGC_2024_Tech</v>
      </c>
      <c r="AF14" s="624"/>
      <c r="AG14" s="627" t="str" cm="1">
        <f t="array" ref="AG14">IFERROR(INDEX('Import 2024 Data'!$E$4:$I$113,_xlfn.XMATCH(Tech!$AE14,'Import 2024 Data'!$C$4:$C$113),_xlfn.XMATCH(Tech!AG$5,'Import 2024 Data'!$E$3:$I$3)),"-")</f>
        <v>-</v>
      </c>
      <c r="AH14" s="624" t="str" cm="1">
        <f t="array" ref="AH14">IFERROR(INDEX('Import 2024 Data'!$E$4:$I$113,_xlfn.XMATCH(Tech!$AE14,'Import 2024 Data'!$C$4:$C$113),_xlfn.XMATCH(Tech!AH$5,'Import 2024 Data'!$E$3:$I$3)),"-")</f>
        <v>-</v>
      </c>
      <c r="AI14" s="628" t="str">
        <f>IF(ISNUMBER(_xlfn.XMATCH(C14,#REF!)),"N","Y")</f>
        <v>Y</v>
      </c>
      <c r="AJ14" s="628" t="str">
        <f t="shared" si="18"/>
        <v>Y</v>
      </c>
      <c r="AK14" s="624" t="str" cm="1">
        <f t="array" ref="AK14">IFERROR(INDEX('Import 2024 Data'!$E$4:$I$113,_xlfn.XMATCH(Tech!$AE14,'Import 2024 Data'!$C$4:$C$113),_xlfn.XMATCH(Tech!AK$5,'Import 2024 Data'!$E$3:$I$3)),"-")</f>
        <v>-</v>
      </c>
      <c r="AL14" s="1014" t="str" cm="1">
        <f t="array" ref="AL14">IFERROR(INDEX('Import 2024 Data'!$E$4:$I$113,_xlfn.XMATCH(Tech!$AE14,'Import 2024 Data'!$C$4:$C$113),_xlfn.XMATCH(Tech!AL$5,'Import 2024 Data'!$E$3:$I$3)),"-")</f>
        <v>-</v>
      </c>
      <c r="AM14" s="1014" t="str" cm="1">
        <f t="array" ref="AM14">IFERROR(INDEX('Import 2024 Data'!$E$4:$I$113,_xlfn.XMATCH(Tech!$AE14,'Import 2024 Data'!$C$4:$C$113),_xlfn.XMATCH(Tech!AM$5,'Import 2024 Data'!$E$3:$I$3)),"-")</f>
        <v>-</v>
      </c>
      <c r="AN14" s="921" t="str">
        <f>IFERROR(IF(AJ14="Y","New Incumbent",W14/AM14-1),"-")</f>
        <v>New Incumbent</v>
      </c>
    </row>
    <row r="15" spans="1:40" ht="20.25" customHeight="1">
      <c r="A15" s="12" t="str">
        <f t="shared" si="0"/>
        <v>TSX:CG_2025_Tech</v>
      </c>
      <c r="B15" s="12" t="str">
        <f>'Peer Group'!A20</f>
        <v>TSX:CG</v>
      </c>
      <c r="C15" s="847" t="str">
        <f t="shared" si="1"/>
        <v>Centerra Gold Inc.</v>
      </c>
      <c r="D15" s="848" t="str">
        <f>_xll.ciqfunctions.udf.CIQ(B15, "IQ_MARKETCAP", $A$1,$A$2)</f>
        <v>#PEND</v>
      </c>
      <c r="E15" s="848" t="str">
        <f>_xll.ciqfunctions.udf.CIQ($B15, "IQ_TEV", $A$1,$A$2)</f>
        <v>#PEND</v>
      </c>
      <c r="F15" s="849" t="str">
        <f t="shared" si="2"/>
        <v>Claudia D'Orazio</v>
      </c>
      <c r="G15" s="849" t="str">
        <f t="shared" si="2"/>
        <v>EVP, People, Technology &amp; Supply Chain</v>
      </c>
      <c r="H15" s="848" t="str">
        <f t="shared" si="3"/>
        <v>-</v>
      </c>
      <c r="I15" s="848">
        <f t="shared" si="3"/>
        <v>465</v>
      </c>
      <c r="J15" s="850">
        <f t="shared" si="3"/>
        <v>329.45299999999997</v>
      </c>
      <c r="K15" s="851">
        <f t="shared" si="4"/>
        <v>0.70850107526881723</v>
      </c>
      <c r="L15" s="851">
        <f t="shared" si="4"/>
        <v>0.70286780028340401</v>
      </c>
      <c r="M15" s="852">
        <f t="shared" si="5"/>
        <v>302.25</v>
      </c>
      <c r="N15" s="853">
        <f t="shared" si="6"/>
        <v>0.65</v>
      </c>
      <c r="O15" s="850">
        <f t="shared" si="7"/>
        <v>794.45299999999997</v>
      </c>
      <c r="P15" s="854">
        <f t="shared" si="7"/>
        <v>767.25</v>
      </c>
      <c r="Q15" s="850">
        <f t="shared" si="7"/>
        <v>744</v>
      </c>
      <c r="R15" s="851">
        <f t="shared" si="8"/>
        <v>1.6</v>
      </c>
      <c r="S15" s="851">
        <f t="shared" si="8"/>
        <v>1.6000000000000003</v>
      </c>
      <c r="T15" s="852">
        <f t="shared" si="9"/>
        <v>744</v>
      </c>
      <c r="U15" s="853">
        <f t="shared" si="10"/>
        <v>1.6</v>
      </c>
      <c r="V15" s="850">
        <f t="shared" si="11"/>
        <v>1538.453</v>
      </c>
      <c r="W15" s="855">
        <f t="shared" si="11"/>
        <v>1511.25</v>
      </c>
      <c r="X15" s="359" t="str">
        <f t="shared" si="12"/>
        <v>-</v>
      </c>
      <c r="Y15" s="360">
        <f t="shared" si="12"/>
        <v>145.44399999999999</v>
      </c>
      <c r="Z15" s="359">
        <f t="shared" si="13"/>
        <v>1683.8969999999999</v>
      </c>
      <c r="AA15" s="360">
        <f t="shared" si="13"/>
        <v>1656.694</v>
      </c>
      <c r="AB15" s="623"/>
      <c r="AC15" s="498">
        <f t="shared" si="15"/>
        <v>0.50769230769230766</v>
      </c>
      <c r="AD15" s="499">
        <f t="shared" si="16"/>
        <v>0.49230769230769234</v>
      </c>
      <c r="AE15" s="624" t="str">
        <f t="shared" si="14"/>
        <v>TSX:CG_2024_Tech</v>
      </c>
      <c r="AF15" s="624"/>
      <c r="AG15" s="627" t="str" cm="1">
        <f t="array" ref="AG15">IFERROR(INDEX('Import 2024 Data'!$E$4:$I$113,_xlfn.XMATCH(Tech!$AE15,'Import 2024 Data'!$C$4:$C$113),_xlfn.XMATCH(Tech!AG$5,'Import 2024 Data'!$E$3:$I$3)),"-")</f>
        <v>-</v>
      </c>
      <c r="AH15" s="624" t="str" cm="1">
        <f t="array" ref="AH15">IFERROR(INDEX('Import 2024 Data'!$E$4:$I$113,_xlfn.XMATCH(Tech!$AE15,'Import 2024 Data'!$C$4:$C$113),_xlfn.XMATCH(Tech!AH$5,'Import 2024 Data'!$E$3:$I$3)),"-")</f>
        <v>-</v>
      </c>
      <c r="AI15" s="628" t="str">
        <f>IF(ISNUMBER(_xlfn.XMATCH(C15,#REF!)),"N","Y")</f>
        <v>Y</v>
      </c>
      <c r="AJ15" s="628" t="str">
        <f t="shared" si="18"/>
        <v>Y</v>
      </c>
      <c r="AK15" s="624" t="str" cm="1">
        <f t="array" ref="AK15">IFERROR(INDEX('Import 2024 Data'!$E$4:$I$113,_xlfn.XMATCH(Tech!$AE15,'Import 2024 Data'!$C$4:$C$113),_xlfn.XMATCH(Tech!AK$5,'Import 2024 Data'!$E$3:$I$3)),"-")</f>
        <v>-</v>
      </c>
      <c r="AL15" s="1014" t="str" cm="1">
        <f t="array" ref="AL15">IFERROR(INDEX('Import 2024 Data'!$E$4:$I$113,_xlfn.XMATCH(Tech!$AE15,'Import 2024 Data'!$C$4:$C$113),_xlfn.XMATCH(Tech!AL$5,'Import 2024 Data'!$E$3:$I$3)),"-")</f>
        <v>-</v>
      </c>
      <c r="AM15" s="1014" t="str" cm="1">
        <f t="array" ref="AM15">IFERROR(INDEX('Import 2024 Data'!$E$4:$I$113,_xlfn.XMATCH(Tech!$AE15,'Import 2024 Data'!$C$4:$C$113),_xlfn.XMATCH(Tech!AM$5,'Import 2024 Data'!$E$3:$I$3)),"-")</f>
        <v>-</v>
      </c>
      <c r="AN15" s="921" t="str">
        <f>IFERROR(IF(AJ15="Y","New Incumbent",W15/AM15-1),"-")</f>
        <v>New Incumbent</v>
      </c>
    </row>
    <row r="16" spans="1:40" ht="20.25" customHeight="1">
      <c r="C16" s="856" t="str">
        <f>$C$3&amp;" Summary Statistics"</f>
        <v>2025 Summary Statistics</v>
      </c>
      <c r="D16" s="857"/>
      <c r="E16" s="857"/>
      <c r="F16" s="857"/>
      <c r="G16" s="857"/>
      <c r="H16" s="857"/>
      <c r="I16" s="857"/>
      <c r="J16" s="857"/>
      <c r="K16" s="858"/>
      <c r="L16" s="858"/>
      <c r="M16" s="857"/>
      <c r="N16" s="858"/>
      <c r="O16" s="857"/>
      <c r="P16" s="857"/>
      <c r="Q16" s="857"/>
      <c r="R16" s="858"/>
      <c r="S16" s="858"/>
      <c r="T16" s="857"/>
      <c r="U16" s="858"/>
      <c r="V16" s="857"/>
      <c r="W16" s="859"/>
      <c r="X16" s="544"/>
      <c r="Y16" s="546"/>
      <c r="Z16" s="544"/>
      <c r="AA16" s="546"/>
      <c r="AB16" s="623"/>
      <c r="AC16" s="630"/>
      <c r="AD16" s="631"/>
      <c r="AE16" s="624"/>
      <c r="AF16" s="624"/>
      <c r="AG16" s="624"/>
      <c r="AH16" s="624"/>
      <c r="AI16" s="624"/>
      <c r="AJ16" s="624"/>
      <c r="AK16" s="624"/>
      <c r="AL16" s="1040"/>
      <c r="AM16" s="1041"/>
      <c r="AN16" s="623"/>
    </row>
    <row r="17" spans="1:40" s="17" customFormat="1" ht="20.25" customHeight="1">
      <c r="B17" s="17">
        <v>0.75</v>
      </c>
      <c r="C17" s="860" t="s">
        <v>9</v>
      </c>
      <c r="D17" s="861" t="e">
        <f t="shared" ref="D17:E19" si="19">PERCENTILE(D$8:D$15,$B17)</f>
        <v>#NUM!</v>
      </c>
      <c r="E17" s="861" t="e">
        <f t="shared" si="19"/>
        <v>#NUM!</v>
      </c>
      <c r="F17" s="862"/>
      <c r="G17" s="862"/>
      <c r="H17" s="862"/>
      <c r="I17" s="861">
        <f t="shared" ref="I17:R19" si="20">PERCENTILE(I$8:I$15,$B17)</f>
        <v>599.12244997500011</v>
      </c>
      <c r="J17" s="863">
        <f t="shared" si="20"/>
        <v>489.01355613750002</v>
      </c>
      <c r="K17" s="864">
        <f t="shared" si="20"/>
        <v>0.93580561224489789</v>
      </c>
      <c r="L17" s="864">
        <f t="shared" si="20"/>
        <v>0.78694937541891596</v>
      </c>
      <c r="M17" s="865">
        <f t="shared" si="20"/>
        <v>433.90558125000001</v>
      </c>
      <c r="N17" s="866">
        <f t="shared" si="20"/>
        <v>0.75</v>
      </c>
      <c r="O17" s="863">
        <f t="shared" si="20"/>
        <v>1041.1822937125</v>
      </c>
      <c r="P17" s="867">
        <f t="shared" si="20"/>
        <v>985.85135625000009</v>
      </c>
      <c r="Q17" s="863">
        <f t="shared" si="20"/>
        <v>1279.5576243750002</v>
      </c>
      <c r="R17" s="864">
        <f t="shared" si="20"/>
        <v>2.598962125524845</v>
      </c>
      <c r="S17" s="864">
        <f t="shared" ref="S17:Z19" si="21">PERCENTILE(S$8:S$15,$B17)</f>
        <v>2.6157487761891627</v>
      </c>
      <c r="T17" s="865">
        <f t="shared" si="21"/>
        <v>1217.7645036713063</v>
      </c>
      <c r="U17" s="866">
        <f t="shared" si="21"/>
        <v>2.0784092825754845</v>
      </c>
      <c r="V17" s="863">
        <f t="shared" si="21"/>
        <v>2444.6462762625001</v>
      </c>
      <c r="W17" s="867">
        <f t="shared" si="21"/>
        <v>2142.1494944239194</v>
      </c>
      <c r="X17" s="566">
        <f t="shared" si="21"/>
        <v>77.247542375000009</v>
      </c>
      <c r="Y17" s="569">
        <f t="shared" si="21"/>
        <v>43.362174775</v>
      </c>
      <c r="Z17" s="566">
        <f t="shared" si="21"/>
        <v>2518.4344311625</v>
      </c>
      <c r="AA17" s="569">
        <f>AA56</f>
        <v>2248.2794850816372</v>
      </c>
      <c r="AB17" s="632"/>
      <c r="AC17" s="498">
        <f t="shared" ref="AC17:AD19" si="22">PERCENTILE(AC$8:AC$15,$B17)</f>
        <v>0.54194553079167995</v>
      </c>
      <c r="AD17" s="499">
        <f t="shared" si="22"/>
        <v>0.54034425647249962</v>
      </c>
      <c r="AE17" s="624"/>
      <c r="AF17" s="624"/>
      <c r="AG17" s="624"/>
      <c r="AH17" s="624"/>
      <c r="AI17" s="624"/>
      <c r="AJ17" s="624"/>
      <c r="AK17" s="624"/>
      <c r="AL17" s="633" t="e">
        <f t="shared" ref="AL17:AM20" si="23">PERCENTILE(AL$8:AL$15,$B17)</f>
        <v>#NUM!</v>
      </c>
      <c r="AM17" s="634" t="e">
        <f t="shared" si="23"/>
        <v>#NUM!</v>
      </c>
      <c r="AN17" s="632"/>
    </row>
    <row r="18" spans="1:40" s="17" customFormat="1" ht="20.25" customHeight="1">
      <c r="B18" s="17">
        <v>0.5</v>
      </c>
      <c r="C18" s="868" t="s">
        <v>8</v>
      </c>
      <c r="D18" s="869" t="e">
        <f t="shared" si="19"/>
        <v>#NUM!</v>
      </c>
      <c r="E18" s="869" t="e">
        <f t="shared" si="19"/>
        <v>#NUM!</v>
      </c>
      <c r="F18" s="870"/>
      <c r="G18" s="870"/>
      <c r="H18" s="870"/>
      <c r="I18" s="869">
        <f t="shared" si="20"/>
        <v>517.49099999999999</v>
      </c>
      <c r="J18" s="871">
        <f t="shared" si="20"/>
        <v>482.91120670000004</v>
      </c>
      <c r="K18" s="872">
        <f t="shared" si="20"/>
        <v>0.8593755707762557</v>
      </c>
      <c r="L18" s="872">
        <f t="shared" si="20"/>
        <v>0.73226798699802753</v>
      </c>
      <c r="M18" s="873">
        <f t="shared" si="20"/>
        <v>351.36274005750005</v>
      </c>
      <c r="N18" s="874">
        <f t="shared" si="20"/>
        <v>0.72499999999999998</v>
      </c>
      <c r="O18" s="871">
        <f t="shared" si="20"/>
        <v>978.57903572500004</v>
      </c>
      <c r="P18" s="875">
        <f t="shared" si="20"/>
        <v>886.29842497500022</v>
      </c>
      <c r="Q18" s="871">
        <f t="shared" si="20"/>
        <v>998.07368660243742</v>
      </c>
      <c r="R18" s="872">
        <f t="shared" si="20"/>
        <v>1.675</v>
      </c>
      <c r="S18" s="872">
        <f t="shared" si="21"/>
        <v>1.5916666666666668</v>
      </c>
      <c r="T18" s="873">
        <f t="shared" si="21"/>
        <v>876.85290000000009</v>
      </c>
      <c r="U18" s="874">
        <f t="shared" si="21"/>
        <v>1.675</v>
      </c>
      <c r="V18" s="871">
        <f t="shared" si="21"/>
        <v>2011.2954701774379</v>
      </c>
      <c r="W18" s="875">
        <f t="shared" si="21"/>
        <v>1795.75965</v>
      </c>
      <c r="X18" s="573">
        <f t="shared" si="21"/>
        <v>37.025437750000009</v>
      </c>
      <c r="Y18" s="577">
        <f t="shared" si="21"/>
        <v>26.86038645</v>
      </c>
      <c r="Z18" s="573">
        <f t="shared" si="21"/>
        <v>2076.627607927438</v>
      </c>
      <c r="AA18" s="577">
        <f>AA57</f>
        <v>1936.2463433</v>
      </c>
      <c r="AB18" s="632"/>
      <c r="AC18" s="635">
        <f t="shared" si="22"/>
        <v>0.50384615384615383</v>
      </c>
      <c r="AD18" s="576">
        <f t="shared" si="22"/>
        <v>0.49615384615384617</v>
      </c>
      <c r="AE18" s="624"/>
      <c r="AF18" s="624"/>
      <c r="AG18" s="624"/>
      <c r="AH18" s="624"/>
      <c r="AI18" s="624"/>
      <c r="AJ18" s="624"/>
      <c r="AK18" s="624"/>
      <c r="AL18" s="573" t="e">
        <f t="shared" si="23"/>
        <v>#NUM!</v>
      </c>
      <c r="AM18" s="577" t="e">
        <f t="shared" si="23"/>
        <v>#NUM!</v>
      </c>
      <c r="AN18" s="632"/>
    </row>
    <row r="19" spans="1:40" s="17" customFormat="1" ht="20.25" customHeight="1">
      <c r="B19" s="17">
        <v>0.25</v>
      </c>
      <c r="C19" s="860" t="s">
        <v>7</v>
      </c>
      <c r="D19" s="861" t="e">
        <f t="shared" si="19"/>
        <v>#NUM!</v>
      </c>
      <c r="E19" s="861" t="e">
        <f t="shared" si="19"/>
        <v>#NUM!</v>
      </c>
      <c r="F19" s="862"/>
      <c r="G19" s="862"/>
      <c r="H19" s="862"/>
      <c r="I19" s="861">
        <f t="shared" si="20"/>
        <v>482.44024353750001</v>
      </c>
      <c r="J19" s="863">
        <f t="shared" si="20"/>
        <v>318.39931770749996</v>
      </c>
      <c r="K19" s="864">
        <f t="shared" si="20"/>
        <v>0.68477025305040262</v>
      </c>
      <c r="L19" s="864">
        <f t="shared" si="20"/>
        <v>0.68913011200859564</v>
      </c>
      <c r="M19" s="865">
        <f t="shared" si="20"/>
        <v>301.03777916249999</v>
      </c>
      <c r="N19" s="866">
        <f t="shared" si="20"/>
        <v>0.63749999999999996</v>
      </c>
      <c r="O19" s="863">
        <f t="shared" si="20"/>
        <v>831.89077542500013</v>
      </c>
      <c r="P19" s="867">
        <f t="shared" si="20"/>
        <v>788.01978414375014</v>
      </c>
      <c r="Q19" s="863">
        <f t="shared" si="20"/>
        <v>743.95063616250002</v>
      </c>
      <c r="R19" s="864">
        <f t="shared" si="20"/>
        <v>1.5749911262172485</v>
      </c>
      <c r="S19" s="864">
        <f t="shared" si="21"/>
        <v>1.4307810673432551</v>
      </c>
      <c r="T19" s="865">
        <f t="shared" si="21"/>
        <v>725.77780602380665</v>
      </c>
      <c r="U19" s="866">
        <f t="shared" si="21"/>
        <v>1.4859078631937086</v>
      </c>
      <c r="V19" s="863">
        <f t="shared" si="21"/>
        <v>1527.3192324825</v>
      </c>
      <c r="W19" s="867">
        <f t="shared" si="21"/>
        <v>1498.7880796650566</v>
      </c>
      <c r="X19" s="566">
        <f t="shared" si="21"/>
        <v>30.740406375000003</v>
      </c>
      <c r="Y19" s="569">
        <f t="shared" si="21"/>
        <v>23.847484250000001</v>
      </c>
      <c r="Z19" s="566">
        <f t="shared" si="21"/>
        <v>1666.1483531824999</v>
      </c>
      <c r="AA19" s="569">
        <f>AA58</f>
        <v>1682.5808427550085</v>
      </c>
      <c r="AB19" s="632"/>
      <c r="AC19" s="498">
        <f t="shared" si="22"/>
        <v>0.45965574352750049</v>
      </c>
      <c r="AD19" s="499">
        <f t="shared" si="22"/>
        <v>0.4580544692083201</v>
      </c>
      <c r="AE19" s="624"/>
      <c r="AF19" s="624"/>
      <c r="AG19" s="624"/>
      <c r="AH19" s="624"/>
      <c r="AI19" s="624"/>
      <c r="AJ19" s="624"/>
      <c r="AK19" s="624"/>
      <c r="AL19" s="566" t="e">
        <f t="shared" si="23"/>
        <v>#NUM!</v>
      </c>
      <c r="AM19" s="569" t="e">
        <f t="shared" si="23"/>
        <v>#NUM!</v>
      </c>
      <c r="AN19" s="632"/>
    </row>
    <row r="20" spans="1:40" s="17" customFormat="1" ht="20.25" customHeight="1">
      <c r="A20" s="12"/>
      <c r="B20" s="12"/>
      <c r="C20" s="876" t="s">
        <v>6</v>
      </c>
      <c r="D20" s="877" t="e">
        <f>AVERAGE(D8:D15)</f>
        <v>#DIV/0!</v>
      </c>
      <c r="E20" s="877" t="e">
        <f>AVERAGE(E8:E15)</f>
        <v>#DIV/0!</v>
      </c>
      <c r="F20" s="876"/>
      <c r="G20" s="876"/>
      <c r="H20" s="876"/>
      <c r="I20" s="877">
        <f t="shared" ref="I20:Z20" si="24">AVERAGE(I8:I15)</f>
        <v>543.09357572500005</v>
      </c>
      <c r="J20" s="878">
        <f t="shared" si="24"/>
        <v>430.79269369125001</v>
      </c>
      <c r="K20" s="879">
        <f t="shared" si="24"/>
        <v>0.79268464156736085</v>
      </c>
      <c r="L20" s="879">
        <f t="shared" si="24"/>
        <v>0.71832866147495078</v>
      </c>
      <c r="M20" s="880">
        <f t="shared" si="24"/>
        <v>374.18424894937499</v>
      </c>
      <c r="N20" s="881">
        <f t="shared" si="24"/>
        <v>0.6875</v>
      </c>
      <c r="O20" s="878">
        <f t="shared" si="24"/>
        <v>973.88626941625012</v>
      </c>
      <c r="P20" s="882">
        <f t="shared" si="24"/>
        <v>917.2778246743751</v>
      </c>
      <c r="Q20" s="878">
        <f t="shared" si="24"/>
        <v>1051.4269891631095</v>
      </c>
      <c r="R20" s="879">
        <f t="shared" si="24"/>
        <v>1.9421400336935861</v>
      </c>
      <c r="S20" s="879">
        <f t="shared" si="24"/>
        <v>1.8794341411947746</v>
      </c>
      <c r="T20" s="880">
        <f t="shared" si="24"/>
        <v>961.78538647359824</v>
      </c>
      <c r="U20" s="881">
        <f t="shared" si="24"/>
        <v>1.7724190371159512</v>
      </c>
      <c r="V20" s="878">
        <f t="shared" si="24"/>
        <v>2025.3132585793594</v>
      </c>
      <c r="W20" s="882">
        <f t="shared" si="24"/>
        <v>1879.0632111479731</v>
      </c>
      <c r="X20" s="580">
        <f t="shared" si="24"/>
        <v>52.68315054166667</v>
      </c>
      <c r="Y20" s="584">
        <f t="shared" si="24"/>
        <v>46.364163433333339</v>
      </c>
      <c r="Z20" s="580">
        <f t="shared" si="24"/>
        <v>2099.5987440606095</v>
      </c>
      <c r="AA20" s="584">
        <f>AA59</f>
        <v>2004.7019491201936</v>
      </c>
      <c r="AB20" s="632"/>
      <c r="AC20" s="636">
        <f>AVERAGE(AC8:AC15)</f>
        <v>0.50250346247912647</v>
      </c>
      <c r="AD20" s="583">
        <f>AVERAGE(AD8:AD15)</f>
        <v>0.49749653752087358</v>
      </c>
      <c r="AE20" s="624"/>
      <c r="AF20" s="624"/>
      <c r="AG20" s="624"/>
      <c r="AH20" s="624"/>
      <c r="AI20" s="624"/>
      <c r="AJ20" s="624"/>
      <c r="AK20" s="624"/>
      <c r="AL20" s="580" t="e">
        <f t="shared" si="23"/>
        <v>#NUM!</v>
      </c>
      <c r="AM20" s="584" t="e">
        <f t="shared" si="23"/>
        <v>#NUM!</v>
      </c>
      <c r="AN20" s="632"/>
    </row>
    <row r="21" spans="1:40" s="17" customFormat="1" ht="20.25" customHeight="1">
      <c r="A21" s="12"/>
      <c r="B21" s="12"/>
      <c r="C21" s="856" t="str">
        <f>$C$3+1&amp;" Estimated Summary Statistics "</f>
        <v xml:space="preserve">2026 Estimated Summary Statistics </v>
      </c>
      <c r="D21" s="857"/>
      <c r="E21" s="857"/>
      <c r="F21" s="857"/>
      <c r="G21" s="857"/>
      <c r="H21" s="857"/>
      <c r="I21" s="857"/>
      <c r="J21" s="857"/>
      <c r="K21" s="858"/>
      <c r="L21" s="858"/>
      <c r="M21" s="857"/>
      <c r="N21" s="858"/>
      <c r="O21" s="857"/>
      <c r="P21" s="857"/>
      <c r="Q21" s="857"/>
      <c r="R21" s="858"/>
      <c r="S21" s="858"/>
      <c r="T21" s="857"/>
      <c r="U21" s="858"/>
      <c r="V21" s="857"/>
      <c r="W21" s="859"/>
      <c r="X21" s="637"/>
      <c r="Y21" s="637"/>
      <c r="Z21" s="637"/>
      <c r="AA21" s="637"/>
      <c r="AB21" s="632"/>
      <c r="AC21" s="638"/>
      <c r="AD21" s="638"/>
      <c r="AE21" s="624"/>
      <c r="AF21" s="624"/>
      <c r="AG21" s="624"/>
      <c r="AH21" s="624"/>
      <c r="AI21" s="624"/>
      <c r="AJ21" s="624"/>
      <c r="AK21" s="624"/>
      <c r="AL21" s="637"/>
      <c r="AM21" s="637"/>
      <c r="AN21" s="632"/>
    </row>
    <row r="22" spans="1:40" s="17" customFormat="1" ht="20.25" customHeight="1">
      <c r="A22" s="12"/>
      <c r="B22" s="17">
        <v>0.75</v>
      </c>
      <c r="C22" s="860" t="s">
        <v>9</v>
      </c>
      <c r="D22" s="861" t="e">
        <f t="shared" ref="D22:E24" si="25">PERCENTILE(D$8:D$15,$B22)</f>
        <v>#NUM!</v>
      </c>
      <c r="E22" s="861" t="e">
        <f t="shared" si="25"/>
        <v>#NUM!</v>
      </c>
      <c r="F22" s="862"/>
      <c r="G22" s="862"/>
      <c r="H22" s="862"/>
      <c r="I22" s="861">
        <f t="shared" ref="I22:M25" si="26">I56</f>
        <v>603.71307322500013</v>
      </c>
      <c r="J22" s="863" t="s">
        <v>78</v>
      </c>
      <c r="K22" s="863" t="s">
        <v>78</v>
      </c>
      <c r="L22" s="863" t="s">
        <v>78</v>
      </c>
      <c r="M22" s="865">
        <f t="shared" si="26"/>
        <v>446.92274868750002</v>
      </c>
      <c r="N22" s="866">
        <f>PERCENTILE(N$8:N$15,$B22)</f>
        <v>0.75</v>
      </c>
      <c r="O22" s="863" t="s">
        <v>78</v>
      </c>
      <c r="P22" s="861">
        <f t="shared" ref="P22:T25" si="27">P56</f>
        <v>1015.4268969375</v>
      </c>
      <c r="Q22" s="863">
        <f t="shared" si="27"/>
        <v>0</v>
      </c>
      <c r="R22" s="864">
        <f t="shared" si="27"/>
        <v>0</v>
      </c>
      <c r="S22" s="864">
        <f t="shared" si="27"/>
        <v>0</v>
      </c>
      <c r="T22" s="865">
        <f t="shared" si="27"/>
        <v>1254.2974387814456</v>
      </c>
      <c r="U22" s="866">
        <f t="shared" ref="U22:V24" si="28">PERCENTILE(U$8:U$15,$B22)</f>
        <v>2.0784092825754845</v>
      </c>
      <c r="V22" s="863">
        <f t="shared" si="28"/>
        <v>2444.6462762625001</v>
      </c>
      <c r="W22" s="867">
        <f>W56</f>
        <v>2206.413979256637</v>
      </c>
      <c r="X22" s="637"/>
      <c r="Y22" s="637"/>
      <c r="Z22" s="637"/>
      <c r="AA22" s="637"/>
      <c r="AB22" s="632"/>
      <c r="AC22" s="638"/>
      <c r="AD22" s="638"/>
      <c r="AE22" s="624"/>
      <c r="AF22" s="624"/>
      <c r="AG22" s="624"/>
      <c r="AH22" s="624"/>
      <c r="AI22" s="624"/>
      <c r="AJ22" s="624"/>
      <c r="AK22" s="624"/>
      <c r="AL22" s="639"/>
      <c r="AM22" s="639"/>
      <c r="AN22" s="632"/>
    </row>
    <row r="23" spans="1:40" s="17" customFormat="1" ht="20.25" customHeight="1">
      <c r="A23" s="12"/>
      <c r="B23" s="17">
        <v>0.5</v>
      </c>
      <c r="C23" s="868" t="s">
        <v>8</v>
      </c>
      <c r="D23" s="869" t="e">
        <f t="shared" si="25"/>
        <v>#NUM!</v>
      </c>
      <c r="E23" s="869" t="e">
        <f t="shared" si="25"/>
        <v>#NUM!</v>
      </c>
      <c r="F23" s="870"/>
      <c r="G23" s="870"/>
      <c r="H23" s="870"/>
      <c r="I23" s="869">
        <f t="shared" si="26"/>
        <v>533.01573000000008</v>
      </c>
      <c r="J23" s="863" t="s">
        <v>78</v>
      </c>
      <c r="K23" s="863" t="s">
        <v>78</v>
      </c>
      <c r="L23" s="863" t="s">
        <v>78</v>
      </c>
      <c r="M23" s="873">
        <f t="shared" si="26"/>
        <v>361.90362225922502</v>
      </c>
      <c r="N23" s="874">
        <f>PERCENTILE(N$8:N$15,$B23)</f>
        <v>0.72499999999999998</v>
      </c>
      <c r="O23" s="863" t="s">
        <v>78</v>
      </c>
      <c r="P23" s="869">
        <f t="shared" si="27"/>
        <v>899.50432747500008</v>
      </c>
      <c r="Q23" s="871">
        <f t="shared" si="27"/>
        <v>0</v>
      </c>
      <c r="R23" s="872">
        <f t="shared" si="27"/>
        <v>0</v>
      </c>
      <c r="S23" s="872">
        <f t="shared" si="27"/>
        <v>0</v>
      </c>
      <c r="T23" s="873">
        <f t="shared" si="27"/>
        <v>903.15848700000004</v>
      </c>
      <c r="U23" s="874">
        <f t="shared" si="28"/>
        <v>1.675</v>
      </c>
      <c r="V23" s="871">
        <f t="shared" si="28"/>
        <v>2011.2954701774379</v>
      </c>
      <c r="W23" s="875">
        <f>W57</f>
        <v>1849.6324395000001</v>
      </c>
      <c r="X23" s="637"/>
      <c r="Y23" s="637"/>
      <c r="Z23" s="637"/>
      <c r="AA23" s="637"/>
      <c r="AB23" s="632"/>
      <c r="AC23" s="638"/>
      <c r="AD23" s="638"/>
      <c r="AE23" s="624"/>
      <c r="AF23" s="624"/>
      <c r="AG23" s="624"/>
      <c r="AH23" s="624"/>
      <c r="AI23" s="624"/>
      <c r="AJ23" s="624"/>
      <c r="AK23" s="624"/>
      <c r="AL23" s="639"/>
      <c r="AM23" s="639"/>
      <c r="AN23" s="632"/>
    </row>
    <row r="24" spans="1:40" s="17" customFormat="1" ht="20.25" customHeight="1">
      <c r="A24" s="12"/>
      <c r="B24" s="17">
        <v>0.25</v>
      </c>
      <c r="C24" s="860" t="s">
        <v>7</v>
      </c>
      <c r="D24" s="861" t="e">
        <f t="shared" si="25"/>
        <v>#NUM!</v>
      </c>
      <c r="E24" s="861" t="e">
        <f t="shared" si="25"/>
        <v>#NUM!</v>
      </c>
      <c r="F24" s="862"/>
      <c r="G24" s="862"/>
      <c r="H24" s="862"/>
      <c r="I24" s="861">
        <f t="shared" si="26"/>
        <v>496.91345084362501</v>
      </c>
      <c r="J24" s="863" t="s">
        <v>78</v>
      </c>
      <c r="K24" s="863" t="s">
        <v>78</v>
      </c>
      <c r="L24" s="863" t="s">
        <v>78</v>
      </c>
      <c r="M24" s="865">
        <f t="shared" si="26"/>
        <v>308.92331516872503</v>
      </c>
      <c r="N24" s="866">
        <f>PERCENTILE(N$8:N$15,$B24)</f>
        <v>0.63749999999999996</v>
      </c>
      <c r="O24" s="863" t="s">
        <v>78</v>
      </c>
      <c r="P24" s="861">
        <f t="shared" si="27"/>
        <v>811.66037766806267</v>
      </c>
      <c r="Q24" s="863">
        <f t="shared" si="27"/>
        <v>0</v>
      </c>
      <c r="R24" s="864">
        <f t="shared" si="27"/>
        <v>0</v>
      </c>
      <c r="S24" s="864">
        <f t="shared" si="27"/>
        <v>0</v>
      </c>
      <c r="T24" s="865">
        <f t="shared" si="27"/>
        <v>747.55114020452083</v>
      </c>
      <c r="U24" s="866">
        <f t="shared" si="28"/>
        <v>1.4859078631937086</v>
      </c>
      <c r="V24" s="863">
        <f t="shared" si="28"/>
        <v>1527.3192324825</v>
      </c>
      <c r="W24" s="867">
        <f>W58</f>
        <v>1543.7517220550085</v>
      </c>
      <c r="X24" s="637"/>
      <c r="Y24" s="637"/>
      <c r="Z24" s="637"/>
      <c r="AA24" s="637"/>
      <c r="AB24" s="632"/>
      <c r="AC24" s="638"/>
      <c r="AD24" s="638"/>
      <c r="AE24" s="624"/>
      <c r="AF24" s="624"/>
      <c r="AG24" s="624"/>
      <c r="AH24" s="624"/>
      <c r="AI24" s="624"/>
      <c r="AJ24" s="624"/>
      <c r="AK24" s="624"/>
      <c r="AL24" s="639"/>
      <c r="AM24" s="639"/>
      <c r="AN24" s="632"/>
    </row>
    <row r="25" spans="1:40" s="17" customFormat="1" ht="20.25" customHeight="1">
      <c r="A25" s="12"/>
      <c r="B25" s="12"/>
      <c r="C25" s="876" t="s">
        <v>6</v>
      </c>
      <c r="D25" s="877" t="e">
        <f>AVERAGE(D11:D20)</f>
        <v>#NUM!</v>
      </c>
      <c r="E25" s="877" t="e">
        <f>AVERAGE(E11:E20)</f>
        <v>#NUM!</v>
      </c>
      <c r="F25" s="876"/>
      <c r="G25" s="876"/>
      <c r="H25" s="876"/>
      <c r="I25" s="877">
        <f t="shared" si="26"/>
        <v>557.155874621875</v>
      </c>
      <c r="J25" s="863" t="s">
        <v>78</v>
      </c>
      <c r="K25" s="863" t="s">
        <v>78</v>
      </c>
      <c r="L25" s="863" t="s">
        <v>78</v>
      </c>
      <c r="M25" s="880">
        <f t="shared" si="26"/>
        <v>384.29452223041881</v>
      </c>
      <c r="N25" s="881">
        <f>AVERAGE(N11:N20)</f>
        <v>0.70555555555555549</v>
      </c>
      <c r="O25" s="1082" t="s">
        <v>78</v>
      </c>
      <c r="P25" s="877">
        <f t="shared" si="27"/>
        <v>941.45039685229381</v>
      </c>
      <c r="Q25" s="878">
        <f t="shared" si="27"/>
        <v>0</v>
      </c>
      <c r="R25" s="879">
        <f t="shared" si="27"/>
        <v>0</v>
      </c>
      <c r="S25" s="879">
        <f t="shared" si="27"/>
        <v>0</v>
      </c>
      <c r="T25" s="880">
        <f t="shared" si="27"/>
        <v>988.96606678664989</v>
      </c>
      <c r="U25" s="881">
        <f>AVERAGE(U11:U20)</f>
        <v>1.8997174474486576</v>
      </c>
      <c r="V25" s="878">
        <f>AVERAGE(V11:V20)</f>
        <v>2116.4527724062973</v>
      </c>
      <c r="W25" s="882">
        <f>W59</f>
        <v>1930.4164636389439</v>
      </c>
      <c r="X25" s="637"/>
      <c r="Y25" s="637"/>
      <c r="Z25" s="637"/>
      <c r="AA25" s="637"/>
      <c r="AB25" s="632"/>
      <c r="AC25" s="638"/>
      <c r="AD25" s="638"/>
      <c r="AE25" s="624"/>
      <c r="AF25" s="624"/>
      <c r="AG25" s="624"/>
      <c r="AH25" s="624"/>
      <c r="AI25" s="624"/>
      <c r="AJ25" s="624"/>
      <c r="AK25" s="624"/>
      <c r="AL25" s="639"/>
      <c r="AM25" s="639"/>
      <c r="AN25" s="632"/>
    </row>
    <row r="26" spans="1:40" ht="7.5" customHeight="1" thickBot="1">
      <c r="C26" s="883"/>
      <c r="D26" s="883"/>
      <c r="E26" s="883"/>
      <c r="F26" s="883"/>
      <c r="G26" s="883"/>
      <c r="H26" s="883"/>
      <c r="I26" s="884"/>
      <c r="J26" s="885"/>
      <c r="K26" s="886"/>
      <c r="L26" s="886"/>
      <c r="M26" s="884"/>
      <c r="N26" s="887"/>
      <c r="O26" s="885"/>
      <c r="P26" s="884"/>
      <c r="Q26" s="884"/>
      <c r="R26" s="887"/>
      <c r="S26" s="887"/>
      <c r="T26" s="885"/>
      <c r="U26" s="886"/>
      <c r="V26" s="885"/>
      <c r="W26" s="884"/>
      <c r="X26" s="588"/>
      <c r="Y26" s="587"/>
      <c r="Z26" s="586"/>
      <c r="AA26" s="586"/>
      <c r="AB26" s="623"/>
      <c r="AC26" s="585"/>
      <c r="AD26" s="585"/>
      <c r="AE26" s="624"/>
      <c r="AF26" s="624"/>
      <c r="AG26" s="624"/>
      <c r="AH26" s="624"/>
      <c r="AI26" s="624"/>
      <c r="AJ26" s="624"/>
      <c r="AK26" s="624"/>
      <c r="AL26" s="623"/>
      <c r="AM26" s="623"/>
      <c r="AN26" s="623"/>
    </row>
    <row r="27" spans="1:40" s="35" customFormat="1" ht="26.25" customHeight="1" thickBot="1">
      <c r="A27" s="35" t="str">
        <f>$B27&amp;"_"&amp;$C$3&amp;"_"&amp;$C$2</f>
        <v>TSX:HBM_2025_Tech</v>
      </c>
      <c r="B27" s="35" t="str">
        <f>'Raw Data'!H6</f>
        <v>TSX:HBM</v>
      </c>
      <c r="C27" s="1225" t="str">
        <f>IFERROR(INDEX(Raw_Data,MATCH($A27,Look_Up2,0),MATCH(C$4,Component,0)),"-")</f>
        <v>Hudbay Minerals Inc.</v>
      </c>
      <c r="D27" s="1226">
        <f>_xll.ciqfunctions.udf.CIQ(B27, "IQ_MARKETCAP", $A$1,$A$2)</f>
        <v>5664.3295799999996</v>
      </c>
      <c r="E27" s="1226">
        <f>_xll.ciqfunctions.udf.CIQ($B27, "IQ_TEV", $A$1,$A$2)</f>
        <v>6773.8200500000003</v>
      </c>
      <c r="F27" s="1227" t="str">
        <f>IFERROR(INDEX(Raw_Data,MATCH($A27,Look_Up2,0),MATCH(F$4,Component,0)),"-")</f>
        <v>Olivier Tavchandjian</v>
      </c>
      <c r="G27" s="1227" t="str">
        <f>IFERROR(INDEX(Raw_Data,MATCH($A27,Look_Up2,0),MATCH(G$4,Component,0)),"-")</f>
        <v>SVP, Exploration &amp; Technical Services</v>
      </c>
      <c r="H27" s="1227">
        <f>IFERROR(INDEX(Raw_Data,MATCH($A27,Look_Up2,0),MATCH(H$4,Component,0))/1000,"-")</f>
        <v>484.48399999999998</v>
      </c>
      <c r="I27" s="1226">
        <f>IFERROR(INDEX(Raw_Data,MATCH($A27,Look_Up2,0),MATCH(I$4,Component,0))/1000,"-")</f>
        <v>484.48399999999998</v>
      </c>
      <c r="J27" s="1226" t="s">
        <v>78</v>
      </c>
      <c r="K27" s="1228" t="s">
        <v>78</v>
      </c>
      <c r="L27" s="1228" t="s">
        <v>78</v>
      </c>
      <c r="M27" s="1226">
        <f>IFERROR(INDEX(Raw_Data,MATCH($A27,Look_Up2,0),MATCH(M$4,Component,0))/1000,"-")</f>
        <v>290.69039999999995</v>
      </c>
      <c r="N27" s="1228">
        <f>IFERROR(IF(INDEX(Raw_Data,MATCH($A27,Look_Up2,0),MATCH(N$4,Component,0))="-",L27,INDEX(Raw_Data,MATCH($A27,Look_Up2,0),MATCH(N$4,Component,0))),"-")</f>
        <v>0.6</v>
      </c>
      <c r="O27" s="1226" t="s">
        <v>78</v>
      </c>
      <c r="P27" s="1226">
        <f>IFERROR(INDEX(Raw_Data,MATCH($A27,Look_Up2,0),MATCH(P$4,Component,0))/1000,"-")</f>
        <v>775.17439999999988</v>
      </c>
      <c r="Q27" s="1226" t="str">
        <f>IFERROR(INDEX(Raw_Data,MATCH($A27,Look_Up2,0),MATCH(Q$4,Component,0))/1000,"-")</f>
        <v>-</v>
      </c>
      <c r="R27" s="1228" t="str">
        <f>IFERROR(INDEX(Raw_Data,MATCH($A27,Look_Up2,0),MATCH(R$4,Component,0)),"-")</f>
        <v>-</v>
      </c>
      <c r="S27" s="1228" t="str">
        <f>IFERROR(INDEX(Raw_Data,MATCH($A27,Look_Up2,0),MATCH(S$4,Component,0)),"-")</f>
        <v>N/A</v>
      </c>
      <c r="T27" s="1226">
        <f>IFERROR(INDEX(Raw_Data,MATCH($A27,Look_Up2,0),MATCH(T$4,Component,0))/1000,"-")</f>
        <v>581.38079999999991</v>
      </c>
      <c r="U27" s="1228">
        <f>IFERROR(IF(INDEX(Raw_Data,MATCH($A27,Look_Up2,0),MATCH(U$4,Component,0))="-",S27,INDEX(Raw_Data,MATCH($A27,Look_Up2,0),MATCH(U$4,Component,0))),"-")</f>
        <v>1.2</v>
      </c>
      <c r="V27" s="1226" t="s">
        <v>78</v>
      </c>
      <c r="W27" s="1229">
        <f>IFERROR(INDEX(Raw_Data,MATCH($A27,Look_Up2,0),MATCH(W$4,Component,0))/1000,"-")</f>
        <v>1356.5551999999998</v>
      </c>
      <c r="X27" s="777">
        <f>IFERROR((INDEX(Raw_Data,MATCH($A27,Look_Up2,0),MATCH(X$4,Component,0))/1000),"-")</f>
        <v>0</v>
      </c>
      <c r="Y27" s="548" t="str">
        <f>IFERROR((INDEX(Raw_Data,MATCH($A27,Look_Up2,0),MATCH(Y$4,Component,0))/1000),"-")</f>
        <v>-</v>
      </c>
      <c r="Z27" s="548">
        <f>IFERROR(INDEX(Raw_Data,MATCH($A27,Look_Up2,0),MATCH(Z$4,Component,0))/1000,"-")</f>
        <v>484.48399999999998</v>
      </c>
      <c r="AA27" s="551">
        <f>IFERROR(INDEX(Raw_Data,MATCH($A27,Look_Up2,0),MATCH(AA$4,Component,0))/1000,"-")</f>
        <v>1356.5551999999998</v>
      </c>
      <c r="AB27" s="640"/>
      <c r="AC27" s="621">
        <f>IFERROR(P27/W27,0)</f>
        <v>0.5714285714285714</v>
      </c>
      <c r="AD27" s="622">
        <f>IFERROR(T27/W27,0)</f>
        <v>0.42857142857142855</v>
      </c>
      <c r="AE27" s="624" t="str">
        <f>B27&amp;"_"&amp;$AE$6&amp;"_"&amp;"NEO4"</f>
        <v>TSX:HBM_2024_NEO4</v>
      </c>
      <c r="AF27" s="624"/>
      <c r="AG27" s="624"/>
      <c r="AH27" s="624"/>
      <c r="AI27" s="624"/>
      <c r="AJ27" s="624"/>
      <c r="AK27" s="624"/>
      <c r="AL27" s="639"/>
      <c r="AM27" s="639"/>
      <c r="AN27" s="640"/>
    </row>
    <row r="28" spans="1:40" ht="20.25" customHeight="1">
      <c r="B28" s="33"/>
      <c r="C28" s="894" t="s">
        <v>5</v>
      </c>
      <c r="D28" s="895" t="str">
        <f>IF(D$27&gt;=MAX(D$8:D$15),"max",IF(D$27&lt;=MIN(D$8:D$15),"min",PERCENTRANK(D$8:D$15,D$27)))</f>
        <v>max</v>
      </c>
      <c r="E28" s="895" t="str">
        <f>IF(E$27&gt;=MAX(E$8:E$15),"max",IF(E$27&lt;=MIN(E$8:E$15),"min",PERCENTRANK(E$8:E$15,E$27)))</f>
        <v>max</v>
      </c>
      <c r="F28" s="896"/>
      <c r="G28" s="896"/>
      <c r="H28" s="896"/>
      <c r="I28" s="895">
        <f>IF(I$27&gt;=MAX(I$35:I$54),"max",IF(I$27&lt;=MIN(I$35:I$54),"min",PERCENTRANK(I$35:I$54,I$27)))</f>
        <v>0.17499999999999999</v>
      </c>
      <c r="J28" s="895" t="s">
        <v>78</v>
      </c>
      <c r="K28" s="895" t="s">
        <v>78</v>
      </c>
      <c r="L28" s="895" t="s">
        <v>78</v>
      </c>
      <c r="M28" s="895" t="str">
        <f>IF(M$27&gt;=MAX(M$35:M$54),"max",IF(M$27&lt;=MIN(M$35:M$54),"min",PERCENTRANK(M$35:M$54,M$27)))</f>
        <v>min</v>
      </c>
      <c r="N28" s="895">
        <f>IF(N$27&gt;=MAX(N$8:N$15),"max",IF(N$27&lt;=MIN(N$8:N$15),"min",PERCENTRANK(N$8:N$15,N$27)))</f>
        <v>0.14199999999999999</v>
      </c>
      <c r="O28" s="895" t="s">
        <v>78</v>
      </c>
      <c r="P28" s="895" t="str">
        <f>IF(P$27&gt;=MAX(P$35:P$54),"max",IF(P$27&lt;=MIN(P$35:P$54),"min",PERCENTRANK(P$35:P$54,P$27)))</f>
        <v>min</v>
      </c>
      <c r="Q28" s="895" t="str">
        <f>IF(Q$27&gt;=MAX(Q$8:Q$15),"max",IF(Q$27&lt;=MIN(Q$8:Q$15),"min",PERCENTRANK(Q$8:Q$15,Q$27)))</f>
        <v>max</v>
      </c>
      <c r="R28" s="895" t="str">
        <f>IF(R$27&gt;=MAX(R$8:R$15),"max",IF(R$27&lt;=MIN(R$8:R$15),"min",PERCENTRANK(R$8:R$15,R$27)))</f>
        <v>max</v>
      </c>
      <c r="S28" s="895" t="str">
        <f>IF(S$27&gt;=MAX(S$8:S$15),"max",IF(S$27&lt;=MIN(S$8:S$15),"min",PERCENTRANK(S$8:S$15,S$27)))</f>
        <v>max</v>
      </c>
      <c r="T28" s="895">
        <f>IF(T$27&gt;=MAX(T$35:T$54),"max",IF(T$27&lt;=MIN(T$35:T$54),"min",PERCENTRANK(T$35:T$54,T$27)))</f>
        <v>7.8E-2</v>
      </c>
      <c r="U28" s="895">
        <f>IF(U$27&gt;=MAX(U$8:U$15),"max",IF(U$27&lt;=MIN(U$8:U$15),"min",PERCENTRANK(U$8:U$15,U$27)))</f>
        <v>9.1999999999999998E-2</v>
      </c>
      <c r="V28" s="895" t="s">
        <v>78</v>
      </c>
      <c r="W28" s="897">
        <f>IF(W$27&gt;=MAX(W$35:W$54),"max",IF(W$27&lt;=MIN(W$35:W$54),"min",PERCENTRANK(W$35:W$54,W$27)))</f>
        <v>1.4999999999999999E-2</v>
      </c>
      <c r="X28" s="280" t="str">
        <f>IF(X$27&gt;=MAX(X$8:X$15),"max",IF(X$27&lt;=MIN(X$8:X$15),"min",PERCENTRANK(X$8:X$15,X$27)))</f>
        <v>min</v>
      </c>
      <c r="Y28" s="280" t="str">
        <f>IF(Y$27&gt;=MAX(Y$8:Y$15),"max",IF(Y$27&lt;=MIN(Y$8:Y$15),"min",PERCENTRANK(Y$8:Y$15,Y$27)))</f>
        <v>max</v>
      </c>
      <c r="Z28" s="280" t="str">
        <f>IF(Z$27&gt;=MAX(Z$8:Z$15),"max",IF(Z$27&lt;=MIN(Z$8:Z$15),"min",PERCENTRANK(Z$8:Z$15,Z$27)))</f>
        <v>min</v>
      </c>
      <c r="AA28" s="281" t="str">
        <f>IF(AA$27&gt;=MAX(AA$35:AA$54),"max",IF(AA$27&lt;=MIN(AA$35:AA$54),"min",PERCENTRANK(AA$35:AA$54,AA$27)))</f>
        <v>min</v>
      </c>
      <c r="AC28" s="282">
        <f>IF(AC$27&gt;=MAX(AC$8:AC15),"max",IF(AC$27&lt;=MIN(AC$8:AC15),"min",PERCENTRANK(AC$8:AC15,AC$27)))</f>
        <v>0.88700000000000001</v>
      </c>
      <c r="AD28" s="283">
        <f>IF(AD$27&gt;=MAX(AD$8:AD15),"max",IF(AD$27&lt;=MIN(AD$8:AD15),"min",PERCENTRANK(AD$8:AD15,AD$27)))</f>
        <v>0.112</v>
      </c>
      <c r="AE28" s="316"/>
      <c r="AF28" s="316"/>
      <c r="AG28" s="316"/>
      <c r="AH28" s="316"/>
      <c r="AI28" s="316"/>
      <c r="AJ28" s="316"/>
      <c r="AK28" s="316"/>
      <c r="AL28" s="775"/>
      <c r="AM28" s="776"/>
    </row>
    <row r="29" spans="1:40" ht="16.5" customHeight="1">
      <c r="B29" s="33"/>
      <c r="C29" s="286"/>
      <c r="D29" s="286"/>
      <c r="E29" s="259"/>
      <c r="F29" s="259"/>
      <c r="G29" s="259"/>
      <c r="H29" s="259"/>
      <c r="I29" s="275"/>
      <c r="J29" s="275"/>
      <c r="K29" s="275"/>
      <c r="L29" s="275"/>
      <c r="M29" s="275"/>
      <c r="N29" s="275"/>
      <c r="O29" s="275"/>
      <c r="P29" s="275"/>
      <c r="Q29" s="275"/>
      <c r="R29" s="275"/>
      <c r="S29" s="275"/>
      <c r="T29" s="275"/>
      <c r="U29" s="275"/>
      <c r="V29" s="1085" t="s">
        <v>779</v>
      </c>
      <c r="W29" s="1101">
        <f>W27</f>
        <v>1356.5551999999998</v>
      </c>
      <c r="X29" s="275"/>
      <c r="Y29" s="275"/>
      <c r="Z29" s="275"/>
      <c r="AA29" s="275"/>
      <c r="AC29" s="259"/>
      <c r="AD29" s="259"/>
      <c r="AE29" s="316"/>
      <c r="AF29" s="316"/>
      <c r="AG29" s="316"/>
      <c r="AH29" s="316"/>
      <c r="AI29" s="316"/>
      <c r="AJ29" s="316"/>
      <c r="AK29" s="316"/>
    </row>
    <row r="30" spans="1:40" ht="15" customHeight="1" thickBot="1">
      <c r="B30" s="33"/>
      <c r="C30" s="286" t="s">
        <v>243</v>
      </c>
      <c r="D30" s="286"/>
      <c r="E30" s="259"/>
      <c r="F30" s="259"/>
      <c r="G30" s="259"/>
      <c r="H30" s="259"/>
      <c r="I30" s="275"/>
      <c r="J30" s="275"/>
      <c r="K30" s="275"/>
      <c r="L30" s="275"/>
      <c r="M30" s="275"/>
      <c r="N30" s="275"/>
      <c r="O30" s="275"/>
      <c r="P30" s="275"/>
      <c r="Q30" s="275"/>
      <c r="R30" s="275"/>
      <c r="S30" s="275"/>
      <c r="T30" s="275"/>
      <c r="U30" s="275"/>
      <c r="V30" s="1085" t="s">
        <v>780</v>
      </c>
      <c r="W30" s="1086">
        <f>PERCENTRANK(W35:W54,W29)</f>
        <v>1.4999999999999999E-2</v>
      </c>
      <c r="X30" s="275"/>
      <c r="Y30" s="275"/>
      <c r="Z30" s="275"/>
      <c r="AA30" s="275"/>
      <c r="AC30" s="259"/>
      <c r="AD30" s="259"/>
      <c r="AE30" s="316"/>
      <c r="AF30" s="316"/>
      <c r="AG30" s="316"/>
      <c r="AH30" s="316"/>
      <c r="AI30" s="316"/>
      <c r="AJ30" s="316"/>
      <c r="AK30" s="316"/>
    </row>
    <row r="31" spans="1:40" ht="25">
      <c r="B31" s="15"/>
      <c r="C31" s="284"/>
      <c r="D31" s="284"/>
      <c r="E31" s="284"/>
      <c r="F31" s="284"/>
      <c r="G31" s="284"/>
      <c r="H31" s="284"/>
      <c r="I31" s="284"/>
      <c r="J31" s="284"/>
      <c r="K31" s="284"/>
      <c r="L31" s="284"/>
      <c r="M31" s="284"/>
      <c r="N31" s="284"/>
      <c r="O31" s="284"/>
      <c r="P31" s="284"/>
      <c r="Q31" s="284"/>
      <c r="R31" s="284"/>
      <c r="S31" s="284"/>
      <c r="T31" s="284"/>
      <c r="U31" s="284"/>
      <c r="V31" s="1087" t="s">
        <v>781</v>
      </c>
      <c r="W31" s="1088">
        <f>W29-W23</f>
        <v>-493.07723950000036</v>
      </c>
      <c r="X31" s="284"/>
      <c r="Y31" s="284"/>
      <c r="Z31" s="284"/>
      <c r="AA31" s="284"/>
      <c r="AC31" s="258"/>
      <c r="AD31" s="258"/>
      <c r="AL31" s="1284" t="s">
        <v>480</v>
      </c>
      <c r="AM31" s="1285"/>
    </row>
    <row r="32" spans="1:40">
      <c r="B32" s="15"/>
      <c r="C32" s="14"/>
      <c r="D32" s="14"/>
      <c r="E32" s="14"/>
      <c r="F32" s="14"/>
      <c r="G32" s="14"/>
      <c r="H32" s="14"/>
      <c r="I32" s="14"/>
      <c r="J32" s="14"/>
      <c r="K32" s="14"/>
      <c r="L32" s="14"/>
      <c r="M32" s="14"/>
      <c r="N32" s="14"/>
      <c r="O32" s="14"/>
      <c r="P32" s="14"/>
      <c r="Q32" s="14"/>
      <c r="R32" s="14"/>
      <c r="S32" s="14"/>
      <c r="T32" s="14"/>
      <c r="U32" s="14"/>
      <c r="V32" s="1089" t="s">
        <v>782</v>
      </c>
      <c r="W32" s="1090">
        <f>W27/W23 -1</f>
        <v>-0.26658120228108184</v>
      </c>
      <c r="X32" s="14"/>
      <c r="Y32" s="14"/>
      <c r="Z32" s="14"/>
      <c r="AA32" s="14"/>
      <c r="AC32" s="27"/>
      <c r="AD32" s="27"/>
      <c r="AL32" s="1286"/>
      <c r="AM32" s="1287"/>
    </row>
    <row r="33" spans="1:39">
      <c r="B33" s="15"/>
      <c r="C33" s="305" t="s">
        <v>110</v>
      </c>
      <c r="D33" s="313"/>
      <c r="E33" s="306"/>
      <c r="F33" s="306"/>
      <c r="G33" s="306"/>
      <c r="H33" s="306"/>
      <c r="I33" s="306"/>
      <c r="J33" s="306"/>
      <c r="K33" s="306"/>
      <c r="L33" s="306"/>
      <c r="M33" s="306"/>
      <c r="N33" s="306"/>
      <c r="O33" s="306"/>
      <c r="P33" s="306"/>
      <c r="Q33" s="306"/>
      <c r="R33" s="306"/>
      <c r="S33" s="306"/>
      <c r="T33" s="306"/>
      <c r="U33" s="306"/>
      <c r="V33" s="306"/>
      <c r="W33" s="306"/>
      <c r="X33" s="306"/>
      <c r="Y33" s="306"/>
      <c r="Z33" s="306"/>
      <c r="AA33" s="306"/>
      <c r="AC33" s="307"/>
      <c r="AD33" s="307"/>
      <c r="AE33" s="308"/>
      <c r="AF33" s="308"/>
      <c r="AG33" s="308"/>
      <c r="AH33" s="308"/>
      <c r="AI33" s="308"/>
      <c r="AJ33" s="308"/>
      <c r="AK33" s="308"/>
      <c r="AL33" s="1286"/>
      <c r="AM33" s="1287"/>
    </row>
    <row r="34" spans="1:39" ht="50">
      <c r="B34" s="15"/>
      <c r="C34" s="297" t="s">
        <v>111</v>
      </c>
      <c r="E34" s="14"/>
      <c r="F34" s="14"/>
      <c r="G34" s="315" t="s">
        <v>119</v>
      </c>
      <c r="H34" s="314" t="s">
        <v>115</v>
      </c>
      <c r="I34" s="314" t="s">
        <v>116</v>
      </c>
      <c r="J34" s="314"/>
      <c r="K34" s="314"/>
      <c r="L34" s="314"/>
      <c r="M34" s="314" t="s">
        <v>16</v>
      </c>
      <c r="O34" s="314"/>
      <c r="P34" s="314" t="s">
        <v>117</v>
      </c>
      <c r="Q34" s="314"/>
      <c r="R34" s="314"/>
      <c r="S34" s="314"/>
      <c r="T34" s="314" t="s">
        <v>14</v>
      </c>
      <c r="V34" s="314"/>
      <c r="W34" s="314" t="s">
        <v>118</v>
      </c>
      <c r="Y34" s="314"/>
      <c r="Z34" s="314"/>
      <c r="AA34" s="314" t="s">
        <v>246</v>
      </c>
      <c r="AC34" s="27"/>
      <c r="AD34" s="27"/>
      <c r="AL34" s="1286"/>
      <c r="AM34" s="1287"/>
    </row>
    <row r="35" spans="1:39" ht="14.5">
      <c r="A35" s="295" t="str">
        <f>A8</f>
        <v>TSX:FM_2025_Tech</v>
      </c>
      <c r="B35" s="295" t="str">
        <f>B8</f>
        <v>TSX:FM</v>
      </c>
      <c r="C35" s="590" t="str">
        <f>_xll.ciqfunctions.udf.CIQ(B35,"IQ_COMPANY_NAME")</f>
        <v>First Quantum Minerals Ltd.</v>
      </c>
      <c r="E35" s="14"/>
      <c r="F35" s="14"/>
      <c r="G35" s="294" t="s">
        <v>398</v>
      </c>
      <c r="H35" s="303">
        <f t="shared" ref="H35:H54" si="29">IFERROR(INDEX(Raw_Data,MATCH($A35,Look_Up2,0),MATCH(H$4,Component,0))/1000,"-")</f>
        <v>594.80223330000013</v>
      </c>
      <c r="I35" s="303">
        <f>IFERROR(IF(G35="y",IF(H35&lt;&gt;"-",H35,INDEX(Raw_Data,MATCH($A35,Look_Up2,0),MATCH(I$4,Component,0))/1000*(1+'Raw Data'!$H$13)),(INDEX(Raw_Data,MATCH($A35,Look_Up2,0),MATCH(I$4,Component,0))/1000)),"-")</f>
        <v>594.80223330000013</v>
      </c>
      <c r="J35" s="361"/>
      <c r="K35" s="361"/>
      <c r="L35" s="361"/>
      <c r="M35" s="303">
        <f>IFERROR(I35*N8,"-")</f>
        <v>297.40111665000006</v>
      </c>
      <c r="N35" s="362"/>
      <c r="O35" s="361"/>
      <c r="P35" s="303">
        <f>IFERROR(IF(SUM(M35,I35)=0,"-",SUM(M35,I35)),"-")</f>
        <v>892.20334995000019</v>
      </c>
      <c r="Q35" s="361"/>
      <c r="R35" s="361"/>
      <c r="S35" s="361"/>
      <c r="T35" s="303">
        <f>IFERROR(I35*U8,"-")</f>
        <v>446.10167497500009</v>
      </c>
      <c r="U35" s="362"/>
      <c r="V35" s="361"/>
      <c r="W35" s="303">
        <f>IFERROR(IF(SUM(T35,P35)=0,"-",SUM(T35,P35)),"-")</f>
        <v>1338.3050249250002</v>
      </c>
      <c r="X35" s="362"/>
      <c r="Y35" s="361"/>
      <c r="Z35" s="361"/>
      <c r="AA35" s="303">
        <f>IFERROR(IF(SUM(W35,X8,Y8)=0,"-",SUM(W35,X8,Y8)),"-")</f>
        <v>1390.0008927750002</v>
      </c>
      <c r="AB35" s="362"/>
      <c r="AL35" s="1286"/>
      <c r="AM35" s="1287"/>
    </row>
    <row r="36" spans="1:39" ht="14.5">
      <c r="A36" s="295" t="e">
        <f>#REF!</f>
        <v>#REF!</v>
      </c>
      <c r="B36" s="295" t="e">
        <f>#REF!</f>
        <v>#REF!</v>
      </c>
      <c r="C36" s="296" t="str">
        <f>_xll.ciqfunctions.udf.CIQ(B36,"IQ_COMPANY_NAME")</f>
        <v>#NA</v>
      </c>
      <c r="E36" s="14"/>
      <c r="F36" s="14"/>
      <c r="G36" s="294" t="s">
        <v>398</v>
      </c>
      <c r="H36" s="262" t="str">
        <f t="shared" si="29"/>
        <v>-</v>
      </c>
      <c r="I36" s="262" t="str">
        <f>IFERROR(IF(G36="y",IF(H36&lt;&gt;"-",H36,INDEX(Raw_Data,MATCH($A36,Look_Up2,0),MATCH(I$4,Component,0))/1000*(1+'Raw Data'!$H$13)),(INDEX(Raw_Data,MATCH($A36,Look_Up2,0),MATCH(I$4,Component,0))/1000)),"-")</f>
        <v>-</v>
      </c>
      <c r="J36" s="361"/>
      <c r="K36" s="361"/>
      <c r="L36" s="361"/>
      <c r="M36" s="262" t="str">
        <f>IFERROR(I36*#REF!,"-")</f>
        <v>-</v>
      </c>
      <c r="N36" s="362"/>
      <c r="O36" s="361"/>
      <c r="P36" s="262" t="str">
        <f t="shared" ref="P36:P54" si="30">IFERROR(IF(SUM(M36,I36)=0,"-",SUM(M36,I36)),"-")</f>
        <v>-</v>
      </c>
      <c r="Q36" s="361"/>
      <c r="R36" s="361"/>
      <c r="S36" s="361"/>
      <c r="T36" s="262" t="str">
        <f>IFERROR(I36*#REF!,"-")</f>
        <v>-</v>
      </c>
      <c r="U36" s="362"/>
      <c r="V36" s="361"/>
      <c r="W36" s="262" t="str">
        <f t="shared" ref="W36:W54" si="31">IFERROR(IF(SUM(T36,P36)=0,"-",SUM(T36,P36)),"-")</f>
        <v>-</v>
      </c>
      <c r="X36" s="362"/>
      <c r="Y36" s="361"/>
      <c r="Z36" s="361"/>
      <c r="AA36" s="262" t="str">
        <f>IFERROR(IF(SUM(W36,#REF!,#REF!)=0,"-",SUM(W36,#REF!,#REF!)),"-")</f>
        <v>-</v>
      </c>
      <c r="AB36" s="362"/>
      <c r="AL36" s="1286"/>
      <c r="AM36" s="1287"/>
    </row>
    <row r="37" spans="1:39" ht="15" thickBot="1">
      <c r="A37" s="295" t="str">
        <f>A9</f>
        <v>TSX:CDE_2025_Tech</v>
      </c>
      <c r="B37" s="295" t="str">
        <f>B9</f>
        <v>TSX:CDE</v>
      </c>
      <c r="C37" s="590" t="str">
        <f>_xll.ciqfunctions.udf.CIQ(B37,"IQ_COMPANY_NAME")</f>
        <v>Coeur Mining, Inc.</v>
      </c>
      <c r="E37" s="14"/>
      <c r="F37" s="14"/>
      <c r="G37" s="294" t="s">
        <v>398</v>
      </c>
      <c r="H37" s="262" t="str">
        <f t="shared" si="29"/>
        <v>-</v>
      </c>
      <c r="I37" s="262">
        <f>IFERROR(IF(G37="y",IF(H37&lt;&gt;"-",H37,INDEX(Raw_Data,MATCH($A37,Look_Up2,0),MATCH(I$4,Component,0))/1000*(1+'Raw Data'!$H$13)),(INDEX(Raw_Data,MATCH($A37,Look_Up2,0),MATCH(I$4,Component,0))/1000)),"-")</f>
        <v>518.17446000000007</v>
      </c>
      <c r="J37" s="361"/>
      <c r="K37" s="361"/>
      <c r="L37" s="361"/>
      <c r="M37" s="262">
        <f>IFERROR(I37*N9,"-")</f>
        <v>388.63084500000002</v>
      </c>
      <c r="N37" s="362"/>
      <c r="O37" s="361"/>
      <c r="P37" s="262">
        <f t="shared" si="30"/>
        <v>906.80530500000009</v>
      </c>
      <c r="Q37" s="361"/>
      <c r="R37" s="361"/>
      <c r="S37" s="361"/>
      <c r="T37" s="262">
        <f>IFERROR(I37*U9,"-")</f>
        <v>984.53147400000012</v>
      </c>
      <c r="U37" s="362"/>
      <c r="V37" s="361"/>
      <c r="W37" s="262">
        <f t="shared" si="31"/>
        <v>1891.3367790000002</v>
      </c>
      <c r="X37" s="362"/>
      <c r="Y37" s="361"/>
      <c r="Z37" s="361"/>
      <c r="AA37" s="262">
        <f>IFERROR(IF(SUM(W37,X9,Y9)=0,"-",SUM(W37,X9,Y9)),"-")</f>
        <v>1968.8225866000002</v>
      </c>
      <c r="AB37" s="362"/>
      <c r="AL37" s="1288"/>
      <c r="AM37" s="1289"/>
    </row>
    <row r="38" spans="1:39" ht="14.5">
      <c r="A38" s="295" t="str">
        <f>A10</f>
        <v>TSX:AGI_2025_Tech</v>
      </c>
      <c r="B38" s="295" t="str">
        <f>B10</f>
        <v>TSX:AGI</v>
      </c>
      <c r="C38" s="296" t="str">
        <f>_xll.ciqfunctions.udf.CIQ(B38,"IQ_COMPANY_NAME")</f>
        <v>Alamos Gold Inc.</v>
      </c>
      <c r="G38" s="294" t="s">
        <v>398</v>
      </c>
      <c r="H38" s="262" t="str">
        <f t="shared" si="29"/>
        <v>-</v>
      </c>
      <c r="I38" s="262">
        <f>IFERROR(IF(G38="y",IF(H38&lt;&gt;"-",H38,INDEX(Raw_Data,MATCH($A38,Look_Up2,0),MATCH(I$4,Component,0))/1000*(1+'Raw Data'!$H$13)),(INDEX(Raw_Data,MATCH($A38,Look_Up2,0),MATCH(I$4,Component,0))/1000)),"-")</f>
        <v>478.82342788350007</v>
      </c>
      <c r="J38" s="362"/>
      <c r="K38" s="362"/>
      <c r="L38" s="362"/>
      <c r="M38" s="262">
        <f>IFERROR(I38*N10,"-")</f>
        <v>335.17639951845001</v>
      </c>
      <c r="N38" s="362"/>
      <c r="O38" s="362"/>
      <c r="P38" s="262">
        <f t="shared" si="30"/>
        <v>813.99982740195014</v>
      </c>
      <c r="Q38" s="362"/>
      <c r="R38" s="362"/>
      <c r="S38" s="362"/>
      <c r="T38" s="262">
        <f>IFERROR(I38*U10,"-")</f>
        <v>691.24456081808341</v>
      </c>
      <c r="U38" s="362"/>
      <c r="V38" s="362"/>
      <c r="W38" s="262">
        <f t="shared" si="31"/>
        <v>1505.2443882200337</v>
      </c>
      <c r="X38" s="362"/>
      <c r="Y38" s="362"/>
      <c r="Z38" s="362"/>
      <c r="AA38" s="262">
        <f>IFERROR(IF(SUM(W38,X10,Y10)=0,"-",SUM(W38,X10,Y10)),"-")</f>
        <v>1624.2288710200337</v>
      </c>
      <c r="AB38" s="362"/>
    </row>
    <row r="39" spans="1:39" ht="14.5">
      <c r="A39" s="295" t="e">
        <f>#REF!</f>
        <v>#REF!</v>
      </c>
      <c r="B39" s="295" t="e">
        <f>#REF!</f>
        <v>#REF!</v>
      </c>
      <c r="C39" s="296" t="str">
        <f>_xll.ciqfunctions.udf.CIQ(B39,"IQ_COMPANY_NAME")</f>
        <v>#NA</v>
      </c>
      <c r="G39" s="294" t="s">
        <v>398</v>
      </c>
      <c r="H39" s="262" t="str">
        <f t="shared" si="29"/>
        <v>-</v>
      </c>
      <c r="I39" s="262" t="str">
        <f>IFERROR(IF(G39="y",IF(H39&lt;&gt;"-",H39,INDEX(Raw_Data,MATCH($A39,Look_Up2,0),MATCH(I$4,Component,0))/1000*(1+'Raw Data'!$H$13)),(INDEX(Raw_Data,MATCH($A39,Look_Up2,0),MATCH(I$4,Component,0))/1000)),"-")</f>
        <v>-</v>
      </c>
      <c r="J39" s="362"/>
      <c r="K39" s="362"/>
      <c r="L39" s="362"/>
      <c r="M39" s="262" t="str">
        <f>IFERROR(I39*#REF!,"-")</f>
        <v>-</v>
      </c>
      <c r="N39" s="362"/>
      <c r="O39" s="362"/>
      <c r="P39" s="262" t="str">
        <f t="shared" si="30"/>
        <v>-</v>
      </c>
      <c r="Q39" s="362"/>
      <c r="R39" s="362"/>
      <c r="S39" s="362"/>
      <c r="T39" s="262" t="str">
        <f>IFERROR(I39*#REF!,"-")</f>
        <v>-</v>
      </c>
      <c r="U39" s="362"/>
      <c r="V39" s="362"/>
      <c r="W39" s="262" t="str">
        <f t="shared" si="31"/>
        <v>-</v>
      </c>
      <c r="X39" s="362"/>
      <c r="Y39" s="362"/>
      <c r="Z39" s="362"/>
      <c r="AA39" s="262" t="str">
        <f>IFERROR(IF(SUM(W39,#REF!,#REF!)=0,"-",SUM(W39,#REF!,#REF!)),"-")</f>
        <v>-</v>
      </c>
      <c r="AB39" s="362"/>
    </row>
    <row r="40" spans="1:39" ht="14.5">
      <c r="A40" s="295" t="e">
        <f>#REF!</f>
        <v>#REF!</v>
      </c>
      <c r="B40" s="295" t="e">
        <f>#REF!</f>
        <v>#REF!</v>
      </c>
      <c r="C40" s="296" t="str">
        <f>_xll.ciqfunctions.udf.CIQ(B40,"IQ_COMPANY_NAME")</f>
        <v>#NA</v>
      </c>
      <c r="G40" s="294" t="s">
        <v>398</v>
      </c>
      <c r="H40" s="262" t="str">
        <f t="shared" si="29"/>
        <v>-</v>
      </c>
      <c r="I40" s="262" t="str">
        <f>IFERROR(IF(G40="y",IF(H40&lt;&gt;"-",H40,INDEX(Raw_Data,MATCH($A40,Look_Up2,0),MATCH(I$4,Component,0))/1000*(1+'Raw Data'!$H$13)),(INDEX(Raw_Data,MATCH($A40,Look_Up2,0),MATCH(I$4,Component,0))/1000)),"-")</f>
        <v>-</v>
      </c>
      <c r="J40" s="362"/>
      <c r="K40" s="362"/>
      <c r="L40" s="362"/>
      <c r="M40" s="262" t="str">
        <f>IFERROR(I40*#REF!,"-")</f>
        <v>-</v>
      </c>
      <c r="N40" s="362"/>
      <c r="O40" s="362"/>
      <c r="P40" s="262" t="str">
        <f t="shared" si="30"/>
        <v>-</v>
      </c>
      <c r="Q40" s="362"/>
      <c r="R40" s="362"/>
      <c r="S40" s="362"/>
      <c r="T40" s="262" t="str">
        <f>IFERROR(I40*#REF!,"-")</f>
        <v>-</v>
      </c>
      <c r="U40" s="362"/>
      <c r="V40" s="362"/>
      <c r="W40" s="262" t="str">
        <f t="shared" si="31"/>
        <v>-</v>
      </c>
      <c r="X40" s="362"/>
      <c r="Y40" s="362"/>
      <c r="Z40" s="362"/>
      <c r="AA40" s="262" t="str">
        <f>IFERROR(IF(SUM(W40,#REF!,#REF!)=0,"-",SUM(W40,#REF!,#REF!)),"-")</f>
        <v>-</v>
      </c>
      <c r="AB40" s="362"/>
    </row>
    <row r="41" spans="1:39" ht="14.5">
      <c r="A41" s="295" t="e">
        <f>#REF!</f>
        <v>#REF!</v>
      </c>
      <c r="B41" s="295" t="e">
        <f>#REF!</f>
        <v>#REF!</v>
      </c>
      <c r="C41" s="590" t="str">
        <f>_xll.ciqfunctions.udf.CIQ(B41,"IQ_COMPANY_NAME")</f>
        <v>#NA</v>
      </c>
      <c r="G41" s="294" t="s">
        <v>398</v>
      </c>
      <c r="H41" s="262" t="str">
        <f t="shared" si="29"/>
        <v>-</v>
      </c>
      <c r="I41" s="262" t="str">
        <f>IFERROR(IF(G41="y",IF(H41&lt;&gt;"-",H41,INDEX(Raw_Data,MATCH($A41,Look_Up2,0),MATCH(I$4,Component,0))/1000*(1+'Raw Data'!$H$13)),(INDEX(Raw_Data,MATCH($A41,Look_Up2,0),MATCH(I$4,Component,0))/1000)),"-")</f>
        <v>-</v>
      </c>
      <c r="J41" s="362"/>
      <c r="K41" s="362"/>
      <c r="L41" s="362"/>
      <c r="M41" s="262" t="str">
        <f>IFERROR(I41*#REF!,"-")</f>
        <v>-</v>
      </c>
      <c r="N41" s="362"/>
      <c r="O41" s="362"/>
      <c r="P41" s="262" t="str">
        <f t="shared" si="30"/>
        <v>-</v>
      </c>
      <c r="Q41" s="362"/>
      <c r="R41" s="362"/>
      <c r="S41" s="362"/>
      <c r="T41" s="262" t="str">
        <f>IFERROR(I41*#REF!,"-")</f>
        <v>-</v>
      </c>
      <c r="U41" s="362"/>
      <c r="V41" s="362"/>
      <c r="W41" s="262" t="str">
        <f t="shared" si="31"/>
        <v>-</v>
      </c>
      <c r="X41" s="362"/>
      <c r="Y41" s="362"/>
      <c r="Z41" s="362"/>
      <c r="AA41" s="262" t="str">
        <f>IFERROR(IF(SUM(W41,#REF!,#REF!)=0,"-",SUM(W41,#REF!,#REF!)),"-")</f>
        <v>-</v>
      </c>
      <c r="AB41" s="362"/>
    </row>
    <row r="42" spans="1:39" s="17" customFormat="1" ht="14.5">
      <c r="A42" s="295" t="str">
        <f>A11</f>
        <v>TSX:ELD_2025_Tech</v>
      </c>
      <c r="B42" s="295" t="str">
        <f>B11</f>
        <v>TSX:ELD</v>
      </c>
      <c r="C42" s="296" t="str">
        <f>_xll.ciqfunctions.udf.CIQ(B42,"IQ_COMPANY_NAME")</f>
        <v>Eldorado Gold Corporation</v>
      </c>
      <c r="E42" s="22"/>
      <c r="F42" s="20"/>
      <c r="G42" s="294" t="s">
        <v>398</v>
      </c>
      <c r="H42" s="262" t="str">
        <f t="shared" si="29"/>
        <v>-</v>
      </c>
      <c r="I42" s="262">
        <f>IFERROR(IF(G42="y",IF(H42&lt;&gt;"-",H42,INDEX(Raw_Data,MATCH($A42,Look_Up2,0),MATCH(I$4,Component,0))/1000*(1+'Raw Data'!$H$13)),(INDEX(Raw_Data,MATCH($A42,Look_Up2,0),MATCH(I$4,Component,0))/1000)),"-")</f>
        <v>547.85699999999997</v>
      </c>
      <c r="J42" s="22"/>
      <c r="K42" s="363"/>
      <c r="L42" s="363"/>
      <c r="M42" s="262">
        <f>IFERROR(I42*N11,"-")</f>
        <v>438.28559999999999</v>
      </c>
      <c r="N42" s="364"/>
      <c r="O42" s="22"/>
      <c r="P42" s="262">
        <f t="shared" si="30"/>
        <v>986.1425999999999</v>
      </c>
      <c r="Q42" s="21"/>
      <c r="R42" s="365"/>
      <c r="S42" s="365"/>
      <c r="T42" s="262">
        <f>IFERROR(I42*U11,"-")</f>
        <v>821.78549999999996</v>
      </c>
      <c r="U42" s="364"/>
      <c r="V42" s="22"/>
      <c r="W42" s="262">
        <f t="shared" si="31"/>
        <v>1807.9280999999999</v>
      </c>
      <c r="X42" s="364"/>
      <c r="Y42" s="22"/>
      <c r="Z42" s="22"/>
      <c r="AA42" s="262">
        <f>IFERROR(IF(SUM(W42,X11,Y11)=0,"-",SUM(W42,X11,Y11)),"-")</f>
        <v>1903.6700999999998</v>
      </c>
      <c r="AB42" s="364"/>
      <c r="AC42" s="19"/>
      <c r="AD42" s="19"/>
    </row>
    <row r="43" spans="1:39" ht="14.5">
      <c r="A43" s="295" t="str">
        <f>A12</f>
        <v>TSX:SSRM_2025_Tech</v>
      </c>
      <c r="B43" s="295" t="str">
        <f>B12</f>
        <v>TSX:SSRM</v>
      </c>
      <c r="C43" s="590" t="str">
        <f>_xll.ciqfunctions.udf.CIQ(B43,"IQ_COMPANY_NAME")</f>
        <v>SSR Mining Inc.</v>
      </c>
      <c r="G43" s="294" t="s">
        <v>398</v>
      </c>
      <c r="H43" s="262" t="str">
        <f t="shared" si="29"/>
        <v>-</v>
      </c>
      <c r="I43" s="262">
        <f>IFERROR(IF(G43="y",IF(H43&lt;&gt;"-",H43,INDEX(Raw_Data,MATCH($A43,Look_Up2,0),MATCH(I$4,Component,0))/1000*(1+'Raw Data'!$H$13)),(INDEX(Raw_Data,MATCH($A43,Look_Up2,0),MATCH(I$4,Component,0))/1000)),"-")</f>
        <v>705.29301499999997</v>
      </c>
      <c r="J43" s="366"/>
      <c r="K43" s="366"/>
      <c r="L43" s="366"/>
      <c r="M43" s="262">
        <f>IFERROR(I43*N12,"-")</f>
        <v>528.96976124999992</v>
      </c>
      <c r="N43" s="362"/>
      <c r="O43" s="366"/>
      <c r="P43" s="262">
        <f t="shared" si="30"/>
        <v>1234.2627762499999</v>
      </c>
      <c r="Q43" s="366"/>
      <c r="R43" s="366"/>
      <c r="S43" s="366"/>
      <c r="T43" s="262">
        <f>IFERROR(I43*U12,"-")</f>
        <v>1234.2627762499999</v>
      </c>
      <c r="U43" s="362"/>
      <c r="V43" s="366"/>
      <c r="W43" s="262">
        <f t="shared" si="31"/>
        <v>2468.5255524999998</v>
      </c>
      <c r="X43" s="362"/>
      <c r="Y43" s="366"/>
      <c r="Z43" s="366"/>
      <c r="AA43" s="262">
        <f>IFERROR(IF(SUM(W43,X12,Y12)=0,"-",SUM(W43,X12,Y12)),"-")</f>
        <v>2531.2207492999996</v>
      </c>
      <c r="AB43" s="362"/>
    </row>
    <row r="44" spans="1:39" ht="14.5">
      <c r="A44" s="295" t="e">
        <f>#REF!</f>
        <v>#REF!</v>
      </c>
      <c r="B44" s="295" t="e">
        <f>#REF!</f>
        <v>#REF!</v>
      </c>
      <c r="C44" s="590" t="str">
        <f>_xll.ciqfunctions.udf.CIQ(B44,"IQ_COMPANY_NAME")</f>
        <v>#NA</v>
      </c>
      <c r="G44" s="294" t="s">
        <v>398</v>
      </c>
      <c r="H44" s="262" t="str">
        <f t="shared" si="29"/>
        <v>-</v>
      </c>
      <c r="I44" s="262" t="str">
        <f>IFERROR(IF(G44="y",IF(H44&lt;&gt;"-",H44,INDEX(Raw_Data,MATCH($A44,Look_Up2,0),MATCH(I$4,Component,0))/1000*(1+'Raw Data'!$H$13)),(INDEX(Raw_Data,MATCH($A44,Look_Up2,0),MATCH(I$4,Component,0))/1000)),"-")</f>
        <v>-</v>
      </c>
      <c r="J44" s="362"/>
      <c r="K44" s="362"/>
      <c r="L44" s="362"/>
      <c r="M44" s="262" t="str">
        <f>IFERROR(I44*#REF!,"-")</f>
        <v>-</v>
      </c>
      <c r="N44" s="362"/>
      <c r="O44" s="362"/>
      <c r="P44" s="262" t="str">
        <f t="shared" si="30"/>
        <v>-</v>
      </c>
      <c r="Q44" s="362"/>
      <c r="R44" s="362"/>
      <c r="S44" s="362"/>
      <c r="T44" s="262" t="str">
        <f>IFERROR(I44*#REF!,"-")</f>
        <v>-</v>
      </c>
      <c r="U44" s="362"/>
      <c r="V44" s="362"/>
      <c r="W44" s="262" t="str">
        <f t="shared" si="31"/>
        <v>-</v>
      </c>
      <c r="X44" s="362"/>
      <c r="Y44" s="362"/>
      <c r="Z44" s="362"/>
      <c r="AA44" s="262" t="str">
        <f>IFERROR(IF(SUM(W44,#REF!,#REF!)=0,"-",SUM(W44,#REF!,#REF!)),"-")</f>
        <v>-</v>
      </c>
      <c r="AB44" s="362"/>
    </row>
    <row r="45" spans="1:39" ht="14.5">
      <c r="A45" s="295" t="str">
        <f t="shared" ref="A45:B47" si="32">A13</f>
        <v>TSX:BTO_2025_Tech</v>
      </c>
      <c r="B45" s="295" t="str">
        <f t="shared" si="32"/>
        <v>TSX:BTO</v>
      </c>
      <c r="C45" s="296" t="str">
        <f>_xll.ciqfunctions.udf.CIQ(B45,"IQ_COMPANY_NAME")</f>
        <v>B2Gold Corp.</v>
      </c>
      <c r="G45" s="294" t="s">
        <v>398</v>
      </c>
      <c r="H45" s="262" t="str">
        <f t="shared" si="29"/>
        <v>-</v>
      </c>
      <c r="I45" s="262">
        <f>IFERROR(IF(G45="y",IF(H45&lt;&gt;"-",H45,INDEX(Raw_Data,MATCH($A45,Look_Up2,0),MATCH(I$4,Component,0))/1000*(1+'Raw Data'!$H$13)),(INDEX(Raw_Data,MATCH($A45,Look_Up2,0),MATCH(I$4,Component,0))/1000)),"-")</f>
        <v>630.44559300000003</v>
      </c>
      <c r="J45" s="362"/>
      <c r="K45" s="362"/>
      <c r="L45" s="362"/>
      <c r="M45" s="262">
        <f>IFERROR(I45*N13,"-")</f>
        <v>472.83419475000005</v>
      </c>
      <c r="N45" s="362"/>
      <c r="O45" s="362"/>
      <c r="P45" s="262">
        <f t="shared" si="30"/>
        <v>1103.2797877500002</v>
      </c>
      <c r="Q45" s="362"/>
      <c r="R45" s="362"/>
      <c r="S45" s="362"/>
      <c r="T45" s="262">
        <f>IFERROR(I45*U13,"-")</f>
        <v>1653.0811218743331</v>
      </c>
      <c r="U45" s="362"/>
      <c r="V45" s="362"/>
      <c r="W45" s="262">
        <f t="shared" si="31"/>
        <v>2756.3609096243335</v>
      </c>
      <c r="X45" s="362"/>
      <c r="Y45" s="362"/>
      <c r="Z45" s="362"/>
      <c r="AA45" s="262">
        <f>IFERROR(IF(SUM(W45,X13,Y13)=0,"-",SUM(W45,X13,Y13)),"-")</f>
        <v>2763.6751629243336</v>
      </c>
      <c r="AB45" s="362"/>
    </row>
    <row r="46" spans="1:39" ht="14.5">
      <c r="A46" s="295" t="str">
        <f t="shared" si="32"/>
        <v>TSX:OGC_2025_Tech</v>
      </c>
      <c r="B46" s="295" t="str">
        <f t="shared" si="32"/>
        <v>TSX:OGC</v>
      </c>
      <c r="C46" s="296" t="str">
        <f>_xll.ciqfunctions.udf.CIQ(B46,"IQ_COMPANY_NAME")</f>
        <v>OceanaGold Corporation</v>
      </c>
      <c r="G46" s="294" t="s">
        <v>398</v>
      </c>
      <c r="H46" s="262" t="str">
        <f t="shared" si="29"/>
        <v>-</v>
      </c>
      <c r="I46" s="262">
        <f>IFERROR(IF(G46="y",IF(H46&lt;&gt;"-",H46,INDEX(Raw_Data,MATCH($A46,Look_Up2,0),MATCH(I$4,Component,0))/1000*(1+'Raw Data'!$H$13)),(INDEX(Raw_Data,MATCH($A46,Look_Up2,0),MATCH(I$4,Component,0))/1000)),"-")</f>
        <v>502.9012677915</v>
      </c>
      <c r="J46" s="362"/>
      <c r="K46" s="362"/>
      <c r="L46" s="362"/>
      <c r="M46" s="262">
        <f>IFERROR(I46*N14,"-")</f>
        <v>301.7407606749</v>
      </c>
      <c r="N46" s="362"/>
      <c r="O46" s="362"/>
      <c r="P46" s="262">
        <f t="shared" si="30"/>
        <v>804.64202846640001</v>
      </c>
      <c r="Q46" s="362"/>
      <c r="R46" s="362"/>
      <c r="S46" s="362"/>
      <c r="T46" s="262">
        <f>IFERROR(I46*U14,"-")</f>
        <v>1314.4014263757824</v>
      </c>
      <c r="U46" s="362"/>
      <c r="V46" s="362"/>
      <c r="W46" s="262">
        <f t="shared" si="31"/>
        <v>2119.0434548421827</v>
      </c>
      <c r="X46" s="362"/>
      <c r="Y46" s="362"/>
      <c r="Z46" s="362"/>
      <c r="AA46" s="262">
        <f>IFERROR(IF(SUM(W46,X14,Y14)=0,"-",SUM(W46,X14,Y14)),"-")</f>
        <v>2153.9657303421827</v>
      </c>
      <c r="AB46" s="362"/>
    </row>
    <row r="47" spans="1:39" ht="14.5">
      <c r="A47" s="295" t="str">
        <f t="shared" si="32"/>
        <v>TSX:CG_2025_Tech</v>
      </c>
      <c r="B47" s="295" t="str">
        <f t="shared" si="32"/>
        <v>TSX:CG</v>
      </c>
      <c r="C47" s="296" t="str">
        <f>_xll.ciqfunctions.udf.CIQ(B47,"IQ_COMPANY_NAME")</f>
        <v>Centerra Gold Inc.</v>
      </c>
      <c r="G47" s="294" t="s">
        <v>398</v>
      </c>
      <c r="H47" s="262" t="str">
        <f t="shared" si="29"/>
        <v>-</v>
      </c>
      <c r="I47" s="262">
        <f>IFERROR(IF(G47="y",IF(H47&lt;&gt;"-",H47,INDEX(Raw_Data,MATCH($A47,Look_Up2,0),MATCH(I$4,Component,0))/1000*(1+'Raw Data'!$H$13)),(INDEX(Raw_Data,MATCH($A47,Look_Up2,0),MATCH(I$4,Component,0))/1000)),"-")</f>
        <v>478.95</v>
      </c>
      <c r="J47" s="362"/>
      <c r="K47" s="362"/>
      <c r="L47" s="362"/>
      <c r="M47" s="262">
        <f>IFERROR(I47*N15,"-")</f>
        <v>311.3175</v>
      </c>
      <c r="N47" s="362"/>
      <c r="O47" s="362"/>
      <c r="P47" s="262">
        <f t="shared" si="30"/>
        <v>790.26749999999993</v>
      </c>
      <c r="Q47" s="362"/>
      <c r="R47" s="362"/>
      <c r="S47" s="362"/>
      <c r="T47" s="262">
        <f>IFERROR(I47*U15,"-")</f>
        <v>766.32</v>
      </c>
      <c r="U47" s="362"/>
      <c r="V47" s="362"/>
      <c r="W47" s="262">
        <f t="shared" si="31"/>
        <v>1556.5875000000001</v>
      </c>
      <c r="X47" s="362"/>
      <c r="Y47" s="362"/>
      <c r="Z47" s="362"/>
      <c r="AA47" s="262">
        <f>IFERROR(IF(SUM(W47,X15,Y15)=0,"-",SUM(W47,X15,Y15)),"-")</f>
        <v>1702.0315000000001</v>
      </c>
      <c r="AB47" s="362"/>
    </row>
    <row r="48" spans="1:39" ht="14.5">
      <c r="A48" s="295" t="e">
        <f>#REF!</f>
        <v>#REF!</v>
      </c>
      <c r="B48" s="295" t="e">
        <f>#REF!</f>
        <v>#REF!</v>
      </c>
      <c r="C48" s="296" t="str">
        <f>_xll.ciqfunctions.udf.CIQ(B48,"IQ_COMPANY_NAME")</f>
        <v>#NA</v>
      </c>
      <c r="G48" s="294" t="s">
        <v>398</v>
      </c>
      <c r="H48" s="262" t="str">
        <f t="shared" si="29"/>
        <v>-</v>
      </c>
      <c r="I48" s="262" t="str">
        <f>IFERROR(IF(G48="y",IF(H48&lt;&gt;"-",H48,INDEX(Raw_Data,MATCH($A48,Look_Up2,0),MATCH(I$4,Component,0))/1000*(1+'Raw Data'!$H$13)),(INDEX(Raw_Data,MATCH($A48,Look_Up2,0),MATCH(I$4,Component,0))/1000)),"-")</f>
        <v>-</v>
      </c>
      <c r="J48" s="362"/>
      <c r="K48" s="362"/>
      <c r="L48" s="362"/>
      <c r="M48" s="262" t="str">
        <f>IFERROR(I48*#REF!,"-")</f>
        <v>-</v>
      </c>
      <c r="N48" s="362"/>
      <c r="O48" s="362"/>
      <c r="P48" s="262" t="str">
        <f t="shared" si="30"/>
        <v>-</v>
      </c>
      <c r="Q48" s="362"/>
      <c r="R48" s="362"/>
      <c r="S48" s="362"/>
      <c r="T48" s="262" t="str">
        <f>IFERROR(I48*#REF!,"-")</f>
        <v>-</v>
      </c>
      <c r="U48" s="362"/>
      <c r="V48" s="362"/>
      <c r="W48" s="262" t="str">
        <f t="shared" si="31"/>
        <v>-</v>
      </c>
      <c r="X48" s="362"/>
      <c r="Y48" s="362"/>
      <c r="Z48" s="362"/>
      <c r="AA48" s="262" t="str">
        <f>IFERROR(IF(SUM(W48,#REF!,#REF!)=0,"-",SUM(W48,#REF!,#REF!)),"-")</f>
        <v>-</v>
      </c>
      <c r="AB48" s="362"/>
    </row>
    <row r="49" spans="1:28" ht="14.5">
      <c r="A49" s="295" t="e">
        <f>#REF!</f>
        <v>#REF!</v>
      </c>
      <c r="B49" s="295" t="e">
        <f>#REF!</f>
        <v>#REF!</v>
      </c>
      <c r="C49" s="296" t="str">
        <f>_xll.ciqfunctions.udf.CIQ(B49,"IQ_COMPANY_NAME")</f>
        <v>#NA</v>
      </c>
      <c r="G49" s="294" t="s">
        <v>398</v>
      </c>
      <c r="H49" s="262" t="str">
        <f t="shared" si="29"/>
        <v>-</v>
      </c>
      <c r="I49" s="262" t="str">
        <f>IFERROR(IF(G49="y",IF(H49&lt;&gt;"-",H49,INDEX(Raw_Data,MATCH($A49,Look_Up2,0),MATCH(I$4,Component,0))/1000*(1+'Raw Data'!$H$13)),(INDEX(Raw_Data,MATCH($A49,Look_Up2,0),MATCH(I$4,Component,0))/1000)),"-")</f>
        <v>-</v>
      </c>
      <c r="J49" s="362"/>
      <c r="K49" s="362"/>
      <c r="L49" s="362"/>
      <c r="M49" s="262" t="str">
        <f>IFERROR(I49*#REF!,"-")</f>
        <v>-</v>
      </c>
      <c r="N49" s="362"/>
      <c r="O49" s="362"/>
      <c r="P49" s="262" t="str">
        <f t="shared" si="30"/>
        <v>-</v>
      </c>
      <c r="Q49" s="362"/>
      <c r="R49" s="362"/>
      <c r="S49" s="362"/>
      <c r="T49" s="262" t="str">
        <f>IFERROR(I49*#REF!,"-")</f>
        <v>-</v>
      </c>
      <c r="U49" s="362"/>
      <c r="V49" s="362"/>
      <c r="W49" s="262" t="str">
        <f t="shared" si="31"/>
        <v>-</v>
      </c>
      <c r="X49" s="362"/>
      <c r="Y49" s="362"/>
      <c r="Z49" s="362"/>
      <c r="AA49" s="262" t="str">
        <f>IFERROR(IF(SUM(W49,#REF!,#REF!)=0,"-",SUM(W49,#REF!,#REF!)),"-")</f>
        <v>-</v>
      </c>
      <c r="AB49" s="362"/>
    </row>
    <row r="50" spans="1:28" ht="14.5">
      <c r="A50" s="295" t="e">
        <f>#REF!</f>
        <v>#REF!</v>
      </c>
      <c r="B50" s="295" t="e">
        <f>#REF!</f>
        <v>#REF!</v>
      </c>
      <c r="C50" s="296" t="str">
        <f>_xll.ciqfunctions.udf.CIQ(B50,"IQ_COMPANY_NAME")</f>
        <v>#NA</v>
      </c>
      <c r="G50" s="294" t="s">
        <v>398</v>
      </c>
      <c r="H50" s="262" t="str">
        <f t="shared" si="29"/>
        <v>-</v>
      </c>
      <c r="I50" s="262" t="str">
        <f>IFERROR(IF(G50="y",IF(H50&lt;&gt;"-",H50,INDEX(Raw_Data,MATCH($A50,Look_Up2,0),MATCH(I$4,Component,0))/1000*(1+'Raw Data'!$H$13)),(INDEX(Raw_Data,MATCH($A50,Look_Up2,0),MATCH(I$4,Component,0))/1000)),"-")</f>
        <v>-</v>
      </c>
      <c r="J50" s="362"/>
      <c r="K50" s="362"/>
      <c r="L50" s="362"/>
      <c r="M50" s="262" t="str">
        <f>IFERROR(I50*#REF!,"-")</f>
        <v>-</v>
      </c>
      <c r="N50" s="362"/>
      <c r="O50" s="362"/>
      <c r="P50" s="262" t="str">
        <f t="shared" si="30"/>
        <v>-</v>
      </c>
      <c r="Q50" s="362"/>
      <c r="R50" s="362"/>
      <c r="S50" s="362"/>
      <c r="T50" s="262" t="str">
        <f>IFERROR(I50*#REF!,"-")</f>
        <v>-</v>
      </c>
      <c r="U50" s="362"/>
      <c r="V50" s="362"/>
      <c r="W50" s="262" t="str">
        <f t="shared" si="31"/>
        <v>-</v>
      </c>
      <c r="X50" s="362"/>
      <c r="Y50" s="362"/>
      <c r="Z50" s="362"/>
      <c r="AA50" s="262" t="str">
        <f>IFERROR(IF(SUM(W50,#REF!,#REF!)=0,"-",SUM(W50,#REF!,#REF!)),"-")</f>
        <v>-</v>
      </c>
      <c r="AB50" s="362"/>
    </row>
    <row r="51" spans="1:28" ht="14.5">
      <c r="A51" s="295" t="e">
        <f>#REF!</f>
        <v>#REF!</v>
      </c>
      <c r="B51" s="295" t="e">
        <f>#REF!</f>
        <v>#REF!</v>
      </c>
      <c r="C51" s="296" t="str">
        <f>_xll.ciqfunctions.udf.CIQ(B51,"IQ_COMPANY_NAME")</f>
        <v>#NA</v>
      </c>
      <c r="G51" s="294" t="s">
        <v>398</v>
      </c>
      <c r="H51" s="262" t="str">
        <f t="shared" si="29"/>
        <v>-</v>
      </c>
      <c r="I51" s="262" t="str">
        <f>IFERROR(IF(G51="y",IF(H51&lt;&gt;"-",H51,INDEX(Raw_Data,MATCH($A51,Look_Up2,0),MATCH(I$4,Component,0))/1000*(1+'Raw Data'!$H$13)),(INDEX(Raw_Data,MATCH($A51,Look_Up2,0),MATCH(I$4,Component,0))/1000)),"-")</f>
        <v>-</v>
      </c>
      <c r="J51" s="362"/>
      <c r="K51" s="362"/>
      <c r="L51" s="362"/>
      <c r="M51" s="262" t="str">
        <f>IFERROR(I51*#REF!,"-")</f>
        <v>-</v>
      </c>
      <c r="N51" s="362"/>
      <c r="O51" s="362"/>
      <c r="P51" s="262" t="str">
        <f t="shared" si="30"/>
        <v>-</v>
      </c>
      <c r="Q51" s="362"/>
      <c r="R51" s="362"/>
      <c r="S51" s="362"/>
      <c r="T51" s="262" t="str">
        <f>IFERROR(I51*#REF!,"-")</f>
        <v>-</v>
      </c>
      <c r="U51" s="362"/>
      <c r="V51" s="362"/>
      <c r="W51" s="262" t="str">
        <f t="shared" si="31"/>
        <v>-</v>
      </c>
      <c r="X51" s="362"/>
      <c r="Y51" s="362"/>
      <c r="Z51" s="362"/>
      <c r="AA51" s="262" t="str">
        <f>IFERROR(IF(SUM(W51,#REF!,#REF!)=0,"-",SUM(W51,#REF!,#REF!)),"-")</f>
        <v>-</v>
      </c>
      <c r="AB51" s="362"/>
    </row>
    <row r="52" spans="1:28" ht="14.5">
      <c r="A52" s="295" t="e">
        <f>#REF!</f>
        <v>#REF!</v>
      </c>
      <c r="B52" s="295" t="e">
        <f>#REF!</f>
        <v>#REF!</v>
      </c>
      <c r="C52" s="296" t="str">
        <f>_xll.ciqfunctions.udf.CIQ(B52,"IQ_COMPANY_NAME")</f>
        <v>#NA</v>
      </c>
      <c r="G52" s="294" t="s">
        <v>398</v>
      </c>
      <c r="H52" s="262" t="str">
        <f t="shared" si="29"/>
        <v>-</v>
      </c>
      <c r="I52" s="262" t="str">
        <f>IFERROR(IF(G52="y",IF(H52&lt;&gt;"-",H52,INDEX(Raw_Data,MATCH($A52,Look_Up2,0),MATCH(I$4,Component,0))/1000*(1+'Raw Data'!$H$13)),(INDEX(Raw_Data,MATCH($A52,Look_Up2,0),MATCH(I$4,Component,0))/1000)),"-")</f>
        <v>-</v>
      </c>
      <c r="J52" s="362"/>
      <c r="K52" s="362"/>
      <c r="L52" s="362"/>
      <c r="M52" s="262" t="str">
        <f>IFERROR(I52*#REF!,"-")</f>
        <v>-</v>
      </c>
      <c r="N52" s="362"/>
      <c r="O52" s="362"/>
      <c r="P52" s="262" t="str">
        <f t="shared" si="30"/>
        <v>-</v>
      </c>
      <c r="Q52" s="362"/>
      <c r="R52" s="362"/>
      <c r="S52" s="362"/>
      <c r="T52" s="262" t="str">
        <f>IFERROR(I52*#REF!,"-")</f>
        <v>-</v>
      </c>
      <c r="U52" s="362"/>
      <c r="V52" s="362"/>
      <c r="W52" s="262" t="str">
        <f t="shared" si="31"/>
        <v>-</v>
      </c>
      <c r="X52" s="362"/>
      <c r="Y52" s="362"/>
      <c r="Z52" s="362"/>
      <c r="AA52" s="262" t="str">
        <f>IFERROR(IF(SUM(W52,#REF!,#REF!)=0,"-",SUM(W52,#REF!,#REF!)),"-")</f>
        <v>-</v>
      </c>
      <c r="AB52" s="362"/>
    </row>
    <row r="53" spans="1:28" ht="14.5">
      <c r="A53" s="295" t="e">
        <f>#REF!</f>
        <v>#REF!</v>
      </c>
      <c r="B53" s="295" t="e">
        <f>#REF!</f>
        <v>#REF!</v>
      </c>
      <c r="C53" s="296" t="str">
        <f>_xll.ciqfunctions.udf.CIQ(B53,"IQ_COMPANY_NAME")</f>
        <v>#NA</v>
      </c>
      <c r="G53" s="294" t="s">
        <v>398</v>
      </c>
      <c r="H53" s="262" t="str">
        <f t="shared" si="29"/>
        <v>-</v>
      </c>
      <c r="I53" s="262" t="str">
        <f>IFERROR(IF(G53="y",IF(H53&lt;&gt;"-",H53,INDEX(Raw_Data,MATCH($A53,Look_Up2,0),MATCH(I$4,Component,0))/1000*(1+'Raw Data'!$H$13)),(INDEX(Raw_Data,MATCH($A53,Look_Up2,0),MATCH(I$4,Component,0))/1000)),"-")</f>
        <v>-</v>
      </c>
      <c r="J53" s="362"/>
      <c r="K53" s="362"/>
      <c r="L53" s="362"/>
      <c r="M53" s="262" t="str">
        <f>IFERROR(I53*#REF!,"-")</f>
        <v>-</v>
      </c>
      <c r="N53" s="362"/>
      <c r="O53" s="362"/>
      <c r="P53" s="262" t="str">
        <f t="shared" si="30"/>
        <v>-</v>
      </c>
      <c r="Q53" s="362"/>
      <c r="R53" s="362"/>
      <c r="S53" s="362"/>
      <c r="T53" s="262" t="str">
        <f>IFERROR(I53*#REF!,"-")</f>
        <v>-</v>
      </c>
      <c r="U53" s="362"/>
      <c r="V53" s="362"/>
      <c r="W53" s="262" t="str">
        <f t="shared" si="31"/>
        <v>-</v>
      </c>
      <c r="X53" s="362"/>
      <c r="Y53" s="362"/>
      <c r="Z53" s="362"/>
      <c r="AA53" s="262" t="str">
        <f>IFERROR(IF(SUM(W53,#REF!,#REF!)=0,"-",SUM(W53,#REF!,#REF!)),"-")</f>
        <v>-</v>
      </c>
      <c r="AB53" s="362"/>
    </row>
    <row r="54" spans="1:28" ht="14.5">
      <c r="A54" s="295" t="e">
        <f>#REF!</f>
        <v>#REF!</v>
      </c>
      <c r="B54" s="295" t="e">
        <f>#REF!</f>
        <v>#REF!</v>
      </c>
      <c r="C54" s="296" t="str">
        <f>_xll.ciqfunctions.udf.CIQ(B54,"IQ_COMPANY_NAME")</f>
        <v>#NA</v>
      </c>
      <c r="G54" s="294" t="s">
        <v>398</v>
      </c>
      <c r="H54" s="304" t="str">
        <f t="shared" si="29"/>
        <v>-</v>
      </c>
      <c r="I54" s="262" t="str">
        <f>IFERROR(IF(G54="y",IF(H54&lt;&gt;"-",H54,INDEX(Raw_Data,MATCH($A54,Look_Up2,0),MATCH(I$4,Component,0))/1000*(1+'Raw Data'!$H$13)),(INDEX(Raw_Data,MATCH($A54,Look_Up2,0),MATCH(I$4,Component,0))/1000)),"-")</f>
        <v>-</v>
      </c>
      <c r="J54" s="362"/>
      <c r="K54" s="362"/>
      <c r="L54" s="362"/>
      <c r="M54" s="262" t="str">
        <f>IFERROR(I54*#REF!,"-")</f>
        <v>-</v>
      </c>
      <c r="N54" s="362"/>
      <c r="O54" s="362"/>
      <c r="P54" s="304" t="str">
        <f t="shared" si="30"/>
        <v>-</v>
      </c>
      <c r="Q54" s="362"/>
      <c r="R54" s="362"/>
      <c r="S54" s="362"/>
      <c r="T54" s="262" t="str">
        <f>IFERROR(I54*#REF!,"-")</f>
        <v>-</v>
      </c>
      <c r="U54" s="362"/>
      <c r="V54" s="362"/>
      <c r="W54" s="304" t="str">
        <f t="shared" si="31"/>
        <v>-</v>
      </c>
      <c r="X54" s="362"/>
      <c r="Y54" s="362"/>
      <c r="Z54" s="362"/>
      <c r="AA54" s="304" t="str">
        <f>IFERROR(IF(SUM(W54,#REF!,#REF!)=0,"-",SUM(W54,#REF!,#REF!)),"-")</f>
        <v>-</v>
      </c>
      <c r="AB54" s="362"/>
    </row>
    <row r="55" spans="1:28" ht="14.5">
      <c r="A55" s="15"/>
      <c r="B55" s="15"/>
      <c r="I55" s="288"/>
      <c r="M55" s="288"/>
      <c r="P55" s="288"/>
      <c r="T55" s="288"/>
      <c r="W55" s="288"/>
      <c r="AA55" s="288"/>
    </row>
    <row r="56" spans="1:28" ht="14.5">
      <c r="A56" s="15"/>
      <c r="B56" s="15"/>
      <c r="I56" s="262">
        <f>PERCENTILE(I$35:I$54,$B17)</f>
        <v>603.71307322500013</v>
      </c>
      <c r="M56" s="262">
        <f>PERCENTILE(M$35:M$54,$B17)</f>
        <v>446.92274868750002</v>
      </c>
      <c r="P56" s="262">
        <f>PERCENTILE(P$35:P$54,$B17)</f>
        <v>1015.4268969375</v>
      </c>
      <c r="T56" s="262">
        <f>PERCENTILE(T$35:T$54,$B17)</f>
        <v>1254.2974387814456</v>
      </c>
      <c r="W56" s="262">
        <f>PERCENTILE(W$35:W$54,$B17)</f>
        <v>2206.413979256637</v>
      </c>
      <c r="AA56" s="262">
        <f>PERCENTILE(AA$35:AA$54,$B17)</f>
        <v>2248.2794850816372</v>
      </c>
    </row>
    <row r="57" spans="1:28" ht="14.5">
      <c r="A57" s="15"/>
      <c r="B57" s="15"/>
      <c r="I57" s="266">
        <f>PERCENTILE(I$35:I$54,$B18)</f>
        <v>533.01573000000008</v>
      </c>
      <c r="M57" s="266">
        <f>PERCENTILE(M$35:M$54,$B18)</f>
        <v>361.90362225922502</v>
      </c>
      <c r="P57" s="266">
        <f>PERCENTILE(P$35:P$54,$B18)</f>
        <v>899.50432747500008</v>
      </c>
      <c r="T57" s="266">
        <f>PERCENTILE(T$35:T$54,$B18)</f>
        <v>903.15848700000004</v>
      </c>
      <c r="W57" s="266">
        <f>PERCENTILE(W$35:W$54,$B18)</f>
        <v>1849.6324395000001</v>
      </c>
      <c r="AA57" s="266">
        <f>PERCENTILE(AA$35:AA$54,$B18)</f>
        <v>1936.2463433</v>
      </c>
    </row>
    <row r="58" spans="1:28" ht="14.5">
      <c r="A58" s="15"/>
      <c r="B58" s="15"/>
      <c r="I58" s="262">
        <f>PERCENTILE(I$35:I$54,$B19)</f>
        <v>496.91345084362501</v>
      </c>
      <c r="M58" s="262">
        <f>PERCENTILE(M$35:M$54,$B19)</f>
        <v>308.92331516872503</v>
      </c>
      <c r="P58" s="262">
        <f>PERCENTILE(P$35:P$54,$B19)</f>
        <v>811.66037766806267</v>
      </c>
      <c r="T58" s="262">
        <f>PERCENTILE(T$35:T$54,$B19)</f>
        <v>747.55114020452083</v>
      </c>
      <c r="W58" s="262">
        <f>PERCENTILE(W$35:W$54,$B19)</f>
        <v>1543.7517220550085</v>
      </c>
      <c r="AA58" s="262">
        <f>PERCENTILE(AA$35:AA$54,$B19)</f>
        <v>1682.5808427550085</v>
      </c>
    </row>
    <row r="59" spans="1:28" ht="14.5">
      <c r="A59" s="15"/>
      <c r="B59" s="15"/>
      <c r="I59" s="270">
        <f>AVERAGE(I35:I54)</f>
        <v>557.155874621875</v>
      </c>
      <c r="M59" s="270">
        <f>AVERAGE(M35:M54)</f>
        <v>384.29452223041881</v>
      </c>
      <c r="P59" s="270">
        <f>AVERAGE(P35:P54)</f>
        <v>941.45039685229381</v>
      </c>
      <c r="T59" s="270">
        <f>AVERAGE(T35:T54)</f>
        <v>988.96606678664989</v>
      </c>
      <c r="W59" s="270">
        <f>AVERAGE(W35:W54)</f>
        <v>1930.4164636389439</v>
      </c>
      <c r="AA59" s="270">
        <f>AVERAGE(AA35:AA54)</f>
        <v>2004.7019491201936</v>
      </c>
    </row>
    <row r="60" spans="1:28">
      <c r="A60" s="15"/>
      <c r="B60" s="15"/>
    </row>
  </sheetData>
  <mergeCells count="11">
    <mergeCell ref="H6:H7"/>
    <mergeCell ref="C6:C7"/>
    <mergeCell ref="D6:D7"/>
    <mergeCell ref="E6:E7"/>
    <mergeCell ref="F6:F7"/>
    <mergeCell ref="G6:G7"/>
    <mergeCell ref="AL31:AM37"/>
    <mergeCell ref="I6:I7"/>
    <mergeCell ref="X6:X7"/>
    <mergeCell ref="Y6:Y7"/>
    <mergeCell ref="Z6:AA6"/>
  </mergeCells>
  <conditionalFormatting sqref="C17:W20 C22:W25">
    <cfRule type="expression" dxfId="69" priority="2">
      <formula>MOD(ROW(),2)=0</formula>
    </cfRule>
  </conditionalFormatting>
  <conditionalFormatting sqref="C9:AA15">
    <cfRule type="expression" dxfId="68" priority="1">
      <formula>MOD(ROW(),2)=0</formula>
    </cfRule>
  </conditionalFormatting>
  <conditionalFormatting sqref="H35:I54">
    <cfRule type="expression" dxfId="67" priority="94">
      <formula>MOD(ROW(),2)=0</formula>
    </cfRule>
  </conditionalFormatting>
  <conditionalFormatting sqref="I56:I59">
    <cfRule type="expression" dxfId="66" priority="99">
      <formula>MOD(ROW(),2)=0</formula>
    </cfRule>
  </conditionalFormatting>
  <conditionalFormatting sqref="M35:M54">
    <cfRule type="expression" dxfId="65" priority="102">
      <formula>MOD(ROW(),2)=0</formula>
    </cfRule>
  </conditionalFormatting>
  <conditionalFormatting sqref="M56:M59">
    <cfRule type="expression" dxfId="64" priority="98">
      <formula>MOD(ROW(),2)=0</formula>
    </cfRule>
  </conditionalFormatting>
  <conditionalFormatting sqref="P35:P54">
    <cfRule type="expression" dxfId="63" priority="101">
      <formula>MOD(ROW(),2)=0</formula>
    </cfRule>
  </conditionalFormatting>
  <conditionalFormatting sqref="P56:P59">
    <cfRule type="expression" dxfId="62" priority="97">
      <formula>MOD(ROW(),2)=0</formula>
    </cfRule>
  </conditionalFormatting>
  <conditionalFormatting sqref="T35:T54">
    <cfRule type="expression" dxfId="61" priority="100">
      <formula>MOD(ROW(),2)=0</formula>
    </cfRule>
  </conditionalFormatting>
  <conditionalFormatting sqref="T56:T59">
    <cfRule type="expression" dxfId="60" priority="96">
      <formula>MOD(ROW(),2)=0</formula>
    </cfRule>
  </conditionalFormatting>
  <conditionalFormatting sqref="W35:W54">
    <cfRule type="expression" dxfId="59" priority="92">
      <formula>MOD(ROW(),2)=0</formula>
    </cfRule>
  </conditionalFormatting>
  <conditionalFormatting sqref="W56:W59">
    <cfRule type="expression" dxfId="58" priority="95">
      <formula>MOD(ROW(),2)=0</formula>
    </cfRule>
  </conditionalFormatting>
  <conditionalFormatting sqref="X17:AA25">
    <cfRule type="expression" dxfId="57" priority="22">
      <formula>MOD(ROW(),2)=0</formula>
    </cfRule>
  </conditionalFormatting>
  <conditionalFormatting sqref="AA35:AA54">
    <cfRule type="expression" dxfId="56" priority="89">
      <formula>MOD(ROW(),2)=0</formula>
    </cfRule>
  </conditionalFormatting>
  <conditionalFormatting sqref="AA56:AA59">
    <cfRule type="expression" dxfId="55" priority="90">
      <formula>MOD(ROW(),2)=0</formula>
    </cfRule>
  </conditionalFormatting>
  <conditionalFormatting sqref="AC9:AD15">
    <cfRule type="expression" dxfId="54" priority="4">
      <formula>MOD(ROW(),2)=0</formula>
    </cfRule>
  </conditionalFormatting>
  <conditionalFormatting sqref="AC17:AD25">
    <cfRule type="expression" dxfId="53" priority="23">
      <formula>MOD(ROW(),2)=0</formula>
    </cfRule>
  </conditionalFormatting>
  <conditionalFormatting sqref="AI9:AJ15">
    <cfRule type="expression" dxfId="52" priority="17">
      <formula>MOD(ROW(),2)=0</formula>
    </cfRule>
  </conditionalFormatting>
  <dataValidations disablePrompts="1" count="1">
    <dataValidation type="list" allowBlank="1" showInputMessage="1" showErrorMessage="1" sqref="G35:G54" xr:uid="{47D57F15-0303-42BB-AEE5-06CC4E445BF9}">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F5143-2A64-407B-AA56-13DBA2D69D0A}">
  <sheetPr>
    <tabColor theme="2" tint="0.749992370372631"/>
    <pageSetUpPr fitToPage="1"/>
  </sheetPr>
  <dimension ref="A1:AW60"/>
  <sheetViews>
    <sheetView showGridLines="0" zoomScale="85" zoomScaleNormal="85" workbookViewId="0">
      <pane xSplit="8" ySplit="7" topLeftCell="I8" activePane="bottomRight" state="frozen"/>
      <selection pane="topRight" activeCell="I1" sqref="I1"/>
      <selection pane="bottomLeft" activeCell="A8" sqref="A8"/>
      <selection pane="bottomRight" activeCell="C6" sqref="C6:W7"/>
    </sheetView>
  </sheetViews>
  <sheetFormatPr defaultColWidth="9.1796875" defaultRowHeight="14.5" outlineLevelRow="1" outlineLevelCol="3"/>
  <cols>
    <col min="1" max="1" width="12" style="12" customWidth="1"/>
    <col min="2" max="2" width="8.1796875" style="12" customWidth="1"/>
    <col min="3" max="3" width="15.81640625" style="12" customWidth="1"/>
    <col min="4" max="5" width="14.453125" style="12" hidden="1" customWidth="1" outlineLevel="1"/>
    <col min="6" max="6" width="14.7265625" style="647" customWidth="1" outlineLevel="1"/>
    <col min="7" max="7" width="15.81640625" style="647" customWidth="1"/>
    <col min="8" max="8" width="13.26953125" style="12" hidden="1" customWidth="1" outlineLevel="1"/>
    <col min="9" max="9" width="10.81640625" style="12" customWidth="1" outlineLevel="1" collapsed="1"/>
    <col min="10" max="10" width="8" style="12" hidden="1" customWidth="1" outlineLevel="2"/>
    <col min="11" max="11" width="8.54296875" style="12" hidden="1" customWidth="1" outlineLevel="2"/>
    <col min="12" max="12" width="12.453125" style="12" hidden="1" customWidth="1" outlineLevel="2"/>
    <col min="13" max="13" width="10.26953125" style="12" customWidth="1" outlineLevel="1" collapsed="1"/>
    <col min="14" max="15" width="11.26953125" style="12" customWidth="1" outlineLevel="1"/>
    <col min="16" max="16" width="10.54296875" style="12" customWidth="1" outlineLevel="1"/>
    <col min="17" max="18" width="10.54296875" style="12" hidden="1" customWidth="1" outlineLevel="2"/>
    <col min="19" max="19" width="27" style="12" hidden="1" customWidth="1" outlineLevel="2"/>
    <col min="20" max="20" width="10.26953125" style="12" customWidth="1" outlineLevel="1" collapsed="1"/>
    <col min="21" max="21" width="11.26953125" style="12" customWidth="1" outlineLevel="1"/>
    <col min="22" max="23" width="10.54296875" style="12" bestFit="1" customWidth="1"/>
    <col min="24" max="27" width="13.26953125" style="12" customWidth="1" outlineLevel="3"/>
    <col min="28" max="28" width="9.1796875" style="12" customWidth="1" outlineLevel="2"/>
    <col min="29" max="30" width="13.26953125" style="12" customWidth="1" outlineLevel="2"/>
    <col min="31" max="31" width="8.7265625" style="12" customWidth="1" outlineLevel="1"/>
    <col min="32" max="32" width="2.7265625" style="12" customWidth="1"/>
    <col min="33" max="34" width="15.7265625" style="12" hidden="1" customWidth="1"/>
    <col min="35" max="35" width="15.7265625" style="12" hidden="1" customWidth="1" outlineLevel="1"/>
    <col min="36" max="36" width="15.7265625" style="12" hidden="1" customWidth="1" outlineLevel="2"/>
    <col min="37" max="37" width="28.54296875" style="12" hidden="1" customWidth="1" collapsed="1"/>
    <col min="38" max="39" width="15.7265625" style="12" hidden="1" customWidth="1"/>
    <col min="40" max="40" width="16" style="12" hidden="1" customWidth="1"/>
    <col min="41" max="41" width="3.81640625" style="12" customWidth="1"/>
    <col min="42" max="42" width="22.1796875" style="12" hidden="1" customWidth="1" outlineLevel="1"/>
    <col min="43" max="43" width="28" style="12" hidden="1" customWidth="1" outlineLevel="1"/>
    <col min="44" max="44" width="23.453125" style="12" hidden="1" customWidth="1" outlineLevel="1"/>
    <col min="45" max="45" width="19" style="12" hidden="1" customWidth="1" outlineLevel="1"/>
    <col min="46" max="46" width="41.1796875" style="12" hidden="1" customWidth="1" outlineLevel="1"/>
    <col min="47" max="47" width="66.81640625" style="12" hidden="1" customWidth="1" outlineLevel="1"/>
    <col min="48" max="48" width="9.1796875" collapsed="1"/>
    <col min="49" max="49" width="27.453125" style="12" customWidth="1"/>
    <col min="50" max="16384" width="9.1796875" style="12"/>
  </cols>
  <sheetData>
    <row r="1" spans="1:49" s="48" customFormat="1" ht="17.25" customHeight="1">
      <c r="A1" s="111">
        <v>45852</v>
      </c>
      <c r="F1" s="932"/>
      <c r="G1" s="932"/>
    </row>
    <row r="2" spans="1:49">
      <c r="A2" s="12" t="s">
        <v>2</v>
      </c>
      <c r="B2" s="49" t="s">
        <v>24</v>
      </c>
      <c r="C2" s="53" t="s">
        <v>366</v>
      </c>
    </row>
    <row r="3" spans="1:49">
      <c r="B3" s="49" t="s">
        <v>23</v>
      </c>
      <c r="C3" s="53">
        <f>'Raw Data'!$G$9</f>
        <v>2025</v>
      </c>
    </row>
    <row r="4" spans="1:49" s="157" customFormat="1" ht="35.15" customHeight="1" outlineLevel="1">
      <c r="C4" s="157" t="s">
        <v>22</v>
      </c>
      <c r="D4" s="157" t="s">
        <v>21</v>
      </c>
      <c r="E4" s="157" t="s">
        <v>20</v>
      </c>
      <c r="F4" s="933" t="s">
        <v>19</v>
      </c>
      <c r="G4" s="933"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Data'!AR31</f>
        <v>Pension Converted</v>
      </c>
      <c r="Y4" s="157" t="str">
        <f>'Raw Data'!AU31</f>
        <v>Other Converted</v>
      </c>
      <c r="Z4" s="157" t="s">
        <v>247</v>
      </c>
      <c r="AA4" s="157" t="s">
        <v>248</v>
      </c>
      <c r="AC4" s="157" t="s">
        <v>11</v>
      </c>
      <c r="AD4" s="157" t="s">
        <v>10</v>
      </c>
    </row>
    <row r="5" spans="1:49" ht="21">
      <c r="B5" s="26"/>
      <c r="C5" s="256" t="str">
        <f>+C2&amp; " Benchmarking - "&amp;'Raw Data'!H5&amp;" $000s"</f>
        <v>Region Benchmarking - CAD $000s</v>
      </c>
      <c r="D5" s="257"/>
      <c r="E5" s="258"/>
      <c r="F5" s="934"/>
      <c r="G5" s="934"/>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370</v>
      </c>
      <c r="AM5" t="s">
        <v>68</v>
      </c>
      <c r="AN5"/>
    </row>
    <row r="6" spans="1:49" ht="32" customHeight="1">
      <c r="B6" s="45"/>
      <c r="C6" s="1329" t="s">
        <v>22</v>
      </c>
      <c r="D6" s="1330" t="s">
        <v>21</v>
      </c>
      <c r="E6" s="1330" t="s">
        <v>20</v>
      </c>
      <c r="F6" s="1331" t="s">
        <v>19</v>
      </c>
      <c r="G6" s="1331" t="s">
        <v>18</v>
      </c>
      <c r="H6" s="1331" t="s">
        <v>114</v>
      </c>
      <c r="I6" s="1331" t="s">
        <v>17</v>
      </c>
      <c r="J6" s="1332" t="s">
        <v>16</v>
      </c>
      <c r="K6" s="1332"/>
      <c r="L6" s="1332"/>
      <c r="M6" s="1332" t="s">
        <v>16</v>
      </c>
      <c r="N6" s="1332"/>
      <c r="O6" s="1332" t="s">
        <v>15</v>
      </c>
      <c r="P6" s="1332"/>
      <c r="Q6" s="1332" t="s">
        <v>14</v>
      </c>
      <c r="R6" s="1332"/>
      <c r="S6" s="1332"/>
      <c r="T6" s="1332" t="s">
        <v>14</v>
      </c>
      <c r="U6" s="1332"/>
      <c r="V6" s="1332" t="s">
        <v>670</v>
      </c>
      <c r="W6" s="540"/>
      <c r="X6" s="1270" t="s">
        <v>31</v>
      </c>
      <c r="Y6" s="1272" t="s">
        <v>245</v>
      </c>
      <c r="Z6" s="1272" t="s">
        <v>244</v>
      </c>
      <c r="AA6" s="1274"/>
      <c r="AB6" s="623"/>
      <c r="AC6" s="610" t="s">
        <v>12</v>
      </c>
      <c r="AD6" s="540"/>
      <c r="AE6" s="623">
        <v>2023</v>
      </c>
      <c r="AF6" s="624"/>
      <c r="AG6" s="613" t="s">
        <v>394</v>
      </c>
      <c r="AH6" s="614"/>
      <c r="AI6" s="614"/>
      <c r="AJ6" s="614"/>
      <c r="AK6" s="614"/>
      <c r="AL6" s="613" t="s">
        <v>394</v>
      </c>
      <c r="AM6" s="615"/>
      <c r="AN6" s="456"/>
      <c r="AP6" s="1275" t="s">
        <v>512</v>
      </c>
      <c r="AQ6" s="1275" t="s">
        <v>538</v>
      </c>
      <c r="AR6" s="1275" t="s">
        <v>534</v>
      </c>
      <c r="AS6" s="1275" t="s">
        <v>535</v>
      </c>
      <c r="AT6" s="1275" t="s">
        <v>537</v>
      </c>
      <c r="AU6" s="1275" t="s">
        <v>536</v>
      </c>
      <c r="AW6" s="1290" t="s">
        <v>509</v>
      </c>
    </row>
    <row r="7" spans="1:49" ht="18" customHeight="1">
      <c r="A7" s="52" t="s">
        <v>54</v>
      </c>
      <c r="B7" s="52" t="s">
        <v>25</v>
      </c>
      <c r="C7" s="1333"/>
      <c r="D7" s="1334" t="s">
        <v>21</v>
      </c>
      <c r="E7" s="1334" t="s">
        <v>20</v>
      </c>
      <c r="F7" s="1335" t="s">
        <v>19</v>
      </c>
      <c r="G7" s="1335" t="s">
        <v>18</v>
      </c>
      <c r="H7" s="1335" t="s">
        <v>17</v>
      </c>
      <c r="I7" s="1335" t="s">
        <v>17</v>
      </c>
      <c r="J7" s="541" t="s">
        <v>40</v>
      </c>
      <c r="K7" s="1233" t="s">
        <v>51</v>
      </c>
      <c r="L7" s="1233" t="s">
        <v>104</v>
      </c>
      <c r="M7" s="1233" t="s">
        <v>42</v>
      </c>
      <c r="N7" s="541" t="s">
        <v>41</v>
      </c>
      <c r="O7" s="541" t="s">
        <v>53</v>
      </c>
      <c r="P7" s="541" t="s">
        <v>42</v>
      </c>
      <c r="Q7" s="1233" t="s">
        <v>40</v>
      </c>
      <c r="R7" s="1336" t="s">
        <v>52</v>
      </c>
      <c r="S7" s="1336" t="s">
        <v>105</v>
      </c>
      <c r="T7" s="1233" t="s">
        <v>42</v>
      </c>
      <c r="U7" s="1232" t="s">
        <v>41</v>
      </c>
      <c r="V7" s="541" t="s">
        <v>40</v>
      </c>
      <c r="W7" s="542" t="s">
        <v>42</v>
      </c>
      <c r="X7" s="1271"/>
      <c r="Y7" s="1273"/>
      <c r="Z7" s="541" t="s">
        <v>40</v>
      </c>
      <c r="AA7" s="542" t="s">
        <v>42</v>
      </c>
      <c r="AB7" s="623"/>
      <c r="AC7" s="611" t="s">
        <v>11</v>
      </c>
      <c r="AD7" s="612" t="s">
        <v>10</v>
      </c>
      <c r="AE7" s="624" t="str">
        <f>AE6&amp;" Lookup"</f>
        <v>2023 Lookup</v>
      </c>
      <c r="AF7" s="624"/>
      <c r="AG7" s="616" t="s">
        <v>22</v>
      </c>
      <c r="AH7" s="617" t="s">
        <v>19</v>
      </c>
      <c r="AI7" s="617" t="s">
        <v>397</v>
      </c>
      <c r="AJ7" s="618" t="s">
        <v>395</v>
      </c>
      <c r="AK7" s="617" t="s">
        <v>18</v>
      </c>
      <c r="AL7" s="619" t="s">
        <v>40</v>
      </c>
      <c r="AM7" s="620" t="s">
        <v>42</v>
      </c>
      <c r="AN7" s="457" t="s">
        <v>396</v>
      </c>
      <c r="AP7" s="1276"/>
      <c r="AQ7" s="1276"/>
      <c r="AR7" s="1276"/>
      <c r="AS7" s="1276"/>
      <c r="AT7" s="1276"/>
      <c r="AU7" s="1276"/>
      <c r="AW7" s="1290"/>
    </row>
    <row r="8" spans="1:49" ht="42" customHeight="1">
      <c r="A8" s="12" t="str">
        <f>$B8&amp;"_"&amp;$C$3&amp;"_"&amp;$C$2</f>
        <v>TSX:ELD_2025_Region</v>
      </c>
      <c r="B8" s="12" t="str">
        <f>'Raw Data'!E13</f>
        <v>TSX:ELD</v>
      </c>
      <c r="C8" s="1309" t="str">
        <f t="shared" ref="C8:C13" si="0">IFERROR(INDEX(Raw_Data,MATCH($A8,Look_Up2,0),MATCH(C$4,Component,0)),"-")</f>
        <v>Eldorado Gold Corporation</v>
      </c>
      <c r="D8" s="1310" t="str">
        <f>_xll.ciqfunctions.udf.CIQ(B8, "IQ_MARKETCAP", $A$1,$A$2)</f>
        <v>#PEND</v>
      </c>
      <c r="E8" s="1310" t="str">
        <f>_xll.ciqfunctions.udf.CIQ($B8, "IQ_TEV", $A$1,$A$2)</f>
        <v>#PEND</v>
      </c>
      <c r="F8" s="1311" t="str">
        <f t="shared" ref="F8:G13" si="1">IFERROR(INDEX(Raw_Data,MATCH($A8,Look_Up2,0),MATCH(F$4,Component,0)),"-")</f>
        <v>Louw Smith</v>
      </c>
      <c r="G8" s="1311" t="str">
        <f t="shared" si="1"/>
        <v>EVP, Development, Greece</v>
      </c>
      <c r="H8" s="1310" t="str">
        <f t="shared" ref="H8:J13" si="2">IFERROR(INDEX(Raw_Data,MATCH($A8,Look_Up2,0),MATCH(H$4,Component,0))/1000,"-")</f>
        <v>-</v>
      </c>
      <c r="I8" s="1310">
        <f t="shared" si="2"/>
        <v>738.79300000000001</v>
      </c>
      <c r="J8" s="1312">
        <f t="shared" si="2"/>
        <v>667.71799999999996</v>
      </c>
      <c r="K8" s="1313">
        <f t="shared" ref="K8:L13" si="3">IFERROR(INDEX(Raw_Data,MATCH($A8,Look_Up2,0),MATCH(K$4,Component,0)),"-")</f>
        <v>0.90379578582904818</v>
      </c>
      <c r="L8" s="1313">
        <f t="shared" si="3"/>
        <v>0.86809390138959153</v>
      </c>
      <c r="M8" s="1314">
        <f t="shared" ref="M8:M13" si="4">IFERROR(INDEX(Raw_Data,MATCH($A8,Look_Up2,0),MATCH(M$4,Component,0))/1000,"-")</f>
        <v>591.03440000000001</v>
      </c>
      <c r="N8" s="1315">
        <f t="shared" ref="N8:N13" si="5">IFERROR(IF(INDEX(Raw_Data,MATCH($A8,Look_Up2,0),MATCH(N$4,Component,0))="-",L8,INDEX(Raw_Data,MATCH($A8,Look_Up2,0),MATCH(N$4,Component,0))),"-")</f>
        <v>0.8</v>
      </c>
      <c r="O8" s="1312">
        <f t="shared" ref="O8:Q13" si="6">IFERROR(INDEX(Raw_Data,MATCH($A8,Look_Up2,0),MATCH(O$4,Component,0))/1000,"-")</f>
        <v>1406.511</v>
      </c>
      <c r="P8" s="1316">
        <f t="shared" si="6"/>
        <v>1329.8273999999999</v>
      </c>
      <c r="Q8" s="1312">
        <f t="shared" si="6"/>
        <v>883.56399801200496</v>
      </c>
      <c r="R8" s="1313">
        <f t="shared" ref="R8:S13" si="7">IFERROR(INDEX(Raw_Data,MATCH($A8,Look_Up2,0),MATCH(R$4,Component,0)),"-")</f>
        <v>1.1959561040941171</v>
      </c>
      <c r="S8" s="1313">
        <f t="shared" si="7"/>
        <v>1.1201851759981403</v>
      </c>
      <c r="T8" s="1314">
        <f t="shared" ref="T8:T13" si="8">IFERROR(INDEX(Raw_Data,MATCH($A8,Look_Up2,0),MATCH(T$4,Component,0))/1000,"-")</f>
        <v>1108.1895</v>
      </c>
      <c r="U8" s="1315">
        <f t="shared" ref="U8:U13" si="9">IFERROR(IF(INDEX(Raw_Data,MATCH($A8,Look_Up2,0),MATCH(U$4,Component,0))="-",S8,INDEX(Raw_Data,MATCH($A8,Look_Up2,0),MATCH(U$4,Component,0))),"-")</f>
        <v>1.5</v>
      </c>
      <c r="V8" s="1312">
        <f t="shared" ref="V8:W13" si="10">IFERROR(INDEX(Raw_Data,MATCH($A8,Look_Up2,0),MATCH(V$4,Component,0))/1000,"-")</f>
        <v>2290.0749980120049</v>
      </c>
      <c r="W8" s="1317">
        <f t="shared" si="10"/>
        <v>2438.0169000000001</v>
      </c>
      <c r="X8" s="770" t="str">
        <f t="shared" ref="X8:Y13" si="11">IFERROR((INDEX(Raw_Data,MATCH($A8,Look_Up2,0),MATCH(X$4,Component,0))/1000),"-")</f>
        <v>-</v>
      </c>
      <c r="Y8" s="1318">
        <f t="shared" si="11"/>
        <v>104.663</v>
      </c>
      <c r="Z8" s="1319">
        <f t="shared" ref="Z8:AA13" si="12">IFERROR(INDEX(Raw_Data,MATCH($A8,Look_Up2,0),MATCH(Z$4,Component,0))/1000,"-")</f>
        <v>2394.7379980120049</v>
      </c>
      <c r="AA8" s="1320">
        <f t="shared" si="12"/>
        <v>2542.6799000000001</v>
      </c>
      <c r="AC8" s="498">
        <f t="shared" ref="AC8:AC13" si="13">IFERROR(P8/W8,"-")</f>
        <v>0.54545454545454541</v>
      </c>
      <c r="AD8" s="499">
        <f t="shared" ref="AD8:AD13" si="14">IFERROR(T8/W8,"-")</f>
        <v>0.45454545454545453</v>
      </c>
      <c r="AE8" s="316" t="str">
        <f t="shared" ref="AE8:AE13" si="15">B8&amp;"_"&amp;$AE$6&amp;"_"&amp;$C$2</f>
        <v>TSX:ELD_2023_Region</v>
      </c>
      <c r="AF8" s="316"/>
      <c r="AG8" s="600" t="str" cm="1">
        <f t="array" ref="AG8">IFERROR(INDEX(#REF!,_xlfn.XMATCH(Region!$AE8,#REF!),_xlfn.XMATCH(Region!AG$5,#REF!)),"-")</f>
        <v>-</v>
      </c>
      <c r="AH8" s="601" t="str" cm="1">
        <f t="array" ref="AH8">IFERROR(INDEX(#REF!,_xlfn.XMATCH(Region!$AE8,#REF!),_xlfn.XMATCH(Region!AH$5,#REF!)),"-")</f>
        <v>-</v>
      </c>
      <c r="AI8" s="602" t="str">
        <f>IF(ISNUMBER(_xlfn.XMATCH(C8,#REF!)),"N","Y")</f>
        <v>Y</v>
      </c>
      <c r="AJ8" s="602" t="str">
        <f t="shared" ref="AJ8:AJ13" si="16">IFERROR(IF(TRIM(LOWER(AH8))=TRIM(LOWER(F8)),"N","Y"),"-")</f>
        <v>Y</v>
      </c>
      <c r="AK8" s="601" t="str" cm="1">
        <f t="array" ref="AK8">IFERROR(INDEX(#REF!,_xlfn.XMATCH(Region!$AE8,#REF!),_xlfn.XMATCH(Region!AK$5,#REF!)),"-")</f>
        <v>-</v>
      </c>
      <c r="AL8" s="603" t="str" cm="1">
        <f t="array" ref="AL8">IFERROR(INDEX(#REF!,_xlfn.XMATCH(Region!$AE8,#REF!),_xlfn.XMATCH(Region!AL$5,#REF!)),"-")</f>
        <v>-</v>
      </c>
      <c r="AM8" s="603" t="str" cm="1">
        <f t="array" ref="AM8">IFERROR(INDEX(#REF!,_xlfn.XMATCH(Region!$AE8,#REF!),_xlfn.XMATCH(Region!AM$5,#REF!)),"-")</f>
        <v>-</v>
      </c>
      <c r="AN8" s="604" t="str">
        <f t="shared" ref="AN8:AN13" si="17">IFERROR(IF(AJ8="Y","New Incumbent",W8/AM8-1),"-")</f>
        <v>New Incumbent</v>
      </c>
      <c r="AP8" s="923">
        <v>2.67</v>
      </c>
      <c r="AQ8" s="923" t="s">
        <v>517</v>
      </c>
      <c r="AR8" s="923" t="s">
        <v>511</v>
      </c>
      <c r="AS8" s="923" t="s">
        <v>2</v>
      </c>
      <c r="AT8" s="923" t="s">
        <v>532</v>
      </c>
      <c r="AU8" s="926" t="s">
        <v>510</v>
      </c>
    </row>
    <row r="9" spans="1:49" ht="60" hidden="1" customHeight="1">
      <c r="A9" s="12" t="str">
        <f>$B9&amp;"_"&amp;$C$3&amp;"_"&amp;$C$2</f>
        <v>TSX:CDE_2025_Region</v>
      </c>
      <c r="B9" s="12" t="str">
        <f>'Raw Data'!E18</f>
        <v>TSX:CDE</v>
      </c>
      <c r="C9" s="924" t="str">
        <f t="shared" si="0"/>
        <v>-</v>
      </c>
      <c r="D9" s="557">
        <f>_xll.ciqfunctions.udf.CIQ(B9, "IQ_MARKETCAP", $A$1,$A$2)</f>
        <v>8254.4819700000007</v>
      </c>
      <c r="E9" s="557">
        <f>_xll.ciqfunctions.udf.CIQ($B9, "IQ_TEV", $A$1,$A$2)</f>
        <v>8846.5264100000004</v>
      </c>
      <c r="F9" s="935" t="str">
        <f t="shared" si="1"/>
        <v>-</v>
      </c>
      <c r="G9" s="935" t="str">
        <f t="shared" si="1"/>
        <v>-</v>
      </c>
      <c r="H9" s="557" t="str">
        <f t="shared" si="2"/>
        <v>-</v>
      </c>
      <c r="I9" s="557" t="str">
        <f t="shared" si="2"/>
        <v>-</v>
      </c>
      <c r="J9" s="359" t="str">
        <f t="shared" si="2"/>
        <v>-</v>
      </c>
      <c r="K9" s="559" t="str">
        <f t="shared" si="3"/>
        <v>-</v>
      </c>
      <c r="L9" s="559" t="str">
        <f t="shared" si="3"/>
        <v>-</v>
      </c>
      <c r="M9" s="560" t="str">
        <f t="shared" si="4"/>
        <v>-</v>
      </c>
      <c r="N9" s="561" t="str">
        <f t="shared" si="5"/>
        <v>-</v>
      </c>
      <c r="O9" s="359" t="str">
        <f t="shared" si="6"/>
        <v>-</v>
      </c>
      <c r="P9" s="562" t="str">
        <f t="shared" si="6"/>
        <v>-</v>
      </c>
      <c r="Q9" s="359" t="str">
        <f t="shared" si="6"/>
        <v>-</v>
      </c>
      <c r="R9" s="559" t="str">
        <f t="shared" si="7"/>
        <v>-</v>
      </c>
      <c r="S9" s="559" t="str">
        <f t="shared" si="7"/>
        <v>-</v>
      </c>
      <c r="T9" s="560" t="str">
        <f t="shared" si="8"/>
        <v>-</v>
      </c>
      <c r="U9" s="561" t="str">
        <f t="shared" si="9"/>
        <v>-</v>
      </c>
      <c r="V9" s="359" t="str">
        <f t="shared" si="10"/>
        <v>-</v>
      </c>
      <c r="W9" s="360" t="str">
        <f t="shared" si="10"/>
        <v>-</v>
      </c>
      <c r="X9" s="359" t="str">
        <f t="shared" si="11"/>
        <v>-</v>
      </c>
      <c r="Y9" s="360" t="str">
        <f t="shared" si="11"/>
        <v>-</v>
      </c>
      <c r="Z9" s="285" t="str">
        <f t="shared" si="12"/>
        <v>-</v>
      </c>
      <c r="AA9" s="287" t="str">
        <f t="shared" si="12"/>
        <v>-</v>
      </c>
      <c r="AC9" s="498" t="str">
        <f t="shared" si="13"/>
        <v>-</v>
      </c>
      <c r="AD9" s="499" t="str">
        <f t="shared" si="14"/>
        <v>-</v>
      </c>
      <c r="AE9" s="316" t="str">
        <f t="shared" si="15"/>
        <v>TSX:CDE_2023_Region</v>
      </c>
      <c r="AF9" s="316"/>
      <c r="AG9" s="458" t="str" cm="1">
        <f t="array" ref="AG9">IFERROR(INDEX(#REF!,_xlfn.XMATCH(Region!$AE9,#REF!),_xlfn.XMATCH(Region!AG$5,#REF!)),"-")</f>
        <v>-</v>
      </c>
      <c r="AH9" s="316" t="str" cm="1">
        <f t="array" ref="AH9">IFERROR(INDEX(#REF!,_xlfn.XMATCH(Region!$AE9,#REF!),_xlfn.XMATCH(Region!AH$5,#REF!)),"-")</f>
        <v>-</v>
      </c>
      <c r="AI9" s="459" t="str">
        <f>IF(ISNUMBER(_xlfn.XMATCH(C9,#REF!)),"N","Y")</f>
        <v>Y</v>
      </c>
      <c r="AJ9" s="459" t="str">
        <f>IFERROR(IF(TRIM(LOWER(AH9))=TRIM(LOWER(F9)),"N","Y"),"-")</f>
        <v>N</v>
      </c>
      <c r="AK9" s="316" t="str" cm="1">
        <f t="array" ref="AK9">IFERROR(INDEX(#REF!,_xlfn.XMATCH(Region!$AE9,#REF!),_xlfn.XMATCH(Region!AK$5,#REF!)),"-")</f>
        <v>-</v>
      </c>
      <c r="AL9" s="12" t="str" cm="1">
        <f t="array" ref="AL9">IFERROR(INDEX(#REF!,_xlfn.XMATCH(Region!$AE9,#REF!),_xlfn.XMATCH(Region!AL$5,#REF!)),"-")</f>
        <v>-</v>
      </c>
      <c r="AM9" s="12" t="str" cm="1">
        <f t="array" ref="AM9">IFERROR(INDEX(#REF!,_xlfn.XMATCH(Region!$AE9,#REF!),_xlfn.XMATCH(Region!AM$5,#REF!)),"-")</f>
        <v>-</v>
      </c>
      <c r="AN9" s="460" t="str">
        <f t="shared" si="17"/>
        <v>-</v>
      </c>
      <c r="AP9" s="924">
        <v>10</v>
      </c>
      <c r="AQ9" s="924" t="s">
        <v>513</v>
      </c>
      <c r="AR9" s="924" t="s">
        <v>515</v>
      </c>
      <c r="AS9" s="924" t="s">
        <v>518</v>
      </c>
      <c r="AT9" s="924" t="s">
        <v>531</v>
      </c>
      <c r="AU9" s="927" t="s">
        <v>514</v>
      </c>
    </row>
    <row r="10" spans="1:49" ht="75" hidden="1" customHeight="1">
      <c r="A10" s="12" t="str">
        <f>$B10&amp;"_"&amp;$C$3&amp;"_"&amp;$C$2</f>
        <v>TSX:IMG_2025_Region</v>
      </c>
      <c r="B10" s="12" t="str">
        <f>'Raw Data'!E9</f>
        <v>TSX:IMG</v>
      </c>
      <c r="C10" s="924" t="str">
        <f t="shared" si="0"/>
        <v>-</v>
      </c>
      <c r="D10" s="557">
        <f>_xll.ciqfunctions.udf.CIQ(B10, "IQ_MARKETCAP", $A$1,$A$2)</f>
        <v>5554.9869099999996</v>
      </c>
      <c r="E10" s="557">
        <f>_xll.ciqfunctions.udf.CIQ($B10, "IQ_TEV", $A$1,$A$2)</f>
        <v>6834.0846799999999</v>
      </c>
      <c r="F10" s="935" t="str">
        <f t="shared" si="1"/>
        <v>-</v>
      </c>
      <c r="G10" s="935" t="str">
        <f t="shared" si="1"/>
        <v>-</v>
      </c>
      <c r="H10" s="557" t="str">
        <f t="shared" si="2"/>
        <v>-</v>
      </c>
      <c r="I10" s="557" t="str">
        <f t="shared" si="2"/>
        <v>-</v>
      </c>
      <c r="J10" s="359" t="str">
        <f t="shared" si="2"/>
        <v>-</v>
      </c>
      <c r="K10" s="559" t="str">
        <f t="shared" si="3"/>
        <v>-</v>
      </c>
      <c r="L10" s="559" t="str">
        <f t="shared" si="3"/>
        <v>-</v>
      </c>
      <c r="M10" s="560" t="str">
        <f t="shared" si="4"/>
        <v>-</v>
      </c>
      <c r="N10" s="561" t="str">
        <f t="shared" si="5"/>
        <v>-</v>
      </c>
      <c r="O10" s="359" t="str">
        <f t="shared" si="6"/>
        <v>-</v>
      </c>
      <c r="P10" s="562" t="str">
        <f t="shared" si="6"/>
        <v>-</v>
      </c>
      <c r="Q10" s="359" t="str">
        <f t="shared" si="6"/>
        <v>-</v>
      </c>
      <c r="R10" s="559" t="str">
        <f t="shared" si="7"/>
        <v>-</v>
      </c>
      <c r="S10" s="559" t="str">
        <f t="shared" si="7"/>
        <v>-</v>
      </c>
      <c r="T10" s="560" t="str">
        <f t="shared" si="8"/>
        <v>-</v>
      </c>
      <c r="U10" s="561" t="str">
        <f t="shared" si="9"/>
        <v>-</v>
      </c>
      <c r="V10" s="359" t="str">
        <f t="shared" si="10"/>
        <v>-</v>
      </c>
      <c r="W10" s="360" t="str">
        <f t="shared" si="10"/>
        <v>-</v>
      </c>
      <c r="X10" s="359" t="str">
        <f t="shared" si="11"/>
        <v>-</v>
      </c>
      <c r="Y10" s="360" t="str">
        <f t="shared" si="11"/>
        <v>-</v>
      </c>
      <c r="Z10" s="285" t="str">
        <f t="shared" si="12"/>
        <v>-</v>
      </c>
      <c r="AA10" s="287" t="str">
        <f t="shared" si="12"/>
        <v>-</v>
      </c>
      <c r="AC10" s="498" t="str">
        <f t="shared" si="13"/>
        <v>-</v>
      </c>
      <c r="AD10" s="499" t="str">
        <f t="shared" si="14"/>
        <v>-</v>
      </c>
      <c r="AE10" s="316" t="str">
        <f t="shared" si="15"/>
        <v>TSX:IMG_2023_Region</v>
      </c>
      <c r="AF10" s="316"/>
      <c r="AG10" s="458" t="str" cm="1">
        <f t="array" ref="AG10">IFERROR(INDEX(#REF!,_xlfn.XMATCH(Region!$AE10,#REF!),_xlfn.XMATCH(Region!AG$5,#REF!)),"-")</f>
        <v>-</v>
      </c>
      <c r="AH10" s="316" t="str" cm="1">
        <f t="array" ref="AH10">IFERROR(INDEX(#REF!,_xlfn.XMATCH(Region!$AE10,#REF!),_xlfn.XMATCH(Region!AH$5,#REF!)),"-")</f>
        <v>-</v>
      </c>
      <c r="AI10" s="459" t="str">
        <f>IF(ISNUMBER(_xlfn.XMATCH(C10,#REF!)),"N","Y")</f>
        <v>Y</v>
      </c>
      <c r="AJ10" s="459" t="str">
        <f t="shared" si="16"/>
        <v>N</v>
      </c>
      <c r="AK10" s="316" t="str" cm="1">
        <f t="array" ref="AK10">IFERROR(INDEX(#REF!,_xlfn.XMATCH(Region!$AE10,#REF!),_xlfn.XMATCH(Region!AK$5,#REF!)),"-")</f>
        <v>-</v>
      </c>
      <c r="AL10" s="12" t="str" cm="1">
        <f t="array" ref="AL10">IFERROR(INDEX(#REF!,_xlfn.XMATCH(Region!$AE10,#REF!),_xlfn.XMATCH(Region!AL$5,#REF!)),"-")</f>
        <v>-</v>
      </c>
      <c r="AM10" s="12" t="str" cm="1">
        <f t="array" ref="AM10">IFERROR(INDEX(#REF!,_xlfn.XMATCH(Region!$AE10,#REF!),_xlfn.XMATCH(Region!AM$5,#REF!)),"-")</f>
        <v>-</v>
      </c>
      <c r="AN10" s="460" t="str">
        <f t="shared" si="17"/>
        <v>-</v>
      </c>
      <c r="AP10" s="924">
        <v>2</v>
      </c>
      <c r="AQ10" s="924" t="s">
        <v>516</v>
      </c>
      <c r="AR10" s="924" t="s">
        <v>521</v>
      </c>
      <c r="AS10" s="924" t="s">
        <v>519</v>
      </c>
      <c r="AT10" s="924" t="s">
        <v>530</v>
      </c>
      <c r="AU10" s="927" t="s">
        <v>520</v>
      </c>
    </row>
    <row r="11" spans="1:49" ht="60" hidden="1" customHeight="1">
      <c r="A11" s="12" t="str">
        <f>$B11&amp;"_"&amp;$C$3&amp;"_"&amp;$C$2</f>
        <v>TSX:AGI_2025_Region</v>
      </c>
      <c r="B11" s="12" t="str">
        <f>'Raw Data'!E14</f>
        <v>TSX:AGI</v>
      </c>
      <c r="C11" s="924" t="str">
        <f t="shared" si="0"/>
        <v>-</v>
      </c>
      <c r="D11" s="557">
        <f>_xll.ciqfunctions.udf.CIQ(B11, "IQ_MARKETCAP", $A$1,$A$2)</f>
        <v>15291.758599999999</v>
      </c>
      <c r="E11" s="557">
        <f>_xll.ciqfunctions.udf.CIQ($B11, "IQ_TEV", $A$1,$A$2)</f>
        <v>15239.87026</v>
      </c>
      <c r="F11" s="935" t="str">
        <f t="shared" si="1"/>
        <v>-</v>
      </c>
      <c r="G11" s="935" t="str">
        <f t="shared" si="1"/>
        <v>-</v>
      </c>
      <c r="H11" s="557" t="str">
        <f t="shared" si="2"/>
        <v>-</v>
      </c>
      <c r="I11" s="557" t="str">
        <f t="shared" si="2"/>
        <v>-</v>
      </c>
      <c r="J11" s="359" t="str">
        <f t="shared" si="2"/>
        <v>-</v>
      </c>
      <c r="K11" s="559" t="str">
        <f t="shared" si="3"/>
        <v>-</v>
      </c>
      <c r="L11" s="559" t="str">
        <f t="shared" si="3"/>
        <v>-</v>
      </c>
      <c r="M11" s="560" t="str">
        <f t="shared" si="4"/>
        <v>-</v>
      </c>
      <c r="N11" s="561" t="str">
        <f t="shared" si="5"/>
        <v>-</v>
      </c>
      <c r="O11" s="359" t="str">
        <f t="shared" si="6"/>
        <v>-</v>
      </c>
      <c r="P11" s="562" t="str">
        <f t="shared" si="6"/>
        <v>-</v>
      </c>
      <c r="Q11" s="359" t="str">
        <f t="shared" si="6"/>
        <v>-</v>
      </c>
      <c r="R11" s="559" t="str">
        <f t="shared" si="7"/>
        <v>-</v>
      </c>
      <c r="S11" s="559" t="str">
        <f t="shared" si="7"/>
        <v>-</v>
      </c>
      <c r="T11" s="560" t="str">
        <f t="shared" si="8"/>
        <v>-</v>
      </c>
      <c r="U11" s="561" t="str">
        <f t="shared" si="9"/>
        <v>-</v>
      </c>
      <c r="V11" s="359" t="str">
        <f t="shared" si="10"/>
        <v>-</v>
      </c>
      <c r="W11" s="360" t="str">
        <f t="shared" si="10"/>
        <v>-</v>
      </c>
      <c r="X11" s="359" t="str">
        <f t="shared" si="11"/>
        <v>-</v>
      </c>
      <c r="Y11" s="360" t="str">
        <f t="shared" si="11"/>
        <v>-</v>
      </c>
      <c r="Z11" s="285" t="str">
        <f t="shared" si="12"/>
        <v>-</v>
      </c>
      <c r="AA11" s="287" t="str">
        <f t="shared" si="12"/>
        <v>-</v>
      </c>
      <c r="AC11" s="498" t="str">
        <f t="shared" si="13"/>
        <v>-</v>
      </c>
      <c r="AD11" s="499" t="str">
        <f t="shared" si="14"/>
        <v>-</v>
      </c>
      <c r="AE11" s="316" t="str">
        <f t="shared" si="15"/>
        <v>TSX:AGI_2023_Region</v>
      </c>
      <c r="AF11" s="316"/>
      <c r="AG11" s="455" t="str" cm="1">
        <f t="array" ref="AG11">IFERROR(INDEX(#REF!,_xlfn.XMATCH(Region!$AE11,#REF!),_xlfn.XMATCH(Region!AG$5,#REF!)),"-")</f>
        <v>-</v>
      </c>
      <c r="AH11" s="461" t="str" cm="1">
        <f t="array" ref="AH11">IFERROR(INDEX(#REF!,_xlfn.XMATCH(Region!$AE11,#REF!),_xlfn.XMATCH(Region!AH$5,#REF!)),"-")</f>
        <v>-</v>
      </c>
      <c r="AI11" s="462" t="str">
        <f>IF(ISNUMBER(_xlfn.XMATCH(C11,#REF!)),"N","Y")</f>
        <v>Y</v>
      </c>
      <c r="AJ11" s="462" t="str">
        <f t="shared" si="16"/>
        <v>N</v>
      </c>
      <c r="AK11" s="461" t="str" cm="1">
        <f t="array" ref="AK11">IFERROR(INDEX(#REF!,_xlfn.XMATCH(Region!$AE11,#REF!),_xlfn.XMATCH(Region!AK$5,#REF!)),"-")</f>
        <v>-</v>
      </c>
      <c r="AL11" s="463" t="str" cm="1">
        <f t="array" ref="AL11">IFERROR(INDEX(#REF!,_xlfn.XMATCH(Region!$AE11,#REF!),_xlfn.XMATCH(Region!AL$5,#REF!)),"-")</f>
        <v>-</v>
      </c>
      <c r="AM11" s="463" t="str" cm="1">
        <f t="array" ref="AM11">IFERROR(INDEX(#REF!,_xlfn.XMATCH(Region!$AE11,#REF!),_xlfn.XMATCH(Region!AM$5,#REF!)),"-")</f>
        <v>-</v>
      </c>
      <c r="AN11" s="464" t="str">
        <f t="shared" si="17"/>
        <v>-</v>
      </c>
      <c r="AP11" s="924">
        <v>1</v>
      </c>
      <c r="AQ11" s="924" t="s">
        <v>513</v>
      </c>
      <c r="AR11" s="929" t="s">
        <v>523</v>
      </c>
      <c r="AS11" s="924" t="s">
        <v>285</v>
      </c>
      <c r="AT11" s="924" t="s">
        <v>533</v>
      </c>
      <c r="AU11" s="927" t="s">
        <v>522</v>
      </c>
    </row>
    <row r="12" spans="1:49" ht="90" hidden="1" customHeight="1" outlineLevel="1">
      <c r="A12" s="12" t="str">
        <f>$B12&amp;"_"&amp;$C$3&amp;"_"&amp;$C$2</f>
        <v>TSX:CG_2025_Region</v>
      </c>
      <c r="B12" s="12" t="str">
        <f>'Raw Data'!E16</f>
        <v>TSX:CG</v>
      </c>
      <c r="C12" s="924" t="str">
        <f t="shared" si="0"/>
        <v>-</v>
      </c>
      <c r="D12" s="557">
        <f>_xll.ciqfunctions.udf.CIQ(B12, "IQ_MARKETCAP", $A$1,$A$2)</f>
        <v>2054.8528000000001</v>
      </c>
      <c r="E12" s="557">
        <f>_xll.ciqfunctions.udf.CIQ($B12, "IQ_TEV", $A$1,$A$2)</f>
        <v>1190.4233200000001</v>
      </c>
      <c r="F12" s="935" t="str">
        <f t="shared" si="1"/>
        <v>-</v>
      </c>
      <c r="G12" s="935" t="str">
        <f t="shared" si="1"/>
        <v>-</v>
      </c>
      <c r="H12" s="557" t="str">
        <f t="shared" si="2"/>
        <v>-</v>
      </c>
      <c r="I12" s="557" t="str">
        <f t="shared" si="2"/>
        <v>-</v>
      </c>
      <c r="J12" s="359" t="str">
        <f t="shared" si="2"/>
        <v>-</v>
      </c>
      <c r="K12" s="559" t="str">
        <f t="shared" si="3"/>
        <v>-</v>
      </c>
      <c r="L12" s="559" t="str">
        <f t="shared" si="3"/>
        <v>-</v>
      </c>
      <c r="M12" s="560" t="str">
        <f t="shared" si="4"/>
        <v>-</v>
      </c>
      <c r="N12" s="561" t="str">
        <f t="shared" si="5"/>
        <v>-</v>
      </c>
      <c r="O12" s="359" t="str">
        <f t="shared" si="6"/>
        <v>-</v>
      </c>
      <c r="P12" s="562" t="str">
        <f t="shared" si="6"/>
        <v>-</v>
      </c>
      <c r="Q12" s="359" t="str">
        <f t="shared" si="6"/>
        <v>-</v>
      </c>
      <c r="R12" s="559" t="str">
        <f t="shared" si="7"/>
        <v>-</v>
      </c>
      <c r="S12" s="559" t="str">
        <f t="shared" si="7"/>
        <v>-</v>
      </c>
      <c r="T12" s="560" t="str">
        <f t="shared" si="8"/>
        <v>-</v>
      </c>
      <c r="U12" s="561" t="str">
        <f t="shared" si="9"/>
        <v>-</v>
      </c>
      <c r="V12" s="359" t="str">
        <f t="shared" si="10"/>
        <v>-</v>
      </c>
      <c r="W12" s="360" t="str">
        <f t="shared" si="10"/>
        <v>-</v>
      </c>
      <c r="X12" s="359" t="str">
        <f t="shared" si="11"/>
        <v>-</v>
      </c>
      <c r="Y12" s="360" t="str">
        <f t="shared" si="11"/>
        <v>-</v>
      </c>
      <c r="Z12" s="285" t="str">
        <f t="shared" si="12"/>
        <v>-</v>
      </c>
      <c r="AA12" s="287" t="str">
        <f t="shared" si="12"/>
        <v>-</v>
      </c>
      <c r="AC12" s="498" t="str">
        <f t="shared" si="13"/>
        <v>-</v>
      </c>
      <c r="AD12" s="499" t="str">
        <f t="shared" si="14"/>
        <v>-</v>
      </c>
      <c r="AE12" s="316" t="str">
        <f t="shared" si="15"/>
        <v>TSX:CG_2023_Region</v>
      </c>
      <c r="AF12" s="316"/>
      <c r="AG12" s="458" t="str" cm="1">
        <f t="array" ref="AG12">IFERROR(INDEX(#REF!,_xlfn.XMATCH(Region!$AE12,#REF!),_xlfn.XMATCH(Region!AG$5,#REF!)),"-")</f>
        <v>-</v>
      </c>
      <c r="AH12" s="316" t="str" cm="1">
        <f t="array" ref="AH12">IFERROR(INDEX(#REF!,_xlfn.XMATCH(Region!$AE12,#REF!),_xlfn.XMATCH(Region!AH$5,#REF!)),"-")</f>
        <v>-</v>
      </c>
      <c r="AI12" s="459" t="str">
        <f>IF(ISNUMBER(_xlfn.XMATCH(C12,#REF!)),"N","Y")</f>
        <v>Y</v>
      </c>
      <c r="AJ12" s="459" t="str">
        <f t="shared" si="16"/>
        <v>N</v>
      </c>
      <c r="AK12" s="316" t="str" cm="1">
        <f t="array" ref="AK12">IFERROR(INDEX(#REF!,_xlfn.XMATCH(Region!$AE12,#REF!),_xlfn.XMATCH(Region!AK$5,#REF!)),"-")</f>
        <v>-</v>
      </c>
      <c r="AL12" s="12" t="str" cm="1">
        <f t="array" ref="AL12">IFERROR(INDEX(#REF!,_xlfn.XMATCH(Region!$AE12,#REF!),_xlfn.XMATCH(Region!AL$5,#REF!)),"-")</f>
        <v>-</v>
      </c>
      <c r="AM12" s="12" t="str" cm="1">
        <f t="array" ref="AM12">IFERROR(INDEX(#REF!,_xlfn.XMATCH(Region!$AE12,#REF!),_xlfn.XMATCH(Region!AM$5,#REF!)),"-")</f>
        <v>-</v>
      </c>
      <c r="AN12" s="460" t="str">
        <f t="shared" si="17"/>
        <v>-</v>
      </c>
      <c r="AP12" s="924">
        <v>2.25</v>
      </c>
      <c r="AQ12" s="924" t="s">
        <v>513</v>
      </c>
      <c r="AR12" s="924" t="s">
        <v>524</v>
      </c>
      <c r="AS12" s="924" t="s">
        <v>526</v>
      </c>
      <c r="AT12" s="924" t="s">
        <v>529</v>
      </c>
      <c r="AU12" s="927" t="s">
        <v>542</v>
      </c>
    </row>
    <row r="13" spans="1:49" ht="60" hidden="1" customHeight="1" outlineLevel="1">
      <c r="A13" s="12" t="str">
        <f>$B13&amp;"_"&amp;$C$3&amp;"_"&amp;$C$2&amp;2</f>
        <v>TSX:CG_2025_Region2</v>
      </c>
      <c r="B13" s="12" t="str">
        <f>B12</f>
        <v>TSX:CG</v>
      </c>
      <c r="C13" s="925" t="str">
        <f t="shared" si="0"/>
        <v>-</v>
      </c>
      <c r="D13" s="769">
        <f>_xll.ciqfunctions.udf.CIQ(B13, "IQ_MARKETCAP", $A$1,$A$2)</f>
        <v>2054.8528000000001</v>
      </c>
      <c r="E13" s="769">
        <f>_xll.ciqfunctions.udf.CIQ($B13, "IQ_TEV", $A$1,$A$2)</f>
        <v>1190.4233200000001</v>
      </c>
      <c r="F13" s="936" t="str">
        <f t="shared" si="1"/>
        <v>-</v>
      </c>
      <c r="G13" s="936" t="str">
        <f t="shared" si="1"/>
        <v>-</v>
      </c>
      <c r="H13" s="769" t="str">
        <f t="shared" si="2"/>
        <v>-</v>
      </c>
      <c r="I13" s="769" t="str">
        <f t="shared" si="2"/>
        <v>-</v>
      </c>
      <c r="J13" s="770" t="str">
        <f t="shared" si="2"/>
        <v>-</v>
      </c>
      <c r="K13" s="771" t="str">
        <f t="shared" si="3"/>
        <v>-</v>
      </c>
      <c r="L13" s="771" t="str">
        <f t="shared" si="3"/>
        <v>-</v>
      </c>
      <c r="M13" s="772" t="str">
        <f t="shared" si="4"/>
        <v>-</v>
      </c>
      <c r="N13" s="773" t="str">
        <f t="shared" si="5"/>
        <v>-</v>
      </c>
      <c r="O13" s="770" t="str">
        <f t="shared" si="6"/>
        <v>-</v>
      </c>
      <c r="P13" s="774" t="str">
        <f t="shared" si="6"/>
        <v>-</v>
      </c>
      <c r="Q13" s="770" t="str">
        <f t="shared" si="6"/>
        <v>-</v>
      </c>
      <c r="R13" s="771" t="str">
        <f t="shared" si="7"/>
        <v>-</v>
      </c>
      <c r="S13" s="771" t="str">
        <f t="shared" si="7"/>
        <v>-</v>
      </c>
      <c r="T13" s="772" t="str">
        <f t="shared" si="8"/>
        <v>-</v>
      </c>
      <c r="U13" s="773" t="str">
        <f t="shared" si="9"/>
        <v>-</v>
      </c>
      <c r="V13" s="770" t="str">
        <f t="shared" si="10"/>
        <v>-</v>
      </c>
      <c r="W13" s="774" t="str">
        <f t="shared" si="10"/>
        <v>-</v>
      </c>
      <c r="X13" s="359" t="str">
        <f t="shared" si="11"/>
        <v>-</v>
      </c>
      <c r="Y13" s="360" t="str">
        <f t="shared" si="11"/>
        <v>-</v>
      </c>
      <c r="Z13" s="285" t="str">
        <f t="shared" si="12"/>
        <v>-</v>
      </c>
      <c r="AA13" s="287" t="str">
        <f t="shared" si="12"/>
        <v>-</v>
      </c>
      <c r="AC13" s="498" t="str">
        <f t="shared" si="13"/>
        <v>-</v>
      </c>
      <c r="AD13" s="499" t="str">
        <f t="shared" si="14"/>
        <v>-</v>
      </c>
      <c r="AE13" s="316" t="str">
        <f t="shared" si="15"/>
        <v>TSX:CG_2023_Region</v>
      </c>
      <c r="AF13" s="316"/>
      <c r="AG13" s="458" t="str" cm="1">
        <f t="array" ref="AG13">IFERROR(INDEX(#REF!,_xlfn.XMATCH(Region!$AE13,#REF!),_xlfn.XMATCH(Region!AG$5,#REF!)),"-")</f>
        <v>-</v>
      </c>
      <c r="AH13" s="316" t="str" cm="1">
        <f t="array" ref="AH13">IFERROR(INDEX(#REF!,_xlfn.XMATCH(Region!$AE13,#REF!),_xlfn.XMATCH(Region!AH$5,#REF!)),"-")</f>
        <v>-</v>
      </c>
      <c r="AI13" s="459" t="str">
        <f>IF(ISNUMBER(_xlfn.XMATCH(C13,#REF!)),"N","Y")</f>
        <v>Y</v>
      </c>
      <c r="AJ13" s="459" t="str">
        <f t="shared" si="16"/>
        <v>N</v>
      </c>
      <c r="AK13" s="316" t="str" cm="1">
        <f t="array" ref="AK13">IFERROR(INDEX(#REF!,_xlfn.XMATCH(Region!$AE13,#REF!),_xlfn.XMATCH(Region!AK$5,#REF!)),"-")</f>
        <v>-</v>
      </c>
      <c r="AL13" s="12" t="str" cm="1">
        <f t="array" ref="AL13">IFERROR(INDEX(#REF!,_xlfn.XMATCH(Region!$AE13,#REF!),_xlfn.XMATCH(Region!AL$5,#REF!)),"-")</f>
        <v>-</v>
      </c>
      <c r="AM13" s="12" t="str" cm="1">
        <f t="array" ref="AM13">IFERROR(INDEX(#REF!,_xlfn.XMATCH(Region!$AE13,#REF!),_xlfn.XMATCH(Region!AM$5,#REF!)),"-")</f>
        <v>-</v>
      </c>
      <c r="AN13" s="460" t="str">
        <f t="shared" si="17"/>
        <v>-</v>
      </c>
      <c r="AP13" s="925">
        <v>2.25</v>
      </c>
      <c r="AQ13" s="925" t="s">
        <v>525</v>
      </c>
      <c r="AR13" s="925" t="s">
        <v>527</v>
      </c>
      <c r="AS13" s="925" t="s">
        <v>285</v>
      </c>
      <c r="AT13" s="925" t="s">
        <v>528</v>
      </c>
      <c r="AU13" s="928" t="s">
        <v>539</v>
      </c>
    </row>
    <row r="14" spans="1:49" ht="20.25" hidden="1" customHeight="1" collapsed="1">
      <c r="C14" s="543" t="str">
        <f>$C$3&amp;" Summary Statistics"</f>
        <v>2025 Summary Statistics</v>
      </c>
      <c r="D14" s="544"/>
      <c r="E14" s="544"/>
      <c r="F14" s="937"/>
      <c r="G14" s="937"/>
      <c r="H14" s="544"/>
      <c r="I14" s="544"/>
      <c r="J14" s="544"/>
      <c r="K14" s="545"/>
      <c r="L14" s="545"/>
      <c r="M14" s="544"/>
      <c r="N14" s="545"/>
      <c r="O14" s="544"/>
      <c r="P14" s="544"/>
      <c r="Q14" s="544"/>
      <c r="R14" s="545"/>
      <c r="S14" s="545"/>
      <c r="T14" s="544"/>
      <c r="U14" s="545"/>
      <c r="V14" s="544"/>
      <c r="W14" s="546"/>
      <c r="X14" s="288"/>
      <c r="Y14" s="289"/>
      <c r="Z14" s="288"/>
      <c r="AA14" s="289"/>
      <c r="AC14" s="260"/>
      <c r="AD14" s="261"/>
      <c r="AE14" s="316"/>
      <c r="AF14" s="316"/>
      <c r="AG14" s="316"/>
      <c r="AH14" s="316"/>
      <c r="AI14" s="316"/>
      <c r="AJ14" s="316"/>
      <c r="AK14" s="316"/>
    </row>
    <row r="15" spans="1:49" s="17" customFormat="1" ht="20.25" hidden="1" customHeight="1">
      <c r="B15" s="17">
        <v>0.75</v>
      </c>
      <c r="C15" s="563" t="s">
        <v>9</v>
      </c>
      <c r="D15" s="564">
        <f t="shared" ref="D15:E17" si="18">PERCENTILE(D$8:D$13,$B15)</f>
        <v>8254.4819700000007</v>
      </c>
      <c r="E15" s="564">
        <f t="shared" si="18"/>
        <v>8846.5264100000004</v>
      </c>
      <c r="F15" s="938"/>
      <c r="G15" s="938"/>
      <c r="H15" s="565"/>
      <c r="I15" s="564">
        <f t="shared" ref="I15:R17" si="19">PERCENTILE(I$8:I$13,$B15)</f>
        <v>738.79300000000001</v>
      </c>
      <c r="J15" s="566">
        <f t="shared" si="19"/>
        <v>667.71799999999996</v>
      </c>
      <c r="K15" s="567">
        <f t="shared" si="19"/>
        <v>0.90379578582904818</v>
      </c>
      <c r="L15" s="567">
        <f t="shared" si="19"/>
        <v>0.86809390138959153</v>
      </c>
      <c r="M15" s="568">
        <f t="shared" si="19"/>
        <v>591.03440000000001</v>
      </c>
      <c r="N15" s="499">
        <f t="shared" si="19"/>
        <v>0.8</v>
      </c>
      <c r="O15" s="566">
        <f t="shared" si="19"/>
        <v>1406.511</v>
      </c>
      <c r="P15" s="569">
        <f t="shared" si="19"/>
        <v>1329.8273999999999</v>
      </c>
      <c r="Q15" s="566">
        <f t="shared" si="19"/>
        <v>883.56399801200496</v>
      </c>
      <c r="R15" s="567">
        <f t="shared" si="19"/>
        <v>1.1959561040941171</v>
      </c>
      <c r="S15" s="567">
        <f t="shared" ref="S15:Z17" si="20">PERCENTILE(S$8:S$13,$B15)</f>
        <v>1.1201851759981403</v>
      </c>
      <c r="T15" s="568">
        <f t="shared" si="20"/>
        <v>1108.1895</v>
      </c>
      <c r="U15" s="499">
        <f t="shared" si="20"/>
        <v>1.5</v>
      </c>
      <c r="V15" s="566">
        <f t="shared" si="20"/>
        <v>2290.0749980120049</v>
      </c>
      <c r="W15" s="569">
        <f t="shared" si="20"/>
        <v>2438.0169000000001</v>
      </c>
      <c r="X15" s="263" t="e">
        <f t="shared" si="20"/>
        <v>#NUM!</v>
      </c>
      <c r="Y15" s="290">
        <f t="shared" si="20"/>
        <v>104.663</v>
      </c>
      <c r="Z15" s="263">
        <f t="shared" si="20"/>
        <v>2394.7379980120049</v>
      </c>
      <c r="AA15" s="290">
        <f>AA56</f>
        <v>2615.8204070000002</v>
      </c>
      <c r="AC15" s="265">
        <f t="shared" ref="AC15:AD17" si="21">PERCENTILE(AC$8:AC$13,$B15)</f>
        <v>0.54545454545454541</v>
      </c>
      <c r="AD15" s="264">
        <f t="shared" si="21"/>
        <v>0.45454545454545453</v>
      </c>
      <c r="AE15" s="316"/>
      <c r="AF15" s="316"/>
      <c r="AG15" s="316"/>
      <c r="AH15" s="316"/>
      <c r="AI15" s="316"/>
      <c r="AJ15" s="316"/>
      <c r="AK15" s="316"/>
      <c r="AL15" s="465" t="e">
        <f t="shared" ref="AL15:AM18" si="22">PERCENTILE(AL$8:AL$13,$B15)</f>
        <v>#NUM!</v>
      </c>
      <c r="AM15" s="466" t="e">
        <f t="shared" si="22"/>
        <v>#NUM!</v>
      </c>
    </row>
    <row r="16" spans="1:49" s="17" customFormat="1" ht="20.25" hidden="1" customHeight="1">
      <c r="B16" s="17">
        <v>0.5</v>
      </c>
      <c r="C16" s="570" t="s">
        <v>8</v>
      </c>
      <c r="D16" s="571">
        <f t="shared" si="18"/>
        <v>5554.9869099999996</v>
      </c>
      <c r="E16" s="571">
        <f t="shared" si="18"/>
        <v>6834.0846799999999</v>
      </c>
      <c r="F16" s="939"/>
      <c r="G16" s="939"/>
      <c r="H16" s="572"/>
      <c r="I16" s="571">
        <f t="shared" si="19"/>
        <v>738.79300000000001</v>
      </c>
      <c r="J16" s="573">
        <f t="shared" si="19"/>
        <v>667.71799999999996</v>
      </c>
      <c r="K16" s="574">
        <f t="shared" si="19"/>
        <v>0.90379578582904818</v>
      </c>
      <c r="L16" s="574">
        <f t="shared" si="19"/>
        <v>0.86809390138959153</v>
      </c>
      <c r="M16" s="575">
        <f t="shared" si="19"/>
        <v>591.03440000000001</v>
      </c>
      <c r="N16" s="576">
        <f t="shared" si="19"/>
        <v>0.8</v>
      </c>
      <c r="O16" s="573">
        <f t="shared" si="19"/>
        <v>1406.511</v>
      </c>
      <c r="P16" s="577">
        <f t="shared" si="19"/>
        <v>1329.8273999999999</v>
      </c>
      <c r="Q16" s="573">
        <f t="shared" si="19"/>
        <v>883.56399801200496</v>
      </c>
      <c r="R16" s="574">
        <f t="shared" si="19"/>
        <v>1.1959561040941171</v>
      </c>
      <c r="S16" s="574">
        <f t="shared" si="20"/>
        <v>1.1201851759981403</v>
      </c>
      <c r="T16" s="575">
        <f t="shared" si="20"/>
        <v>1108.1895</v>
      </c>
      <c r="U16" s="576">
        <f t="shared" si="20"/>
        <v>1.5</v>
      </c>
      <c r="V16" s="573">
        <f t="shared" si="20"/>
        <v>2290.0749980120049</v>
      </c>
      <c r="W16" s="577">
        <f t="shared" si="20"/>
        <v>2438.0169000000001</v>
      </c>
      <c r="X16" s="267" t="e">
        <f t="shared" si="20"/>
        <v>#NUM!</v>
      </c>
      <c r="Y16" s="291">
        <f t="shared" si="20"/>
        <v>104.663</v>
      </c>
      <c r="Z16" s="267">
        <f t="shared" si="20"/>
        <v>2394.7379980120049</v>
      </c>
      <c r="AA16" s="291">
        <f>AA57</f>
        <v>2615.8204070000002</v>
      </c>
      <c r="AC16" s="269">
        <f t="shared" si="21"/>
        <v>0.54545454545454541</v>
      </c>
      <c r="AD16" s="268">
        <f t="shared" si="21"/>
        <v>0.45454545454545453</v>
      </c>
      <c r="AE16" s="316"/>
      <c r="AF16" s="316"/>
      <c r="AG16" s="316"/>
      <c r="AH16" s="316"/>
      <c r="AI16" s="316"/>
      <c r="AJ16" s="316"/>
      <c r="AK16" s="316"/>
      <c r="AL16" s="267" t="e">
        <f t="shared" si="22"/>
        <v>#NUM!</v>
      </c>
      <c r="AM16" s="291" t="e">
        <f t="shared" si="22"/>
        <v>#NUM!</v>
      </c>
    </row>
    <row r="17" spans="1:47" s="17" customFormat="1" ht="20.25" hidden="1" customHeight="1">
      <c r="B17" s="17">
        <v>0.25</v>
      </c>
      <c r="C17" s="563" t="s">
        <v>7</v>
      </c>
      <c r="D17" s="564">
        <f t="shared" si="18"/>
        <v>2054.8528000000001</v>
      </c>
      <c r="E17" s="564">
        <f t="shared" si="18"/>
        <v>1190.4233200000001</v>
      </c>
      <c r="F17" s="938"/>
      <c r="G17" s="938"/>
      <c r="H17" s="565"/>
      <c r="I17" s="564">
        <f t="shared" si="19"/>
        <v>738.79300000000001</v>
      </c>
      <c r="J17" s="566">
        <f t="shared" si="19"/>
        <v>667.71799999999996</v>
      </c>
      <c r="K17" s="567">
        <f t="shared" si="19"/>
        <v>0.90379578582904818</v>
      </c>
      <c r="L17" s="567">
        <f t="shared" si="19"/>
        <v>0.86809390138959153</v>
      </c>
      <c r="M17" s="568">
        <f t="shared" si="19"/>
        <v>591.03440000000001</v>
      </c>
      <c r="N17" s="499">
        <f t="shared" si="19"/>
        <v>0.8</v>
      </c>
      <c r="O17" s="566">
        <f t="shared" si="19"/>
        <v>1406.511</v>
      </c>
      <c r="P17" s="569">
        <f t="shared" si="19"/>
        <v>1329.8273999999999</v>
      </c>
      <c r="Q17" s="566">
        <f t="shared" si="19"/>
        <v>883.56399801200496</v>
      </c>
      <c r="R17" s="567">
        <f t="shared" si="19"/>
        <v>1.1959561040941171</v>
      </c>
      <c r="S17" s="567">
        <f t="shared" si="20"/>
        <v>1.1201851759981403</v>
      </c>
      <c r="T17" s="568">
        <f t="shared" si="20"/>
        <v>1108.1895</v>
      </c>
      <c r="U17" s="499">
        <f t="shared" si="20"/>
        <v>1.5</v>
      </c>
      <c r="V17" s="566">
        <f t="shared" si="20"/>
        <v>2290.0749980120049</v>
      </c>
      <c r="W17" s="569">
        <f t="shared" si="20"/>
        <v>2438.0169000000001</v>
      </c>
      <c r="X17" s="263" t="e">
        <f t="shared" si="20"/>
        <v>#NUM!</v>
      </c>
      <c r="Y17" s="290">
        <f t="shared" si="20"/>
        <v>104.663</v>
      </c>
      <c r="Z17" s="263">
        <f t="shared" si="20"/>
        <v>2394.7379980120049</v>
      </c>
      <c r="AA17" s="290">
        <f>AA58</f>
        <v>2615.8204070000002</v>
      </c>
      <c r="AC17" s="265">
        <f t="shared" si="21"/>
        <v>0.54545454545454541</v>
      </c>
      <c r="AD17" s="264">
        <f t="shared" si="21"/>
        <v>0.45454545454545453</v>
      </c>
      <c r="AE17" s="316"/>
      <c r="AF17" s="316"/>
      <c r="AG17" s="316"/>
      <c r="AH17" s="316"/>
      <c r="AI17" s="316"/>
      <c r="AJ17" s="316"/>
      <c r="AK17" s="316"/>
      <c r="AL17" s="263" t="e">
        <f t="shared" si="22"/>
        <v>#NUM!</v>
      </c>
      <c r="AM17" s="290" t="e">
        <f t="shared" si="22"/>
        <v>#NUM!</v>
      </c>
    </row>
    <row r="18" spans="1:47" s="17" customFormat="1" ht="20.25" hidden="1" customHeight="1">
      <c r="A18" s="12"/>
      <c r="B18" s="12"/>
      <c r="C18" s="578" t="s">
        <v>6</v>
      </c>
      <c r="D18" s="579">
        <f>AVERAGE(D8:D13)</f>
        <v>6642.1866160000009</v>
      </c>
      <c r="E18" s="579">
        <f>AVERAGE(E8:E13)</f>
        <v>6660.2655980000009</v>
      </c>
      <c r="F18" s="940"/>
      <c r="G18" s="940"/>
      <c r="H18" s="578"/>
      <c r="I18" s="579">
        <f t="shared" ref="I18:Z18" si="23">AVERAGE(I8:I13)</f>
        <v>738.79300000000001</v>
      </c>
      <c r="J18" s="580">
        <f t="shared" si="23"/>
        <v>667.71799999999996</v>
      </c>
      <c r="K18" s="581">
        <f t="shared" si="23"/>
        <v>0.90379578582904818</v>
      </c>
      <c r="L18" s="581">
        <f t="shared" si="23"/>
        <v>0.86809390138959153</v>
      </c>
      <c r="M18" s="582">
        <f t="shared" si="23"/>
        <v>591.03440000000001</v>
      </c>
      <c r="N18" s="583">
        <f t="shared" si="23"/>
        <v>0.8</v>
      </c>
      <c r="O18" s="580">
        <f t="shared" si="23"/>
        <v>1406.511</v>
      </c>
      <c r="P18" s="584">
        <f t="shared" si="23"/>
        <v>1329.8273999999999</v>
      </c>
      <c r="Q18" s="580">
        <f t="shared" si="23"/>
        <v>883.56399801200496</v>
      </c>
      <c r="R18" s="581">
        <f t="shared" si="23"/>
        <v>1.1959561040941171</v>
      </c>
      <c r="S18" s="581">
        <f t="shared" si="23"/>
        <v>1.1201851759981403</v>
      </c>
      <c r="T18" s="582">
        <f t="shared" si="23"/>
        <v>1108.1895</v>
      </c>
      <c r="U18" s="583">
        <f t="shared" si="23"/>
        <v>1.5</v>
      </c>
      <c r="V18" s="580">
        <f t="shared" si="23"/>
        <v>2290.0749980120049</v>
      </c>
      <c r="W18" s="584">
        <f t="shared" si="23"/>
        <v>2438.0169000000001</v>
      </c>
      <c r="X18" s="271" t="e">
        <f t="shared" si="23"/>
        <v>#DIV/0!</v>
      </c>
      <c r="Y18" s="273">
        <f t="shared" si="23"/>
        <v>104.663</v>
      </c>
      <c r="Z18" s="271">
        <f t="shared" si="23"/>
        <v>2394.7379980120049</v>
      </c>
      <c r="AA18" s="273">
        <f>AA59</f>
        <v>2615.8204070000002</v>
      </c>
      <c r="AC18" s="274">
        <f>AVERAGE(AC8:AC13)</f>
        <v>0.54545454545454541</v>
      </c>
      <c r="AD18" s="272">
        <f>AVERAGE(AD8:AD13)</f>
        <v>0.45454545454545453</v>
      </c>
      <c r="AE18" s="316"/>
      <c r="AF18" s="316"/>
      <c r="AG18" s="316"/>
      <c r="AH18" s="316"/>
      <c r="AI18" s="316"/>
      <c r="AJ18" s="316"/>
      <c r="AK18" s="316"/>
      <c r="AL18" s="271" t="e">
        <f t="shared" si="22"/>
        <v>#NUM!</v>
      </c>
      <c r="AM18" s="273" t="e">
        <f t="shared" si="22"/>
        <v>#NUM!</v>
      </c>
    </row>
    <row r="19" spans="1:47" s="17" customFormat="1" ht="20.25" hidden="1" customHeight="1">
      <c r="A19" s="12"/>
      <c r="B19" s="12"/>
      <c r="C19" s="543" t="str">
        <f>$C$3+1&amp;" Estimated Summary Statistics "</f>
        <v xml:space="preserve">2026 Estimated Summary Statistics </v>
      </c>
      <c r="D19" s="544"/>
      <c r="E19" s="544"/>
      <c r="F19" s="937"/>
      <c r="G19" s="937"/>
      <c r="H19" s="544"/>
      <c r="I19" s="544"/>
      <c r="J19" s="544"/>
      <c r="K19" s="545"/>
      <c r="L19" s="545"/>
      <c r="M19" s="544"/>
      <c r="N19" s="545"/>
      <c r="O19" s="544"/>
      <c r="P19" s="544"/>
      <c r="Q19" s="544"/>
      <c r="R19" s="545"/>
      <c r="S19" s="545"/>
      <c r="T19" s="544"/>
      <c r="U19" s="545"/>
      <c r="V19" s="544"/>
      <c r="W19" s="546"/>
      <c r="X19" s="468"/>
      <c r="Y19" s="468"/>
      <c r="Z19" s="468"/>
      <c r="AA19" s="468"/>
      <c r="AC19" s="469"/>
      <c r="AD19" s="469"/>
      <c r="AE19" s="316"/>
      <c r="AF19" s="316"/>
      <c r="AG19" s="316"/>
      <c r="AH19" s="316"/>
      <c r="AI19" s="316"/>
      <c r="AJ19" s="316"/>
      <c r="AK19" s="316"/>
      <c r="AL19" s="468"/>
      <c r="AM19" s="468"/>
    </row>
    <row r="20" spans="1:47" s="17" customFormat="1" ht="20.25" hidden="1" customHeight="1">
      <c r="A20" s="12"/>
      <c r="B20" s="17">
        <v>0.75</v>
      </c>
      <c r="C20" s="563" t="s">
        <v>9</v>
      </c>
      <c r="D20" s="564">
        <f t="shared" ref="D20:E22" si="24">PERCENTILE(D$8:D$13,$B20)</f>
        <v>8254.4819700000007</v>
      </c>
      <c r="E20" s="564">
        <f t="shared" si="24"/>
        <v>8846.5264100000004</v>
      </c>
      <c r="F20" s="938"/>
      <c r="G20" s="938"/>
      <c r="H20" s="565"/>
      <c r="I20" s="564">
        <f>I56</f>
        <v>760.95679000000007</v>
      </c>
      <c r="J20" s="566">
        <f>J56</f>
        <v>0</v>
      </c>
      <c r="K20" s="567">
        <f>K56</f>
        <v>0</v>
      </c>
      <c r="L20" s="567">
        <f>L56</f>
        <v>0</v>
      </c>
      <c r="M20" s="568">
        <f>M56</f>
        <v>608.76543200000003</v>
      </c>
      <c r="N20" s="499">
        <f t="shared" ref="N20:O22" si="25">PERCENTILE(N$8:N$13,$B20)</f>
        <v>0.8</v>
      </c>
      <c r="O20" s="566">
        <f t="shared" si="25"/>
        <v>1406.511</v>
      </c>
      <c r="P20" s="564">
        <f>P56</f>
        <v>1369.7222220000001</v>
      </c>
      <c r="Q20" s="566">
        <f>Q56</f>
        <v>0</v>
      </c>
      <c r="R20" s="567">
        <f>R56</f>
        <v>0</v>
      </c>
      <c r="S20" s="567">
        <f>S56</f>
        <v>0</v>
      </c>
      <c r="T20" s="568">
        <f>T56</f>
        <v>1141.435185</v>
      </c>
      <c r="U20" s="499">
        <f t="shared" ref="U20:V22" si="26">PERCENTILE(U$8:U$13,$B20)</f>
        <v>1.5</v>
      </c>
      <c r="V20" s="566">
        <f t="shared" si="26"/>
        <v>2290.0749980120049</v>
      </c>
      <c r="W20" s="569">
        <f>W56</f>
        <v>2511.1574070000001</v>
      </c>
      <c r="X20" s="468"/>
      <c r="Y20" s="468"/>
      <c r="Z20" s="468"/>
      <c r="AA20" s="468"/>
      <c r="AC20" s="469"/>
      <c r="AD20" s="469"/>
      <c r="AE20" s="316"/>
      <c r="AF20" s="316"/>
      <c r="AG20" s="316"/>
      <c r="AH20" s="316"/>
      <c r="AI20" s="316"/>
      <c r="AJ20" s="316"/>
      <c r="AK20" s="316"/>
      <c r="AL20" s="468"/>
      <c r="AM20" s="468"/>
    </row>
    <row r="21" spans="1:47" s="17" customFormat="1" ht="20.25" hidden="1" customHeight="1">
      <c r="A21" s="12"/>
      <c r="B21" s="17">
        <v>0.5</v>
      </c>
      <c r="C21" s="570" t="s">
        <v>8</v>
      </c>
      <c r="D21" s="571">
        <f t="shared" si="24"/>
        <v>5554.9869099999996</v>
      </c>
      <c r="E21" s="571">
        <f t="shared" si="24"/>
        <v>6834.0846799999999</v>
      </c>
      <c r="F21" s="939"/>
      <c r="G21" s="939"/>
      <c r="H21" s="572"/>
      <c r="I21" s="571">
        <f t="shared" ref="I21:M23" si="27">I57</f>
        <v>760.95679000000007</v>
      </c>
      <c r="J21" s="573">
        <f t="shared" si="27"/>
        <v>0</v>
      </c>
      <c r="K21" s="574">
        <f t="shared" si="27"/>
        <v>0</v>
      </c>
      <c r="L21" s="574">
        <f t="shared" si="27"/>
        <v>0</v>
      </c>
      <c r="M21" s="575">
        <f t="shared" si="27"/>
        <v>608.76543200000003</v>
      </c>
      <c r="N21" s="576">
        <f t="shared" si="25"/>
        <v>0.8</v>
      </c>
      <c r="O21" s="573">
        <f t="shared" si="25"/>
        <v>1406.511</v>
      </c>
      <c r="P21" s="571">
        <f t="shared" ref="P21:T23" si="28">P57</f>
        <v>1369.7222220000001</v>
      </c>
      <c r="Q21" s="573">
        <f t="shared" si="28"/>
        <v>0</v>
      </c>
      <c r="R21" s="574">
        <f t="shared" si="28"/>
        <v>0</v>
      </c>
      <c r="S21" s="574">
        <f t="shared" si="28"/>
        <v>0</v>
      </c>
      <c r="T21" s="575">
        <f t="shared" si="28"/>
        <v>1141.435185</v>
      </c>
      <c r="U21" s="576">
        <f t="shared" si="26"/>
        <v>1.5</v>
      </c>
      <c r="V21" s="573">
        <f t="shared" si="26"/>
        <v>2290.0749980120049</v>
      </c>
      <c r="W21" s="577">
        <f>W57</f>
        <v>2511.1574070000001</v>
      </c>
      <c r="X21" s="468"/>
      <c r="Y21" s="468"/>
      <c r="Z21" s="468"/>
      <c r="AA21" s="468"/>
      <c r="AC21" s="469"/>
      <c r="AD21" s="469"/>
      <c r="AE21" s="316"/>
      <c r="AF21" s="316"/>
      <c r="AG21" s="316"/>
      <c r="AH21" s="316"/>
      <c r="AI21" s="316"/>
      <c r="AJ21" s="316"/>
      <c r="AK21" s="316"/>
      <c r="AL21" s="468"/>
      <c r="AM21" s="468"/>
    </row>
    <row r="22" spans="1:47" s="17" customFormat="1" ht="20.25" hidden="1" customHeight="1">
      <c r="A22" s="12"/>
      <c r="B22" s="17">
        <v>0.25</v>
      </c>
      <c r="C22" s="563" t="s">
        <v>7</v>
      </c>
      <c r="D22" s="564">
        <f t="shared" si="24"/>
        <v>2054.8528000000001</v>
      </c>
      <c r="E22" s="564">
        <f t="shared" si="24"/>
        <v>1190.4233200000001</v>
      </c>
      <c r="F22" s="938"/>
      <c r="G22" s="938"/>
      <c r="H22" s="565"/>
      <c r="I22" s="564">
        <f t="shared" si="27"/>
        <v>760.95679000000007</v>
      </c>
      <c r="J22" s="566">
        <f t="shared" si="27"/>
        <v>0</v>
      </c>
      <c r="K22" s="567">
        <f t="shared" si="27"/>
        <v>0</v>
      </c>
      <c r="L22" s="567">
        <f t="shared" si="27"/>
        <v>0</v>
      </c>
      <c r="M22" s="568">
        <f t="shared" si="27"/>
        <v>608.76543200000003</v>
      </c>
      <c r="N22" s="499">
        <f t="shared" si="25"/>
        <v>0.8</v>
      </c>
      <c r="O22" s="566">
        <f t="shared" si="25"/>
        <v>1406.511</v>
      </c>
      <c r="P22" s="564">
        <f t="shared" si="28"/>
        <v>1369.7222220000001</v>
      </c>
      <c r="Q22" s="566">
        <f t="shared" si="28"/>
        <v>0</v>
      </c>
      <c r="R22" s="567">
        <f t="shared" si="28"/>
        <v>0</v>
      </c>
      <c r="S22" s="567">
        <f t="shared" si="28"/>
        <v>0</v>
      </c>
      <c r="T22" s="568">
        <f t="shared" si="28"/>
        <v>1141.435185</v>
      </c>
      <c r="U22" s="499">
        <f t="shared" si="26"/>
        <v>1.5</v>
      </c>
      <c r="V22" s="566">
        <f t="shared" si="26"/>
        <v>2290.0749980120049</v>
      </c>
      <c r="W22" s="569">
        <f>W58</f>
        <v>2511.1574070000001</v>
      </c>
      <c r="X22" s="468"/>
      <c r="Y22" s="468"/>
      <c r="Z22" s="468"/>
      <c r="AA22" s="468"/>
      <c r="AC22" s="469"/>
      <c r="AD22" s="469"/>
      <c r="AE22" s="316"/>
      <c r="AF22" s="316"/>
      <c r="AG22" s="316"/>
      <c r="AH22" s="316"/>
      <c r="AI22" s="316"/>
      <c r="AJ22" s="316"/>
      <c r="AK22" s="316"/>
      <c r="AL22" s="468"/>
      <c r="AM22" s="468"/>
    </row>
    <row r="23" spans="1:47" s="17" customFormat="1" ht="20.25" hidden="1" customHeight="1">
      <c r="A23" s="12"/>
      <c r="B23" s="12"/>
      <c r="C23" s="578" t="s">
        <v>6</v>
      </c>
      <c r="D23" s="579">
        <f>AVERAGE(D11:D18)</f>
        <v>5986.8532137142856</v>
      </c>
      <c r="E23" s="579">
        <f>AVERAGE(E11:E18)</f>
        <v>5878.8595582857151</v>
      </c>
      <c r="F23" s="940"/>
      <c r="G23" s="940"/>
      <c r="H23" s="578"/>
      <c r="I23" s="579">
        <f t="shared" si="27"/>
        <v>760.95679000000007</v>
      </c>
      <c r="J23" s="580">
        <f t="shared" si="27"/>
        <v>0</v>
      </c>
      <c r="K23" s="581">
        <f t="shared" si="27"/>
        <v>0</v>
      </c>
      <c r="L23" s="581">
        <f t="shared" si="27"/>
        <v>0</v>
      </c>
      <c r="M23" s="582">
        <f t="shared" si="27"/>
        <v>608.76543200000003</v>
      </c>
      <c r="N23" s="583">
        <f>AVERAGE(N11:N18)</f>
        <v>0.8</v>
      </c>
      <c r="O23" s="580">
        <f>AVERAGE(O11:O18)</f>
        <v>1406.511</v>
      </c>
      <c r="P23" s="579">
        <f t="shared" si="28"/>
        <v>1369.7222220000001</v>
      </c>
      <c r="Q23" s="580">
        <f t="shared" si="28"/>
        <v>0</v>
      </c>
      <c r="R23" s="581">
        <f t="shared" si="28"/>
        <v>0</v>
      </c>
      <c r="S23" s="581">
        <f t="shared" si="28"/>
        <v>0</v>
      </c>
      <c r="T23" s="582">
        <f t="shared" si="28"/>
        <v>1141.435185</v>
      </c>
      <c r="U23" s="583">
        <f>AVERAGE(U11:U18)</f>
        <v>1.5</v>
      </c>
      <c r="V23" s="580">
        <f>AVERAGE(V11:V18)</f>
        <v>2290.0749980120049</v>
      </c>
      <c r="W23" s="584">
        <f>W59</f>
        <v>2511.1574070000001</v>
      </c>
      <c r="X23" s="468"/>
      <c r="Y23" s="468"/>
      <c r="Z23" s="468"/>
      <c r="AA23" s="468"/>
      <c r="AC23" s="469"/>
      <c r="AD23" s="469"/>
      <c r="AE23" s="316"/>
      <c r="AF23" s="316"/>
      <c r="AG23" s="316"/>
      <c r="AH23" s="316"/>
      <c r="AI23" s="316"/>
      <c r="AJ23" s="316"/>
      <c r="AK23" s="316"/>
      <c r="AL23" s="468"/>
      <c r="AM23" s="468"/>
    </row>
    <row r="24" spans="1:47" ht="7.5" hidden="1" customHeight="1" thickBot="1">
      <c r="C24" s="585"/>
      <c r="D24" s="585"/>
      <c r="E24" s="585"/>
      <c r="F24" s="941"/>
      <c r="G24" s="941"/>
      <c r="H24" s="585"/>
      <c r="I24" s="586"/>
      <c r="J24" s="587"/>
      <c r="K24" s="588"/>
      <c r="L24" s="588"/>
      <c r="M24" s="586"/>
      <c r="N24" s="589"/>
      <c r="O24" s="587"/>
      <c r="P24" s="586"/>
      <c r="Q24" s="586"/>
      <c r="R24" s="589"/>
      <c r="S24" s="589"/>
      <c r="T24" s="587"/>
      <c r="U24" s="588"/>
      <c r="V24" s="587"/>
      <c r="W24" s="586"/>
      <c r="X24" s="277"/>
      <c r="Y24" s="276"/>
      <c r="Z24" s="275"/>
      <c r="AA24" s="275"/>
      <c r="AC24" s="259"/>
      <c r="AD24" s="259"/>
      <c r="AE24" s="316"/>
      <c r="AF24" s="316"/>
      <c r="AG24" s="316"/>
      <c r="AH24" s="316"/>
      <c r="AI24" s="316"/>
      <c r="AJ24" s="316"/>
      <c r="AK24" s="316"/>
    </row>
    <row r="25" spans="1:47" s="35" customFormat="1" ht="129" hidden="1" customHeight="1" thickBot="1">
      <c r="A25" s="35" t="str">
        <f>$B28&amp;"_"&amp;$C$3&amp;"_"&amp;$C$2&amp;2</f>
        <v>TSX:HBM_2025_Region2</v>
      </c>
      <c r="B25" s="35" t="str">
        <f>'Raw Data'!H6</f>
        <v>TSX:HBM</v>
      </c>
      <c r="C25" s="764" t="str">
        <f>IFERROR(INDEX(Raw_Data,MATCH($A25,Look_Up2,0),MATCH(C$4,Component,0)),"-")</f>
        <v>-</v>
      </c>
      <c r="D25" s="765">
        <f>_xll.ciqfunctions.udf.CIQ(B25, "IQ_MARKETCAP", $A$1,$A$2)</f>
        <v>5664.3295799999996</v>
      </c>
      <c r="E25" s="765">
        <f>_xll.ciqfunctions.udf.CIQ($B25, "IQ_TEV", $A$1,$A$2)</f>
        <v>6773.8200500000003</v>
      </c>
      <c r="F25" s="942" t="str">
        <f>IFERROR(INDEX(Raw_Data,MATCH($A25,Look_Up2,0),MATCH(F$4,Component,0)),"-")</f>
        <v>-</v>
      </c>
      <c r="G25" s="942" t="str">
        <f>IFERROR(INDEX(Raw_Data,MATCH($A25,Look_Up2,0),MATCH(G$4,Component,0)),"-")</f>
        <v>-</v>
      </c>
      <c r="H25" s="766" t="str">
        <f>IFERROR(INDEX(Raw_Data,MATCH($A25,Look_Up2,0),MATCH(H$4,Component,0))/1000,"-")</f>
        <v>-</v>
      </c>
      <c r="I25" s="765" t="str">
        <f>IFERROR(INDEX(Raw_Data,MATCH($A25,Look_Up2,0),MATCH(I$4,Component,0))/1000,"-")</f>
        <v>-</v>
      </c>
      <c r="J25" s="765" t="str">
        <f>IFERROR(INDEX(Raw_Data,MATCH($A25,Look_Up2,0),MATCH(J$4,Component,0))/1000,"-")</f>
        <v>-</v>
      </c>
      <c r="K25" s="767" t="str">
        <f>IFERROR(INDEX(Raw_Data,MATCH($A25,Look_Up2,0),MATCH(K$4,Component,0)),"-")</f>
        <v>-</v>
      </c>
      <c r="L25" s="767" t="str">
        <f>IFERROR(INDEX(Raw_Data,MATCH($A25,Look_Up2,0),MATCH(L$4,Component,0)),"-")</f>
        <v>-</v>
      </c>
      <c r="M25" s="765" t="str">
        <f>IFERROR(INDEX(Raw_Data,MATCH($A25,Look_Up2,0),MATCH(M$4,Component,0))/1000,"-")</f>
        <v>-</v>
      </c>
      <c r="N25" s="767" t="str">
        <f>IFERROR(IF(INDEX(Raw_Data,MATCH($A25,Look_Up2,0),MATCH(N$4,Component,0))="-",L25,INDEX(Raw_Data,MATCH($A25,Look_Up2,0),MATCH(N$4,Component,0))),"-")</f>
        <v>-</v>
      </c>
      <c r="O25" s="765" t="s">
        <v>78</v>
      </c>
      <c r="P25" s="765" t="str">
        <f>IFERROR(INDEX(Raw_Data,MATCH($A25,Look_Up2,0),MATCH(P$4,Component,0))/1000,"-")</f>
        <v>-</v>
      </c>
      <c r="Q25" s="765" t="str">
        <f>IFERROR(INDEX(Raw_Data,MATCH($A25,Look_Up2,0),MATCH(Q$4,Component,0))/1000,"-")</f>
        <v>-</v>
      </c>
      <c r="R25" s="767" t="str">
        <f>IFERROR(INDEX(Raw_Data,MATCH($A25,Look_Up2,0),MATCH(R$4,Component,0)),"-")</f>
        <v>-</v>
      </c>
      <c r="S25" s="767" t="str">
        <f>IFERROR(INDEX(Raw_Data,MATCH($A25,Look_Up2,0),MATCH(S$4,Component,0)),"-")</f>
        <v>-</v>
      </c>
      <c r="T25" s="765" t="str">
        <f>IFERROR(INDEX(Raw_Data,MATCH($A25,Look_Up2,0),MATCH(T$4,Component,0))/1000,"-")</f>
        <v>-</v>
      </c>
      <c r="U25" s="767" t="str">
        <f>IFERROR(IF(INDEX(Raw_Data,MATCH($A25,Look_Up2,0),MATCH(U$4,Component,0))="-",S25,INDEX(Raw_Data,MATCH($A25,Look_Up2,0),MATCH(U$4,Component,0))),"-")</f>
        <v>-</v>
      </c>
      <c r="V25" s="765" t="s">
        <v>78</v>
      </c>
      <c r="W25" s="768" t="str">
        <f>IFERROR(INDEX(Raw_Data,MATCH($A25,Look_Up2,0),MATCH(W$4,Component,0))/1000,"-")</f>
        <v>-</v>
      </c>
      <c r="X25" s="763" t="str">
        <f>IFERROR((INDEX(Raw_Data,MATCH($A25,Look_Up2,0),MATCH(X$4,Component,0))/1000),"-")</f>
        <v>-</v>
      </c>
      <c r="Y25" s="278" t="str">
        <f>IFERROR((INDEX(Raw_Data,MATCH($A25,Look_Up2,0),MATCH(Y$4,Component,0))/1000),"-")</f>
        <v>-</v>
      </c>
      <c r="Z25" s="278" t="str">
        <f>IFERROR(INDEX(Raw_Data,MATCH($A25,Look_Up2,0),MATCH(Z$4,Component,0))/1000,"-")</f>
        <v>-</v>
      </c>
      <c r="AA25" s="292" t="str">
        <f>IFERROR(INDEX(Raw_Data,MATCH($A25,Look_Up2,0),MATCH(AA$4,Component,0))/1000,"-")</f>
        <v>-</v>
      </c>
      <c r="AC25" s="279">
        <f>IFERROR(P25/W25,0)</f>
        <v>0</v>
      </c>
      <c r="AD25" s="293">
        <f>IFERROR(T25/W25,0)</f>
        <v>0</v>
      </c>
      <c r="AE25" s="316" t="str">
        <f>B25&amp;"_"&amp;$AE$6&amp;"_"&amp;$C$2</f>
        <v>TSX:HBM_2023_Region</v>
      </c>
      <c r="AF25" s="316"/>
      <c r="AG25" s="316"/>
      <c r="AH25" s="316"/>
      <c r="AI25" s="316"/>
      <c r="AJ25" s="316"/>
      <c r="AK25" s="316"/>
      <c r="AL25" s="477" t="str" cm="1">
        <f t="array" ref="AL25">IFERROR(INDEX(#REF!,_xlfn.XMATCH(Region!$AE25,#REF!),_xlfn.XMATCH(Region!AL$5,#REF!)),"-")</f>
        <v>-</v>
      </c>
      <c r="AM25" s="478" t="str" cm="1">
        <f t="array" ref="AM25">IFERROR(INDEX(#REF!,_xlfn.XMATCH(Region!$AE25,#REF!),_xlfn.XMATCH(Region!AM$5,#REF!)),"-")</f>
        <v>-</v>
      </c>
      <c r="AP25" s="930" t="s">
        <v>540</v>
      </c>
      <c r="AQ25" s="931"/>
      <c r="AR25" s="931" t="s">
        <v>527</v>
      </c>
      <c r="AS25" s="931" t="s">
        <v>285</v>
      </c>
      <c r="AT25" s="931" t="s">
        <v>541</v>
      </c>
      <c r="AU25" s="922" t="s">
        <v>543</v>
      </c>
    </row>
    <row r="26" spans="1:47" ht="20.25" hidden="1" customHeight="1">
      <c r="B26" s="33"/>
      <c r="C26" s="552" t="s">
        <v>5</v>
      </c>
      <c r="D26" s="553">
        <f>IF(D$25&gt;=MAX(D$8:D$13),"max",IF(D$25&lt;=MIN(D$8:D$13),"min",PERCENTRANK(D$8:D$13,D$25)))</f>
        <v>0.51</v>
      </c>
      <c r="E26" s="553">
        <f>IF(E$25&gt;=MAX(E$8:E$13),"max",IF(E$25&lt;=MIN(E$8:E$13),"min",PERCENTRANK(E$8:E$13,E$25)))</f>
        <v>0.497</v>
      </c>
      <c r="F26" s="943"/>
      <c r="G26" s="943"/>
      <c r="H26" s="554"/>
      <c r="I26" s="553" t="str">
        <f>IF(I$25&gt;=MAX(I$35:I$54),"max",IF(I$25&lt;=MIN(I$35:I$54),"min",PERCENTRANK(I$35:I$54,I$25)))</f>
        <v>max</v>
      </c>
      <c r="J26" s="553" t="str">
        <f>IF(J$25&gt;=MAX(J$8:J$13),"max",IF(J$25&lt;=MIN(J$8:J$13),"min",PERCENTRANK(J$8:J$13,J$25)))</f>
        <v>max</v>
      </c>
      <c r="K26" s="553" t="str">
        <f>IF(K$25&gt;=MAX(K$8:K$13),"max",IF(K$25&lt;=MIN(K$8:K$13),"min",PERCENTRANK(K$8:K$13,K$25)))</f>
        <v>max</v>
      </c>
      <c r="L26" s="553" t="str">
        <f>IF(L$25&gt;=MAX(L$8:L$13),"max",IF(L$25&lt;=MIN(L$8:L$13),"min",PERCENTRANK(L$8:L$13,L$25)))</f>
        <v>max</v>
      </c>
      <c r="M26" s="553" t="str">
        <f>IF(M$25&gt;=MAX(M$35:M$54),"max",IF(M$25&lt;=MIN(M$35:M$54),"min",PERCENTRANK(M$35:M$54,M$25)))</f>
        <v>max</v>
      </c>
      <c r="N26" s="553" t="str">
        <f>IF(N$25&gt;=MAX(N$8:N$13),"max",IF(N$25&lt;=MIN(N$8:N$13),"min",PERCENTRANK(N$8:N$13,N$25)))</f>
        <v>max</v>
      </c>
      <c r="O26" s="553" t="s">
        <v>78</v>
      </c>
      <c r="P26" s="553" t="str">
        <f>IF(P$25&gt;=MAX(P$35:P$54),"max",IF(P$25&lt;=MIN(P$35:P$54),"min",PERCENTRANK(P$35:P$54,P$25)))</f>
        <v>max</v>
      </c>
      <c r="Q26" s="553" t="str">
        <f>IF(Q$25&gt;=MAX(Q$8:Q$13),"max",IF(Q$25&lt;=MIN(Q$8:Q$13),"min",PERCENTRANK(Q$8:Q$13,Q$25)))</f>
        <v>max</v>
      </c>
      <c r="R26" s="553" t="str">
        <f>IF(R$25&gt;=MAX(R$8:R$13),"max",IF(R$25&lt;=MIN(R$8:R$13),"min",PERCENTRANK(R$8:R$13,R$25)))</f>
        <v>max</v>
      </c>
      <c r="S26" s="553" t="str">
        <f>IF(S$25&gt;=MAX(S$8:S$13),"max",IF(S$25&lt;=MIN(S$8:S$13),"min",PERCENTRANK(S$8:S$13,S$25)))</f>
        <v>max</v>
      </c>
      <c r="T26" s="553" t="str">
        <f>IF(T$25&gt;=MAX(T$35:T$54),"max",IF(T$25&lt;=MIN(T$35:T$54),"min",PERCENTRANK(T$35:T$54,T$25)))</f>
        <v>max</v>
      </c>
      <c r="U26" s="553" t="str">
        <f>IF(U$25&gt;=MAX(U$8:U$13),"max",IF(U$25&lt;=MIN(U$8:U$13),"min",PERCENTRANK(U$8:U$13,U$25)))</f>
        <v>max</v>
      </c>
      <c r="V26" s="553" t="s">
        <v>78</v>
      </c>
      <c r="W26" s="555" t="str">
        <f>IF(W$25&gt;=MAX(W$35:W$54),"max",IF(W$25&lt;=MIN(W$35:W$54),"min",PERCENTRANK(W$35:W$54,W$25)))</f>
        <v>max</v>
      </c>
      <c r="X26" s="280" t="str">
        <f>IF(X$25&gt;=MAX(X$8:X$13),"max",IF(X$25&lt;=MIN(X$8:X$13),"min",PERCENTRANK(X$8:X$13,X$25)))</f>
        <v>max</v>
      </c>
      <c r="Y26" s="280" t="str">
        <f>IF(Y$25&gt;=MAX(Y$8:Y$13),"max",IF(Y$25&lt;=MIN(Y$8:Y$13),"min",PERCENTRANK(Y$8:Y$13,Y$25)))</f>
        <v>max</v>
      </c>
      <c r="Z26" s="280" t="str">
        <f>IF(Z$25&gt;=MAX(Z$8:Z$13),"max",IF(Z$25&lt;=MIN(Z$8:Z$13),"min",PERCENTRANK(Z$8:Z$13,Z$25)))</f>
        <v>max</v>
      </c>
      <c r="AA26" s="281" t="str">
        <f>IF(AA$25&gt;=MAX(AA$35:AA$54),"max",IF(AA$25&lt;=MIN(AA$35:AA$54),"min",PERCENTRANK(AA$35:AA$54,AA$25)))</f>
        <v>max</v>
      </c>
      <c r="AC26" s="282" t="str">
        <f>IF(AC$25&gt;=MAX(AC$8:AC13),"max",IF(AC$25&lt;=MIN(AC$8:AC13),"min",PERCENTRANK(AC$8:AC13,AC$25)))</f>
        <v>min</v>
      </c>
      <c r="AD26" s="283" t="str">
        <f>IF(AD$25&gt;=MAX(AD$8:AD13),"max",IF(AD$25&lt;=MIN(AD$8:AD13),"min",PERCENTRANK(AD$8:AD13,AD$25)))</f>
        <v>min</v>
      </c>
      <c r="AE26" s="316"/>
      <c r="AF26" s="316"/>
      <c r="AG26" s="316"/>
      <c r="AH26" s="316"/>
      <c r="AI26" s="316"/>
      <c r="AJ26" s="316"/>
      <c r="AK26" s="316"/>
    </row>
    <row r="27" spans="1:47" ht="18" customHeight="1">
      <c r="B27" s="33"/>
      <c r="C27" s="822"/>
      <c r="D27" s="822"/>
      <c r="E27" s="585"/>
      <c r="F27" s="941"/>
      <c r="G27" s="941"/>
      <c r="H27" s="585"/>
      <c r="I27" s="586"/>
      <c r="J27" s="586"/>
      <c r="K27" s="586"/>
      <c r="L27" s="586"/>
      <c r="M27" s="586"/>
      <c r="N27" s="586"/>
      <c r="O27" s="586"/>
      <c r="P27" s="586"/>
      <c r="Q27" s="586"/>
      <c r="R27" s="586"/>
      <c r="S27" s="586"/>
      <c r="T27" s="586"/>
      <c r="U27" s="586"/>
      <c r="V27" s="586"/>
      <c r="W27" s="586"/>
      <c r="X27" s="275"/>
      <c r="Y27" s="275"/>
      <c r="Z27" s="275"/>
      <c r="AA27" s="275"/>
      <c r="AC27" s="259"/>
      <c r="AD27" s="259"/>
      <c r="AE27" s="316"/>
      <c r="AF27" s="316"/>
      <c r="AG27" s="316"/>
      <c r="AH27" s="316"/>
      <c r="AI27" s="316"/>
      <c r="AJ27" s="316"/>
      <c r="AK27" s="316"/>
    </row>
    <row r="28" spans="1:47" s="35" customFormat="1" ht="37.5" customHeight="1">
      <c r="A28" s="35" t="str">
        <f>$B28&amp;"_"&amp;$C$3&amp;"_"&amp;$C$2</f>
        <v>TSX:HBM_2025_Region</v>
      </c>
      <c r="B28" s="35" t="str">
        <f>B25</f>
        <v>TSX:HBM</v>
      </c>
      <c r="C28" s="1321" t="str">
        <f>IFERROR(INDEX(Raw_Data,MATCH($A28,Look_Up2,0),MATCH(C$4,Component,0)),"-")</f>
        <v>Hudbay Minerals Inc.</v>
      </c>
      <c r="D28" s="1322" t="str">
        <f>_xll.ciqfunctions.udf.CIQ(B28, "IQ_MARKETCAP", $A$1,$A$2)</f>
        <v>#PEND</v>
      </c>
      <c r="E28" s="1322" t="str">
        <f>_xll.ciqfunctions.udf.CIQ($B28, "IQ_TEV", $A$1,$A$2)</f>
        <v>#PEND</v>
      </c>
      <c r="F28" s="1323" t="str">
        <f>IFERROR(INDEX(Raw_Data,MATCH($A28,Look_Up2,0),MATCH(F$4,Component,0)),"-")</f>
        <v>Javier Del Rio</v>
      </c>
      <c r="G28" s="1323" t="str">
        <f>IFERROR(INDEX(Raw_Data,MATCH($A28,Look_Up2,0),MATCH(G$4,Component,0)),"-")</f>
        <v>SVP, US Business Unit</v>
      </c>
      <c r="H28" s="1324">
        <f>IFERROR(INDEX(Raw_Data,MATCH($A28,Look_Up2,0),MATCH(H$4,Component,0))/1000,"-")</f>
        <v>639.90499999999997</v>
      </c>
      <c r="I28" s="1322">
        <f>IFERROR(INDEX(Raw_Data,MATCH($A28,Look_Up2,0),MATCH(I$4,Component,0))/1000,"-")</f>
        <v>639.90499999999997</v>
      </c>
      <c r="J28" s="1322">
        <f>IFERROR(INDEX(Raw_Data,MATCH($A28,Look_Up2,0),MATCH(J$4,Component,0))/1000,"-")</f>
        <v>468.48</v>
      </c>
      <c r="K28" s="1325">
        <f>IFERROR(INDEX(Raw_Data,MATCH($A28,Look_Up2,0),MATCH(K$4,Component,0)),"-")</f>
        <v>0.73210867238105659</v>
      </c>
      <c r="L28" s="1325">
        <f>IFERROR(INDEX(Raw_Data,MATCH($A28,Look_Up2,0),MATCH(L$4,Component,0)),"-")</f>
        <v>0.75223656256731275</v>
      </c>
      <c r="M28" s="1322">
        <f>IFERROR(INDEX(Raw_Data,MATCH($A28,Look_Up2,0),MATCH(M$4,Component,0))/1000,"-")</f>
        <v>383.94299999999998</v>
      </c>
      <c r="N28" s="1325">
        <f>IFERROR(IF(INDEX(Raw_Data,MATCH($A28,Look_Up2,0),MATCH(N$4,Component,0))="-",L28,INDEX(Raw_Data,MATCH($A28,Look_Up2,0),MATCH(N$4,Component,0))),"-")</f>
        <v>0.6</v>
      </c>
      <c r="O28" s="1322" t="s">
        <v>78</v>
      </c>
      <c r="P28" s="1322">
        <f>IFERROR(INDEX(Raw_Data,MATCH($A28,Look_Up2,0),MATCH(P$4,Component,0))/1000,"-")</f>
        <v>1023.848</v>
      </c>
      <c r="Q28" s="1322">
        <f>IFERROR(INDEX(Raw_Data,MATCH($A28,Look_Up2,0),MATCH(Q$4,Component,0))/1000,"-")</f>
        <v>753.952</v>
      </c>
      <c r="R28" s="1325" t="str">
        <f>IFERROR(INDEX(Raw_Data,MATCH($A28,Look_Up2,0),MATCH(R$4,Component,0)),"-")</f>
        <v>-</v>
      </c>
      <c r="S28" s="1325" t="str">
        <f>IFERROR(INDEX(Raw_Data,MATCH($A28,Look_Up2,0),MATCH(S$4,Component,0)),"-")</f>
        <v>N/A</v>
      </c>
      <c r="T28" s="1322">
        <f>IFERROR(INDEX(Raw_Data,MATCH($A28,Look_Up2,0),MATCH(T$4,Component,0))/1000,"-")</f>
        <v>767.88599999999997</v>
      </c>
      <c r="U28" s="1325">
        <f>IFERROR(IF(INDEX(Raw_Data,MATCH($A28,Look_Up2,0),MATCH(U$4,Component,0))="-",S28,INDEX(Raw_Data,MATCH($A28,Look_Up2,0),MATCH(U$4,Component,0))),"-")</f>
        <v>1.2</v>
      </c>
      <c r="V28" s="1322" t="s">
        <v>78</v>
      </c>
      <c r="W28" s="1326">
        <f>IFERROR(INDEX(Raw_Data,MATCH($A28,Look_Up2,0),MATCH(W$4,Component,0))/1000,"-")</f>
        <v>1791.7339999999999</v>
      </c>
      <c r="X28" s="1327">
        <f>IFERROR((INDEX(Raw_Data,MATCH($A28,Look_Up2,0),MATCH(X$4,Component,0))/1000),"-")</f>
        <v>14.385</v>
      </c>
      <c r="Y28" s="1328" t="str">
        <f>IFERROR((INDEX(Raw_Data,MATCH($A28,Look_Up2,0),MATCH(Y$4,Component,0))/1000),"-")</f>
        <v>-</v>
      </c>
      <c r="Z28" s="1328">
        <f>IFERROR(INDEX(Raw_Data,MATCH($A28,Look_Up2,0),MATCH(Z$4,Component,0))/1000,"-")</f>
        <v>1876.722</v>
      </c>
      <c r="AA28" s="478">
        <f>IFERROR(INDEX(Raw_Data,MATCH($A28,Look_Up2,0),MATCH(AA$4,Component,0))/1000,"-")</f>
        <v>1806.1189999999999</v>
      </c>
      <c r="AC28" s="279">
        <f>IFERROR(P28/W28,0)</f>
        <v>0.5714285714285714</v>
      </c>
      <c r="AD28" s="293">
        <f>IFERROR(T28/W28,0)</f>
        <v>0.42857142857142855</v>
      </c>
      <c r="AE28" s="316" t="str">
        <f>B28&amp;"_"&amp;$AE$6&amp;"_"&amp;$C$2</f>
        <v>TSX:HBM_2023_Region</v>
      </c>
      <c r="AF28" s="316"/>
      <c r="AG28" s="316"/>
      <c r="AH28" s="316"/>
      <c r="AI28" s="316"/>
      <c r="AJ28" s="316"/>
      <c r="AK28" s="316"/>
      <c r="AL28" s="477" t="str" cm="1">
        <f t="array" ref="AL28">IFERROR(INDEX(#REF!,_xlfn.XMATCH(Region!$AE28,#REF!),_xlfn.XMATCH(Region!AL$5,#REF!)),"-")</f>
        <v>-</v>
      </c>
      <c r="AM28" s="478" t="str" cm="1">
        <f t="array" ref="AM28">IFERROR(INDEX(#REF!,_xlfn.XMATCH(Region!$AE28,#REF!),_xlfn.XMATCH(Region!AM$5,#REF!)),"-")</f>
        <v>-</v>
      </c>
    </row>
    <row r="29" spans="1:47" ht="20.25" hidden="1" customHeight="1">
      <c r="B29" s="33"/>
      <c r="C29" s="552" t="s">
        <v>5</v>
      </c>
      <c r="D29" s="553">
        <f>IF(D$25&gt;=MAX(D$8:D$13),"max",IF(D$25&lt;=MIN(D$8:D$13),"min",PERCENTRANK(D$8:D$13,D$25)))</f>
        <v>0.51</v>
      </c>
      <c r="E29" s="553">
        <f>IF(E$25&gt;=MAX(E$8:E$13),"max",IF(E$25&lt;=MIN(E$8:E$13),"min",PERCENTRANK(E$8:E$13,E$25)))</f>
        <v>0.497</v>
      </c>
      <c r="F29" s="943"/>
      <c r="G29" s="943"/>
      <c r="H29" s="554"/>
      <c r="I29" s="553" t="str">
        <f>IF(I$25&gt;=MAX(I$35:I$54),"max",IF(I$25&lt;=MIN(I$35:I$54),"min",PERCENTRANK(I$35:I$54,I$25)))</f>
        <v>max</v>
      </c>
      <c r="J29" s="553" t="str">
        <f>IF(J$25&gt;=MAX(J$8:J$13),"max",IF(J$25&lt;=MIN(J$8:J$13),"min",PERCENTRANK(J$8:J$13,J$25)))</f>
        <v>max</v>
      </c>
      <c r="K29" s="553" t="str">
        <f>IF(K$25&gt;=MAX(K$8:K$13),"max",IF(K$25&lt;=MIN(K$8:K$13),"min",PERCENTRANK(K$8:K$13,K$25)))</f>
        <v>max</v>
      </c>
      <c r="L29" s="553" t="str">
        <f>IF(L$25&gt;=MAX(L$8:L$13),"max",IF(L$25&lt;=MIN(L$8:L$13),"min",PERCENTRANK(L$8:L$13,L$25)))</f>
        <v>max</v>
      </c>
      <c r="M29" s="553" t="str">
        <f>IF(M$25&gt;=MAX(M$35:M$54),"max",IF(M$25&lt;=MIN(M$35:M$54),"min",PERCENTRANK(M$35:M$54,M$25)))</f>
        <v>max</v>
      </c>
      <c r="N29" s="553" t="str">
        <f>IF(N$25&gt;=MAX(N$8:N$13),"max",IF(N$25&lt;=MIN(N$8:N$13),"min",PERCENTRANK(N$8:N$13,N$25)))</f>
        <v>max</v>
      </c>
      <c r="O29" s="553" t="s">
        <v>78</v>
      </c>
      <c r="P29" s="553" t="str">
        <f>IF(P$25&gt;=MAX(P$35:P$54),"max",IF(P$25&lt;=MIN(P$35:P$54),"min",PERCENTRANK(P$35:P$54,P$25)))</f>
        <v>max</v>
      </c>
      <c r="Q29" s="553" t="str">
        <f>IF(Q$25&gt;=MAX(Q$8:Q$13),"max",IF(Q$25&lt;=MIN(Q$8:Q$13),"min",PERCENTRANK(Q$8:Q$13,Q$25)))</f>
        <v>max</v>
      </c>
      <c r="R29" s="553" t="str">
        <f>IF(R$25&gt;=MAX(R$8:R$13),"max",IF(R$25&lt;=MIN(R$8:R$13),"min",PERCENTRANK(R$8:R$13,R$25)))</f>
        <v>max</v>
      </c>
      <c r="S29" s="553" t="str">
        <f>IF(S$25&gt;=MAX(S$8:S$13),"max",IF(S$25&lt;=MIN(S$8:S$13),"min",PERCENTRANK(S$8:S$13,S$25)))</f>
        <v>max</v>
      </c>
      <c r="T29" s="553" t="str">
        <f>IF(T$25&gt;=MAX(T$35:T$54),"max",IF(T$25&lt;=MIN(T$35:T$54),"min",PERCENTRANK(T$35:T$54,T$25)))</f>
        <v>max</v>
      </c>
      <c r="U29" s="553" t="str">
        <f>IF(U$25&gt;=MAX(U$8:U$13),"max",IF(U$25&lt;=MIN(U$8:U$13),"min",PERCENTRANK(U$8:U$13,U$25)))</f>
        <v>max</v>
      </c>
      <c r="V29" s="553" t="s">
        <v>78</v>
      </c>
      <c r="W29" s="555" t="str">
        <f>IF(W$25&gt;=MAX(W$35:W$54),"max",IF(W$25&lt;=MIN(W$35:W$54),"min",PERCENTRANK(W$35:W$54,W$25)))</f>
        <v>max</v>
      </c>
      <c r="X29" s="280" t="str">
        <f>IF(X$25&gt;=MAX(X$8:X$13),"max",IF(X$25&lt;=MIN(X$8:X$13),"min",PERCENTRANK(X$8:X$13,X$25)))</f>
        <v>max</v>
      </c>
      <c r="Y29" s="280" t="str">
        <f>IF(Y$25&gt;=MAX(Y$8:Y$13),"max",IF(Y$25&lt;=MIN(Y$8:Y$13),"min",PERCENTRANK(Y$8:Y$13,Y$25)))</f>
        <v>max</v>
      </c>
      <c r="Z29" s="280" t="str">
        <f>IF(Z$25&gt;=MAX(Z$8:Z$13),"max",IF(Z$25&lt;=MIN(Z$8:Z$13),"min",PERCENTRANK(Z$8:Z$13,Z$25)))</f>
        <v>max</v>
      </c>
      <c r="AA29" s="281" t="str">
        <f>IF(AA$25&gt;=MAX(AA$35:AA$54),"max",IF(AA$25&lt;=MIN(AA$35:AA$54),"min",PERCENTRANK(AA$35:AA$54,AA$25)))</f>
        <v>max</v>
      </c>
      <c r="AC29" s="282" t="str">
        <f>IF(AC$25&gt;=MAX(AC$8:AC16),"max",IF(AC$25&lt;=MIN(AC$8:AC16),"min",PERCENTRANK(AC$8:AC16,AC$25)))</f>
        <v>min</v>
      </c>
      <c r="AD29" s="283" t="str">
        <f>IF(AD$25&gt;=MAX(AD$8:AD16),"max",IF(AD$25&lt;=MIN(AD$8:AD16),"min",PERCENTRANK(AD$8:AD16,AD$25)))</f>
        <v>min</v>
      </c>
      <c r="AE29" s="316"/>
      <c r="AF29" s="316"/>
      <c r="AG29" s="316"/>
      <c r="AH29" s="316"/>
      <c r="AI29" s="316"/>
      <c r="AJ29" s="316"/>
      <c r="AK29" s="316"/>
    </row>
    <row r="30" spans="1:47" ht="15" customHeight="1">
      <c r="B30" s="33"/>
      <c r="C30" s="286" t="s">
        <v>243</v>
      </c>
      <c r="D30" s="286"/>
      <c r="E30" s="259"/>
      <c r="F30" s="944"/>
      <c r="G30" s="944"/>
      <c r="H30" s="259"/>
      <c r="I30" s="275"/>
      <c r="J30" s="275"/>
      <c r="K30" s="275"/>
      <c r="L30" s="275"/>
      <c r="M30" s="275"/>
      <c r="N30" s="275"/>
      <c r="O30" s="275"/>
      <c r="P30" s="275"/>
      <c r="Q30" s="275"/>
      <c r="R30" s="275"/>
      <c r="S30" s="275"/>
      <c r="T30" s="275"/>
      <c r="U30" s="275"/>
      <c r="V30" s="275"/>
      <c r="W30" s="275"/>
      <c r="X30" s="275"/>
      <c r="Y30" s="275"/>
      <c r="Z30" s="275"/>
      <c r="AA30" s="275"/>
      <c r="AC30" s="259"/>
      <c r="AD30" s="259"/>
      <c r="AE30" s="316"/>
      <c r="AF30" s="316"/>
      <c r="AG30" s="316"/>
      <c r="AH30" s="316"/>
      <c r="AI30" s="316"/>
      <c r="AJ30" s="316"/>
      <c r="AK30" s="316"/>
    </row>
    <row r="31" spans="1:47">
      <c r="B31" s="15"/>
      <c r="C31" s="284"/>
      <c r="D31" s="284"/>
      <c r="E31" s="284"/>
      <c r="F31" s="284"/>
      <c r="G31" s="284"/>
      <c r="H31" s="284"/>
      <c r="I31" s="284"/>
      <c r="J31" s="284"/>
      <c r="K31" s="284"/>
      <c r="L31" s="284"/>
      <c r="M31" s="284"/>
      <c r="N31" s="284"/>
      <c r="O31" s="284"/>
      <c r="P31" s="284"/>
      <c r="Q31" s="284"/>
      <c r="R31" s="284"/>
      <c r="S31" s="284"/>
      <c r="T31" s="284"/>
      <c r="U31" s="284"/>
      <c r="V31" s="284"/>
      <c r="W31" s="284"/>
      <c r="X31" s="284"/>
      <c r="Y31" s="284"/>
      <c r="Z31" s="284"/>
      <c r="AA31" s="284"/>
      <c r="AC31" s="258"/>
      <c r="AD31" s="258"/>
    </row>
    <row r="32" spans="1:47">
      <c r="B32" s="15"/>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C32" s="27"/>
      <c r="AD32" s="27"/>
    </row>
    <row r="33" spans="1:37">
      <c r="B33" s="15"/>
      <c r="C33" s="305" t="s">
        <v>110</v>
      </c>
      <c r="D33" s="313"/>
      <c r="E33" s="306"/>
      <c r="F33" s="306"/>
      <c r="G33" s="306"/>
      <c r="H33" s="306"/>
      <c r="I33" s="306"/>
      <c r="J33" s="306"/>
      <c r="K33" s="306"/>
      <c r="L33" s="306"/>
      <c r="M33" s="306"/>
      <c r="N33" s="306"/>
      <c r="O33" s="306"/>
      <c r="P33" s="306"/>
      <c r="Q33" s="306"/>
      <c r="R33" s="306"/>
      <c r="S33" s="306"/>
      <c r="T33" s="306"/>
      <c r="U33" s="306"/>
      <c r="V33" s="306"/>
      <c r="W33" s="306"/>
      <c r="X33" s="306"/>
      <c r="Y33" s="306"/>
      <c r="Z33" s="306"/>
      <c r="AA33" s="306"/>
      <c r="AC33" s="307"/>
      <c r="AD33" s="307"/>
      <c r="AE33" s="308"/>
      <c r="AF33" s="308"/>
      <c r="AG33" s="308"/>
      <c r="AH33" s="308"/>
      <c r="AI33" s="308"/>
      <c r="AJ33" s="308"/>
      <c r="AK33" s="308"/>
    </row>
    <row r="34" spans="1:37" ht="25">
      <c r="B34" s="15"/>
      <c r="C34" s="297" t="s">
        <v>111</v>
      </c>
      <c r="E34" s="14"/>
      <c r="F34" s="14"/>
      <c r="G34" s="946" t="s">
        <v>119</v>
      </c>
      <c r="H34" s="314" t="s">
        <v>115</v>
      </c>
      <c r="I34" s="314" t="s">
        <v>116</v>
      </c>
      <c r="J34" s="314"/>
      <c r="K34" s="314"/>
      <c r="L34" s="314"/>
      <c r="M34" s="314" t="s">
        <v>16</v>
      </c>
      <c r="O34" s="314"/>
      <c r="P34" s="314" t="s">
        <v>117</v>
      </c>
      <c r="Q34" s="314"/>
      <c r="R34" s="314"/>
      <c r="S34" s="314"/>
      <c r="T34" s="314" t="s">
        <v>14</v>
      </c>
      <c r="V34" s="314"/>
      <c r="W34" s="314" t="s">
        <v>118</v>
      </c>
      <c r="Y34" s="314"/>
      <c r="Z34" s="314"/>
      <c r="AA34" s="314" t="s">
        <v>246</v>
      </c>
      <c r="AC34" s="27"/>
      <c r="AD34" s="27"/>
    </row>
    <row r="35" spans="1:37">
      <c r="A35" s="295" t="e">
        <f>#REF!</f>
        <v>#REF!</v>
      </c>
      <c r="B35" s="295" t="e">
        <f>#REF!</f>
        <v>#REF!</v>
      </c>
      <c r="C35" s="296" t="str">
        <f>_xll.ciqfunctions.udf.CIQ(B35,"IQ_COMPANY_NAME")</f>
        <v>#NA</v>
      </c>
      <c r="E35" s="14"/>
      <c r="F35" s="14"/>
      <c r="G35" s="294" t="s">
        <v>398</v>
      </c>
      <c r="H35" s="303" t="str">
        <f t="shared" ref="H35:H54" si="29">IFERROR(INDEX(Raw_Data,MATCH($A35,Look_Up2,0),MATCH(H$4,Component,0))/1000,"-")</f>
        <v>-</v>
      </c>
      <c r="I35" s="303" t="str">
        <f>IFERROR(IF(G35="y",IF(H35&lt;&gt;"-",H35,INDEX(Raw_Data,MATCH($A35,Look_Up2,0),MATCH(I$4,Component,0))/1000*(1+'Raw Data'!$H$13)),(INDEX(Raw_Data,MATCH($A35,Look_Up2,0),MATCH(I$4,Component,0))/1000)),"-")</f>
        <v>-</v>
      </c>
      <c r="J35" s="361"/>
      <c r="K35" s="361"/>
      <c r="L35" s="361"/>
      <c r="M35" s="303" t="str">
        <f>IFERROR(I35*#REF!,"-")</f>
        <v>-</v>
      </c>
      <c r="N35" s="362"/>
      <c r="O35" s="361"/>
      <c r="P35" s="303" t="str">
        <f>IFERROR(IF(SUM(M35,I35)=0,"-",SUM(M35,I35)),"-")</f>
        <v>-</v>
      </c>
      <c r="Q35" s="361"/>
      <c r="R35" s="361"/>
      <c r="S35" s="361"/>
      <c r="T35" s="303" t="str">
        <f>IFERROR(I35*#REF!,"-")</f>
        <v>-</v>
      </c>
      <c r="U35" s="362"/>
      <c r="V35" s="361"/>
      <c r="W35" s="303" t="str">
        <f>IFERROR(IF(SUM(T35,P35)=0,"-",SUM(T35,P35)),"-")</f>
        <v>-</v>
      </c>
      <c r="X35" s="362"/>
      <c r="Y35" s="361"/>
      <c r="Z35" s="361"/>
      <c r="AA35" s="303" t="str">
        <f>IFERROR(IF(SUM(W35,#REF!,#REF!)=0,"-",SUM(W35,#REF!,#REF!)),"-")</f>
        <v>-</v>
      </c>
      <c r="AB35" s="362"/>
    </row>
    <row r="36" spans="1:37" ht="26">
      <c r="A36" s="295" t="str">
        <f>A8</f>
        <v>TSX:ELD_2025_Region</v>
      </c>
      <c r="B36" s="295" t="str">
        <f>B8</f>
        <v>TSX:ELD</v>
      </c>
      <c r="C36" s="296" t="str">
        <f>_xll.ciqfunctions.udf.CIQ(B36,"IQ_COMPANY_NAME")</f>
        <v>Eldorado Gold Corporation</v>
      </c>
      <c r="E36" s="14"/>
      <c r="F36" s="14"/>
      <c r="G36" s="294" t="s">
        <v>398</v>
      </c>
      <c r="H36" s="262" t="str">
        <f t="shared" si="29"/>
        <v>-</v>
      </c>
      <c r="I36" s="262">
        <f>IFERROR(IF(G36="y",IF(H36&lt;&gt;"-",H36,INDEX(Raw_Data,MATCH($A36,Look_Up2,0),MATCH(I$4,Component,0))/1000*(1+'Raw Data'!$H$13)),(INDEX(Raw_Data,MATCH($A36,Look_Up2,0),MATCH(I$4,Component,0))/1000)),"-")</f>
        <v>760.95679000000007</v>
      </c>
      <c r="J36" s="361"/>
      <c r="K36" s="361"/>
      <c r="L36" s="361"/>
      <c r="M36" s="262">
        <f>IFERROR(I36*N8,"-")</f>
        <v>608.76543200000003</v>
      </c>
      <c r="N36" s="362"/>
      <c r="O36" s="361"/>
      <c r="P36" s="262">
        <f t="shared" ref="P36:P54" si="30">IFERROR(IF(SUM(M36,I36)=0,"-",SUM(M36,I36)),"-")</f>
        <v>1369.7222220000001</v>
      </c>
      <c r="Q36" s="361"/>
      <c r="R36" s="361"/>
      <c r="S36" s="361"/>
      <c r="T36" s="262">
        <f>IFERROR(I36*U8,"-")</f>
        <v>1141.435185</v>
      </c>
      <c r="U36" s="362"/>
      <c r="V36" s="361"/>
      <c r="W36" s="262">
        <f t="shared" ref="W36:W54" si="31">IFERROR(IF(SUM(T36,P36)=0,"-",SUM(T36,P36)),"-")</f>
        <v>2511.1574070000001</v>
      </c>
      <c r="X36" s="362"/>
      <c r="Y36" s="361"/>
      <c r="Z36" s="361"/>
      <c r="AA36" s="262">
        <f>IFERROR(IF(SUM(W36,X8,Y8)=0,"-",SUM(W36,X8,Y8)),"-")</f>
        <v>2615.8204070000002</v>
      </c>
      <c r="AB36" s="362"/>
    </row>
    <row r="37" spans="1:37">
      <c r="A37" s="295" t="str">
        <f>A9</f>
        <v>TSX:CDE_2025_Region</v>
      </c>
      <c r="B37" s="295" t="str">
        <f>B9</f>
        <v>TSX:CDE</v>
      </c>
      <c r="C37" s="296" t="str">
        <f>_xll.ciqfunctions.udf.CIQ(B37,"IQ_COMPANY_NAME")</f>
        <v>Coeur Mining, Inc.</v>
      </c>
      <c r="E37" s="14"/>
      <c r="F37" s="14"/>
      <c r="G37" s="294" t="s">
        <v>398</v>
      </c>
      <c r="H37" s="262" t="str">
        <f t="shared" si="29"/>
        <v>-</v>
      </c>
      <c r="I37" s="262" t="str">
        <f>IFERROR(IF(G37="y",IF(H37&lt;&gt;"-",H37,INDEX(Raw_Data,MATCH($A37,Look_Up2,0),MATCH(I$4,Component,0))/1000*(1+'Raw Data'!$H$13)),(INDEX(Raw_Data,MATCH($A37,Look_Up2,0),MATCH(I$4,Component,0))/1000)),"-")</f>
        <v>-</v>
      </c>
      <c r="J37" s="361"/>
      <c r="K37" s="361"/>
      <c r="L37" s="361"/>
      <c r="M37" s="262" t="str">
        <f>IFERROR(I37*N9,"-")</f>
        <v>-</v>
      </c>
      <c r="N37" s="362"/>
      <c r="O37" s="361"/>
      <c r="P37" s="262" t="str">
        <f t="shared" si="30"/>
        <v>-</v>
      </c>
      <c r="Q37" s="361"/>
      <c r="R37" s="361"/>
      <c r="S37" s="361"/>
      <c r="T37" s="262" t="str">
        <f>IFERROR(I37*U9,"-")</f>
        <v>-</v>
      </c>
      <c r="U37" s="362"/>
      <c r="V37" s="361"/>
      <c r="W37" s="262" t="str">
        <f t="shared" si="31"/>
        <v>-</v>
      </c>
      <c r="X37" s="362"/>
      <c r="Y37" s="361"/>
      <c r="Z37" s="361"/>
      <c r="AA37" s="262" t="str">
        <f>IFERROR(IF(SUM(W37,X9,Y9)=0,"-",SUM(W37,X9,Y9)),"-")</f>
        <v>-</v>
      </c>
      <c r="AB37" s="362"/>
    </row>
    <row r="38" spans="1:37">
      <c r="A38" s="295" t="e">
        <f>#REF!</f>
        <v>#REF!</v>
      </c>
      <c r="B38" s="295" t="e">
        <f>#REF!</f>
        <v>#REF!</v>
      </c>
      <c r="C38" s="296" t="str">
        <f>_xll.ciqfunctions.udf.CIQ(B38,"IQ_COMPANY_NAME")</f>
        <v>#NA</v>
      </c>
      <c r="G38" s="294" t="s">
        <v>398</v>
      </c>
      <c r="H38" s="262" t="str">
        <f t="shared" si="29"/>
        <v>-</v>
      </c>
      <c r="I38" s="262" t="str">
        <f>IFERROR(IF(G38="y",IF(H38&lt;&gt;"-",H38,INDEX(Raw_Data,MATCH($A38,Look_Up2,0),MATCH(I$4,Component,0))/1000*(1+'Raw Data'!$H$13)),(INDEX(Raw_Data,MATCH($A38,Look_Up2,0),MATCH(I$4,Component,0))/1000)),"-")</f>
        <v>-</v>
      </c>
      <c r="J38" s="362"/>
      <c r="K38" s="362"/>
      <c r="L38" s="362"/>
      <c r="M38" s="262" t="str">
        <f>IFERROR(I38*#REF!,"-")</f>
        <v>-</v>
      </c>
      <c r="N38" s="362"/>
      <c r="O38" s="362"/>
      <c r="P38" s="262" t="str">
        <f t="shared" si="30"/>
        <v>-</v>
      </c>
      <c r="Q38" s="362"/>
      <c r="R38" s="362"/>
      <c r="S38" s="362"/>
      <c r="T38" s="262" t="str">
        <f>IFERROR(I38*#REF!,"-")</f>
        <v>-</v>
      </c>
      <c r="U38" s="362"/>
      <c r="V38" s="362"/>
      <c r="W38" s="262" t="str">
        <f t="shared" si="31"/>
        <v>-</v>
      </c>
      <c r="X38" s="362"/>
      <c r="Y38" s="362"/>
      <c r="Z38" s="362"/>
      <c r="AA38" s="262" t="str">
        <f>IFERROR(IF(SUM(W38,#REF!,#REF!)=0,"-",SUM(W38,#REF!,#REF!)),"-")</f>
        <v>-</v>
      </c>
      <c r="AB38" s="362"/>
    </row>
    <row r="39" spans="1:37" ht="26">
      <c r="A39" s="295" t="str">
        <f>A10</f>
        <v>TSX:IMG_2025_Region</v>
      </c>
      <c r="B39" s="295" t="str">
        <f>B10</f>
        <v>TSX:IMG</v>
      </c>
      <c r="C39" s="296" t="str">
        <f>_xll.ciqfunctions.udf.CIQ(B39,"IQ_COMPANY_NAME")</f>
        <v>IAMGOLD Corporation</v>
      </c>
      <c r="G39" s="294" t="s">
        <v>398</v>
      </c>
      <c r="H39" s="262" t="str">
        <f t="shared" si="29"/>
        <v>-</v>
      </c>
      <c r="I39" s="262" t="str">
        <f>IFERROR(IF(G39="y",IF(H39&lt;&gt;"-",H39,INDEX(Raw_Data,MATCH($A39,Look_Up2,0),MATCH(I$4,Component,0))/1000*(1+'Raw Data'!$H$13)),(INDEX(Raw_Data,MATCH($A39,Look_Up2,0),MATCH(I$4,Component,0))/1000)),"-")</f>
        <v>-</v>
      </c>
      <c r="J39" s="362"/>
      <c r="K39" s="362"/>
      <c r="L39" s="362"/>
      <c r="M39" s="262" t="str">
        <f>IFERROR(I39*N10,"-")</f>
        <v>-</v>
      </c>
      <c r="N39" s="362"/>
      <c r="O39" s="362"/>
      <c r="P39" s="262" t="str">
        <f t="shared" si="30"/>
        <v>-</v>
      </c>
      <c r="Q39" s="362"/>
      <c r="R39" s="362"/>
      <c r="S39" s="362"/>
      <c r="T39" s="262" t="str">
        <f>IFERROR(I39*U10,"-")</f>
        <v>-</v>
      </c>
      <c r="U39" s="362"/>
      <c r="V39" s="362"/>
      <c r="W39" s="262" t="str">
        <f t="shared" si="31"/>
        <v>-</v>
      </c>
      <c r="X39" s="362"/>
      <c r="Y39" s="362"/>
      <c r="Z39" s="362"/>
      <c r="AA39" s="262" t="str">
        <f>IFERROR(IF(SUM(W39,X10,Y10)=0,"-",SUM(W39,X10,Y10)),"-")</f>
        <v>-</v>
      </c>
      <c r="AB39" s="362"/>
    </row>
    <row r="40" spans="1:37">
      <c r="A40" s="295" t="e">
        <f>#REF!</f>
        <v>#REF!</v>
      </c>
      <c r="B40" s="295" t="e">
        <f>#REF!</f>
        <v>#REF!</v>
      </c>
      <c r="C40" s="296" t="str">
        <f>_xll.ciqfunctions.udf.CIQ(B40,"IQ_COMPANY_NAME")</f>
        <v>#NA</v>
      </c>
      <c r="G40" s="294" t="s">
        <v>398</v>
      </c>
      <c r="H40" s="262" t="str">
        <f t="shared" si="29"/>
        <v>-</v>
      </c>
      <c r="I40" s="262" t="str">
        <f>IFERROR(IF(G40="y",IF(H40&lt;&gt;"-",H40,INDEX(Raw_Data,MATCH($A40,Look_Up2,0),MATCH(I$4,Component,0))/1000*(1+'Raw Data'!$H$13)),(INDEX(Raw_Data,MATCH($A40,Look_Up2,0),MATCH(I$4,Component,0))/1000)),"-")</f>
        <v>-</v>
      </c>
      <c r="J40" s="362"/>
      <c r="K40" s="362"/>
      <c r="L40" s="362"/>
      <c r="M40" s="262" t="str">
        <f>IFERROR(I40*#REF!,"-")</f>
        <v>-</v>
      </c>
      <c r="N40" s="362"/>
      <c r="O40" s="362"/>
      <c r="P40" s="262" t="str">
        <f t="shared" si="30"/>
        <v>-</v>
      </c>
      <c r="Q40" s="362"/>
      <c r="R40" s="362"/>
      <c r="S40" s="362"/>
      <c r="T40" s="262" t="str">
        <f>IFERROR(I40*#REF!,"-")</f>
        <v>-</v>
      </c>
      <c r="U40" s="362"/>
      <c r="V40" s="362"/>
      <c r="W40" s="262" t="str">
        <f t="shared" si="31"/>
        <v>-</v>
      </c>
      <c r="X40" s="362"/>
      <c r="Y40" s="362"/>
      <c r="Z40" s="362"/>
      <c r="AA40" s="262" t="str">
        <f>IFERROR(IF(SUM(W40,#REF!,#REF!)=0,"-",SUM(W40,#REF!,#REF!)),"-")</f>
        <v>-</v>
      </c>
      <c r="AB40" s="362"/>
    </row>
    <row r="41" spans="1:37">
      <c r="A41" s="295" t="e">
        <f>#REF!</f>
        <v>#REF!</v>
      </c>
      <c r="B41" s="295" t="e">
        <f>#REF!</f>
        <v>#REF!</v>
      </c>
      <c r="C41" s="296" t="str">
        <f>_xll.ciqfunctions.udf.CIQ(B41,"IQ_COMPANY_NAME")</f>
        <v>#NA</v>
      </c>
      <c r="G41" s="294" t="s">
        <v>398</v>
      </c>
      <c r="H41" s="262" t="str">
        <f t="shared" si="29"/>
        <v>-</v>
      </c>
      <c r="I41" s="262" t="str">
        <f>IFERROR(IF(G41="y",IF(H41&lt;&gt;"-",H41,INDEX(Raw_Data,MATCH($A41,Look_Up2,0),MATCH(I$4,Component,0))/1000*(1+'Raw Data'!$H$13)),(INDEX(Raw_Data,MATCH($A41,Look_Up2,0),MATCH(I$4,Component,0))/1000)),"-")</f>
        <v>-</v>
      </c>
      <c r="J41" s="362"/>
      <c r="K41" s="362"/>
      <c r="L41" s="362"/>
      <c r="M41" s="262" t="str">
        <f>IFERROR(I41*#REF!,"-")</f>
        <v>-</v>
      </c>
      <c r="N41" s="362"/>
      <c r="O41" s="362"/>
      <c r="P41" s="262" t="str">
        <f t="shared" si="30"/>
        <v>-</v>
      </c>
      <c r="Q41" s="362"/>
      <c r="R41" s="362"/>
      <c r="S41" s="362"/>
      <c r="T41" s="262" t="str">
        <f>IFERROR(I41*#REF!,"-")</f>
        <v>-</v>
      </c>
      <c r="U41" s="362"/>
      <c r="V41" s="362"/>
      <c r="W41" s="262" t="str">
        <f t="shared" si="31"/>
        <v>-</v>
      </c>
      <c r="X41" s="362"/>
      <c r="Y41" s="362"/>
      <c r="Z41" s="362"/>
      <c r="AA41" s="262" t="str">
        <f>IFERROR(IF(SUM(W41,#REF!,#REF!)=0,"-",SUM(W41,#REF!,#REF!)),"-")</f>
        <v>-</v>
      </c>
      <c r="AB41" s="362"/>
    </row>
    <row r="42" spans="1:37" s="17" customFormat="1">
      <c r="A42" s="295" t="e">
        <f>#REF!</f>
        <v>#REF!</v>
      </c>
      <c r="B42" s="295" t="e">
        <f>#REF!</f>
        <v>#REF!</v>
      </c>
      <c r="C42" s="296" t="str">
        <f>_xll.ciqfunctions.udf.CIQ(B42,"IQ_COMPANY_NAME")</f>
        <v>#NA</v>
      </c>
      <c r="E42" s="22"/>
      <c r="F42" s="945"/>
      <c r="G42" s="294" t="s">
        <v>398</v>
      </c>
      <c r="H42" s="262" t="str">
        <f t="shared" si="29"/>
        <v>-</v>
      </c>
      <c r="I42" s="262" t="str">
        <f>IFERROR(IF(G42="y",IF(H42&lt;&gt;"-",H42,INDEX(Raw_Data,MATCH($A42,Look_Up2,0),MATCH(I$4,Component,0))/1000*(1+'Raw Data'!$H$13)),(INDEX(Raw_Data,MATCH($A42,Look_Up2,0),MATCH(I$4,Component,0))/1000)),"-")</f>
        <v>-</v>
      </c>
      <c r="J42" s="22"/>
      <c r="K42" s="363"/>
      <c r="L42" s="363"/>
      <c r="M42" s="262" t="str">
        <f>IFERROR(I42*#REF!,"-")</f>
        <v>-</v>
      </c>
      <c r="N42" s="364"/>
      <c r="O42" s="22"/>
      <c r="P42" s="262" t="str">
        <f t="shared" si="30"/>
        <v>-</v>
      </c>
      <c r="Q42" s="21"/>
      <c r="R42" s="365"/>
      <c r="S42" s="365"/>
      <c r="T42" s="262" t="str">
        <f>IFERROR(I42*#REF!,"-")</f>
        <v>-</v>
      </c>
      <c r="U42" s="364"/>
      <c r="V42" s="22"/>
      <c r="W42" s="262" t="str">
        <f t="shared" si="31"/>
        <v>-</v>
      </c>
      <c r="X42" s="364"/>
      <c r="Y42" s="22"/>
      <c r="Z42" s="22"/>
      <c r="AA42" s="262" t="str">
        <f>IFERROR(IF(SUM(W42,#REF!,#REF!)=0,"-",SUM(W42,#REF!,#REF!)),"-")</f>
        <v>-</v>
      </c>
      <c r="AB42" s="364"/>
      <c r="AC42" s="19"/>
      <c r="AD42" s="19"/>
    </row>
    <row r="43" spans="1:37">
      <c r="A43" s="295" t="e">
        <f>#REF!</f>
        <v>#REF!</v>
      </c>
      <c r="B43" s="295" t="e">
        <f>#REF!</f>
        <v>#REF!</v>
      </c>
      <c r="C43" s="296" t="str">
        <f>_xll.ciqfunctions.udf.CIQ(B43,"IQ_COMPANY_NAME")</f>
        <v>#NA</v>
      </c>
      <c r="G43" s="294" t="s">
        <v>398</v>
      </c>
      <c r="H43" s="262" t="str">
        <f t="shared" si="29"/>
        <v>-</v>
      </c>
      <c r="I43" s="262" t="str">
        <f>IFERROR(IF(G43="y",IF(H43&lt;&gt;"-",H43,INDEX(Raw_Data,MATCH($A43,Look_Up2,0),MATCH(I$4,Component,0))/1000*(1+'Raw Data'!$H$13)),(INDEX(Raw_Data,MATCH($A43,Look_Up2,0),MATCH(I$4,Component,0))/1000)),"-")</f>
        <v>-</v>
      </c>
      <c r="J43" s="366"/>
      <c r="K43" s="366"/>
      <c r="L43" s="366"/>
      <c r="M43" s="262" t="str">
        <f>IFERROR(I43*#REF!,"-")</f>
        <v>-</v>
      </c>
      <c r="N43" s="362"/>
      <c r="O43" s="366"/>
      <c r="P43" s="262" t="str">
        <f t="shared" si="30"/>
        <v>-</v>
      </c>
      <c r="Q43" s="366"/>
      <c r="R43" s="366"/>
      <c r="S43" s="366"/>
      <c r="T43" s="262" t="str">
        <f>IFERROR(I43*#REF!,"-")</f>
        <v>-</v>
      </c>
      <c r="U43" s="362"/>
      <c r="V43" s="366"/>
      <c r="W43" s="262" t="str">
        <f t="shared" si="31"/>
        <v>-</v>
      </c>
      <c r="X43" s="362"/>
      <c r="Y43" s="366"/>
      <c r="Z43" s="366"/>
      <c r="AA43" s="262" t="str">
        <f>IFERROR(IF(SUM(W43,#REF!,#REF!)=0,"-",SUM(W43,#REF!,#REF!)),"-")</f>
        <v>-</v>
      </c>
      <c r="AB43" s="362"/>
    </row>
    <row r="44" spans="1:37">
      <c r="A44" s="295" t="str">
        <f>A11</f>
        <v>TSX:AGI_2025_Region</v>
      </c>
      <c r="B44" s="295" t="str">
        <f>B11</f>
        <v>TSX:AGI</v>
      </c>
      <c r="C44" s="296" t="str">
        <f>_xll.ciqfunctions.udf.CIQ(B44,"IQ_COMPANY_NAME")</f>
        <v>Alamos Gold Inc.</v>
      </c>
      <c r="G44" s="294" t="s">
        <v>398</v>
      </c>
      <c r="H44" s="262" t="str">
        <f t="shared" si="29"/>
        <v>-</v>
      </c>
      <c r="I44" s="262" t="str">
        <f>IFERROR(IF(G44="y",IF(H44&lt;&gt;"-",H44,INDEX(Raw_Data,MATCH($A44,Look_Up2,0),MATCH(I$4,Component,0))/1000*(1+'Raw Data'!$H$13)),(INDEX(Raw_Data,MATCH($A44,Look_Up2,0),MATCH(I$4,Component,0))/1000)),"-")</f>
        <v>-</v>
      </c>
      <c r="J44" s="362"/>
      <c r="K44" s="362"/>
      <c r="L44" s="362"/>
      <c r="M44" s="262" t="str">
        <f>IFERROR(I44*N11,"-")</f>
        <v>-</v>
      </c>
      <c r="N44" s="362"/>
      <c r="O44" s="362"/>
      <c r="P44" s="262" t="str">
        <f t="shared" si="30"/>
        <v>-</v>
      </c>
      <c r="Q44" s="362"/>
      <c r="R44" s="362"/>
      <c r="S44" s="362"/>
      <c r="T44" s="262" t="str">
        <f>IFERROR(I44*U11,"-")</f>
        <v>-</v>
      </c>
      <c r="U44" s="362"/>
      <c r="V44" s="362"/>
      <c r="W44" s="262" t="str">
        <f t="shared" si="31"/>
        <v>-</v>
      </c>
      <c r="X44" s="362"/>
      <c r="Y44" s="362"/>
      <c r="Z44" s="362"/>
      <c r="AA44" s="262" t="str">
        <f>IFERROR(IF(SUM(W44,X11,Y11)=0,"-",SUM(W44,X11,Y11)),"-")</f>
        <v>-</v>
      </c>
      <c r="AB44" s="362"/>
    </row>
    <row r="45" spans="1:37">
      <c r="A45" s="295" t="e">
        <f>#REF!</f>
        <v>#REF!</v>
      </c>
      <c r="B45" s="295" t="e">
        <f>#REF!</f>
        <v>#REF!</v>
      </c>
      <c r="C45" s="296" t="str">
        <f>_xll.ciqfunctions.udf.CIQ(B45,"IQ_COMPANY_NAME")</f>
        <v>#NA</v>
      </c>
      <c r="G45" s="294" t="s">
        <v>398</v>
      </c>
      <c r="H45" s="262" t="str">
        <f t="shared" si="29"/>
        <v>-</v>
      </c>
      <c r="I45" s="262" t="str">
        <f>IFERROR(IF(G45="y",IF(H45&lt;&gt;"-",H45,INDEX(Raw_Data,MATCH($A45,Look_Up2,0),MATCH(I$4,Component,0))/1000*(1+'Raw Data'!$H$13)),(INDEX(Raw_Data,MATCH($A45,Look_Up2,0),MATCH(I$4,Component,0))/1000)),"-")</f>
        <v>-</v>
      </c>
      <c r="J45" s="362"/>
      <c r="K45" s="362"/>
      <c r="L45" s="362"/>
      <c r="M45" s="262" t="str">
        <f>IFERROR(I45*#REF!,"-")</f>
        <v>-</v>
      </c>
      <c r="N45" s="362"/>
      <c r="O45" s="362"/>
      <c r="P45" s="262" t="str">
        <f t="shared" si="30"/>
        <v>-</v>
      </c>
      <c r="Q45" s="362"/>
      <c r="R45" s="362"/>
      <c r="S45" s="362"/>
      <c r="T45" s="262" t="str">
        <f>IFERROR(I45*#REF!,"-")</f>
        <v>-</v>
      </c>
      <c r="U45" s="362"/>
      <c r="V45" s="362"/>
      <c r="W45" s="262" t="str">
        <f t="shared" si="31"/>
        <v>-</v>
      </c>
      <c r="X45" s="362"/>
      <c r="Y45" s="362"/>
      <c r="Z45" s="362"/>
      <c r="AA45" s="262" t="str">
        <f>IFERROR(IF(SUM(W45,#REF!,#REF!)=0,"-",SUM(W45,#REF!,#REF!)),"-")</f>
        <v>-</v>
      </c>
      <c r="AB45" s="362"/>
    </row>
    <row r="46" spans="1:37">
      <c r="A46" s="295" t="str">
        <f>A12</f>
        <v>TSX:CG_2025_Region</v>
      </c>
      <c r="B46" s="295" t="str">
        <f>B12</f>
        <v>TSX:CG</v>
      </c>
      <c r="C46" s="296" t="str">
        <f>_xll.ciqfunctions.udf.CIQ(B46,"IQ_COMPANY_NAME")</f>
        <v>Centerra Gold Inc.</v>
      </c>
      <c r="G46" s="294" t="s">
        <v>398</v>
      </c>
      <c r="H46" s="262" t="str">
        <f t="shared" si="29"/>
        <v>-</v>
      </c>
      <c r="I46" s="262" t="str">
        <f>IFERROR(IF(G46="y",IF(H46&lt;&gt;"-",H46,INDEX(Raw_Data,MATCH($A46,Look_Up2,0),MATCH(I$4,Component,0))/1000*(1+'Raw Data'!$H$13)),(INDEX(Raw_Data,MATCH($A46,Look_Up2,0),MATCH(I$4,Component,0))/1000)),"-")</f>
        <v>-</v>
      </c>
      <c r="J46" s="362"/>
      <c r="K46" s="362"/>
      <c r="L46" s="362"/>
      <c r="M46" s="262" t="str">
        <f>IFERROR(I46*N12,"-")</f>
        <v>-</v>
      </c>
      <c r="N46" s="362"/>
      <c r="O46" s="362"/>
      <c r="P46" s="262" t="str">
        <f t="shared" si="30"/>
        <v>-</v>
      </c>
      <c r="Q46" s="362"/>
      <c r="R46" s="362"/>
      <c r="S46" s="362"/>
      <c r="T46" s="262" t="str">
        <f>IFERROR(I46*U12,"-")</f>
        <v>-</v>
      </c>
      <c r="U46" s="362"/>
      <c r="V46" s="362"/>
      <c r="W46" s="262" t="str">
        <f t="shared" si="31"/>
        <v>-</v>
      </c>
      <c r="X46" s="362"/>
      <c r="Y46" s="362"/>
      <c r="Z46" s="362"/>
      <c r="AA46" s="262" t="str">
        <f>IFERROR(IF(SUM(W46,X12,Y12)=0,"-",SUM(W46,X12,Y12)),"-")</f>
        <v>-</v>
      </c>
      <c r="AB46" s="362"/>
    </row>
    <row r="47" spans="1:37">
      <c r="A47" s="295" t="str">
        <f>A13</f>
        <v>TSX:CG_2025_Region2</v>
      </c>
      <c r="B47" s="295" t="str">
        <f>B13</f>
        <v>TSX:CG</v>
      </c>
      <c r="C47" s="296" t="str">
        <f>_xll.ciqfunctions.udf.CIQ(B47,"IQ_COMPANY_NAME")</f>
        <v>Centerra Gold Inc.</v>
      </c>
      <c r="G47" s="294" t="s">
        <v>398</v>
      </c>
      <c r="H47" s="262" t="str">
        <f t="shared" si="29"/>
        <v>-</v>
      </c>
      <c r="I47" s="262" t="str">
        <f>IFERROR(IF(G47="y",IF(H47&lt;&gt;"-",H47,INDEX(Raw_Data,MATCH($A47,Look_Up2,0),MATCH(I$4,Component,0))/1000*(1+'Raw Data'!$H$13)),(INDEX(Raw_Data,MATCH($A47,Look_Up2,0),MATCH(I$4,Component,0))/1000)),"-")</f>
        <v>-</v>
      </c>
      <c r="J47" s="362"/>
      <c r="K47" s="362"/>
      <c r="L47" s="362"/>
      <c r="M47" s="262" t="str">
        <f>IFERROR(I47*N13,"-")</f>
        <v>-</v>
      </c>
      <c r="N47" s="362"/>
      <c r="O47" s="362"/>
      <c r="P47" s="262" t="str">
        <f t="shared" si="30"/>
        <v>-</v>
      </c>
      <c r="Q47" s="362"/>
      <c r="R47" s="362"/>
      <c r="S47" s="362"/>
      <c r="T47" s="262" t="str">
        <f>IFERROR(I47*U13,"-")</f>
        <v>-</v>
      </c>
      <c r="U47" s="362"/>
      <c r="V47" s="362"/>
      <c r="W47" s="262" t="str">
        <f t="shared" si="31"/>
        <v>-</v>
      </c>
      <c r="X47" s="362"/>
      <c r="Y47" s="362"/>
      <c r="Z47" s="362"/>
      <c r="AA47" s="262" t="str">
        <f>IFERROR(IF(SUM(W47,X13,Y13)=0,"-",SUM(W47,X13,Y13)),"-")</f>
        <v>-</v>
      </c>
      <c r="AB47" s="362"/>
    </row>
    <row r="48" spans="1:37">
      <c r="A48" s="295" t="e">
        <f>#REF!</f>
        <v>#REF!</v>
      </c>
      <c r="B48" s="295" t="e">
        <f>#REF!</f>
        <v>#REF!</v>
      </c>
      <c r="C48" s="296" t="str">
        <f>_xll.ciqfunctions.udf.CIQ(B48,"IQ_COMPANY_NAME")</f>
        <v>#NA</v>
      </c>
      <c r="G48" s="294" t="s">
        <v>398</v>
      </c>
      <c r="H48" s="262" t="str">
        <f t="shared" si="29"/>
        <v>-</v>
      </c>
      <c r="I48" s="262" t="str">
        <f>IFERROR(IF(G48="y",IF(H48&lt;&gt;"-",H48,INDEX(Raw_Data,MATCH($A48,Look_Up2,0),MATCH(I$4,Component,0))/1000*(1+'Raw Data'!$H$13)),(INDEX(Raw_Data,MATCH($A48,Look_Up2,0),MATCH(I$4,Component,0))/1000)),"-")</f>
        <v>-</v>
      </c>
      <c r="J48" s="362"/>
      <c r="K48" s="362"/>
      <c r="L48" s="362"/>
      <c r="M48" s="262" t="str">
        <f>IFERROR(I48*#REF!,"-")</f>
        <v>-</v>
      </c>
      <c r="N48" s="362"/>
      <c r="O48" s="362"/>
      <c r="P48" s="262" t="str">
        <f t="shared" si="30"/>
        <v>-</v>
      </c>
      <c r="Q48" s="362"/>
      <c r="R48" s="362"/>
      <c r="S48" s="362"/>
      <c r="T48" s="262" t="str">
        <f>IFERROR(I48*#REF!,"-")</f>
        <v>-</v>
      </c>
      <c r="U48" s="362"/>
      <c r="V48" s="362"/>
      <c r="W48" s="262" t="str">
        <f t="shared" si="31"/>
        <v>-</v>
      </c>
      <c r="X48" s="362"/>
      <c r="Y48" s="362"/>
      <c r="Z48" s="362"/>
      <c r="AA48" s="262" t="str">
        <f>IFERROR(IF(SUM(W48,#REF!,#REF!)=0,"-",SUM(W48,#REF!,#REF!)),"-")</f>
        <v>-</v>
      </c>
      <c r="AB48" s="362"/>
    </row>
    <row r="49" spans="1:28">
      <c r="A49" s="295" t="e">
        <f>#REF!</f>
        <v>#REF!</v>
      </c>
      <c r="B49" s="295" t="e">
        <f>#REF!</f>
        <v>#REF!</v>
      </c>
      <c r="C49" s="296" t="str">
        <f>_xll.ciqfunctions.udf.CIQ(B49,"IQ_COMPANY_NAME")</f>
        <v>#NA</v>
      </c>
      <c r="G49" s="294" t="s">
        <v>398</v>
      </c>
      <c r="H49" s="262" t="str">
        <f t="shared" si="29"/>
        <v>-</v>
      </c>
      <c r="I49" s="262" t="str">
        <f>IFERROR(IF(G49="y",IF(H49&lt;&gt;"-",H49,INDEX(Raw_Data,MATCH($A49,Look_Up2,0),MATCH(I$4,Component,0))/1000*(1+'Raw Data'!$H$13)),(INDEX(Raw_Data,MATCH($A49,Look_Up2,0),MATCH(I$4,Component,0))/1000)),"-")</f>
        <v>-</v>
      </c>
      <c r="J49" s="362"/>
      <c r="K49" s="362"/>
      <c r="L49" s="362"/>
      <c r="M49" s="262" t="str">
        <f>IFERROR(I49*#REF!,"-")</f>
        <v>-</v>
      </c>
      <c r="N49" s="362"/>
      <c r="O49" s="362"/>
      <c r="P49" s="262" t="str">
        <f t="shared" si="30"/>
        <v>-</v>
      </c>
      <c r="Q49" s="362"/>
      <c r="R49" s="362"/>
      <c r="S49" s="362"/>
      <c r="T49" s="262" t="str">
        <f>IFERROR(I49*#REF!,"-")</f>
        <v>-</v>
      </c>
      <c r="U49" s="362"/>
      <c r="V49" s="362"/>
      <c r="W49" s="262" t="str">
        <f t="shared" si="31"/>
        <v>-</v>
      </c>
      <c r="X49" s="362"/>
      <c r="Y49" s="362"/>
      <c r="Z49" s="362"/>
      <c r="AA49" s="262" t="str">
        <f>IFERROR(IF(SUM(W49,#REF!,#REF!)=0,"-",SUM(W49,#REF!,#REF!)),"-")</f>
        <v>-</v>
      </c>
      <c r="AB49" s="362"/>
    </row>
    <row r="50" spans="1:28">
      <c r="A50" s="295" t="e">
        <f>#REF!</f>
        <v>#REF!</v>
      </c>
      <c r="B50" s="295" t="e">
        <f>#REF!</f>
        <v>#REF!</v>
      </c>
      <c r="C50" s="296" t="str">
        <f>_xll.ciqfunctions.udf.CIQ(B50,"IQ_COMPANY_NAME")</f>
        <v>#NA</v>
      </c>
      <c r="G50" s="294" t="s">
        <v>398</v>
      </c>
      <c r="H50" s="262" t="str">
        <f t="shared" si="29"/>
        <v>-</v>
      </c>
      <c r="I50" s="262" t="str">
        <f>IFERROR(IF(G50="y",IF(H50&lt;&gt;"-",H50,INDEX(Raw_Data,MATCH($A50,Look_Up2,0),MATCH(I$4,Component,0))/1000*(1+'Raw Data'!$H$13)),(INDEX(Raw_Data,MATCH($A50,Look_Up2,0),MATCH(I$4,Component,0))/1000)),"-")</f>
        <v>-</v>
      </c>
      <c r="J50" s="362"/>
      <c r="K50" s="362"/>
      <c r="L50" s="362"/>
      <c r="M50" s="262" t="str">
        <f>IFERROR(I50*#REF!,"-")</f>
        <v>-</v>
      </c>
      <c r="N50" s="362"/>
      <c r="O50" s="362"/>
      <c r="P50" s="262" t="str">
        <f t="shared" si="30"/>
        <v>-</v>
      </c>
      <c r="Q50" s="362"/>
      <c r="R50" s="362"/>
      <c r="S50" s="362"/>
      <c r="T50" s="262" t="str">
        <f>IFERROR(I50*#REF!,"-")</f>
        <v>-</v>
      </c>
      <c r="U50" s="362"/>
      <c r="V50" s="362"/>
      <c r="W50" s="262" t="str">
        <f t="shared" si="31"/>
        <v>-</v>
      </c>
      <c r="X50" s="362"/>
      <c r="Y50" s="362"/>
      <c r="Z50" s="362"/>
      <c r="AA50" s="262" t="str">
        <f>IFERROR(IF(SUM(W50,#REF!,#REF!)=0,"-",SUM(W50,#REF!,#REF!)),"-")</f>
        <v>-</v>
      </c>
      <c r="AB50" s="362"/>
    </row>
    <row r="51" spans="1:28">
      <c r="A51" s="295" t="e">
        <f>#REF!</f>
        <v>#REF!</v>
      </c>
      <c r="B51" s="295" t="e">
        <f>#REF!</f>
        <v>#REF!</v>
      </c>
      <c r="C51" s="296" t="str">
        <f>_xll.ciqfunctions.udf.CIQ(B51,"IQ_COMPANY_NAME")</f>
        <v>#NA</v>
      </c>
      <c r="G51" s="294" t="s">
        <v>398</v>
      </c>
      <c r="H51" s="262" t="str">
        <f t="shared" si="29"/>
        <v>-</v>
      </c>
      <c r="I51" s="262" t="str">
        <f>IFERROR(IF(G51="y",IF(H51&lt;&gt;"-",H51,INDEX(Raw_Data,MATCH($A51,Look_Up2,0),MATCH(I$4,Component,0))/1000*(1+'Raw Data'!$H$13)),(INDEX(Raw_Data,MATCH($A51,Look_Up2,0),MATCH(I$4,Component,0))/1000)),"-")</f>
        <v>-</v>
      </c>
      <c r="J51" s="362"/>
      <c r="K51" s="362"/>
      <c r="L51" s="362"/>
      <c r="M51" s="262" t="str">
        <f>IFERROR(I51*#REF!,"-")</f>
        <v>-</v>
      </c>
      <c r="N51" s="362"/>
      <c r="O51" s="362"/>
      <c r="P51" s="262" t="str">
        <f t="shared" si="30"/>
        <v>-</v>
      </c>
      <c r="Q51" s="362"/>
      <c r="R51" s="362"/>
      <c r="S51" s="362"/>
      <c r="T51" s="262" t="str">
        <f>IFERROR(I51*#REF!,"-")</f>
        <v>-</v>
      </c>
      <c r="U51" s="362"/>
      <c r="V51" s="362"/>
      <c r="W51" s="262" t="str">
        <f t="shared" si="31"/>
        <v>-</v>
      </c>
      <c r="X51" s="362"/>
      <c r="Y51" s="362"/>
      <c r="Z51" s="362"/>
      <c r="AA51" s="262" t="str">
        <f>IFERROR(IF(SUM(W51,#REF!,#REF!)=0,"-",SUM(W51,#REF!,#REF!)),"-")</f>
        <v>-</v>
      </c>
      <c r="AB51" s="362"/>
    </row>
    <row r="52" spans="1:28">
      <c r="A52" s="295" t="e">
        <f>#REF!</f>
        <v>#REF!</v>
      </c>
      <c r="B52" s="295" t="e">
        <f>#REF!</f>
        <v>#REF!</v>
      </c>
      <c r="C52" s="296" t="str">
        <f>_xll.ciqfunctions.udf.CIQ(B52,"IQ_COMPANY_NAME")</f>
        <v>#NA</v>
      </c>
      <c r="G52" s="294" t="s">
        <v>398</v>
      </c>
      <c r="H52" s="262" t="str">
        <f t="shared" si="29"/>
        <v>-</v>
      </c>
      <c r="I52" s="262" t="str">
        <f>IFERROR(IF(G52="y",IF(H52&lt;&gt;"-",H52,INDEX(Raw_Data,MATCH($A52,Look_Up2,0),MATCH(I$4,Component,0))/1000*(1+'Raw Data'!$H$13)),(INDEX(Raw_Data,MATCH($A52,Look_Up2,0),MATCH(I$4,Component,0))/1000)),"-")</f>
        <v>-</v>
      </c>
      <c r="J52" s="362"/>
      <c r="K52" s="362"/>
      <c r="L52" s="362"/>
      <c r="M52" s="262" t="str">
        <f>IFERROR(I52*#REF!,"-")</f>
        <v>-</v>
      </c>
      <c r="N52" s="362"/>
      <c r="O52" s="362"/>
      <c r="P52" s="262" t="str">
        <f t="shared" si="30"/>
        <v>-</v>
      </c>
      <c r="Q52" s="362"/>
      <c r="R52" s="362"/>
      <c r="S52" s="362"/>
      <c r="T52" s="262" t="str">
        <f>IFERROR(I52*#REF!,"-")</f>
        <v>-</v>
      </c>
      <c r="U52" s="362"/>
      <c r="V52" s="362"/>
      <c r="W52" s="262" t="str">
        <f t="shared" si="31"/>
        <v>-</v>
      </c>
      <c r="X52" s="362"/>
      <c r="Y52" s="362"/>
      <c r="Z52" s="362"/>
      <c r="AA52" s="262" t="str">
        <f>IFERROR(IF(SUM(W52,#REF!,#REF!)=0,"-",SUM(W52,#REF!,#REF!)),"-")</f>
        <v>-</v>
      </c>
      <c r="AB52" s="362"/>
    </row>
    <row r="53" spans="1:28">
      <c r="A53" s="295" t="e">
        <f>#REF!</f>
        <v>#REF!</v>
      </c>
      <c r="B53" s="295" t="e">
        <f>#REF!</f>
        <v>#REF!</v>
      </c>
      <c r="C53" s="296" t="str">
        <f>_xll.ciqfunctions.udf.CIQ(B53,"IQ_COMPANY_NAME")</f>
        <v>#NA</v>
      </c>
      <c r="G53" s="294" t="s">
        <v>398</v>
      </c>
      <c r="H53" s="262" t="str">
        <f t="shared" si="29"/>
        <v>-</v>
      </c>
      <c r="I53" s="262" t="str">
        <f>IFERROR(IF(G53="y",IF(H53&lt;&gt;"-",H53,INDEX(Raw_Data,MATCH($A53,Look_Up2,0),MATCH(I$4,Component,0))/1000*(1+'Raw Data'!$H$13)),(INDEX(Raw_Data,MATCH($A53,Look_Up2,0),MATCH(I$4,Component,0))/1000)),"-")</f>
        <v>-</v>
      </c>
      <c r="J53" s="362"/>
      <c r="K53" s="362"/>
      <c r="L53" s="362"/>
      <c r="M53" s="262" t="str">
        <f>IFERROR(I53*#REF!,"-")</f>
        <v>-</v>
      </c>
      <c r="N53" s="362"/>
      <c r="O53" s="362"/>
      <c r="P53" s="262" t="str">
        <f t="shared" si="30"/>
        <v>-</v>
      </c>
      <c r="Q53" s="362"/>
      <c r="R53" s="362"/>
      <c r="S53" s="362"/>
      <c r="T53" s="262" t="str">
        <f>IFERROR(I53*#REF!,"-")</f>
        <v>-</v>
      </c>
      <c r="U53" s="362"/>
      <c r="V53" s="362"/>
      <c r="W53" s="262" t="str">
        <f t="shared" si="31"/>
        <v>-</v>
      </c>
      <c r="X53" s="362"/>
      <c r="Y53" s="362"/>
      <c r="Z53" s="362"/>
      <c r="AA53" s="262" t="str">
        <f>IFERROR(IF(SUM(W53,#REF!,#REF!)=0,"-",SUM(W53,#REF!,#REF!)),"-")</f>
        <v>-</v>
      </c>
      <c r="AB53" s="362"/>
    </row>
    <row r="54" spans="1:28">
      <c r="A54" s="295" t="e">
        <f>#REF!</f>
        <v>#REF!</v>
      </c>
      <c r="B54" s="295" t="e">
        <f>#REF!</f>
        <v>#REF!</v>
      </c>
      <c r="C54" s="296" t="str">
        <f>_xll.ciqfunctions.udf.CIQ(B54,"IQ_COMPANY_NAME")</f>
        <v>#NA</v>
      </c>
      <c r="G54" s="294" t="s">
        <v>398</v>
      </c>
      <c r="H54" s="304" t="str">
        <f t="shared" si="29"/>
        <v>-</v>
      </c>
      <c r="I54" s="262" t="str">
        <f>IFERROR(IF(G54="y",IF(H54&lt;&gt;"-",H54,INDEX(Raw_Data,MATCH($A54,Look_Up2,0),MATCH(I$4,Component,0))/1000*(1+'Raw Data'!$H$13)),(INDEX(Raw_Data,MATCH($A54,Look_Up2,0),MATCH(I$4,Component,0))/1000)),"-")</f>
        <v>-</v>
      </c>
      <c r="J54" s="362"/>
      <c r="K54" s="362"/>
      <c r="L54" s="362"/>
      <c r="M54" s="262" t="str">
        <f>IFERROR(I54*#REF!,"-")</f>
        <v>-</v>
      </c>
      <c r="N54" s="362"/>
      <c r="O54" s="362"/>
      <c r="P54" s="304" t="str">
        <f t="shared" si="30"/>
        <v>-</v>
      </c>
      <c r="Q54" s="362"/>
      <c r="R54" s="362"/>
      <c r="S54" s="362"/>
      <c r="T54" s="262" t="str">
        <f>IFERROR(I54*#REF!,"-")</f>
        <v>-</v>
      </c>
      <c r="U54" s="362"/>
      <c r="V54" s="362"/>
      <c r="W54" s="304" t="str">
        <f t="shared" si="31"/>
        <v>-</v>
      </c>
      <c r="X54" s="362"/>
      <c r="Y54" s="362"/>
      <c r="Z54" s="362"/>
      <c r="AA54" s="304" t="str">
        <f>IFERROR(IF(SUM(W54,#REF!,#REF!)=0,"-",SUM(W54,#REF!,#REF!)),"-")</f>
        <v>-</v>
      </c>
      <c r="AB54" s="362"/>
    </row>
    <row r="55" spans="1:28">
      <c r="A55" s="15"/>
      <c r="B55" s="15"/>
      <c r="I55" s="288"/>
      <c r="M55" s="288"/>
      <c r="P55" s="288"/>
      <c r="T55" s="288"/>
      <c r="W55" s="288"/>
      <c r="AA55" s="288"/>
    </row>
    <row r="56" spans="1:28">
      <c r="A56" s="15"/>
      <c r="B56" s="15"/>
      <c r="I56" s="262">
        <f>PERCENTILE(I$35:I$54,$B15)</f>
        <v>760.95679000000007</v>
      </c>
      <c r="M56" s="262">
        <f>PERCENTILE(M$35:M$54,$B15)</f>
        <v>608.76543200000003</v>
      </c>
      <c r="P56" s="262">
        <f>PERCENTILE(P$35:P$54,$B15)</f>
        <v>1369.7222220000001</v>
      </c>
      <c r="T56" s="262">
        <f>PERCENTILE(T$35:T$54,$B15)</f>
        <v>1141.435185</v>
      </c>
      <c r="W56" s="262">
        <f>PERCENTILE(W$35:W$54,$B15)</f>
        <v>2511.1574070000001</v>
      </c>
      <c r="AA56" s="262">
        <f>PERCENTILE(AA$35:AA$54,$B15)</f>
        <v>2615.8204070000002</v>
      </c>
    </row>
    <row r="57" spans="1:28">
      <c r="A57" s="15"/>
      <c r="B57" s="15"/>
      <c r="I57" s="266">
        <f>PERCENTILE(I$35:I$54,$B16)</f>
        <v>760.95679000000007</v>
      </c>
      <c r="M57" s="266">
        <f>PERCENTILE(M$35:M$54,$B16)</f>
        <v>608.76543200000003</v>
      </c>
      <c r="P57" s="266">
        <f>PERCENTILE(P$35:P$54,$B16)</f>
        <v>1369.7222220000001</v>
      </c>
      <c r="T57" s="266">
        <f>PERCENTILE(T$35:T$54,$B16)</f>
        <v>1141.435185</v>
      </c>
      <c r="W57" s="266">
        <f>PERCENTILE(W$35:W$54,$B16)</f>
        <v>2511.1574070000001</v>
      </c>
      <c r="AA57" s="266">
        <f>PERCENTILE(AA$35:AA$54,$B16)</f>
        <v>2615.8204070000002</v>
      </c>
    </row>
    <row r="58" spans="1:28">
      <c r="A58" s="15"/>
      <c r="B58" s="15"/>
      <c r="I58" s="262">
        <f>PERCENTILE(I$35:I$54,$B17)</f>
        <v>760.95679000000007</v>
      </c>
      <c r="M58" s="262">
        <f>PERCENTILE(M$35:M$54,$B17)</f>
        <v>608.76543200000003</v>
      </c>
      <c r="P58" s="262">
        <f>PERCENTILE(P$35:P$54,$B17)</f>
        <v>1369.7222220000001</v>
      </c>
      <c r="T58" s="262">
        <f>PERCENTILE(T$35:T$54,$B17)</f>
        <v>1141.435185</v>
      </c>
      <c r="W58" s="262">
        <f>PERCENTILE(W$35:W$54,$B17)</f>
        <v>2511.1574070000001</v>
      </c>
      <c r="AA58" s="262">
        <f>PERCENTILE(AA$35:AA$54,$B17)</f>
        <v>2615.8204070000002</v>
      </c>
    </row>
    <row r="59" spans="1:28">
      <c r="A59" s="15"/>
      <c r="B59" s="15"/>
      <c r="I59" s="270">
        <f>AVERAGE(I35:I54)</f>
        <v>760.95679000000007</v>
      </c>
      <c r="M59" s="270">
        <f>AVERAGE(M35:M54)</f>
        <v>608.76543200000003</v>
      </c>
      <c r="P59" s="270">
        <f>AVERAGE(P35:P54)</f>
        <v>1369.7222220000001</v>
      </c>
      <c r="T59" s="270">
        <f>AVERAGE(T35:T54)</f>
        <v>1141.435185</v>
      </c>
      <c r="W59" s="270">
        <f>AVERAGE(W35:W54)</f>
        <v>2511.1574070000001</v>
      </c>
      <c r="AA59" s="270">
        <f>AVERAGE(AA35:AA54)</f>
        <v>2615.8204070000002</v>
      </c>
    </row>
    <row r="60" spans="1:28">
      <c r="A60" s="15"/>
      <c r="B60" s="15"/>
    </row>
  </sheetData>
  <mergeCells count="17">
    <mergeCell ref="AW6:AW7"/>
    <mergeCell ref="AQ6:AQ7"/>
    <mergeCell ref="AP6:AP7"/>
    <mergeCell ref="AU6:AU7"/>
    <mergeCell ref="AR6:AR7"/>
    <mergeCell ref="AT6:AT7"/>
    <mergeCell ref="AS6:AS7"/>
    <mergeCell ref="I6:I7"/>
    <mergeCell ref="X6:X7"/>
    <mergeCell ref="Y6:Y7"/>
    <mergeCell ref="Z6:AA6"/>
    <mergeCell ref="C6:C7"/>
    <mergeCell ref="D6:D7"/>
    <mergeCell ref="E6:E7"/>
    <mergeCell ref="F6:F7"/>
    <mergeCell ref="G6:G7"/>
    <mergeCell ref="H6:H7"/>
  </mergeCells>
  <conditionalFormatting sqref="C15:W18 C20:W23">
    <cfRule type="expression" dxfId="51" priority="3">
      <formula>MOD(ROW(),2)=0</formula>
    </cfRule>
  </conditionalFormatting>
  <conditionalFormatting sqref="C8:AA8">
    <cfRule type="expression" dxfId="50" priority="1">
      <formula>MOD(ROW(),2)=0</formula>
    </cfRule>
  </conditionalFormatting>
  <conditionalFormatting sqref="C10:AA13">
    <cfRule type="expression" dxfId="49" priority="2">
      <formula>MOD(ROW(),2)=0</formula>
    </cfRule>
  </conditionalFormatting>
  <conditionalFormatting sqref="H35:I54">
    <cfRule type="expression" dxfId="48" priority="29">
      <formula>MOD(ROW(),2)=0</formula>
    </cfRule>
  </conditionalFormatting>
  <conditionalFormatting sqref="I56:I59">
    <cfRule type="expression" dxfId="47" priority="34">
      <formula>MOD(ROW(),2)=0</formula>
    </cfRule>
  </conditionalFormatting>
  <conditionalFormatting sqref="M35:M54">
    <cfRule type="expression" dxfId="46" priority="37">
      <formula>MOD(ROW(),2)=0</formula>
    </cfRule>
  </conditionalFormatting>
  <conditionalFormatting sqref="M56:M59">
    <cfRule type="expression" dxfId="45" priority="33">
      <formula>MOD(ROW(),2)=0</formula>
    </cfRule>
  </conditionalFormatting>
  <conditionalFormatting sqref="P35:P54">
    <cfRule type="expression" dxfId="44" priority="36">
      <formula>MOD(ROW(),2)=0</formula>
    </cfRule>
  </conditionalFormatting>
  <conditionalFormatting sqref="P56:P59">
    <cfRule type="expression" dxfId="43" priority="32">
      <formula>MOD(ROW(),2)=0</formula>
    </cfRule>
  </conditionalFormatting>
  <conditionalFormatting sqref="T35:T54">
    <cfRule type="expression" dxfId="42" priority="35">
      <formula>MOD(ROW(),2)=0</formula>
    </cfRule>
  </conditionalFormatting>
  <conditionalFormatting sqref="T56:T59">
    <cfRule type="expression" dxfId="41" priority="31">
      <formula>MOD(ROW(),2)=0</formula>
    </cfRule>
  </conditionalFormatting>
  <conditionalFormatting sqref="W35:W54">
    <cfRule type="expression" dxfId="40" priority="27">
      <formula>MOD(ROW(),2)=0</formula>
    </cfRule>
  </conditionalFormatting>
  <conditionalFormatting sqref="W56:W59">
    <cfRule type="expression" dxfId="39" priority="30">
      <formula>MOD(ROW(),2)=0</formula>
    </cfRule>
  </conditionalFormatting>
  <conditionalFormatting sqref="X15:AA23">
    <cfRule type="expression" dxfId="38" priority="23">
      <formula>MOD(ROW(),2)=0</formula>
    </cfRule>
  </conditionalFormatting>
  <conditionalFormatting sqref="AA35:AA54">
    <cfRule type="expression" dxfId="37" priority="24">
      <formula>MOD(ROW(),2)=0</formula>
    </cfRule>
  </conditionalFormatting>
  <conditionalFormatting sqref="AA56:AA59">
    <cfRule type="expression" dxfId="36" priority="25">
      <formula>MOD(ROW(),2)=0</formula>
    </cfRule>
  </conditionalFormatting>
  <conditionalFormatting sqref="AC8:AD8 AG8:AN8 AC10:AD13 AG10:AN13">
    <cfRule type="expression" dxfId="35" priority="22">
      <formula>MOD(ROW(),2)=0</formula>
    </cfRule>
  </conditionalFormatting>
  <conditionalFormatting sqref="AC15:AD23">
    <cfRule type="expression" dxfId="34" priority="26">
      <formula>MOD(ROW(),2)=0</formula>
    </cfRule>
  </conditionalFormatting>
  <conditionalFormatting sqref="AL15:AM23">
    <cfRule type="expression" dxfId="33" priority="21">
      <formula>MOD(ROW(),2)=0</formula>
    </cfRule>
  </conditionalFormatting>
  <conditionalFormatting sqref="AP8:AU8 AP10:AU13">
    <cfRule type="expression" dxfId="32" priority="8">
      <formula>MOD(ROW(),2)=0</formula>
    </cfRule>
  </conditionalFormatting>
  <dataValidations disablePrompts="1" count="1">
    <dataValidation type="list" allowBlank="1" showInputMessage="1" showErrorMessage="1" sqref="G35:G54" xr:uid="{4AED4033-C071-42BC-B42E-B59A09A9E397}">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DA13B-D565-4692-922A-BF5E38B4071F}">
  <sheetPr>
    <tabColor theme="2" tint="0.749992370372631"/>
    <pageSetUpPr fitToPage="1"/>
  </sheetPr>
  <dimension ref="A1:AP71"/>
  <sheetViews>
    <sheetView zoomScale="70" zoomScaleNormal="70" workbookViewId="0">
      <selection activeCell="C6" sqref="C6:AA7"/>
    </sheetView>
  </sheetViews>
  <sheetFormatPr defaultColWidth="9.1796875" defaultRowHeight="14" outlineLevelRow="1" outlineLevelCol="3"/>
  <cols>
    <col min="1" max="1" width="31.26953125" style="12" customWidth="1"/>
    <col min="2" max="2" width="19.1796875" style="12" customWidth="1"/>
    <col min="3" max="3" width="52.81640625" style="12" bestFit="1" customWidth="1"/>
    <col min="4" max="5" width="18.7265625" style="12" hidden="1" customWidth="1" outlineLevel="2"/>
    <col min="6" max="6" width="21.7265625" style="12" customWidth="1" outlineLevel="1" collapsed="1"/>
    <col min="7" max="7" width="42.54296875" style="12" bestFit="1" customWidth="1"/>
    <col min="8" max="8" width="5.7265625" style="12" hidden="1" customWidth="1" outlineLevel="1"/>
    <col min="9" max="9" width="11.54296875" style="12" customWidth="1" collapsed="1"/>
    <col min="10" max="10" width="8" style="12" hidden="1" customWidth="1" outlineLevel="1"/>
    <col min="11" max="11" width="8.54296875" style="12" hidden="1" customWidth="1" outlineLevel="1"/>
    <col min="12" max="12" width="12.453125" style="12" hidden="1" customWidth="1" outlineLevel="1"/>
    <col min="13" max="13" width="11.54296875" style="12" customWidth="1" collapsed="1"/>
    <col min="14" max="16" width="11.54296875" style="12" customWidth="1"/>
    <col min="17" max="17" width="8" style="12" hidden="1" customWidth="1" outlineLevel="1"/>
    <col min="18" max="18" width="8.1796875" style="12" hidden="1" customWidth="1" outlineLevel="1"/>
    <col min="19" max="19" width="12.26953125" style="12" hidden="1" customWidth="1" outlineLevel="1"/>
    <col min="20" max="20" width="11.54296875" style="12" customWidth="1" collapsed="1"/>
    <col min="21" max="23" width="11.54296875" style="12" customWidth="1"/>
    <col min="24" max="27" width="13.26953125" style="12" customWidth="1" outlineLevel="3"/>
    <col min="28" max="28" width="9.1796875" style="12" customWidth="1" outlineLevel="2"/>
    <col min="29" max="30" width="13.26953125" style="12" customWidth="1" outlineLevel="2"/>
    <col min="31" max="31" width="8.7265625" style="12" customWidth="1" outlineLevel="1"/>
    <col min="32" max="32" width="2.7265625" style="12" customWidth="1"/>
    <col min="33" max="33" width="26.1796875" style="12" hidden="1" customWidth="1" outlineLevel="1"/>
    <col min="34" max="34" width="15.7265625" style="12" hidden="1" customWidth="1" outlineLevel="1"/>
    <col min="35" max="35" width="15.7265625" style="12" hidden="1" customWidth="1" outlineLevel="2"/>
    <col min="36" max="36" width="15.7265625" style="12" hidden="1" customWidth="1" outlineLevel="3"/>
    <col min="37" max="37" width="28.54296875" style="12" hidden="1" customWidth="1" outlineLevel="1" collapsed="1"/>
    <col min="38" max="38" width="10" style="12" customWidth="1" collapsed="1"/>
    <col min="39" max="39" width="10" style="12" customWidth="1"/>
    <col min="40" max="40" width="16" style="12" bestFit="1" customWidth="1"/>
    <col min="41" max="16384" width="9.1796875" style="12"/>
  </cols>
  <sheetData>
    <row r="1" spans="1:42" s="48" customFormat="1" ht="17.25" customHeight="1">
      <c r="A1" s="111">
        <v>45852</v>
      </c>
    </row>
    <row r="2" spans="1:42">
      <c r="A2" s="12" t="s">
        <v>2</v>
      </c>
      <c r="B2" s="49" t="s">
        <v>24</v>
      </c>
      <c r="C2" s="53" t="s">
        <v>669</v>
      </c>
    </row>
    <row r="3" spans="1:42">
      <c r="B3" s="49" t="s">
        <v>23</v>
      </c>
      <c r="C3" s="53">
        <f>'Raw Data'!$G$9</f>
        <v>2025</v>
      </c>
    </row>
    <row r="4" spans="1:42" s="157" customFormat="1" ht="35.15" customHeight="1" outlineLevel="1">
      <c r="C4" s="157" t="s">
        <v>22</v>
      </c>
      <c r="D4" s="157" t="s">
        <v>21</v>
      </c>
      <c r="E4" s="157" t="s">
        <v>20</v>
      </c>
      <c r="F4" s="157" t="s">
        <v>19</v>
      </c>
      <c r="G4" s="157" t="s">
        <v>29</v>
      </c>
      <c r="H4" s="157" t="s">
        <v>113</v>
      </c>
      <c r="I4" s="157" t="s">
        <v>39</v>
      </c>
      <c r="J4" s="157" t="s">
        <v>55</v>
      </c>
      <c r="K4" s="157" t="s">
        <v>56</v>
      </c>
      <c r="L4" s="157" t="s">
        <v>104</v>
      </c>
      <c r="M4" s="157" t="s">
        <v>57</v>
      </c>
      <c r="N4" s="157" t="s">
        <v>60</v>
      </c>
      <c r="O4" s="157" t="s">
        <v>58</v>
      </c>
      <c r="P4" s="157" t="s">
        <v>59</v>
      </c>
      <c r="Q4" s="157" t="s">
        <v>47</v>
      </c>
      <c r="R4" s="157" t="s">
        <v>45</v>
      </c>
      <c r="S4" s="157" t="s">
        <v>105</v>
      </c>
      <c r="T4" s="157" t="s">
        <v>50</v>
      </c>
      <c r="U4" s="157" t="s">
        <v>46</v>
      </c>
      <c r="V4" s="157" t="s">
        <v>48</v>
      </c>
      <c r="W4" s="157" t="s">
        <v>80</v>
      </c>
      <c r="X4" s="157" t="str">
        <f>'Raw Data'!AR31</f>
        <v>Pension Converted</v>
      </c>
      <c r="Y4" s="157" t="str">
        <f>'Raw Data'!AU31</f>
        <v>Other Converted</v>
      </c>
      <c r="Z4" s="157" t="s">
        <v>247</v>
      </c>
      <c r="AA4" s="157" t="s">
        <v>248</v>
      </c>
      <c r="AC4" s="157" t="s">
        <v>11</v>
      </c>
      <c r="AD4" s="157" t="s">
        <v>10</v>
      </c>
    </row>
    <row r="5" spans="1:42" ht="21">
      <c r="B5" s="26"/>
      <c r="C5" s="256" t="str">
        <f>+C2&amp; " Benchmarking - "&amp;'Raw Data'!H5&amp;" $000s"</f>
        <v>2nd Highest Benchmarking - CAD $000s</v>
      </c>
      <c r="D5" s="257"/>
      <c r="E5" s="258"/>
      <c r="F5" s="258"/>
      <c r="G5" s="258"/>
      <c r="H5" s="258"/>
      <c r="I5" s="258"/>
      <c r="J5" s="258"/>
      <c r="K5" s="258"/>
      <c r="L5" s="258"/>
      <c r="M5" s="258"/>
      <c r="N5" s="258"/>
      <c r="O5" s="258"/>
      <c r="P5" s="258"/>
      <c r="Q5" s="258"/>
      <c r="R5" s="258"/>
      <c r="S5" s="258"/>
      <c r="T5" s="258"/>
      <c r="U5" s="258"/>
      <c r="V5" s="258"/>
      <c r="W5" s="258"/>
      <c r="X5" s="258"/>
      <c r="Y5" s="258"/>
      <c r="Z5" s="258"/>
      <c r="AA5" s="258"/>
      <c r="AC5" s="258"/>
      <c r="AD5" s="258"/>
      <c r="AG5" t="s">
        <v>22</v>
      </c>
      <c r="AH5" t="s">
        <v>19</v>
      </c>
      <c r="AI5"/>
      <c r="AJ5"/>
      <c r="AK5" t="s">
        <v>18</v>
      </c>
      <c r="AL5" t="s">
        <v>370</v>
      </c>
      <c r="AM5" t="s">
        <v>68</v>
      </c>
      <c r="AN5"/>
    </row>
    <row r="6" spans="1:42" ht="40" customHeight="1">
      <c r="B6" s="45"/>
      <c r="C6" s="1264" t="s">
        <v>22</v>
      </c>
      <c r="D6" s="1266" t="s">
        <v>21</v>
      </c>
      <c r="E6" s="1266" t="s">
        <v>20</v>
      </c>
      <c r="F6" s="1266" t="s">
        <v>19</v>
      </c>
      <c r="G6" s="1266" t="s">
        <v>18</v>
      </c>
      <c r="H6" s="1268" t="s">
        <v>114</v>
      </c>
      <c r="I6" s="1268" t="s">
        <v>17</v>
      </c>
      <c r="J6" s="794" t="s">
        <v>16</v>
      </c>
      <c r="K6" s="794"/>
      <c r="L6" s="794"/>
      <c r="M6" s="794" t="s">
        <v>16</v>
      </c>
      <c r="N6" s="794"/>
      <c r="O6" s="794" t="s">
        <v>15</v>
      </c>
      <c r="P6" s="794"/>
      <c r="Q6" s="794" t="s">
        <v>14</v>
      </c>
      <c r="R6" s="794"/>
      <c r="S6" s="794"/>
      <c r="T6" s="794" t="s">
        <v>14</v>
      </c>
      <c r="U6" s="794"/>
      <c r="V6" s="794" t="s">
        <v>670</v>
      </c>
      <c r="W6" s="794"/>
      <c r="X6" s="1277" t="s">
        <v>31</v>
      </c>
      <c r="Y6" s="1279" t="s">
        <v>245</v>
      </c>
      <c r="Z6" s="1279" t="s">
        <v>244</v>
      </c>
      <c r="AA6" s="1281"/>
      <c r="AB6" s="803"/>
      <c r="AC6" s="811" t="s">
        <v>12</v>
      </c>
      <c r="AD6" s="810"/>
      <c r="AE6" s="803">
        <v>2024</v>
      </c>
      <c r="AF6" s="805"/>
      <c r="AG6" s="812" t="s">
        <v>393</v>
      </c>
      <c r="AH6" s="813"/>
      <c r="AI6" s="813"/>
      <c r="AJ6" s="813"/>
      <c r="AK6" s="813"/>
      <c r="AL6" s="812" t="s">
        <v>393</v>
      </c>
      <c r="AM6" s="814"/>
      <c r="AN6" s="607"/>
    </row>
    <row r="7" spans="1:42" ht="20.149999999999999" customHeight="1">
      <c r="A7" s="52" t="s">
        <v>54</v>
      </c>
      <c r="B7" s="52" t="s">
        <v>25</v>
      </c>
      <c r="C7" s="1265"/>
      <c r="D7" s="1267" t="s">
        <v>21</v>
      </c>
      <c r="E7" s="1267" t="s">
        <v>20</v>
      </c>
      <c r="F7" s="1267" t="s">
        <v>19</v>
      </c>
      <c r="G7" s="1267" t="s">
        <v>18</v>
      </c>
      <c r="H7" s="1269" t="s">
        <v>17</v>
      </c>
      <c r="I7" s="1269" t="s">
        <v>17</v>
      </c>
      <c r="J7" s="796" t="s">
        <v>40</v>
      </c>
      <c r="K7" s="797" t="s">
        <v>51</v>
      </c>
      <c r="L7" s="797" t="s">
        <v>104</v>
      </c>
      <c r="M7" s="797" t="s">
        <v>42</v>
      </c>
      <c r="N7" s="796" t="s">
        <v>41</v>
      </c>
      <c r="O7" s="796" t="s">
        <v>53</v>
      </c>
      <c r="P7" s="796" t="s">
        <v>42</v>
      </c>
      <c r="Q7" s="797" t="s">
        <v>40</v>
      </c>
      <c r="R7" s="798" t="s">
        <v>52</v>
      </c>
      <c r="S7" s="798" t="s">
        <v>105</v>
      </c>
      <c r="T7" s="797" t="s">
        <v>42</v>
      </c>
      <c r="U7" s="799" t="s">
        <v>41</v>
      </c>
      <c r="V7" s="796" t="s">
        <v>40</v>
      </c>
      <c r="W7" s="796" t="s">
        <v>42</v>
      </c>
      <c r="X7" s="1278"/>
      <c r="Y7" s="1280"/>
      <c r="Z7" s="796" t="s">
        <v>40</v>
      </c>
      <c r="AA7" s="800" t="s">
        <v>42</v>
      </c>
      <c r="AB7" s="803"/>
      <c r="AC7" s="815" t="s">
        <v>11</v>
      </c>
      <c r="AD7" s="816" t="s">
        <v>10</v>
      </c>
      <c r="AE7" s="805" t="str">
        <f>AE6&amp;" Lookup"</f>
        <v>2024 Lookup</v>
      </c>
      <c r="AF7" s="805"/>
      <c r="AG7" s="817" t="s">
        <v>22</v>
      </c>
      <c r="AH7" s="818" t="s">
        <v>19</v>
      </c>
      <c r="AI7" s="818" t="s">
        <v>397</v>
      </c>
      <c r="AJ7" s="819" t="s">
        <v>395</v>
      </c>
      <c r="AK7" s="818" t="s">
        <v>18</v>
      </c>
      <c r="AL7" s="820" t="s">
        <v>40</v>
      </c>
      <c r="AM7" s="821" t="s">
        <v>42</v>
      </c>
      <c r="AN7" s="457" t="s">
        <v>396</v>
      </c>
    </row>
    <row r="8" spans="1:42" s="781" customFormat="1" ht="20.25" customHeight="1">
      <c r="A8" s="781" t="str">
        <f t="shared" ref="A8:A26" si="0">$B8&amp;"_"&amp;$C$3&amp;"_"&amp;$C$2</f>
        <v>TSX:FM_2025_2nd Highest</v>
      </c>
      <c r="B8" s="12" t="str">
        <f>'Peer Group'!A6</f>
        <v>TSX:FM</v>
      </c>
      <c r="C8" s="666" t="str">
        <f t="shared" ref="C8:C26" si="1">IFERROR(INDEX(Raw_Data,MATCH($A8,Look_Up3,0),MATCH(C$4,Component,0)),"-")</f>
        <v>First Quantum Minerals Ltd.</v>
      </c>
      <c r="D8" s="667" t="str">
        <f>_xll.ciqfunctions.udf.CIQ(B8, "IQ_MARKETCAP", $A$1,$A$2)</f>
        <v>#PEND</v>
      </c>
      <c r="E8" s="667" t="str">
        <f>_xll.ciqfunctions.udf.CIQ($B8, "IQ_TEV", $A$1,$A$2)</f>
        <v>#PEND</v>
      </c>
      <c r="F8" s="668" t="str">
        <f t="shared" ref="F8:G26" si="2">IFERROR(INDEX(Raw_Data,MATCH($A8,Look_Up3,0),MATCH(F$4,Component,0)),"-")</f>
        <v>Ryan MacWilliam</v>
      </c>
      <c r="G8" s="668" t="str">
        <f t="shared" si="2"/>
        <v>CFO</v>
      </c>
      <c r="H8" s="667" t="str">
        <f t="shared" ref="H8:J23" si="3">IFERROR(INDEX(Raw_Data,MATCH($A8,Look_Up2,0),MATCH(H$4,Component,0))/1000,"-")</f>
        <v>-</v>
      </c>
      <c r="I8" s="667">
        <f t="shared" ref="I8:I26" si="4">IFERROR(INDEX(Raw_Data,MATCH($A8,Look_Up3,0),MATCH(I$4,Component,0))/1000,"-")</f>
        <v>1152.89625</v>
      </c>
      <c r="J8" s="669" t="str">
        <f t="shared" si="3"/>
        <v>-</v>
      </c>
      <c r="K8" s="670" t="str">
        <f t="shared" ref="K8:L23" si="5">IFERROR(INDEX(Raw_Data,MATCH($A8,Look_Up2,0),MATCH(K$4,Component,0)),"-")</f>
        <v>-</v>
      </c>
      <c r="L8" s="670" t="str">
        <f t="shared" si="5"/>
        <v>-</v>
      </c>
      <c r="M8" s="671">
        <f t="shared" ref="M8:M26" si="6">IFERROR(INDEX(Raw_Data,MATCH($A8,Look_Up3,0),MATCH(M$4,Component,0))/1000,"-")</f>
        <v>576.448125</v>
      </c>
      <c r="N8" s="672">
        <f t="shared" ref="N8:N26" si="7">IFERROR(IF(INDEX(Raw_Data,MATCH($A8,Look_Up3,0),MATCH(N$4,Component,0))="-",L8,INDEX(Raw_Data,MATCH($A8,Look_Up3,0),MATCH(N$4,Component,0))),"-")</f>
        <v>0.5</v>
      </c>
      <c r="O8" s="669">
        <f t="shared" ref="O8:Q26" si="8">IFERROR(INDEX(Raw_Data,MATCH($A8,Look_Up3,0),MATCH(O$4,Component,0))/1000,"-")</f>
        <v>1704.8889999999999</v>
      </c>
      <c r="P8" s="673">
        <f t="shared" si="8"/>
        <v>1729.3443749999999</v>
      </c>
      <c r="Q8" s="850">
        <f>IFERROR(INDEX(Raw_Data,MATCH($A8,Look_Up3,0),MATCH(Q$4,Component,0))/1000,"-")</f>
        <v>1572.1312499999999</v>
      </c>
      <c r="R8" s="851">
        <f t="shared" ref="R8:S22" si="9">IFERROR(INDEX(Raw_Data,MATCH($A8,Look_Up3,0),MATCH(R$4,Component,0)),"-")</f>
        <v>1.3636363636363635</v>
      </c>
      <c r="S8" s="851">
        <f t="shared" si="9"/>
        <v>1.4319809094252474</v>
      </c>
      <c r="T8" s="671">
        <f t="shared" ref="T8:T26" si="10">IFERROR(INDEX(Raw_Data,MATCH($A8,Look_Up3,0),MATCH(T$4,Component,0))/1000,"-")</f>
        <v>1729.3443749999999</v>
      </c>
      <c r="U8" s="672">
        <f t="shared" ref="U8:U26" si="11">IFERROR(IF(INDEX(Raw_Data,MATCH($A8,Look_Up3,0),MATCH(U$4,Component,0))="-",S8,INDEX(Raw_Data,MATCH($A8,Look_Up3,0),MATCH(U$4,Component,0))),"-")</f>
        <v>1.5</v>
      </c>
      <c r="V8" s="669">
        <f t="shared" ref="V8:W26" si="12">IFERROR(INDEX(Raw_Data,MATCH($A8,Look_Up3,0),MATCH(V$4,Component,0))/1000,"-")</f>
        <v>3277.02025</v>
      </c>
      <c r="W8" s="674">
        <f t="shared" si="12"/>
        <v>3458.6887499999998</v>
      </c>
      <c r="X8" s="669">
        <f t="shared" ref="X8:Y26" si="13">IFERROR((INDEX(Raw_Data,MATCH($A8,Look_Up3,0),MATCH(X$4,Component,0))/1000),"-")</f>
        <v>11.443718050000001</v>
      </c>
      <c r="Y8" s="674">
        <f t="shared" si="13"/>
        <v>87.573999150000006</v>
      </c>
      <c r="Z8" s="669">
        <f t="shared" ref="Z8:AA26" si="14">IFERROR(INDEX(Raw_Data,MATCH($A8,Look_Up3,0),MATCH(Z$4,Component,0))/1000,"-")</f>
        <v>3376.0379671999999</v>
      </c>
      <c r="AA8" s="674">
        <f t="shared" si="14"/>
        <v>3557.7064671999997</v>
      </c>
      <c r="AB8"/>
      <c r="AC8"/>
      <c r="AD8"/>
      <c r="AE8"/>
      <c r="AF8"/>
      <c r="AG8" s="679" cm="1">
        <f t="array" ref="AG8">IFERROR(INDEX('Import 2024 Data'!$E$4:$I$113,_xlfn.XMATCH('2nd Highest'!$AE8,'Import 2024 Data'!$C$4:$C$113),_xlfn.XMATCH('2nd Highest'!AG$5,'Import 2024 Data'!$E$3:$I$3)),"-")</f>
        <v>0</v>
      </c>
      <c r="AH8" s="680" cm="1">
        <f t="array" ref="AH8">IFERROR(INDEX('Import 2024 Data'!$E$4:$I$113,_xlfn.XMATCH('2nd Highest'!$AE8,'Import 2024 Data'!$C$4:$C$113),_xlfn.XMATCH('2nd Highest'!AH$5,'Import 2024 Data'!$E$3:$I$3)),"-")</f>
        <v>0</v>
      </c>
      <c r="AI8" s="681" t="str">
        <f>IF(ISNUMBER(_xlfn.XMATCH(C8,'Import 2024 Data'!$E$4:$E$113)),"N","Y")</f>
        <v>Y</v>
      </c>
      <c r="AJ8" s="681" t="str">
        <f>IFERROR(IF(TRIM(LOWER(AH8))=TRIM(LOWER(F8)),"N","Y"),"-")</f>
        <v>Y</v>
      </c>
      <c r="AK8" s="680" cm="1">
        <f t="array" ref="AK8">IFERROR(INDEX('Import 2024 Data'!$E$4:$I$113,_xlfn.XMATCH('2nd Highest'!$AE8,'Import 2024 Data'!$C$4:$C$113),_xlfn.XMATCH('2nd Highest'!AK$5,'Import 2024 Data'!$E$3:$I$3)),"-")</f>
        <v>0</v>
      </c>
      <c r="AL8" s="784" cm="1">
        <f t="array" ref="AL8">IFERROR(INDEX('Import 2024 Data'!$E$4:$I$113,_xlfn.XMATCH('2nd Highest'!$AE8,'Import 2024 Data'!$C$4:$C$113),_xlfn.XMATCH('2nd Highest'!AL$5,'Import 2024 Data'!$E$3:$I$3)),"-")</f>
        <v>0</v>
      </c>
      <c r="AM8" s="785" cm="1">
        <f t="array" ref="AM8">IFERROR(INDEX('Import 2024 Data'!$E$4:$I$113,_xlfn.XMATCH('2nd Highest'!$AE8,'Import 2024 Data'!$C$4:$C$113),_xlfn.XMATCH('2nd Highest'!AM$5,'Import 2024 Data'!$E$3:$I$3)),"-")</f>
        <v>0</v>
      </c>
      <c r="AN8" s="783" t="str">
        <f>IF(AJ8="N",IFERROR(W8/AM8-1,"-"),"-")</f>
        <v>-</v>
      </c>
    </row>
    <row r="9" spans="1:42" s="781" customFormat="1" ht="20.25" customHeight="1">
      <c r="A9" s="781" t="str">
        <f t="shared" si="0"/>
        <v>TSX:K_2025_2nd Highest</v>
      </c>
      <c r="B9" s="12" t="str">
        <f>'Peer Group'!A7</f>
        <v>TSX:K</v>
      </c>
      <c r="C9" s="666" t="str">
        <f t="shared" si="1"/>
        <v>Kinross Gold Corporation</v>
      </c>
      <c r="D9" s="667" t="str">
        <f>_xll.ciqfunctions.udf.CIQ(B9, "IQ_MARKETCAP", $A$1,$A$2)</f>
        <v>#PEND</v>
      </c>
      <c r="E9" s="667" t="str">
        <f>_xll.ciqfunctions.udf.CIQ($B9, "IQ_TEV", $A$1,$A$2)</f>
        <v>#PEND</v>
      </c>
      <c r="F9" s="668" t="str">
        <f t="shared" si="2"/>
        <v>Geoffrey P. Gold</v>
      </c>
      <c r="G9" s="668" t="str">
        <f t="shared" si="2"/>
        <v>President</v>
      </c>
      <c r="H9" s="667" t="str">
        <f t="shared" si="3"/>
        <v>-</v>
      </c>
      <c r="I9" s="667">
        <f t="shared" si="4"/>
        <v>917.62156800000014</v>
      </c>
      <c r="J9" s="669" t="str">
        <f t="shared" si="3"/>
        <v>-</v>
      </c>
      <c r="K9" s="670" t="str">
        <f t="shared" si="5"/>
        <v>-</v>
      </c>
      <c r="L9" s="670" t="str">
        <f t="shared" si="5"/>
        <v>-</v>
      </c>
      <c r="M9" s="671">
        <f t="shared" si="6"/>
        <v>1284.6701951999999</v>
      </c>
      <c r="N9" s="672">
        <f t="shared" si="7"/>
        <v>1.4</v>
      </c>
      <c r="O9" s="669">
        <f t="shared" si="8"/>
        <v>2523.4593120000004</v>
      </c>
      <c r="P9" s="673">
        <f t="shared" si="8"/>
        <v>2202.2917631999999</v>
      </c>
      <c r="Q9" s="850">
        <f t="shared" si="8"/>
        <v>2661.1025472000006</v>
      </c>
      <c r="R9" s="851">
        <f t="shared" si="9"/>
        <v>2.9000000000000004</v>
      </c>
      <c r="S9" s="851">
        <f t="shared" si="9"/>
        <v>2.7311111111111113</v>
      </c>
      <c r="T9" s="671">
        <f t="shared" si="10"/>
        <v>2506.1264601600001</v>
      </c>
      <c r="U9" s="672">
        <f t="shared" si="11"/>
        <v>2.7311111111111113</v>
      </c>
      <c r="V9" s="669">
        <f t="shared" si="12"/>
        <v>5184.561859200001</v>
      </c>
      <c r="W9" s="674">
        <f t="shared" si="12"/>
        <v>4708.4182233600004</v>
      </c>
      <c r="X9" s="669">
        <f t="shared" si="13"/>
        <v>412.92970560000003</v>
      </c>
      <c r="Y9" s="674">
        <f t="shared" si="13"/>
        <v>133.56966844999999</v>
      </c>
      <c r="Z9" s="669">
        <f t="shared" si="14"/>
        <v>5731.0612332500004</v>
      </c>
      <c r="AA9" s="674">
        <f t="shared" si="14"/>
        <v>5254.9175974099999</v>
      </c>
      <c r="AB9" s="782"/>
      <c r="AC9" s="676">
        <f t="shared" ref="AC9:AC26" si="15">IFERROR(P9/W9,"-")</f>
        <v>0.46773495019488948</v>
      </c>
      <c r="AD9" s="677">
        <f t="shared" ref="AD9:AD26" si="16">IFERROR(T9/W9,"-")</f>
        <v>0.53226504980511036</v>
      </c>
      <c r="AE9" s="678" t="str">
        <f t="shared" ref="AE9:AE26" si="17">B9&amp;"_"&amp;$AE$6&amp;"_"&amp;$C$2</f>
        <v>TSX:K_2024_2nd Highest</v>
      </c>
      <c r="AF9" s="678"/>
      <c r="AG9" s="682" t="str" cm="1">
        <f t="array" ref="AG9">IFERROR(INDEX('Import 2024 Data'!$E$4:$I$113,_xlfn.XMATCH('2nd Highest'!$AE9,'Import 2024 Data'!$C$4:$C$113),_xlfn.XMATCH('2nd Highest'!AG$5,'Import 2024 Data'!$E$3:$I$3)),"-")</f>
        <v>-</v>
      </c>
      <c r="AH9" s="678" t="str" cm="1">
        <f t="array" ref="AH9">IFERROR(INDEX('Import 2024 Data'!$E$4:$I$113,_xlfn.XMATCH('2nd Highest'!$AE9,'Import 2024 Data'!$C$4:$C$113),_xlfn.XMATCH('2nd Highest'!AH$5,'Import 2024 Data'!$E$3:$I$3)),"-")</f>
        <v>-</v>
      </c>
      <c r="AI9" s="683" t="str">
        <f>IF(ISNUMBER(_xlfn.XMATCH(C9,'Import 2024 Data'!$E$4:$E$113)),"N","Y")</f>
        <v>N</v>
      </c>
      <c r="AJ9" s="683" t="str">
        <f>IFERROR(IF(TRIM(LOWER(AH9))=TRIM(LOWER(F9)),"N","Y"),"-")</f>
        <v>Y</v>
      </c>
      <c r="AK9" s="678" t="str" cm="1">
        <f t="array" ref="AK9">IFERROR(INDEX('Import 2024 Data'!$E$4:$I$113,_xlfn.XMATCH('2nd Highest'!$AE9,'Import 2024 Data'!$C$4:$C$113),_xlfn.XMATCH('2nd Highest'!AK$5,'Import 2024 Data'!$E$3:$I$3)),"-")</f>
        <v>-</v>
      </c>
      <c r="AL9" s="786" t="str" cm="1">
        <f t="array" ref="AL9">IFERROR(INDEX('Import 2024 Data'!$E$4:$I$113,_xlfn.XMATCH('2nd Highest'!$AE9,'Import 2024 Data'!$C$4:$C$113),_xlfn.XMATCH('2nd Highest'!AL$5,'Import 2024 Data'!$E$3:$I$3)),"-")</f>
        <v>-</v>
      </c>
      <c r="AM9" s="787" t="str" cm="1">
        <f t="array" ref="AM9">IFERROR(INDEX('Import 2024 Data'!$E$4:$I$113,_xlfn.XMATCH('2nd Highest'!$AE9,'Import 2024 Data'!$C$4:$C$113),_xlfn.XMATCH('2nd Highest'!AM$5,'Import 2024 Data'!$E$3:$I$3)),"-")</f>
        <v>-</v>
      </c>
      <c r="AN9" s="783" t="str">
        <f t="shared" ref="AN9:AN20" si="18">IF(AJ9="N",IFERROR(W9/AM9-1,"-"),"-")</f>
        <v>-</v>
      </c>
      <c r="AP9" s="781" t="s">
        <v>470</v>
      </c>
    </row>
    <row r="10" spans="1:42" s="781" customFormat="1" ht="20.25" customHeight="1">
      <c r="A10" s="781" t="str">
        <f t="shared" si="0"/>
        <v>TSX:LUN_2025_2nd Highest</v>
      </c>
      <c r="B10" s="12" t="str">
        <f>'Peer Group'!A8</f>
        <v>TSX:LUN</v>
      </c>
      <c r="C10" s="666" t="str">
        <f t="shared" si="1"/>
        <v>Lundin Mining Corporation</v>
      </c>
      <c r="D10" s="667" t="str">
        <f>_xll.ciqfunctions.udf.CIQ(B10, "IQ_MARKETCAP", $A$1,$A$2)</f>
        <v>#PEND</v>
      </c>
      <c r="E10" s="667" t="str">
        <f>_xll.ciqfunctions.udf.CIQ($B10, "IQ_TEV", $A$1,$A$2)</f>
        <v>#PEND</v>
      </c>
      <c r="F10" s="668" t="str">
        <f t="shared" si="2"/>
        <v>Juan Andres Morel</v>
      </c>
      <c r="G10" s="668" t="str">
        <f t="shared" si="2"/>
        <v>COO</v>
      </c>
      <c r="H10" s="667" t="str">
        <f t="shared" si="3"/>
        <v>-</v>
      </c>
      <c r="I10" s="667">
        <f t="shared" si="4"/>
        <v>825.58690845000012</v>
      </c>
      <c r="J10" s="669" t="str">
        <f t="shared" si="3"/>
        <v>-</v>
      </c>
      <c r="K10" s="670" t="str">
        <f t="shared" si="5"/>
        <v>-</v>
      </c>
      <c r="L10" s="670" t="str">
        <f t="shared" si="5"/>
        <v>-</v>
      </c>
      <c r="M10" s="671">
        <f t="shared" si="6"/>
        <v>660.46952676000012</v>
      </c>
      <c r="N10" s="672">
        <f t="shared" si="7"/>
        <v>0.8</v>
      </c>
      <c r="O10" s="669">
        <f t="shared" si="8"/>
        <v>1707.3135757500004</v>
      </c>
      <c r="P10" s="673">
        <f t="shared" si="8"/>
        <v>1486.0564352100002</v>
      </c>
      <c r="Q10" s="850">
        <f t="shared" si="8"/>
        <v>2134.6999016</v>
      </c>
      <c r="R10" s="851">
        <f t="shared" si="9"/>
        <v>2.5856755718278004</v>
      </c>
      <c r="S10" s="851">
        <f t="shared" si="9"/>
        <v>1.9486686197370029</v>
      </c>
      <c r="T10" s="671">
        <f t="shared" si="10"/>
        <v>1608.7953013622011</v>
      </c>
      <c r="U10" s="672">
        <f t="shared" si="11"/>
        <v>1.9486686197370029</v>
      </c>
      <c r="V10" s="669">
        <f t="shared" si="12"/>
        <v>3842.0134773500004</v>
      </c>
      <c r="W10" s="674">
        <f t="shared" si="12"/>
        <v>3094.8517365722014</v>
      </c>
      <c r="X10" s="669" t="str">
        <f t="shared" si="13"/>
        <v>-</v>
      </c>
      <c r="Y10" s="674">
        <f t="shared" si="13"/>
        <v>5.8958415500000001</v>
      </c>
      <c r="Z10" s="669">
        <f t="shared" si="14"/>
        <v>3847.9093189000005</v>
      </c>
      <c r="AA10" s="674">
        <f t="shared" si="14"/>
        <v>3100.7475781222015</v>
      </c>
      <c r="AB10" s="782"/>
      <c r="AC10" s="676">
        <f t="shared" si="15"/>
        <v>0.48017047719899109</v>
      </c>
      <c r="AD10" s="677">
        <f t="shared" si="16"/>
        <v>0.51982952280100891</v>
      </c>
      <c r="AE10" s="678" t="str">
        <f t="shared" si="17"/>
        <v>TSX:LUN_2024_2nd Highest</v>
      </c>
      <c r="AF10" s="678"/>
      <c r="AG10" s="682" t="str" cm="1">
        <f t="array" ref="AG10">IFERROR(INDEX('Import 2024 Data'!$E$4:$I$113,_xlfn.XMATCH('2nd Highest'!$AE10,'Import 2024 Data'!$C$4:$C$113),_xlfn.XMATCH('2nd Highest'!AG$5,'Import 2024 Data'!$E$3:$I$3)),"-")</f>
        <v>-</v>
      </c>
      <c r="AH10" s="678" t="str" cm="1">
        <f t="array" ref="AH10">IFERROR(INDEX('Import 2024 Data'!$E$4:$I$113,_xlfn.XMATCH('2nd Highest'!$AE10,'Import 2024 Data'!$C$4:$C$113),_xlfn.XMATCH('2nd Highest'!AH$5,'Import 2024 Data'!$E$3:$I$3)),"-")</f>
        <v>-</v>
      </c>
      <c r="AI10" s="683" t="str">
        <f>IF(ISNUMBER(_xlfn.XMATCH(C10,'Import 2024 Data'!$E$4:$E$113)),"N","Y")</f>
        <v>N</v>
      </c>
      <c r="AJ10" s="683" t="str">
        <f>IFERROR(IF(TRIM(LOWER(AH10))=TRIM(LOWER(F10)),"N","Y"),"-")</f>
        <v>Y</v>
      </c>
      <c r="AK10" s="678" t="str" cm="1">
        <f t="array" ref="AK10">IFERROR(INDEX('Import 2024 Data'!$E$4:$I$113,_xlfn.XMATCH('2nd Highest'!$AE10,'Import 2024 Data'!$C$4:$C$113),_xlfn.XMATCH('2nd Highest'!AK$5,'Import 2024 Data'!$E$3:$I$3)),"-")</f>
        <v>-</v>
      </c>
      <c r="AL10" s="788" t="str" cm="1">
        <f t="array" ref="AL10">IFERROR(INDEX('Import 2024 Data'!$E$4:$I$113,_xlfn.XMATCH('2nd Highest'!$AE10,'Import 2024 Data'!$C$4:$C$113),_xlfn.XMATCH('2nd Highest'!AL$5,'Import 2024 Data'!$E$3:$I$3)),"-")</f>
        <v>-</v>
      </c>
      <c r="AM10" s="789" t="str" cm="1">
        <f t="array" ref="AM10">IFERROR(INDEX('Import 2024 Data'!$E$4:$I$113,_xlfn.XMATCH('2nd Highest'!$AE10,'Import 2024 Data'!$C$4:$C$113),_xlfn.XMATCH('2nd Highest'!AM$5,'Import 2024 Data'!$E$3:$I$3)),"-")</f>
        <v>-</v>
      </c>
      <c r="AN10" s="783" t="str">
        <f t="shared" si="18"/>
        <v>-</v>
      </c>
      <c r="AP10" s="781" t="s">
        <v>471</v>
      </c>
    </row>
    <row r="11" spans="1:42" s="781" customFormat="1" ht="20.25" customHeight="1">
      <c r="A11" s="781" t="str">
        <f t="shared" si="0"/>
        <v>TSX:PAAS_2025_2nd Highest</v>
      </c>
      <c r="B11" s="12" t="str">
        <f>'Peer Group'!A9</f>
        <v>TSX:PAAS</v>
      </c>
      <c r="C11" s="666" t="str">
        <f t="shared" si="1"/>
        <v>Pan American Silver Corp.</v>
      </c>
      <c r="D11" s="667" t="str">
        <f>_xll.ciqfunctions.udf.CIQ(B11, "IQ_MARKETCAP", $A$1,$A$2)</f>
        <v>#PEND</v>
      </c>
      <c r="E11" s="667" t="str">
        <f>_xll.ciqfunctions.udf.CIQ($B11, "IQ_TEV", $A$1,$A$2)</f>
        <v>#PEND</v>
      </c>
      <c r="F11" s="668" t="str">
        <f t="shared" si="2"/>
        <v>Steven Busby</v>
      </c>
      <c r="G11" s="668" t="str">
        <f t="shared" si="2"/>
        <v>Former COO</v>
      </c>
      <c r="H11" s="667" t="str">
        <f t="shared" si="3"/>
        <v>-</v>
      </c>
      <c r="I11" s="667">
        <f t="shared" si="4"/>
        <v>808.1</v>
      </c>
      <c r="J11" s="669" t="str">
        <f t="shared" si="3"/>
        <v>-</v>
      </c>
      <c r="K11" s="670" t="str">
        <f t="shared" si="5"/>
        <v>-</v>
      </c>
      <c r="L11" s="670" t="str">
        <f t="shared" si="5"/>
        <v>-</v>
      </c>
      <c r="M11" s="671">
        <f t="shared" si="6"/>
        <v>646.48</v>
      </c>
      <c r="N11" s="672">
        <f t="shared" si="7"/>
        <v>0.8</v>
      </c>
      <c r="O11" s="669">
        <f t="shared" si="8"/>
        <v>1753.577</v>
      </c>
      <c r="P11" s="673">
        <f t="shared" si="8"/>
        <v>1454.58</v>
      </c>
      <c r="Q11" s="850">
        <f t="shared" si="8"/>
        <v>1777.8</v>
      </c>
      <c r="R11" s="851">
        <f t="shared" si="9"/>
        <v>2.1999752505877987</v>
      </c>
      <c r="S11" s="851">
        <f t="shared" si="9"/>
        <v>2.2062785210817961</v>
      </c>
      <c r="T11" s="671">
        <f t="shared" si="10"/>
        <v>1777.8200000000002</v>
      </c>
      <c r="U11" s="672">
        <f t="shared" si="11"/>
        <v>2.2000000000000002</v>
      </c>
      <c r="V11" s="669">
        <f t="shared" si="12"/>
        <v>3531.377</v>
      </c>
      <c r="W11" s="674">
        <f t="shared" si="12"/>
        <v>3232.4</v>
      </c>
      <c r="X11" s="669">
        <f t="shared" si="13"/>
        <v>363.64499999999998</v>
      </c>
      <c r="Y11" s="674" t="str">
        <f t="shared" si="13"/>
        <v>-</v>
      </c>
      <c r="Z11" s="669">
        <f t="shared" si="14"/>
        <v>3895.0219999999999</v>
      </c>
      <c r="AA11" s="674">
        <f t="shared" si="14"/>
        <v>3596.0450000000001</v>
      </c>
      <c r="AB11" s="782"/>
      <c r="AC11" s="676">
        <f t="shared" si="15"/>
        <v>0.44999999999999996</v>
      </c>
      <c r="AD11" s="677">
        <f t="shared" si="16"/>
        <v>0.55000000000000004</v>
      </c>
      <c r="AE11" s="678" t="str">
        <f t="shared" si="17"/>
        <v>TSX:PAAS_2024_2nd Highest</v>
      </c>
      <c r="AF11" s="678"/>
      <c r="AG11" s="682" t="str" cm="1">
        <f t="array" ref="AG11">IFERROR(INDEX('Import 2024 Data'!$E$4:$I$113,_xlfn.XMATCH('2nd Highest'!$AE11,'Import 2024 Data'!$C$4:$C$113),_xlfn.XMATCH('2nd Highest'!AG$5,'Import 2024 Data'!$E$3:$I$3)),"-")</f>
        <v>-</v>
      </c>
      <c r="AH11" s="678" t="str" cm="1">
        <f t="array" ref="AH11">IFERROR(INDEX('Import 2024 Data'!$E$4:$I$113,_xlfn.XMATCH('2nd Highest'!$AE11,'Import 2024 Data'!$C$4:$C$113),_xlfn.XMATCH('2nd Highest'!AH$5,'Import 2024 Data'!$E$3:$I$3)),"-")</f>
        <v>-</v>
      </c>
      <c r="AI11" s="683" t="str">
        <f>IF(ISNUMBER(_xlfn.XMATCH(C11,'Import 2024 Data'!$E$4:$E$113)),"N","Y")</f>
        <v>N</v>
      </c>
      <c r="AJ11" s="683" t="str">
        <f t="shared" ref="AJ11:AJ26" si="19">IFERROR(IF(TRIM(LOWER(AH11))=TRIM(LOWER(F11)),"N","Y"),"-")</f>
        <v>Y</v>
      </c>
      <c r="AK11" s="678" t="str" cm="1">
        <f t="array" ref="AK11">IFERROR(INDEX('Import 2024 Data'!$E$4:$I$113,_xlfn.XMATCH('2nd Highest'!$AE11,'Import 2024 Data'!$C$4:$C$113),_xlfn.XMATCH('2nd Highest'!AK$5,'Import 2024 Data'!$E$3:$I$3)),"-")</f>
        <v>-</v>
      </c>
      <c r="AL11" s="788" t="str" cm="1">
        <f t="array" ref="AL11">IFERROR(INDEX('Import 2024 Data'!$E$4:$I$113,_xlfn.XMATCH('2nd Highest'!$AE11,'Import 2024 Data'!$C$4:$C$113),_xlfn.XMATCH('2nd Highest'!AL$5,'Import 2024 Data'!$E$3:$I$3)),"-")</f>
        <v>-</v>
      </c>
      <c r="AM11" s="789" t="str" cm="1">
        <f t="array" ref="AM11">IFERROR(INDEX('Import 2024 Data'!$E$4:$I$113,_xlfn.XMATCH('2nd Highest'!$AE11,'Import 2024 Data'!$C$4:$C$113),_xlfn.XMATCH('2nd Highest'!AM$5,'Import 2024 Data'!$E$3:$I$3)),"-")</f>
        <v>-</v>
      </c>
      <c r="AN11" s="783" t="str">
        <f t="shared" si="18"/>
        <v>-</v>
      </c>
      <c r="AP11" s="781">
        <f>650/512</f>
        <v>1.26953125</v>
      </c>
    </row>
    <row r="12" spans="1:42" s="781" customFormat="1" ht="20.25" customHeight="1">
      <c r="A12" s="781" t="str">
        <f t="shared" si="0"/>
        <v>TSX:CDE_2025_2nd Highest</v>
      </c>
      <c r="B12" s="12" t="str">
        <f>'Peer Group'!A10</f>
        <v>TSX:CDE</v>
      </c>
      <c r="C12" s="666" t="str">
        <f t="shared" si="1"/>
        <v>Coeur Mining, Inc.</v>
      </c>
      <c r="D12" s="667" t="str">
        <f>_xll.ciqfunctions.udf.CIQ(B12, "IQ_MARKETCAP", $A$1,$A$2)</f>
        <v>#PEND</v>
      </c>
      <c r="E12" s="667" t="str">
        <f>_xll.ciqfunctions.udf.CIQ($B12, "IQ_TEV", $A$1,$A$2)</f>
        <v>#PEND</v>
      </c>
      <c r="F12" s="668" t="str">
        <f t="shared" si="2"/>
        <v>Michael Routledge</v>
      </c>
      <c r="G12" s="668" t="str">
        <f t="shared" si="2"/>
        <v>EVP &amp; COO</v>
      </c>
      <c r="H12" s="667" t="str">
        <f t="shared" si="3"/>
        <v>-</v>
      </c>
      <c r="I12" s="667">
        <f t="shared" si="4"/>
        <v>733.66125</v>
      </c>
      <c r="J12" s="669" t="str">
        <f t="shared" si="3"/>
        <v>-</v>
      </c>
      <c r="K12" s="670" t="str">
        <f t="shared" si="5"/>
        <v>-</v>
      </c>
      <c r="L12" s="670" t="str">
        <f t="shared" si="5"/>
        <v>-</v>
      </c>
      <c r="M12" s="671">
        <f t="shared" si="6"/>
        <v>733.66125</v>
      </c>
      <c r="N12" s="672">
        <f t="shared" si="7"/>
        <v>1</v>
      </c>
      <c r="O12" s="669">
        <f t="shared" si="8"/>
        <v>1697.6921325000001</v>
      </c>
      <c r="P12" s="673">
        <f t="shared" si="8"/>
        <v>1467.3225</v>
      </c>
      <c r="Q12" s="850">
        <f t="shared" si="8"/>
        <v>2485.4179281000002</v>
      </c>
      <c r="R12" s="851">
        <f t="shared" si="9"/>
        <v>3.3876914285714288</v>
      </c>
      <c r="S12" s="851">
        <f t="shared" si="9"/>
        <v>2.4672939682539679</v>
      </c>
      <c r="T12" s="671">
        <f t="shared" si="10"/>
        <v>1650.7378125</v>
      </c>
      <c r="U12" s="672">
        <f t="shared" si="11"/>
        <v>2.25</v>
      </c>
      <c r="V12" s="669">
        <f t="shared" si="12"/>
        <v>4183.1100606</v>
      </c>
      <c r="W12" s="674">
        <f t="shared" si="12"/>
        <v>3118.0603124999998</v>
      </c>
      <c r="X12" s="669">
        <f t="shared" si="13"/>
        <v>29.346450000000001</v>
      </c>
      <c r="Y12" s="674">
        <f t="shared" si="13"/>
        <v>71.757660050000013</v>
      </c>
      <c r="Z12" s="669">
        <f t="shared" si="14"/>
        <v>4284.2141706500006</v>
      </c>
      <c r="AA12" s="674">
        <f t="shared" si="14"/>
        <v>3219.1644225500004</v>
      </c>
      <c r="AB12" s="782"/>
      <c r="AC12" s="676">
        <f t="shared" si="15"/>
        <v>0.4705882352941177</v>
      </c>
      <c r="AD12" s="677">
        <f t="shared" si="16"/>
        <v>0.52941176470588236</v>
      </c>
      <c r="AE12" s="678" t="str">
        <f t="shared" si="17"/>
        <v>TSX:CDE_2024_2nd Highest</v>
      </c>
      <c r="AF12" s="678"/>
      <c r="AG12" s="682" t="str" cm="1">
        <f t="array" ref="AG12">IFERROR(INDEX('Import 2024 Data'!$E$4:$I$113,_xlfn.XMATCH('2nd Highest'!$AE12,'Import 2024 Data'!$C$4:$C$113),_xlfn.XMATCH('2nd Highest'!AG$5,'Import 2024 Data'!$E$3:$I$3)),"-")</f>
        <v>-</v>
      </c>
      <c r="AH12" s="678" t="str" cm="1">
        <f t="array" ref="AH12">IFERROR(INDEX('Import 2024 Data'!$E$4:$I$113,_xlfn.XMATCH('2nd Highest'!$AE12,'Import 2024 Data'!$C$4:$C$113),_xlfn.XMATCH('2nd Highest'!AH$5,'Import 2024 Data'!$E$3:$I$3)),"-")</f>
        <v>-</v>
      </c>
      <c r="AI12" s="683" t="str">
        <f>IF(ISNUMBER(_xlfn.XMATCH(C12,'Import 2024 Data'!$E$4:$E$113)),"N","Y")</f>
        <v>Y</v>
      </c>
      <c r="AJ12" s="683" t="str">
        <f t="shared" si="19"/>
        <v>Y</v>
      </c>
      <c r="AK12" s="678" t="str" cm="1">
        <f t="array" ref="AK12">IFERROR(INDEX('Import 2024 Data'!$E$4:$I$113,_xlfn.XMATCH('2nd Highest'!$AE12,'Import 2024 Data'!$C$4:$C$113),_xlfn.XMATCH('2nd Highest'!AK$5,'Import 2024 Data'!$E$3:$I$3)),"-")</f>
        <v>-</v>
      </c>
      <c r="AL12" s="788" t="str" cm="1">
        <f t="array" ref="AL12">IFERROR(INDEX('Import 2024 Data'!$E$4:$I$113,_xlfn.XMATCH('2nd Highest'!$AE12,'Import 2024 Data'!$C$4:$C$113),_xlfn.XMATCH('2nd Highest'!AL$5,'Import 2024 Data'!$E$3:$I$3)),"-")</f>
        <v>-</v>
      </c>
      <c r="AM12" s="789" t="str" cm="1">
        <f t="array" ref="AM12">IFERROR(INDEX('Import 2024 Data'!$E$4:$I$113,_xlfn.XMATCH('2nd Highest'!$AE12,'Import 2024 Data'!$C$4:$C$113),_xlfn.XMATCH('2nd Highest'!AM$5,'Import 2024 Data'!$E$3:$I$3)),"-")</f>
        <v>-</v>
      </c>
      <c r="AN12" s="783" t="str">
        <f t="shared" si="18"/>
        <v>-</v>
      </c>
    </row>
    <row r="13" spans="1:42" s="781" customFormat="1" ht="20.25" customHeight="1">
      <c r="A13" s="781" t="str">
        <f t="shared" si="0"/>
        <v>TSX:AGI_2025_2nd Highest</v>
      </c>
      <c r="B13" s="12" t="str">
        <f>'Peer Group'!A11</f>
        <v>TSX:AGI</v>
      </c>
      <c r="C13" s="666" t="str">
        <f t="shared" si="1"/>
        <v>Alamos Gold Inc.</v>
      </c>
      <c r="D13" s="667" t="str">
        <f>_xll.ciqfunctions.udf.CIQ(B13, "IQ_MARKETCAP", $A$1,$A$2)</f>
        <v>#PEND</v>
      </c>
      <c r="E13" s="667" t="str">
        <f>_xll.ciqfunctions.udf.CIQ($B13, "IQ_TEV", $A$1,$A$2)</f>
        <v>#PEND</v>
      </c>
      <c r="F13" s="668" t="str">
        <f t="shared" si="2"/>
        <v>Luc Guimond</v>
      </c>
      <c r="G13" s="668" t="str">
        <f t="shared" si="2"/>
        <v>COO</v>
      </c>
      <c r="H13" s="667" t="str">
        <f t="shared" si="3"/>
        <v>-</v>
      </c>
      <c r="I13" s="667">
        <f t="shared" si="4"/>
        <v>674.82161775000009</v>
      </c>
      <c r="J13" s="669" t="str">
        <f t="shared" si="3"/>
        <v>-</v>
      </c>
      <c r="K13" s="670" t="str">
        <f t="shared" si="5"/>
        <v>-</v>
      </c>
      <c r="L13" s="670" t="str">
        <f t="shared" si="5"/>
        <v>-</v>
      </c>
      <c r="M13" s="671">
        <f t="shared" si="6"/>
        <v>573.59837508750013</v>
      </c>
      <c r="N13" s="672">
        <f t="shared" si="7"/>
        <v>0.85</v>
      </c>
      <c r="O13" s="669">
        <f t="shared" si="8"/>
        <v>1112.1899289500002</v>
      </c>
      <c r="P13" s="673">
        <f t="shared" si="8"/>
        <v>1248.4199928375003</v>
      </c>
      <c r="Q13" s="850">
        <f t="shared" si="8"/>
        <v>1180.9388791500003</v>
      </c>
      <c r="R13" s="851">
        <f t="shared" si="9"/>
        <v>1.7500015531326687</v>
      </c>
      <c r="S13" s="851">
        <f t="shared" si="9"/>
        <v>1.6739857327888252</v>
      </c>
      <c r="T13" s="671">
        <f t="shared" si="10"/>
        <v>1129.6417602909746</v>
      </c>
      <c r="U13" s="672">
        <f t="shared" si="11"/>
        <v>1.6739857327888252</v>
      </c>
      <c r="V13" s="669">
        <f t="shared" si="12"/>
        <v>2293.1288081000002</v>
      </c>
      <c r="W13" s="674">
        <f t="shared" si="12"/>
        <v>2378.0617531284747</v>
      </c>
      <c r="X13" s="669">
        <f t="shared" si="13"/>
        <v>133.46346225000002</v>
      </c>
      <c r="Y13" s="674">
        <f t="shared" si="13"/>
        <v>40.489716299999998</v>
      </c>
      <c r="Z13" s="669">
        <f t="shared" si="14"/>
        <v>2467.0819866499996</v>
      </c>
      <c r="AA13" s="674">
        <f t="shared" si="14"/>
        <v>2552.0149316784746</v>
      </c>
      <c r="AB13" s="782"/>
      <c r="AC13" s="676">
        <f t="shared" si="15"/>
        <v>0.52497374855599654</v>
      </c>
      <c r="AD13" s="677">
        <f t="shared" si="16"/>
        <v>0.47502625144400351</v>
      </c>
      <c r="AE13" s="678" t="str">
        <f t="shared" si="17"/>
        <v>TSX:AGI_2024_2nd Highest</v>
      </c>
      <c r="AF13" s="678"/>
      <c r="AG13" s="682" t="str" cm="1">
        <f t="array" ref="AG13">IFERROR(INDEX('Import 2024 Data'!$E$4:$I$113,_xlfn.XMATCH('2nd Highest'!$AE13,'Import 2024 Data'!$C$4:$C$113),_xlfn.XMATCH('2nd Highest'!AG$5,'Import 2024 Data'!$E$3:$I$3)),"-")</f>
        <v>-</v>
      </c>
      <c r="AH13" s="678" t="str" cm="1">
        <f t="array" ref="AH13">IFERROR(INDEX('Import 2024 Data'!$E$4:$I$113,_xlfn.XMATCH('2nd Highest'!$AE13,'Import 2024 Data'!$C$4:$C$113),_xlfn.XMATCH('2nd Highest'!AH$5,'Import 2024 Data'!$E$3:$I$3)),"-")</f>
        <v>-</v>
      </c>
      <c r="AI13" s="683" t="str">
        <f>IF(ISNUMBER(_xlfn.XMATCH(C13,'Import 2024 Data'!$E$4:$E$113)),"N","Y")</f>
        <v>N</v>
      </c>
      <c r="AJ13" s="683" t="str">
        <f t="shared" si="19"/>
        <v>Y</v>
      </c>
      <c r="AK13" s="678" t="str" cm="1">
        <f t="array" ref="AK13">IFERROR(INDEX('Import 2024 Data'!$E$4:$I$113,_xlfn.XMATCH('2nd Highest'!$AE13,'Import 2024 Data'!$C$4:$C$113),_xlfn.XMATCH('2nd Highest'!AK$5,'Import 2024 Data'!$E$3:$I$3)),"-")</f>
        <v>-</v>
      </c>
      <c r="AL13" s="788" t="str" cm="1">
        <f t="array" ref="AL13">IFERROR(INDEX('Import 2024 Data'!$E$4:$I$113,_xlfn.XMATCH('2nd Highest'!$AE13,'Import 2024 Data'!$C$4:$C$113),_xlfn.XMATCH('2nd Highest'!AL$5,'Import 2024 Data'!$E$3:$I$3)),"-")</f>
        <v>-</v>
      </c>
      <c r="AM13" s="789" t="str" cm="1">
        <f t="array" ref="AM13">IFERROR(INDEX('Import 2024 Data'!$E$4:$I$113,_xlfn.XMATCH('2nd Highest'!$AE13,'Import 2024 Data'!$C$4:$C$113),_xlfn.XMATCH('2nd Highest'!AM$5,'Import 2024 Data'!$E$3:$I$3)),"-")</f>
        <v>-</v>
      </c>
      <c r="AN13" s="783" t="str">
        <f t="shared" si="18"/>
        <v>-</v>
      </c>
      <c r="AP13" s="781" t="s">
        <v>476</v>
      </c>
    </row>
    <row r="14" spans="1:42" s="781" customFormat="1" ht="20.25" customHeight="1">
      <c r="A14" s="781" t="str">
        <f t="shared" si="0"/>
        <v>NYSE:HL_2025_2nd Highest</v>
      </c>
      <c r="B14" s="12" t="str">
        <f>'Peer Group'!A12</f>
        <v>NYSE:HL</v>
      </c>
      <c r="C14" s="666" t="str">
        <f t="shared" si="1"/>
        <v>Hecla Mining Company</v>
      </c>
      <c r="D14" s="667" t="str">
        <f>_xll.ciqfunctions.udf.CIQ(B14, "IQ_MARKETCAP", $A$1,$A$2)</f>
        <v>#PEND</v>
      </c>
      <c r="E14" s="667" t="str">
        <f>_xll.ciqfunctions.udf.CIQ($B14, "IQ_TEV", $A$1,$A$2)</f>
        <v>#PEND</v>
      </c>
      <c r="F14" s="668" t="str">
        <f t="shared" si="2"/>
        <v>Michael L. Clary</v>
      </c>
      <c r="G14" s="668" t="str">
        <f t="shared" si="2"/>
        <v xml:space="preserve">Former SVP &amp; Chief Administrative Officer </v>
      </c>
      <c r="H14" s="667" t="str">
        <f t="shared" si="3"/>
        <v>-</v>
      </c>
      <c r="I14" s="667">
        <f t="shared" si="4"/>
        <v>558.98</v>
      </c>
      <c r="J14" s="669" t="str">
        <f t="shared" si="3"/>
        <v>-</v>
      </c>
      <c r="K14" s="670" t="str">
        <f t="shared" si="5"/>
        <v>-</v>
      </c>
      <c r="L14" s="670" t="str">
        <f t="shared" si="5"/>
        <v>-</v>
      </c>
      <c r="M14" s="671">
        <f t="shared" si="6"/>
        <v>447.18400000000003</v>
      </c>
      <c r="N14" s="672">
        <f t="shared" si="7"/>
        <v>0.8</v>
      </c>
      <c r="O14" s="669">
        <f t="shared" si="8"/>
        <v>558.98</v>
      </c>
      <c r="P14" s="673">
        <f t="shared" si="8"/>
        <v>1006.164</v>
      </c>
      <c r="Q14" s="850">
        <f t="shared" si="8"/>
        <v>493.81970140000004</v>
      </c>
      <c r="R14" s="851">
        <f t="shared" si="9"/>
        <v>0.88343000000000005</v>
      </c>
      <c r="S14" s="851">
        <f t="shared" si="9"/>
        <v>1.5638787346385286</v>
      </c>
      <c r="T14" s="671">
        <f t="shared" si="10"/>
        <v>978.21500000000003</v>
      </c>
      <c r="U14" s="672">
        <f t="shared" si="11"/>
        <v>1.75</v>
      </c>
      <c r="V14" s="669">
        <f t="shared" si="12"/>
        <v>1052.7997014000002</v>
      </c>
      <c r="W14" s="674">
        <f t="shared" si="12"/>
        <v>1984.3789999999999</v>
      </c>
      <c r="X14" s="669">
        <f t="shared" si="13"/>
        <v>635.79083925000009</v>
      </c>
      <c r="Y14" s="674">
        <f t="shared" si="13"/>
        <v>50.414406200000002</v>
      </c>
      <c r="Z14" s="669">
        <f t="shared" si="14"/>
        <v>1739.0049468500004</v>
      </c>
      <c r="AA14" s="674">
        <f t="shared" si="14"/>
        <v>2670.5842454500003</v>
      </c>
      <c r="AB14" s="782"/>
      <c r="AC14" s="676">
        <f t="shared" si="15"/>
        <v>0.50704225352112675</v>
      </c>
      <c r="AD14" s="677">
        <f t="shared" si="16"/>
        <v>0.4929577464788733</v>
      </c>
      <c r="AE14" s="678" t="str">
        <f t="shared" si="17"/>
        <v>NYSE:HL_2024_2nd Highest</v>
      </c>
      <c r="AF14" s="678"/>
      <c r="AG14" s="682" t="str" cm="1">
        <f t="array" ref="AG14">IFERROR(INDEX('Import 2024 Data'!$E$4:$I$113,_xlfn.XMATCH('2nd Highest'!$AE14,'Import 2024 Data'!$C$4:$C$113),_xlfn.XMATCH('2nd Highest'!AG$5,'Import 2024 Data'!$E$3:$I$3)),"-")</f>
        <v>-</v>
      </c>
      <c r="AH14" s="678" t="str" cm="1">
        <f t="array" ref="AH14">IFERROR(INDEX('Import 2024 Data'!$E$4:$I$113,_xlfn.XMATCH('2nd Highest'!$AE14,'Import 2024 Data'!$C$4:$C$113),_xlfn.XMATCH('2nd Highest'!AH$5,'Import 2024 Data'!$E$3:$I$3)),"-")</f>
        <v>-</v>
      </c>
      <c r="AI14" s="683" t="str">
        <f>IF(ISNUMBER(_xlfn.XMATCH(C14,'Import 2024 Data'!$E$4:$E$113)),"N","Y")</f>
        <v>N</v>
      </c>
      <c r="AJ14" s="683" t="str">
        <f t="shared" si="19"/>
        <v>Y</v>
      </c>
      <c r="AK14" s="678" t="str" cm="1">
        <f t="array" ref="AK14">IFERROR(INDEX('Import 2024 Data'!$E$4:$I$113,_xlfn.XMATCH('2nd Highest'!$AE14,'Import 2024 Data'!$C$4:$C$113),_xlfn.XMATCH('2nd Highest'!AK$5,'Import 2024 Data'!$E$3:$I$3)),"-")</f>
        <v>-</v>
      </c>
      <c r="AL14" s="788" t="str" cm="1">
        <f t="array" ref="AL14">IFERROR(INDEX('Import 2024 Data'!$E$4:$I$113,_xlfn.XMATCH('2nd Highest'!$AE14,'Import 2024 Data'!$C$4:$C$113),_xlfn.XMATCH('2nd Highest'!AL$5,'Import 2024 Data'!$E$3:$I$3)),"-")</f>
        <v>-</v>
      </c>
      <c r="AM14" s="789" t="str" cm="1">
        <f t="array" ref="AM14">IFERROR(INDEX('Import 2024 Data'!$E$4:$I$113,_xlfn.XMATCH('2nd Highest'!$AE14,'Import 2024 Data'!$C$4:$C$113),_xlfn.XMATCH('2nd Highest'!AM$5,'Import 2024 Data'!$E$3:$I$3)),"-")</f>
        <v>-</v>
      </c>
      <c r="AN14" s="783" t="str">
        <f t="shared" si="18"/>
        <v>-</v>
      </c>
    </row>
    <row r="15" spans="1:42" s="781" customFormat="1" ht="20.25" customHeight="1">
      <c r="A15" s="781" t="str">
        <f t="shared" si="0"/>
        <v>TSX:IMG_2025_2nd Highest</v>
      </c>
      <c r="B15" s="12" t="str">
        <f>'Peer Group'!A13</f>
        <v>TSX:IMG</v>
      </c>
      <c r="C15" s="666" t="str">
        <f t="shared" si="1"/>
        <v>IAMGOLD Corporation</v>
      </c>
      <c r="D15" s="667" t="str">
        <f>_xll.ciqfunctions.udf.CIQ(B15, "IQ_MARKETCAP", $A$1,$A$2)</f>
        <v>#PEND</v>
      </c>
      <c r="E15" s="667" t="str">
        <f>_xll.ciqfunctions.udf.CIQ($B15, "IQ_TEV", $A$1,$A$2)</f>
        <v>#PEND</v>
      </c>
      <c r="F15" s="668" t="str">
        <f t="shared" si="2"/>
        <v>Bruno Lemelin</v>
      </c>
      <c r="G15" s="668" t="str">
        <f t="shared" si="2"/>
        <v>COO</v>
      </c>
      <c r="H15" s="667" t="str">
        <f t="shared" si="3"/>
        <v>-</v>
      </c>
      <c r="I15" s="667">
        <f t="shared" si="4"/>
        <v>630.10500000000002</v>
      </c>
      <c r="J15" s="669" t="str">
        <f t="shared" si="3"/>
        <v>-</v>
      </c>
      <c r="K15" s="670" t="str">
        <f t="shared" si="5"/>
        <v>-</v>
      </c>
      <c r="L15" s="670" t="str">
        <f t="shared" si="5"/>
        <v>-</v>
      </c>
      <c r="M15" s="671">
        <f t="shared" si="6"/>
        <v>504.084</v>
      </c>
      <c r="N15" s="672">
        <f t="shared" si="7"/>
        <v>0.8</v>
      </c>
      <c r="O15" s="669">
        <f t="shared" si="8"/>
        <v>1187.019</v>
      </c>
      <c r="P15" s="673">
        <f t="shared" si="8"/>
        <v>1134.1890000000001</v>
      </c>
      <c r="Q15" s="850">
        <f t="shared" si="8"/>
        <v>1151.8800000000001</v>
      </c>
      <c r="R15" s="851">
        <f t="shared" si="9"/>
        <v>1.8280762730021187</v>
      </c>
      <c r="S15" s="851">
        <f t="shared" si="9"/>
        <v>1.7022309041899588</v>
      </c>
      <c r="T15" s="671">
        <f t="shared" si="10"/>
        <v>1071.1785</v>
      </c>
      <c r="U15" s="672">
        <f t="shared" si="11"/>
        <v>1.7</v>
      </c>
      <c r="V15" s="669">
        <f t="shared" si="12"/>
        <v>2338.8989999999999</v>
      </c>
      <c r="W15" s="674">
        <f t="shared" si="12"/>
        <v>2205.3674999999998</v>
      </c>
      <c r="X15" s="669">
        <f t="shared" si="13"/>
        <v>31.516999999999999</v>
      </c>
      <c r="Y15" s="674">
        <f t="shared" si="13"/>
        <v>75.343000000000004</v>
      </c>
      <c r="Z15" s="669">
        <f t="shared" si="14"/>
        <v>2445.759</v>
      </c>
      <c r="AA15" s="674">
        <f t="shared" si="14"/>
        <v>2312.2275</v>
      </c>
      <c r="AB15" s="782"/>
      <c r="AC15" s="676">
        <f t="shared" si="15"/>
        <v>0.51428571428571435</v>
      </c>
      <c r="AD15" s="677">
        <f t="shared" si="16"/>
        <v>0.48571428571428577</v>
      </c>
      <c r="AE15" s="678" t="str">
        <f t="shared" si="17"/>
        <v>TSX:IMG_2024_2nd Highest</v>
      </c>
      <c r="AF15" s="678"/>
      <c r="AG15" s="682" t="str" cm="1">
        <f t="array" ref="AG15">IFERROR(INDEX('Import 2024 Data'!$E$4:$I$113,_xlfn.XMATCH('2nd Highest'!$AE15,'Import 2024 Data'!$C$4:$C$113),_xlfn.XMATCH('2nd Highest'!AG$5,'Import 2024 Data'!$E$3:$I$3)),"-")</f>
        <v>-</v>
      </c>
      <c r="AH15" s="678" t="str" cm="1">
        <f t="array" ref="AH15">IFERROR(INDEX('Import 2024 Data'!$E$4:$I$113,_xlfn.XMATCH('2nd Highest'!$AE15,'Import 2024 Data'!$C$4:$C$113),_xlfn.XMATCH('2nd Highest'!AH$5,'Import 2024 Data'!$E$3:$I$3)),"-")</f>
        <v>-</v>
      </c>
      <c r="AI15" s="683" t="str">
        <f>IF(ISNUMBER(_xlfn.XMATCH(C15,'Import 2024 Data'!$E$4:$E$113)),"N","Y")</f>
        <v>N</v>
      </c>
      <c r="AJ15" s="683" t="str">
        <f t="shared" si="19"/>
        <v>Y</v>
      </c>
      <c r="AK15" s="678" t="str" cm="1">
        <f t="array" ref="AK15">IFERROR(INDEX('Import 2024 Data'!$E$4:$I$113,_xlfn.XMATCH('2nd Highest'!$AE15,'Import 2024 Data'!$C$4:$C$113),_xlfn.XMATCH('2nd Highest'!AK$5,'Import 2024 Data'!$E$3:$I$3)),"-")</f>
        <v>-</v>
      </c>
      <c r="AL15" s="786" t="str" cm="1">
        <f t="array" ref="AL15">IFERROR(INDEX('Import 2024 Data'!$E$4:$I$113,_xlfn.XMATCH('2nd Highest'!$AE15,'Import 2024 Data'!$C$4:$C$113),_xlfn.XMATCH('2nd Highest'!AL$5,'Import 2024 Data'!$E$3:$I$3)),"-")</f>
        <v>-</v>
      </c>
      <c r="AM15" s="787" t="str" cm="1">
        <f t="array" ref="AM15">IFERROR(INDEX('Import 2024 Data'!$E$4:$I$113,_xlfn.XMATCH('2nd Highest'!$AE15,'Import 2024 Data'!$C$4:$C$113),_xlfn.XMATCH('2nd Highest'!AM$5,'Import 2024 Data'!$E$3:$I$3)),"-")</f>
        <v>-</v>
      </c>
      <c r="AN15" s="783" t="str">
        <f t="shared" si="18"/>
        <v>-</v>
      </c>
    </row>
    <row r="16" spans="1:42" s="781" customFormat="1" ht="20.25" customHeight="1">
      <c r="A16" s="781" t="str">
        <f t="shared" si="0"/>
        <v>TSX:CS_2025_2nd Highest</v>
      </c>
      <c r="B16" s="12" t="str">
        <f>'Peer Group'!A14</f>
        <v>TSX:CS</v>
      </c>
      <c r="C16" s="666" t="str">
        <f t="shared" si="1"/>
        <v>Capstone Copper Corp.</v>
      </c>
      <c r="D16" s="667" t="str">
        <f>_xll.ciqfunctions.udf.CIQ(B16, "IQ_MARKETCAP", $A$1,$A$2)</f>
        <v>#PEND</v>
      </c>
      <c r="E16" s="667" t="str">
        <f>_xll.ciqfunctions.udf.CIQ($B16, "IQ_TEV", $A$1,$A$2)</f>
        <v>#PEND</v>
      </c>
      <c r="F16" s="668" t="str">
        <f t="shared" si="2"/>
        <v>James Whittaker</v>
      </c>
      <c r="G16" s="668" t="str">
        <f t="shared" si="2"/>
        <v>Senior VP &amp; COO</v>
      </c>
      <c r="H16" s="667" t="str">
        <f t="shared" si="3"/>
        <v>-</v>
      </c>
      <c r="I16" s="667">
        <f t="shared" si="4"/>
        <v>686.20500000000004</v>
      </c>
      <c r="J16" s="669" t="str">
        <f t="shared" si="3"/>
        <v>-</v>
      </c>
      <c r="K16" s="670" t="str">
        <f t="shared" si="5"/>
        <v>-</v>
      </c>
      <c r="L16" s="670" t="str">
        <f t="shared" si="5"/>
        <v>-</v>
      </c>
      <c r="M16" s="671">
        <f t="shared" si="6"/>
        <v>617.58450000000005</v>
      </c>
      <c r="N16" s="672">
        <f t="shared" si="7"/>
        <v>0.9</v>
      </c>
      <c r="O16" s="669">
        <f t="shared" si="8"/>
        <v>1415.5039999999999</v>
      </c>
      <c r="P16" s="673">
        <f t="shared" si="8"/>
        <v>1303.7895000000001</v>
      </c>
      <c r="Q16" s="850">
        <f t="shared" si="8"/>
        <v>1166.5453752669998</v>
      </c>
      <c r="R16" s="851">
        <f t="shared" si="9"/>
        <v>1.6999954463564095</v>
      </c>
      <c r="S16" s="851">
        <f t="shared" si="9"/>
        <v>1.6999954463564095</v>
      </c>
      <c r="T16" s="671">
        <f t="shared" si="10"/>
        <v>1166.5485000000001</v>
      </c>
      <c r="U16" s="672">
        <f t="shared" si="11"/>
        <v>1.7</v>
      </c>
      <c r="V16" s="669">
        <f t="shared" si="12"/>
        <v>2582.049375267</v>
      </c>
      <c r="W16" s="674">
        <f t="shared" si="12"/>
        <v>2470.3380000000002</v>
      </c>
      <c r="X16" s="669" t="str">
        <f t="shared" si="13"/>
        <v>-</v>
      </c>
      <c r="Y16" s="674">
        <f t="shared" si="13"/>
        <v>8.3079999999999998</v>
      </c>
      <c r="Z16" s="669">
        <f t="shared" si="14"/>
        <v>2590.357375267</v>
      </c>
      <c r="AA16" s="674">
        <f t="shared" si="14"/>
        <v>2478.6460000000002</v>
      </c>
      <c r="AB16" s="782"/>
      <c r="AC16" s="676">
        <f t="shared" si="15"/>
        <v>0.52777777777777779</v>
      </c>
      <c r="AD16" s="677">
        <f t="shared" si="16"/>
        <v>0.47222222222222221</v>
      </c>
      <c r="AE16" s="678" t="str">
        <f t="shared" si="17"/>
        <v>TSX:CS_2024_2nd Highest</v>
      </c>
      <c r="AF16" s="678"/>
      <c r="AG16" s="682" t="str" cm="1">
        <f t="array" ref="AG16">IFERROR(INDEX('Import 2024 Data'!$E$4:$I$113,_xlfn.XMATCH('2nd Highest'!$AE16,'Import 2024 Data'!$C$4:$C$113),_xlfn.XMATCH('2nd Highest'!AG$5,'Import 2024 Data'!$E$3:$I$3)),"-")</f>
        <v>-</v>
      </c>
      <c r="AH16" s="678" t="str" cm="1">
        <f t="array" ref="AH16">IFERROR(INDEX('Import 2024 Data'!$E$4:$I$113,_xlfn.XMATCH('2nd Highest'!$AE16,'Import 2024 Data'!$C$4:$C$113),_xlfn.XMATCH('2nd Highest'!AH$5,'Import 2024 Data'!$E$3:$I$3)),"-")</f>
        <v>-</v>
      </c>
      <c r="AI16" s="683" t="str">
        <f>IF(ISNUMBER(_xlfn.XMATCH(C16,'Import 2024 Data'!$E$4:$E$113)),"N","Y")</f>
        <v>N</v>
      </c>
      <c r="AJ16" s="683" t="str">
        <f t="shared" si="19"/>
        <v>Y</v>
      </c>
      <c r="AK16" s="678" t="str" cm="1">
        <f t="array" ref="AK16">IFERROR(INDEX('Import 2024 Data'!$E$4:$I$113,_xlfn.XMATCH('2nd Highest'!$AE16,'Import 2024 Data'!$C$4:$C$113),_xlfn.XMATCH('2nd Highest'!AK$5,'Import 2024 Data'!$E$3:$I$3)),"-")</f>
        <v>-</v>
      </c>
      <c r="AL16" s="788" t="str" cm="1">
        <f t="array" ref="AL16">IFERROR(INDEX('Import 2024 Data'!$E$4:$I$113,_xlfn.XMATCH('2nd Highest'!$AE16,'Import 2024 Data'!$C$4:$C$113),_xlfn.XMATCH('2nd Highest'!AL$5,'Import 2024 Data'!$E$3:$I$3)),"-")</f>
        <v>-</v>
      </c>
      <c r="AM16" s="789" t="str" cm="1">
        <f t="array" ref="AM16">IFERROR(INDEX('Import 2024 Data'!$E$4:$I$113,_xlfn.XMATCH('2nd Highest'!$AE16,'Import 2024 Data'!$C$4:$C$113),_xlfn.XMATCH('2nd Highest'!AM$5,'Import 2024 Data'!$E$3:$I$3)),"-")</f>
        <v>-</v>
      </c>
      <c r="AN16" s="783" t="str">
        <f t="shared" si="18"/>
        <v>-</v>
      </c>
      <c r="AP16" s="781" t="s">
        <v>461</v>
      </c>
    </row>
    <row r="17" spans="1:42" s="781" customFormat="1" ht="20.25" customHeight="1">
      <c r="A17" s="781" t="str">
        <f t="shared" si="0"/>
        <v>TSX:ELD_2025_2nd Highest</v>
      </c>
      <c r="B17" s="12" t="str">
        <f>'Peer Group'!A15</f>
        <v>TSX:ELD</v>
      </c>
      <c r="C17" s="666" t="str">
        <f t="shared" si="1"/>
        <v>Eldorado Gold Corporation</v>
      </c>
      <c r="D17" s="667" t="str">
        <f>_xll.ciqfunctions.udf.CIQ(B17, "IQ_MARKETCAP", $A$1,$A$2)</f>
        <v>#PEND</v>
      </c>
      <c r="E17" s="667" t="str">
        <f>_xll.ciqfunctions.udf.CIQ($B17, "IQ_TEV", $A$1,$A$2)</f>
        <v>#PEND</v>
      </c>
      <c r="F17" s="668" t="str">
        <f t="shared" si="2"/>
        <v>Louw Smith</v>
      </c>
      <c r="G17" s="668" t="str">
        <f t="shared" si="2"/>
        <v>EVP, Development, Greece</v>
      </c>
      <c r="H17" s="667" t="str">
        <f t="shared" si="3"/>
        <v>-</v>
      </c>
      <c r="I17" s="667">
        <f t="shared" si="4"/>
        <v>738.79300000000001</v>
      </c>
      <c r="J17" s="669" t="str">
        <f t="shared" si="3"/>
        <v>-</v>
      </c>
      <c r="K17" s="670" t="str">
        <f t="shared" si="5"/>
        <v>-</v>
      </c>
      <c r="L17" s="670" t="str">
        <f t="shared" si="5"/>
        <v>-</v>
      </c>
      <c r="M17" s="671">
        <f t="shared" si="6"/>
        <v>591.03440000000001</v>
      </c>
      <c r="N17" s="672">
        <f t="shared" si="7"/>
        <v>0.8</v>
      </c>
      <c r="O17" s="669">
        <f t="shared" si="8"/>
        <v>1406.511</v>
      </c>
      <c r="P17" s="673">
        <f t="shared" si="8"/>
        <v>1329.8273999999999</v>
      </c>
      <c r="Q17" s="850">
        <f t="shared" si="8"/>
        <v>883.56399801200496</v>
      </c>
      <c r="R17" s="851">
        <f t="shared" si="9"/>
        <v>1.1959561040941171</v>
      </c>
      <c r="S17" s="851">
        <f t="shared" si="9"/>
        <v>1.1201851759981403</v>
      </c>
      <c r="T17" s="671">
        <f t="shared" si="10"/>
        <v>1108.1895</v>
      </c>
      <c r="U17" s="672">
        <f t="shared" si="11"/>
        <v>1.5</v>
      </c>
      <c r="V17" s="669">
        <f t="shared" si="12"/>
        <v>2290.0749980120049</v>
      </c>
      <c r="W17" s="674">
        <f t="shared" si="12"/>
        <v>2438.0169000000001</v>
      </c>
      <c r="X17" s="669" t="str">
        <f t="shared" si="13"/>
        <v>-</v>
      </c>
      <c r="Y17" s="674">
        <f t="shared" si="13"/>
        <v>104.663</v>
      </c>
      <c r="Z17" s="669">
        <f t="shared" si="14"/>
        <v>2394.7379980120049</v>
      </c>
      <c r="AA17" s="674">
        <f t="shared" si="14"/>
        <v>2542.6799000000001</v>
      </c>
      <c r="AB17" s="782"/>
      <c r="AC17" s="676">
        <f t="shared" si="15"/>
        <v>0.54545454545454541</v>
      </c>
      <c r="AD17" s="677">
        <f t="shared" si="16"/>
        <v>0.45454545454545453</v>
      </c>
      <c r="AE17" s="678" t="str">
        <f t="shared" si="17"/>
        <v>TSX:ELD_2024_2nd Highest</v>
      </c>
      <c r="AF17" s="678"/>
      <c r="AG17" s="682" t="str" cm="1">
        <f t="array" ref="AG17">IFERROR(INDEX('Import 2024 Data'!$E$4:$I$113,_xlfn.XMATCH('2nd Highest'!$AE17,'Import 2024 Data'!$C$4:$C$113),_xlfn.XMATCH('2nd Highest'!AG$5,'Import 2024 Data'!$E$3:$I$3)),"-")</f>
        <v>-</v>
      </c>
      <c r="AH17" s="678" t="str" cm="1">
        <f t="array" ref="AH17">IFERROR(INDEX('Import 2024 Data'!$E$4:$I$113,_xlfn.XMATCH('2nd Highest'!$AE17,'Import 2024 Data'!$C$4:$C$113),_xlfn.XMATCH('2nd Highest'!AH$5,'Import 2024 Data'!$E$3:$I$3)),"-")</f>
        <v>-</v>
      </c>
      <c r="AI17" s="683" t="str">
        <f>IF(ISNUMBER(_xlfn.XMATCH(C17,'Import 2024 Data'!$E$4:$E$113)),"N","Y")</f>
        <v>N</v>
      </c>
      <c r="AJ17" s="683" t="str">
        <f t="shared" si="19"/>
        <v>Y</v>
      </c>
      <c r="AK17" s="678" t="str" cm="1">
        <f t="array" ref="AK17">IFERROR(INDEX('Import 2024 Data'!$E$4:$I$113,_xlfn.XMATCH('2nd Highest'!$AE17,'Import 2024 Data'!$C$4:$C$113),_xlfn.XMATCH('2nd Highest'!AK$5,'Import 2024 Data'!$E$3:$I$3)),"-")</f>
        <v>-</v>
      </c>
      <c r="AL17" s="788" t="str" cm="1">
        <f t="array" ref="AL17">IFERROR(INDEX('Import 2024 Data'!$E$4:$I$113,_xlfn.XMATCH('2nd Highest'!$AE17,'Import 2024 Data'!$C$4:$C$113),_xlfn.XMATCH('2nd Highest'!AL$5,'Import 2024 Data'!$E$3:$I$3)),"-")</f>
        <v>-</v>
      </c>
      <c r="AM17" s="789" t="str" cm="1">
        <f t="array" ref="AM17">IFERROR(INDEX('Import 2024 Data'!$E$4:$I$113,_xlfn.XMATCH('2nd Highest'!$AE17,'Import 2024 Data'!$C$4:$C$113),_xlfn.XMATCH('2nd Highest'!AM$5,'Import 2024 Data'!$E$3:$I$3)),"-")</f>
        <v>-</v>
      </c>
      <c r="AN17" s="783" t="str">
        <f t="shared" si="18"/>
        <v>-</v>
      </c>
    </row>
    <row r="18" spans="1:42" s="781" customFormat="1" ht="20.25" customHeight="1">
      <c r="A18" s="781" t="str">
        <f t="shared" si="0"/>
        <v>TSX:EQX_2025_2nd Highest</v>
      </c>
      <c r="B18" s="12" t="str">
        <f>'Peer Group'!A16</f>
        <v>TSX:EQX</v>
      </c>
      <c r="C18" s="666" t="str">
        <f t="shared" si="1"/>
        <v>Equinox Gold Corp.</v>
      </c>
      <c r="D18" s="667" t="str">
        <f>_xll.ciqfunctions.udf.CIQ(B18, "IQ_MARKETCAP", $A$1,$A$2)</f>
        <v>#PEND</v>
      </c>
      <c r="E18" s="667" t="str">
        <f>_xll.ciqfunctions.udf.CIQ($B18, "IQ_TEV", $A$1,$A$2)</f>
        <v>#PEND</v>
      </c>
      <c r="F18" s="668" t="str">
        <f t="shared" si="2"/>
        <v>Peter Hardie</v>
      </c>
      <c r="G18" s="668" t="str">
        <f t="shared" si="2"/>
        <v>CFO</v>
      </c>
      <c r="H18" s="667" t="str">
        <f t="shared" si="3"/>
        <v>-</v>
      </c>
      <c r="I18" s="667">
        <f t="shared" si="4"/>
        <v>445.71600000000001</v>
      </c>
      <c r="J18" s="669" t="str">
        <f t="shared" si="3"/>
        <v>-</v>
      </c>
      <c r="K18" s="670" t="str">
        <f t="shared" si="5"/>
        <v>-</v>
      </c>
      <c r="L18" s="670" t="str">
        <f t="shared" si="5"/>
        <v>-</v>
      </c>
      <c r="M18" s="671">
        <f t="shared" si="6"/>
        <v>401.14440000000002</v>
      </c>
      <c r="N18" s="672">
        <f t="shared" si="7"/>
        <v>0.9</v>
      </c>
      <c r="O18" s="669">
        <f t="shared" si="8"/>
        <v>981.34299999999996</v>
      </c>
      <c r="P18" s="673">
        <f t="shared" si="8"/>
        <v>846.86040000000003</v>
      </c>
      <c r="Q18" s="850">
        <f t="shared" si="8"/>
        <v>663.98500000000001</v>
      </c>
      <c r="R18" s="851">
        <f t="shared" si="9"/>
        <v>1.4897042062658734</v>
      </c>
      <c r="S18" s="851">
        <f t="shared" si="9"/>
        <v>1.8976945242457617</v>
      </c>
      <c r="T18" s="671">
        <f t="shared" si="10"/>
        <v>668.57399999999996</v>
      </c>
      <c r="U18" s="672">
        <f t="shared" si="11"/>
        <v>1.5</v>
      </c>
      <c r="V18" s="669">
        <f t="shared" si="12"/>
        <v>1645.328</v>
      </c>
      <c r="W18" s="674">
        <f t="shared" si="12"/>
        <v>1515.4343999999999</v>
      </c>
      <c r="X18" s="669" t="str">
        <f t="shared" si="13"/>
        <v>-</v>
      </c>
      <c r="Y18" s="674">
        <f t="shared" si="13"/>
        <v>21.099</v>
      </c>
      <c r="Z18" s="669">
        <f t="shared" si="14"/>
        <v>1666.4269999999999</v>
      </c>
      <c r="AA18" s="674">
        <f t="shared" si="14"/>
        <v>1536.5333999999998</v>
      </c>
      <c r="AB18" s="782"/>
      <c r="AC18" s="676">
        <f t="shared" si="15"/>
        <v>0.55882352941176472</v>
      </c>
      <c r="AD18" s="677">
        <f t="shared" si="16"/>
        <v>0.44117647058823528</v>
      </c>
      <c r="AE18" s="678" t="str">
        <f t="shared" si="17"/>
        <v>TSX:EQX_2024_2nd Highest</v>
      </c>
      <c r="AF18" s="678"/>
      <c r="AG18" s="682" t="str" cm="1">
        <f t="array" ref="AG18">IFERROR(INDEX('Import 2024 Data'!$E$4:$I$113,_xlfn.XMATCH('2nd Highest'!$AE18,'Import 2024 Data'!$C$4:$C$113),_xlfn.XMATCH('2nd Highest'!AG$5,'Import 2024 Data'!$E$3:$I$3)),"-")</f>
        <v>-</v>
      </c>
      <c r="AH18" s="678" t="str" cm="1">
        <f t="array" ref="AH18">IFERROR(INDEX('Import 2024 Data'!$E$4:$I$113,_xlfn.XMATCH('2nd Highest'!$AE18,'Import 2024 Data'!$C$4:$C$113),_xlfn.XMATCH('2nd Highest'!AH$5,'Import 2024 Data'!$E$3:$I$3)),"-")</f>
        <v>-</v>
      </c>
      <c r="AI18" s="683" t="str">
        <f>IF(ISNUMBER(_xlfn.XMATCH(C18,'Import 2024 Data'!$E$4:$E$113)),"N","Y")</f>
        <v>Y</v>
      </c>
      <c r="AJ18" s="683" t="str">
        <f t="shared" si="19"/>
        <v>Y</v>
      </c>
      <c r="AK18" s="678" t="str" cm="1">
        <f t="array" ref="AK18">IFERROR(INDEX('Import 2024 Data'!$E$4:$I$113,_xlfn.XMATCH('2nd Highest'!$AE18,'Import 2024 Data'!$C$4:$C$113),_xlfn.XMATCH('2nd Highest'!AK$5,'Import 2024 Data'!$E$3:$I$3)),"-")</f>
        <v>-</v>
      </c>
      <c r="AL18" s="788" t="str" cm="1">
        <f t="array" ref="AL18">IFERROR(INDEX('Import 2024 Data'!$E$4:$I$113,_xlfn.XMATCH('2nd Highest'!$AE18,'Import 2024 Data'!$C$4:$C$113),_xlfn.XMATCH('2nd Highest'!AL$5,'Import 2024 Data'!$E$3:$I$3)),"-")</f>
        <v>-</v>
      </c>
      <c r="AM18" s="789" t="str" cm="1">
        <f t="array" ref="AM18">IFERROR(INDEX('Import 2024 Data'!$E$4:$I$113,_xlfn.XMATCH('2nd Highest'!$AE18,'Import 2024 Data'!$C$4:$C$113),_xlfn.XMATCH('2nd Highest'!AM$5,'Import 2024 Data'!$E$3:$I$3)),"-")</f>
        <v>-</v>
      </c>
      <c r="AN18" s="783" t="str">
        <f t="shared" si="18"/>
        <v>-</v>
      </c>
      <c r="AP18" s="781" t="s">
        <v>472</v>
      </c>
    </row>
    <row r="19" spans="1:42" s="781" customFormat="1" ht="20.25" customHeight="1">
      <c r="A19" s="781" t="str">
        <f t="shared" si="0"/>
        <v>TSX:SSRM_2025_2nd Highest</v>
      </c>
      <c r="B19" s="12" t="str">
        <f>'Peer Group'!A17</f>
        <v>TSX:SSRM</v>
      </c>
      <c r="C19" s="666" t="str">
        <f t="shared" si="1"/>
        <v>SSR Mining Inc.</v>
      </c>
      <c r="D19" s="667" t="str">
        <f>_xll.ciqfunctions.udf.CIQ(B19, "IQ_MARKETCAP", $A$1,$A$2)</f>
        <v>#PEND</v>
      </c>
      <c r="E19" s="667" t="str">
        <f>_xll.ciqfunctions.udf.CIQ($B19, "IQ_TEV", $A$1,$A$2)</f>
        <v>#PEND</v>
      </c>
      <c r="F19" s="668" t="str">
        <f t="shared" si="2"/>
        <v>Michael Sparks</v>
      </c>
      <c r="G19" s="668" t="str">
        <f t="shared" si="2"/>
        <v>Executive VP &amp; CFO</v>
      </c>
      <c r="H19" s="667" t="str">
        <f t="shared" si="3"/>
        <v>-</v>
      </c>
      <c r="I19" s="667">
        <f t="shared" si="4"/>
        <v>838.47</v>
      </c>
      <c r="J19" s="669" t="str">
        <f t="shared" si="3"/>
        <v>-</v>
      </c>
      <c r="K19" s="670" t="str">
        <f t="shared" si="5"/>
        <v>-</v>
      </c>
      <c r="L19" s="670" t="str">
        <f t="shared" si="5"/>
        <v>-</v>
      </c>
      <c r="M19" s="671">
        <f t="shared" si="6"/>
        <v>628.85249999999996</v>
      </c>
      <c r="N19" s="672">
        <f t="shared" si="7"/>
        <v>0.75</v>
      </c>
      <c r="O19" s="669">
        <f t="shared" si="8"/>
        <v>1619.7060378000001</v>
      </c>
      <c r="P19" s="673">
        <f t="shared" si="8"/>
        <v>1467.3225</v>
      </c>
      <c r="Q19" s="850">
        <f t="shared" si="8"/>
        <v>1467.3225</v>
      </c>
      <c r="R19" s="851">
        <f t="shared" si="9"/>
        <v>1.75</v>
      </c>
      <c r="S19" s="851">
        <f t="shared" si="9"/>
        <v>1.75</v>
      </c>
      <c r="T19" s="671">
        <f t="shared" si="10"/>
        <v>1467.3225</v>
      </c>
      <c r="U19" s="672">
        <f t="shared" si="11"/>
        <v>1.75</v>
      </c>
      <c r="V19" s="669">
        <f t="shared" si="12"/>
        <v>3087.0285377999999</v>
      </c>
      <c r="W19" s="674">
        <f t="shared" si="12"/>
        <v>2934.645</v>
      </c>
      <c r="X19" s="669">
        <f t="shared" si="13"/>
        <v>39.128600000000006</v>
      </c>
      <c r="Y19" s="674">
        <f t="shared" si="13"/>
        <v>76.569080400000004</v>
      </c>
      <c r="Z19" s="669">
        <f t="shared" si="14"/>
        <v>3202.7262181999999</v>
      </c>
      <c r="AA19" s="674">
        <f t="shared" si="14"/>
        <v>3050.3426804000001</v>
      </c>
      <c r="AB19" s="782"/>
      <c r="AC19" s="676">
        <f t="shared" si="15"/>
        <v>0.5</v>
      </c>
      <c r="AD19" s="677">
        <f t="shared" si="16"/>
        <v>0.5</v>
      </c>
      <c r="AE19" s="678" t="str">
        <f t="shared" si="17"/>
        <v>TSX:SSRM_2024_2nd Highest</v>
      </c>
      <c r="AF19" s="678"/>
      <c r="AG19" s="682" t="str" cm="1">
        <f t="array" ref="AG19">IFERROR(INDEX('Import 2024 Data'!$E$4:$I$113,_xlfn.XMATCH('2nd Highest'!$AE19,'Import 2024 Data'!$C$4:$C$113),_xlfn.XMATCH('2nd Highest'!AG$5,'Import 2024 Data'!$E$3:$I$3)),"-")</f>
        <v>-</v>
      </c>
      <c r="AH19" s="678" t="str" cm="1">
        <f t="array" ref="AH19">IFERROR(INDEX('Import 2024 Data'!$E$4:$I$113,_xlfn.XMATCH('2nd Highest'!$AE19,'Import 2024 Data'!$C$4:$C$113),_xlfn.XMATCH('2nd Highest'!AH$5,'Import 2024 Data'!$E$3:$I$3)),"-")</f>
        <v>-</v>
      </c>
      <c r="AI19" s="683" t="str">
        <f>IF(ISNUMBER(_xlfn.XMATCH(C19,'Import 2024 Data'!$E$4:$E$113)),"N","Y")</f>
        <v>N</v>
      </c>
      <c r="AJ19" s="683" t="str">
        <f t="shared" si="19"/>
        <v>Y</v>
      </c>
      <c r="AK19" s="678" t="str" cm="1">
        <f t="array" ref="AK19">IFERROR(INDEX('Import 2024 Data'!$E$4:$I$113,_xlfn.XMATCH('2nd Highest'!$AE19,'Import 2024 Data'!$C$4:$C$113),_xlfn.XMATCH('2nd Highest'!AK$5,'Import 2024 Data'!$E$3:$I$3)),"-")</f>
        <v>-</v>
      </c>
      <c r="AL19" s="790" t="str" cm="1">
        <f t="array" ref="AL19">IFERROR(INDEX('Import 2024 Data'!$E$4:$I$113,_xlfn.XMATCH('2nd Highest'!$AE19,'Import 2024 Data'!$C$4:$C$113),_xlfn.XMATCH('2nd Highest'!AL$5,'Import 2024 Data'!$E$3:$I$3)),"-")</f>
        <v>-</v>
      </c>
      <c r="AM19" s="791" t="str" cm="1">
        <f t="array" ref="AM19">IFERROR(INDEX('Import 2024 Data'!$E$4:$I$113,_xlfn.XMATCH('2nd Highest'!$AE19,'Import 2024 Data'!$C$4:$C$113),_xlfn.XMATCH('2nd Highest'!AM$5,'Import 2024 Data'!$E$3:$I$3)),"-")</f>
        <v>-</v>
      </c>
      <c r="AN19" s="783" t="str">
        <f t="shared" si="18"/>
        <v>-</v>
      </c>
      <c r="AP19" s="781" t="s">
        <v>473</v>
      </c>
    </row>
    <row r="20" spans="1:42" s="781" customFormat="1" ht="20.25" customHeight="1">
      <c r="A20" s="781" t="str">
        <f t="shared" si="0"/>
        <v>TSX:BTO_2025_2nd Highest</v>
      </c>
      <c r="B20" s="12" t="str">
        <f>'Peer Group'!A18</f>
        <v>TSX:BTO</v>
      </c>
      <c r="C20" s="666" t="str">
        <f t="shared" si="1"/>
        <v>B2Gold Corp.</v>
      </c>
      <c r="D20" s="667" t="str">
        <f>_xll.ciqfunctions.udf.CIQ(B20, "IQ_MARKETCAP", $A$1,$A$2)</f>
        <v>#PEND</v>
      </c>
      <c r="E20" s="667" t="str">
        <f>_xll.ciqfunctions.udf.CIQ($B20, "IQ_TEV", $A$1,$A$2)</f>
        <v>#PEND</v>
      </c>
      <c r="F20" s="668" t="str">
        <f t="shared" si="2"/>
        <v>Michael Cinnamond</v>
      </c>
      <c r="G20" s="668" t="str">
        <f t="shared" si="2"/>
        <v>Senior VP Finance &amp; CFO</v>
      </c>
      <c r="H20" s="667" t="str">
        <f t="shared" si="3"/>
        <v>-</v>
      </c>
      <c r="I20" s="667">
        <f t="shared" si="4"/>
        <v>663.09002499999997</v>
      </c>
      <c r="J20" s="669" t="str">
        <f t="shared" si="3"/>
        <v>-</v>
      </c>
      <c r="K20" s="670" t="str">
        <f t="shared" si="5"/>
        <v>-</v>
      </c>
      <c r="L20" s="670" t="str">
        <f t="shared" si="5"/>
        <v>-</v>
      </c>
      <c r="M20" s="671">
        <f t="shared" si="6"/>
        <v>497.31751875000003</v>
      </c>
      <c r="N20" s="672">
        <f t="shared" si="7"/>
        <v>0.75</v>
      </c>
      <c r="O20" s="669">
        <f t="shared" si="8"/>
        <v>1192.7333571500001</v>
      </c>
      <c r="P20" s="673">
        <f t="shared" si="8"/>
        <v>1160.4075437500003</v>
      </c>
      <c r="Q20" s="850">
        <f t="shared" si="8"/>
        <v>2162.4392841000004</v>
      </c>
      <c r="R20" s="851">
        <f t="shared" si="9"/>
        <v>3.2611548998946263</v>
      </c>
      <c r="S20" s="851">
        <f t="shared" si="9"/>
        <v>2.8819234281700035</v>
      </c>
      <c r="T20" s="671">
        <f t="shared" si="10"/>
        <v>1910.9746780333332</v>
      </c>
      <c r="U20" s="672">
        <f t="shared" si="11"/>
        <v>2.8819234281700035</v>
      </c>
      <c r="V20" s="669">
        <f t="shared" si="12"/>
        <v>3355.1726412500002</v>
      </c>
      <c r="W20" s="674">
        <f t="shared" si="12"/>
        <v>3071.3822217833335</v>
      </c>
      <c r="X20" s="669" t="str">
        <f t="shared" si="13"/>
        <v>-</v>
      </c>
      <c r="Y20" s="674">
        <f t="shared" si="13"/>
        <v>7.3100609500000004</v>
      </c>
      <c r="Z20" s="669">
        <f t="shared" si="14"/>
        <v>3362.4827021999999</v>
      </c>
      <c r="AA20" s="674">
        <f t="shared" si="14"/>
        <v>3078.6922827333333</v>
      </c>
      <c r="AB20" s="782"/>
      <c r="AC20" s="676">
        <f t="shared" si="15"/>
        <v>0.37781280868267642</v>
      </c>
      <c r="AD20" s="677">
        <f t="shared" si="16"/>
        <v>0.62218719131732358</v>
      </c>
      <c r="AE20" s="678" t="str">
        <f t="shared" si="17"/>
        <v>TSX:BTO_2024_2nd Highest</v>
      </c>
      <c r="AF20" s="678"/>
      <c r="AG20" s="684" t="str" cm="1">
        <f t="array" ref="AG20">IFERROR(INDEX('Import 2024 Data'!$E$4:$I$113,_xlfn.XMATCH('2nd Highest'!$AE20,'Import 2024 Data'!$C$4:$C$113),_xlfn.XMATCH('2nd Highest'!AG$5,'Import 2024 Data'!$E$3:$I$3)),"-")</f>
        <v>-</v>
      </c>
      <c r="AH20" s="685" t="str" cm="1">
        <f t="array" ref="AH20">IFERROR(INDEX('Import 2024 Data'!$E$4:$I$113,_xlfn.XMATCH('2nd Highest'!$AE20,'Import 2024 Data'!$C$4:$C$113),_xlfn.XMATCH('2nd Highest'!AH$5,'Import 2024 Data'!$E$3:$I$3)),"-")</f>
        <v>-</v>
      </c>
      <c r="AI20" s="686" t="str">
        <f>IF(ISNUMBER(_xlfn.XMATCH(C20,'Import 2024 Data'!$E$4:$E$113)),"N","Y")</f>
        <v>N</v>
      </c>
      <c r="AJ20" s="686" t="str">
        <f t="shared" si="19"/>
        <v>Y</v>
      </c>
      <c r="AK20" s="685" t="str" cm="1">
        <f t="array" ref="AK20">IFERROR(INDEX('Import 2024 Data'!$E$4:$I$113,_xlfn.XMATCH('2nd Highest'!$AE20,'Import 2024 Data'!$C$4:$C$113),_xlfn.XMATCH('2nd Highest'!AK$5,'Import 2024 Data'!$E$3:$I$3)),"-")</f>
        <v>-</v>
      </c>
      <c r="AL20" s="788" t="str" cm="1">
        <f t="array" ref="AL20">IFERROR(INDEX('Import 2024 Data'!$E$4:$I$113,_xlfn.XMATCH('2nd Highest'!$AE20,'Import 2024 Data'!$C$4:$C$113),_xlfn.XMATCH('2nd Highest'!AL$5,'Import 2024 Data'!$E$3:$I$3)),"-")</f>
        <v>-</v>
      </c>
      <c r="AM20" s="789" t="str" cm="1">
        <f t="array" ref="AM20">IFERROR(INDEX('Import 2024 Data'!$E$4:$I$113,_xlfn.XMATCH('2nd Highest'!$AE20,'Import 2024 Data'!$C$4:$C$113),_xlfn.XMATCH('2nd Highest'!AM$5,'Import 2024 Data'!$E$3:$I$3)),"-")</f>
        <v>-</v>
      </c>
      <c r="AN20" s="783" t="str">
        <f t="shared" si="18"/>
        <v>-</v>
      </c>
    </row>
    <row r="21" spans="1:42" ht="20.25" customHeight="1">
      <c r="A21" s="12" t="str">
        <f t="shared" si="0"/>
        <v>TSX:OGC_2025_2nd Highest</v>
      </c>
      <c r="B21" s="12" t="str">
        <f>'Peer Group'!A19</f>
        <v>TSX:OGC</v>
      </c>
      <c r="C21" s="666" t="str">
        <f t="shared" si="1"/>
        <v>OceanaGold Corporation</v>
      </c>
      <c r="D21" s="667" t="str">
        <f>_xll.ciqfunctions.udf.CIQ(B21, "IQ_MARKETCAP", $A$1,$A$2)</f>
        <v>#PEND</v>
      </c>
      <c r="E21" s="667" t="str">
        <f>_xll.ciqfunctions.udf.CIQ($B21, "IQ_TEV", $A$1,$A$2)</f>
        <v>#PEND</v>
      </c>
      <c r="F21" s="668" t="str">
        <f t="shared" si="2"/>
        <v>Bhuvanesh Malhotra</v>
      </c>
      <c r="G21" s="668" t="str">
        <f t="shared" si="2"/>
        <v>EVP &amp; COO</v>
      </c>
      <c r="H21" s="667" t="str">
        <f t="shared" si="3"/>
        <v>-</v>
      </c>
      <c r="I21" s="667">
        <f t="shared" si="4"/>
        <v>610.06797710000001</v>
      </c>
      <c r="J21" s="669" t="str">
        <f t="shared" si="3"/>
        <v>-</v>
      </c>
      <c r="K21" s="670" t="str">
        <f t="shared" si="5"/>
        <v>-</v>
      </c>
      <c r="L21" s="670" t="str">
        <f t="shared" si="5"/>
        <v>-</v>
      </c>
      <c r="M21" s="671">
        <f t="shared" si="6"/>
        <v>427.04758397000001</v>
      </c>
      <c r="N21" s="672">
        <f t="shared" si="7"/>
        <v>0.7</v>
      </c>
      <c r="O21" s="669">
        <f t="shared" si="8"/>
        <v>1407.9602214500001</v>
      </c>
      <c r="P21" s="673">
        <f t="shared" si="8"/>
        <v>1037.11556107</v>
      </c>
      <c r="Q21" s="850">
        <f t="shared" si="8"/>
        <v>2608.2076672499998</v>
      </c>
      <c r="R21" s="851">
        <f t="shared" si="9"/>
        <v>4.2752738467740823</v>
      </c>
      <c r="S21" s="851">
        <f t="shared" si="9"/>
        <v>4.2752738467740823</v>
      </c>
      <c r="T21" s="671">
        <f t="shared" si="10"/>
        <v>2608.2076672499998</v>
      </c>
      <c r="U21" s="672">
        <f t="shared" si="11"/>
        <v>4.2752738467740823</v>
      </c>
      <c r="V21" s="669">
        <f t="shared" si="12"/>
        <v>4016.1678886999998</v>
      </c>
      <c r="W21" s="674">
        <f t="shared" si="12"/>
        <v>3645.3232283199995</v>
      </c>
      <c r="X21" s="669">
        <f t="shared" si="13"/>
        <v>39.8748383</v>
      </c>
      <c r="Y21" s="674" t="str">
        <f t="shared" si="13"/>
        <v>-</v>
      </c>
      <c r="Z21" s="669">
        <f t="shared" si="14"/>
        <v>4056.042727</v>
      </c>
      <c r="AA21" s="674">
        <f t="shared" si="14"/>
        <v>3685.1980666199997</v>
      </c>
      <c r="AB21" s="675"/>
      <c r="AC21" s="676">
        <f t="shared" si="15"/>
        <v>0.28450578895522793</v>
      </c>
      <c r="AD21" s="677">
        <f t="shared" si="16"/>
        <v>0.71549421104477207</v>
      </c>
      <c r="AE21" s="678" t="str">
        <f t="shared" si="17"/>
        <v>TSX:OGC_2024_2nd Highest</v>
      </c>
      <c r="AF21" s="678"/>
      <c r="AG21" s="682" t="str" cm="1">
        <f t="array" ref="AG21">IFERROR(INDEX('Import 2024 Data'!$E$4:$I$113,_xlfn.XMATCH('2nd Highest'!$AE21,'Import 2024 Data'!$C$4:$C$113),_xlfn.XMATCH('2nd Highest'!AG$5,'Import 2024 Data'!$E$3:$I$3)),"-")</f>
        <v>-</v>
      </c>
      <c r="AH21" s="678" t="str" cm="1">
        <f t="array" ref="AH21">IFERROR(INDEX('Import 2024 Data'!$E$4:$I$113,_xlfn.XMATCH('2nd Highest'!$AE21,'Import 2024 Data'!$C$4:$C$113),_xlfn.XMATCH('2nd Highest'!AH$5,'Import 2024 Data'!$E$3:$I$3)),"-")</f>
        <v>-</v>
      </c>
      <c r="AI21" s="678"/>
      <c r="AJ21" s="683" t="str">
        <f t="shared" si="19"/>
        <v>Y</v>
      </c>
      <c r="AK21" s="678" t="str" cm="1">
        <f t="array" ref="AK21">IFERROR(INDEX('Import 2024 Data'!$E$4:$I$113,_xlfn.XMATCH('2nd Highest'!$AE21,'Import 2024 Data'!$C$4:$C$113),_xlfn.XMATCH('2nd Highest'!AK$5,'Import 2024 Data'!$E$3:$I$3)),"-")</f>
        <v>-</v>
      </c>
      <c r="AL21" s="675" t="str" cm="1">
        <f t="array" ref="AL21">IFERROR(INDEX('Import 2024 Data'!$E$4:$I$113,_xlfn.XMATCH('2nd Highest'!$AE21,'Import 2024 Data'!$C$4:$C$113),_xlfn.XMATCH('2nd Highest'!AL$5,'Import 2024 Data'!$E$3:$I$3)),"-")</f>
        <v>-</v>
      </c>
      <c r="AM21" s="675" t="str" cm="1">
        <f t="array" ref="AM21">IFERROR(INDEX('Import 2024 Data'!$E$4:$I$113,_xlfn.XMATCH('2nd Highest'!$AE21,'Import 2024 Data'!$C$4:$C$113),_xlfn.XMATCH('2nd Highest'!AM$5,'Import 2024 Data'!$E$3:$I$3)),"-")</f>
        <v>-</v>
      </c>
      <c r="AN21" s="460" t="str">
        <f t="shared" ref="AN21:AN26" si="20">IFERROR(IF(AJ21="Y","New Incumbent",W21/AM21-1),"-")</f>
        <v>New Incumbent</v>
      </c>
    </row>
    <row r="22" spans="1:42" ht="20.25" customHeight="1">
      <c r="A22" s="12" t="str">
        <f t="shared" si="0"/>
        <v>TSX:CG_2025_2nd Highest</v>
      </c>
      <c r="B22" s="12" t="str">
        <f>'Peer Group'!A20</f>
        <v>TSX:CG</v>
      </c>
      <c r="C22" s="666" t="str">
        <f t="shared" si="1"/>
        <v>Centerra Gold Inc.</v>
      </c>
      <c r="D22" s="667" t="str">
        <f>_xll.ciqfunctions.udf.CIQ(B22, "IQ_MARKETCAP", $A$1,$A$2)</f>
        <v>#PEND</v>
      </c>
      <c r="E22" s="667" t="str">
        <f>_xll.ciqfunctions.udf.CIQ($B22, "IQ_TEV", $A$1,$A$2)</f>
        <v>#PEND</v>
      </c>
      <c r="F22" s="668" t="str">
        <f t="shared" si="2"/>
        <v>David Hendriks</v>
      </c>
      <c r="G22" s="668" t="str">
        <f t="shared" si="2"/>
        <v>EVP &amp; COO</v>
      </c>
      <c r="H22" s="667" t="str">
        <f t="shared" si="3"/>
        <v>-</v>
      </c>
      <c r="I22" s="667">
        <f t="shared" si="4"/>
        <v>552.13099999999997</v>
      </c>
      <c r="J22" s="669" t="str">
        <f t="shared" si="3"/>
        <v>-</v>
      </c>
      <c r="K22" s="670" t="str">
        <f t="shared" si="5"/>
        <v>-</v>
      </c>
      <c r="L22" s="670" t="str">
        <f t="shared" si="5"/>
        <v>-</v>
      </c>
      <c r="M22" s="671">
        <f t="shared" si="6"/>
        <v>441.70480000000003</v>
      </c>
      <c r="N22" s="672">
        <f t="shared" si="7"/>
        <v>0.8</v>
      </c>
      <c r="O22" s="669">
        <f t="shared" si="8"/>
        <v>1085.489</v>
      </c>
      <c r="P22" s="673">
        <f t="shared" si="8"/>
        <v>993.83580000000006</v>
      </c>
      <c r="Q22" s="850">
        <f t="shared" si="8"/>
        <v>745.37699999999995</v>
      </c>
      <c r="R22" s="851">
        <f t="shared" si="9"/>
        <v>1.3500002716746569</v>
      </c>
      <c r="S22" s="851">
        <f t="shared" si="9"/>
        <v>1.3500002716746569</v>
      </c>
      <c r="T22" s="671">
        <f t="shared" si="10"/>
        <v>993.83580000000006</v>
      </c>
      <c r="U22" s="672">
        <f t="shared" si="11"/>
        <v>1.8</v>
      </c>
      <c r="V22" s="669">
        <f t="shared" si="12"/>
        <v>1830.866</v>
      </c>
      <c r="W22" s="674">
        <f t="shared" si="12"/>
        <v>1987.6716000000001</v>
      </c>
      <c r="X22" s="669" t="str">
        <f t="shared" si="13"/>
        <v>-</v>
      </c>
      <c r="Y22" s="674">
        <f t="shared" si="13"/>
        <v>201.05400000000003</v>
      </c>
      <c r="Z22" s="669">
        <f t="shared" si="14"/>
        <v>2031.92</v>
      </c>
      <c r="AA22" s="674">
        <f t="shared" si="14"/>
        <v>2188.7256000000002</v>
      </c>
      <c r="AB22" s="675"/>
      <c r="AC22" s="676">
        <f t="shared" si="15"/>
        <v>0.5</v>
      </c>
      <c r="AD22" s="677">
        <f t="shared" si="16"/>
        <v>0.5</v>
      </c>
      <c r="AE22" s="678" t="str">
        <f t="shared" si="17"/>
        <v>TSX:CG_2024_2nd Highest</v>
      </c>
      <c r="AF22" s="678"/>
      <c r="AG22" s="682" t="str" cm="1">
        <f t="array" ref="AG22">IFERROR(INDEX('Import 2024 Data'!$E$4:$I$113,_xlfn.XMATCH('2nd Highest'!$AE22,'Import 2024 Data'!$C$4:$C$113),_xlfn.XMATCH('2nd Highest'!AG$5,'Import 2024 Data'!$E$3:$I$3)),"-")</f>
        <v>-</v>
      </c>
      <c r="AH22" s="678" t="str" cm="1">
        <f t="array" ref="AH22">IFERROR(INDEX('Import 2024 Data'!$E$4:$I$113,_xlfn.XMATCH('2nd Highest'!$AE22,'Import 2024 Data'!$C$4:$C$113),_xlfn.XMATCH('2nd Highest'!AH$5,'Import 2024 Data'!$E$3:$I$3)),"-")</f>
        <v>-</v>
      </c>
      <c r="AI22" s="678"/>
      <c r="AJ22" s="683" t="str">
        <f t="shared" si="19"/>
        <v>Y</v>
      </c>
      <c r="AK22" s="678" t="str" cm="1">
        <f t="array" ref="AK22">IFERROR(INDEX('Import 2024 Data'!$E$4:$I$113,_xlfn.XMATCH('2nd Highest'!$AE22,'Import 2024 Data'!$C$4:$C$113),_xlfn.XMATCH('2nd Highest'!AK$5,'Import 2024 Data'!$E$3:$I$3)),"-")</f>
        <v>-</v>
      </c>
      <c r="AL22" s="675" t="str" cm="1">
        <f t="array" ref="AL22">IFERROR(INDEX('Import 2024 Data'!$E$4:$I$113,_xlfn.XMATCH('2nd Highest'!$AE22,'Import 2024 Data'!$C$4:$C$113),_xlfn.XMATCH('2nd Highest'!AL$5,'Import 2024 Data'!$E$3:$I$3)),"-")</f>
        <v>-</v>
      </c>
      <c r="AM22" s="675" t="str" cm="1">
        <f t="array" ref="AM22">IFERROR(INDEX('Import 2024 Data'!$E$4:$I$113,_xlfn.XMATCH('2nd Highest'!$AE22,'Import 2024 Data'!$C$4:$C$113),_xlfn.XMATCH('2nd Highest'!AM$5,'Import 2024 Data'!$E$3:$I$3)),"-")</f>
        <v>-</v>
      </c>
      <c r="AN22" s="460" t="str">
        <f t="shared" si="20"/>
        <v>New Incumbent</v>
      </c>
    </row>
    <row r="23" spans="1:42" ht="20.25" hidden="1" customHeight="1" outlineLevel="1">
      <c r="A23" s="12" t="str">
        <f t="shared" si="0"/>
        <v>0_2025_2nd Highest</v>
      </c>
      <c r="B23" s="12">
        <f>'Raw Data'!E21</f>
        <v>0</v>
      </c>
      <c r="C23" s="666" t="str">
        <f t="shared" si="1"/>
        <v>-</v>
      </c>
      <c r="D23" s="667" t="str">
        <f>_xll.ciqfunctions.udf.CIQ(B23, "IQ_MARKETCAP", $A$1,$A$2)</f>
        <v>(Invalid Identifier)</v>
      </c>
      <c r="E23" s="667" t="str">
        <f>_xll.ciqfunctions.udf.CIQ($B23, "IQ_TEV", $A$1,$A$2)</f>
        <v>(Invalid Identifier)</v>
      </c>
      <c r="F23" s="668" t="str">
        <f t="shared" si="2"/>
        <v>-</v>
      </c>
      <c r="G23" s="668" t="str">
        <f t="shared" si="2"/>
        <v>-</v>
      </c>
      <c r="H23" s="667" t="str">
        <f t="shared" si="3"/>
        <v>-</v>
      </c>
      <c r="I23" s="667" t="str">
        <f t="shared" si="4"/>
        <v>-</v>
      </c>
      <c r="J23" s="669" t="str">
        <f t="shared" si="3"/>
        <v>-</v>
      </c>
      <c r="K23" s="670" t="str">
        <f t="shared" si="5"/>
        <v>-</v>
      </c>
      <c r="L23" s="670" t="str">
        <f t="shared" si="5"/>
        <v>-</v>
      </c>
      <c r="M23" s="671" t="str">
        <f t="shared" si="6"/>
        <v>-</v>
      </c>
      <c r="N23" s="672" t="str">
        <f t="shared" si="7"/>
        <v>-</v>
      </c>
      <c r="O23" s="669" t="str">
        <f t="shared" si="8"/>
        <v>-</v>
      </c>
      <c r="P23" s="673" t="str">
        <f t="shared" si="8"/>
        <v>-</v>
      </c>
      <c r="Q23" s="669" t="str">
        <f t="shared" ref="Q23" si="21">IFERROR(INDEX(Raw_Data,MATCH($A23,Look_Up2,0),MATCH(Q$4,Component,0))/1000,"-")</f>
        <v>-</v>
      </c>
      <c r="R23" s="670" t="str">
        <f t="shared" ref="R23:S23" si="22">IFERROR(INDEX(Raw_Data,MATCH($A23,Look_Up2,0),MATCH(R$4,Component,0)),"-")</f>
        <v>-</v>
      </c>
      <c r="S23" s="670" t="str">
        <f t="shared" si="22"/>
        <v>-</v>
      </c>
      <c r="T23" s="671" t="str">
        <f t="shared" si="10"/>
        <v>-</v>
      </c>
      <c r="U23" s="672" t="str">
        <f t="shared" si="11"/>
        <v>-</v>
      </c>
      <c r="V23" s="669" t="str">
        <f t="shared" si="12"/>
        <v>-</v>
      </c>
      <c r="W23" s="674" t="str">
        <f t="shared" si="12"/>
        <v>-</v>
      </c>
      <c r="X23" s="669" t="str">
        <f t="shared" si="13"/>
        <v>-</v>
      </c>
      <c r="Y23" s="674" t="str">
        <f t="shared" si="13"/>
        <v>-</v>
      </c>
      <c r="Z23" s="669" t="str">
        <f t="shared" si="14"/>
        <v>-</v>
      </c>
      <c r="AA23" s="674" t="str">
        <f t="shared" si="14"/>
        <v>-</v>
      </c>
      <c r="AB23" s="675"/>
      <c r="AC23" s="676" t="str">
        <f t="shared" si="15"/>
        <v>-</v>
      </c>
      <c r="AD23" s="677" t="str">
        <f t="shared" si="16"/>
        <v>-</v>
      </c>
      <c r="AE23" s="678" t="str">
        <f t="shared" si="17"/>
        <v>0_2024_2nd Highest</v>
      </c>
      <c r="AF23" s="678"/>
      <c r="AG23" s="682" t="str" cm="1">
        <f t="array" ref="AG23">IFERROR(INDEX('Import 2024 Data'!$E$4:$I$113,_xlfn.XMATCH('2nd Highest'!$AE23,'Import 2024 Data'!$C$4:$C$113),_xlfn.XMATCH('2nd Highest'!AG$5,'Import 2024 Data'!$E$3:$I$3)),"-")</f>
        <v>-</v>
      </c>
      <c r="AH23" s="678" t="str" cm="1">
        <f t="array" ref="AH23">IFERROR(INDEX('Import 2024 Data'!$E$4:$I$113,_xlfn.XMATCH('2nd Highest'!$AE23,'Import 2024 Data'!$C$4:$C$113),_xlfn.XMATCH('2nd Highest'!AH$5,'Import 2024 Data'!$E$3:$I$3)),"-")</f>
        <v>-</v>
      </c>
      <c r="AI23" s="678"/>
      <c r="AJ23" s="683" t="str">
        <f t="shared" si="19"/>
        <v>N</v>
      </c>
      <c r="AK23" s="678" t="str" cm="1">
        <f t="array" ref="AK23">IFERROR(INDEX('Import 2024 Data'!$E$4:$I$113,_xlfn.XMATCH('2nd Highest'!$AE23,'Import 2024 Data'!$C$4:$C$113),_xlfn.XMATCH('2nd Highest'!AK$5,'Import 2024 Data'!$E$3:$I$3)),"-")</f>
        <v>-</v>
      </c>
      <c r="AL23" s="675" t="str" cm="1">
        <f t="array" ref="AL23">IFERROR(INDEX('Import 2024 Data'!$E$4:$I$113,_xlfn.XMATCH('2nd Highest'!$AE23,'Import 2024 Data'!$C$4:$C$113),_xlfn.XMATCH('2nd Highest'!AL$5,'Import 2024 Data'!$E$3:$I$3)),"-")</f>
        <v>-</v>
      </c>
      <c r="AM23" s="675" t="str" cm="1">
        <f t="array" ref="AM23">IFERROR(INDEX('Import 2024 Data'!$E$4:$I$113,_xlfn.XMATCH('2nd Highest'!$AE23,'Import 2024 Data'!$C$4:$C$113),_xlfn.XMATCH('2nd Highest'!AM$5,'Import 2024 Data'!$E$3:$I$3)),"-")</f>
        <v>-</v>
      </c>
      <c r="AN23" s="460" t="str">
        <f t="shared" si="20"/>
        <v>-</v>
      </c>
    </row>
    <row r="24" spans="1:42" ht="20.25" hidden="1" customHeight="1" outlineLevel="1">
      <c r="A24" s="12" t="str">
        <f t="shared" si="0"/>
        <v>0_2025_2nd Highest</v>
      </c>
      <c r="B24" s="12">
        <f>'Raw Data'!E22</f>
        <v>0</v>
      </c>
      <c r="C24" s="666" t="str">
        <f t="shared" si="1"/>
        <v>-</v>
      </c>
      <c r="D24" s="667" t="str">
        <f>_xll.ciqfunctions.udf.CIQ(B24, "IQ_MARKETCAP", $A$1,$A$2)</f>
        <v>(Invalid Identifier)</v>
      </c>
      <c r="E24" s="667" t="str">
        <f>_xll.ciqfunctions.udf.CIQ($B24, "IQ_TEV", $A$1,$A$2)</f>
        <v>(Invalid Identifier)</v>
      </c>
      <c r="F24" s="668" t="str">
        <f t="shared" si="2"/>
        <v>-</v>
      </c>
      <c r="G24" s="668" t="str">
        <f t="shared" si="2"/>
        <v>-</v>
      </c>
      <c r="H24" s="667" t="str">
        <f t="shared" ref="H24:J26" si="23">IFERROR(INDEX(Raw_Data,MATCH($A24,Look_Up2,0),MATCH(H$4,Component,0))/1000,"-")</f>
        <v>-</v>
      </c>
      <c r="I24" s="667" t="str">
        <f t="shared" si="4"/>
        <v>-</v>
      </c>
      <c r="J24" s="669" t="str">
        <f t="shared" si="23"/>
        <v>-</v>
      </c>
      <c r="K24" s="670" t="str">
        <f t="shared" ref="K24:L26" si="24">IFERROR(INDEX(Raw_Data,MATCH($A24,Look_Up2,0),MATCH(K$4,Component,0)),"-")</f>
        <v>-</v>
      </c>
      <c r="L24" s="670" t="str">
        <f t="shared" si="24"/>
        <v>-</v>
      </c>
      <c r="M24" s="671" t="str">
        <f t="shared" si="6"/>
        <v>-</v>
      </c>
      <c r="N24" s="672" t="str">
        <f t="shared" si="7"/>
        <v>-</v>
      </c>
      <c r="O24" s="669" t="str">
        <f t="shared" si="8"/>
        <v>-</v>
      </c>
      <c r="P24" s="673" t="str">
        <f t="shared" si="8"/>
        <v>-</v>
      </c>
      <c r="Q24" s="669" t="str">
        <f>IFERROR(INDEX(Raw_Data,MATCH($A24,Look_Up2,0),MATCH(Q$4,Component,0))/1000,"-")</f>
        <v>-</v>
      </c>
      <c r="R24" s="670" t="str">
        <f t="shared" ref="R24:S26" si="25">IFERROR(INDEX(Raw_Data,MATCH($A24,Look_Up2,0),MATCH(R$4,Component,0)),"-")</f>
        <v>-</v>
      </c>
      <c r="S24" s="670" t="str">
        <f t="shared" si="25"/>
        <v>-</v>
      </c>
      <c r="T24" s="671" t="str">
        <f t="shared" si="10"/>
        <v>-</v>
      </c>
      <c r="U24" s="672" t="str">
        <f t="shared" si="11"/>
        <v>-</v>
      </c>
      <c r="V24" s="669" t="str">
        <f t="shared" si="12"/>
        <v>-</v>
      </c>
      <c r="W24" s="674" t="str">
        <f t="shared" si="12"/>
        <v>-</v>
      </c>
      <c r="X24" s="669" t="str">
        <f t="shared" si="13"/>
        <v>-</v>
      </c>
      <c r="Y24" s="674" t="str">
        <f t="shared" si="13"/>
        <v>-</v>
      </c>
      <c r="Z24" s="669" t="str">
        <f t="shared" si="14"/>
        <v>-</v>
      </c>
      <c r="AA24" s="674" t="str">
        <f t="shared" si="14"/>
        <v>-</v>
      </c>
      <c r="AB24" s="675"/>
      <c r="AC24" s="676" t="str">
        <f t="shared" si="15"/>
        <v>-</v>
      </c>
      <c r="AD24" s="677" t="str">
        <f t="shared" si="16"/>
        <v>-</v>
      </c>
      <c r="AE24" s="678" t="str">
        <f t="shared" si="17"/>
        <v>0_2024_2nd Highest</v>
      </c>
      <c r="AF24" s="678"/>
      <c r="AG24" s="682" t="str" cm="1">
        <f t="array" ref="AG24">IFERROR(INDEX('Import 2024 Data'!$E$4:$I$113,_xlfn.XMATCH('2nd Highest'!$AE24,'Import 2024 Data'!$C$4:$C$113),_xlfn.XMATCH('2nd Highest'!AG$5,'Import 2024 Data'!$E$3:$I$3)),"-")</f>
        <v>-</v>
      </c>
      <c r="AH24" s="678" t="str" cm="1">
        <f t="array" ref="AH24">IFERROR(INDEX('Import 2024 Data'!$E$4:$I$113,_xlfn.XMATCH('2nd Highest'!$AE24,'Import 2024 Data'!$C$4:$C$113),_xlfn.XMATCH('2nd Highest'!AH$5,'Import 2024 Data'!$E$3:$I$3)),"-")</f>
        <v>-</v>
      </c>
      <c r="AI24" s="678"/>
      <c r="AJ24" s="683" t="str">
        <f t="shared" si="19"/>
        <v>N</v>
      </c>
      <c r="AK24" s="678" t="str" cm="1">
        <f t="array" ref="AK24">IFERROR(INDEX('Import 2024 Data'!$E$4:$I$113,_xlfn.XMATCH('2nd Highest'!$AE24,'Import 2024 Data'!$C$4:$C$113),_xlfn.XMATCH('2nd Highest'!AK$5,'Import 2024 Data'!$E$3:$I$3)),"-")</f>
        <v>-</v>
      </c>
      <c r="AL24" s="675" t="str" cm="1">
        <f t="array" ref="AL24">IFERROR(INDEX('Import 2024 Data'!$E$4:$I$113,_xlfn.XMATCH('2nd Highest'!$AE24,'Import 2024 Data'!$C$4:$C$113),_xlfn.XMATCH('2nd Highest'!AL$5,'Import 2024 Data'!$E$3:$I$3)),"-")</f>
        <v>-</v>
      </c>
      <c r="AM24" s="675" t="str" cm="1">
        <f t="array" ref="AM24">IFERROR(INDEX('Import 2024 Data'!$E$4:$I$113,_xlfn.XMATCH('2nd Highest'!$AE24,'Import 2024 Data'!$C$4:$C$113),_xlfn.XMATCH('2nd Highest'!AM$5,'Import 2024 Data'!$E$3:$I$3)),"-")</f>
        <v>-</v>
      </c>
      <c r="AN24" s="460" t="str">
        <f t="shared" si="20"/>
        <v>-</v>
      </c>
    </row>
    <row r="25" spans="1:42" ht="20.25" hidden="1" customHeight="1" outlineLevel="1">
      <c r="A25" s="12" t="str">
        <f t="shared" si="0"/>
        <v>0_2025_2nd Highest</v>
      </c>
      <c r="B25" s="12">
        <f>'Raw Data'!E23</f>
        <v>0</v>
      </c>
      <c r="C25" s="666" t="str">
        <f t="shared" si="1"/>
        <v>-</v>
      </c>
      <c r="D25" s="667" t="str">
        <f>_xll.ciqfunctions.udf.CIQ(B25, "IQ_MARKETCAP", $A$1,$A$2)</f>
        <v>(Invalid Identifier)</v>
      </c>
      <c r="E25" s="667" t="str">
        <f>_xll.ciqfunctions.udf.CIQ($B25, "IQ_TEV", $A$1,$A$2)</f>
        <v>(Invalid Identifier)</v>
      </c>
      <c r="F25" s="668" t="str">
        <f t="shared" si="2"/>
        <v>-</v>
      </c>
      <c r="G25" s="668" t="str">
        <f t="shared" si="2"/>
        <v>-</v>
      </c>
      <c r="H25" s="667" t="str">
        <f t="shared" si="23"/>
        <v>-</v>
      </c>
      <c r="I25" s="667" t="str">
        <f t="shared" si="4"/>
        <v>-</v>
      </c>
      <c r="J25" s="669" t="str">
        <f t="shared" si="23"/>
        <v>-</v>
      </c>
      <c r="K25" s="670" t="str">
        <f t="shared" si="24"/>
        <v>-</v>
      </c>
      <c r="L25" s="670" t="str">
        <f t="shared" si="24"/>
        <v>-</v>
      </c>
      <c r="M25" s="671" t="str">
        <f t="shared" si="6"/>
        <v>-</v>
      </c>
      <c r="N25" s="672" t="str">
        <f t="shared" si="7"/>
        <v>-</v>
      </c>
      <c r="O25" s="669" t="str">
        <f t="shared" si="8"/>
        <v>-</v>
      </c>
      <c r="P25" s="673" t="str">
        <f t="shared" si="8"/>
        <v>-</v>
      </c>
      <c r="Q25" s="669" t="str">
        <f>IFERROR(INDEX(Raw_Data,MATCH($A25,Look_Up2,0),MATCH(Q$4,Component,0))/1000,"-")</f>
        <v>-</v>
      </c>
      <c r="R25" s="670" t="str">
        <f t="shared" si="25"/>
        <v>-</v>
      </c>
      <c r="S25" s="670" t="str">
        <f t="shared" si="25"/>
        <v>-</v>
      </c>
      <c r="T25" s="671" t="str">
        <f t="shared" si="10"/>
        <v>-</v>
      </c>
      <c r="U25" s="672" t="str">
        <f t="shared" si="11"/>
        <v>-</v>
      </c>
      <c r="V25" s="669" t="str">
        <f t="shared" si="12"/>
        <v>-</v>
      </c>
      <c r="W25" s="674" t="str">
        <f t="shared" si="12"/>
        <v>-</v>
      </c>
      <c r="X25" s="669" t="str">
        <f t="shared" si="13"/>
        <v>-</v>
      </c>
      <c r="Y25" s="674" t="str">
        <f t="shared" si="13"/>
        <v>-</v>
      </c>
      <c r="Z25" s="669" t="str">
        <f t="shared" si="14"/>
        <v>-</v>
      </c>
      <c r="AA25" s="674" t="str">
        <f t="shared" si="14"/>
        <v>-</v>
      </c>
      <c r="AB25" s="675"/>
      <c r="AC25" s="676" t="str">
        <f t="shared" si="15"/>
        <v>-</v>
      </c>
      <c r="AD25" s="677" t="str">
        <f t="shared" si="16"/>
        <v>-</v>
      </c>
      <c r="AE25" s="678" t="str">
        <f t="shared" si="17"/>
        <v>0_2024_2nd Highest</v>
      </c>
      <c r="AF25" s="678"/>
      <c r="AG25" s="682" t="str" cm="1">
        <f t="array" ref="AG25">IFERROR(INDEX('Import 2024 Data'!$E$4:$I$113,_xlfn.XMATCH('2nd Highest'!$AE25,'Import 2024 Data'!$C$4:$C$113),_xlfn.XMATCH('2nd Highest'!AG$5,'Import 2024 Data'!$E$3:$I$3)),"-")</f>
        <v>-</v>
      </c>
      <c r="AH25" s="678" t="str" cm="1">
        <f t="array" ref="AH25">IFERROR(INDEX('Import 2024 Data'!$E$4:$I$113,_xlfn.XMATCH('2nd Highest'!$AE25,'Import 2024 Data'!$C$4:$C$113),_xlfn.XMATCH('2nd Highest'!AH$5,'Import 2024 Data'!$E$3:$I$3)),"-")</f>
        <v>-</v>
      </c>
      <c r="AI25" s="678"/>
      <c r="AJ25" s="683" t="str">
        <f t="shared" si="19"/>
        <v>N</v>
      </c>
      <c r="AK25" s="678" t="str" cm="1">
        <f t="array" ref="AK25">IFERROR(INDEX('Import 2024 Data'!$E$4:$I$113,_xlfn.XMATCH('2nd Highest'!$AE25,'Import 2024 Data'!$C$4:$C$113),_xlfn.XMATCH('2nd Highest'!AK$5,'Import 2024 Data'!$E$3:$I$3)),"-")</f>
        <v>-</v>
      </c>
      <c r="AL25" s="675" t="str" cm="1">
        <f t="array" ref="AL25">IFERROR(INDEX('Import 2024 Data'!$E$4:$I$113,_xlfn.XMATCH('2nd Highest'!$AE25,'Import 2024 Data'!$C$4:$C$113),_xlfn.XMATCH('2nd Highest'!AL$5,'Import 2024 Data'!$E$3:$I$3)),"-")</f>
        <v>-</v>
      </c>
      <c r="AM25" s="675" t="str" cm="1">
        <f t="array" ref="AM25">IFERROR(INDEX('Import 2024 Data'!$E$4:$I$113,_xlfn.XMATCH('2nd Highest'!$AE25,'Import 2024 Data'!$C$4:$C$113),_xlfn.XMATCH('2nd Highest'!AM$5,'Import 2024 Data'!$E$3:$I$3)),"-")</f>
        <v>-</v>
      </c>
      <c r="AN25" s="460" t="str">
        <f t="shared" si="20"/>
        <v>-</v>
      </c>
    </row>
    <row r="26" spans="1:42" ht="20.25" hidden="1" customHeight="1" outlineLevel="1">
      <c r="A26" s="12" t="str">
        <f t="shared" si="0"/>
        <v>0_2025_2nd Highest</v>
      </c>
      <c r="B26" s="12">
        <f>'Peer Group'!A24</f>
        <v>0</v>
      </c>
      <c r="C26" s="666" t="str">
        <f t="shared" si="1"/>
        <v>-</v>
      </c>
      <c r="D26" s="667" t="str">
        <f>_xll.ciqfunctions.udf.CIQ(B26, "IQ_MARKETCAP", $A$1,$A$2)</f>
        <v>(Invalid Identifier)</v>
      </c>
      <c r="E26" s="667" t="str">
        <f>_xll.ciqfunctions.udf.CIQ($B26, "IQ_TEV", $A$1,$A$2)</f>
        <v>(Invalid Identifier)</v>
      </c>
      <c r="F26" s="668" t="str">
        <f t="shared" si="2"/>
        <v>-</v>
      </c>
      <c r="G26" s="668" t="str">
        <f t="shared" si="2"/>
        <v>-</v>
      </c>
      <c r="H26" s="667" t="str">
        <f t="shared" si="23"/>
        <v>-</v>
      </c>
      <c r="I26" s="667" t="str">
        <f t="shared" si="4"/>
        <v>-</v>
      </c>
      <c r="J26" s="669" t="str">
        <f t="shared" si="23"/>
        <v>-</v>
      </c>
      <c r="K26" s="670" t="str">
        <f t="shared" si="24"/>
        <v>-</v>
      </c>
      <c r="L26" s="670" t="str">
        <f t="shared" si="24"/>
        <v>-</v>
      </c>
      <c r="M26" s="671" t="str">
        <f t="shared" si="6"/>
        <v>-</v>
      </c>
      <c r="N26" s="672" t="str">
        <f t="shared" si="7"/>
        <v>-</v>
      </c>
      <c r="O26" s="669" t="str">
        <f t="shared" si="8"/>
        <v>-</v>
      </c>
      <c r="P26" s="673" t="str">
        <f t="shared" si="8"/>
        <v>-</v>
      </c>
      <c r="Q26" s="669" t="str">
        <f>IFERROR(INDEX(Raw_Data,MATCH($A26,Look_Up2,0),MATCH(Q$4,Component,0))/1000,"-")</f>
        <v>-</v>
      </c>
      <c r="R26" s="670" t="str">
        <f t="shared" si="25"/>
        <v>-</v>
      </c>
      <c r="S26" s="670" t="str">
        <f t="shared" si="25"/>
        <v>-</v>
      </c>
      <c r="T26" s="671" t="str">
        <f t="shared" si="10"/>
        <v>-</v>
      </c>
      <c r="U26" s="672" t="str">
        <f t="shared" si="11"/>
        <v>-</v>
      </c>
      <c r="V26" s="669" t="str">
        <f t="shared" si="12"/>
        <v>-</v>
      </c>
      <c r="W26" s="674" t="str">
        <f t="shared" si="12"/>
        <v>-</v>
      </c>
      <c r="X26" s="669" t="str">
        <f t="shared" si="13"/>
        <v>-</v>
      </c>
      <c r="Y26" s="674" t="str">
        <f t="shared" si="13"/>
        <v>-</v>
      </c>
      <c r="Z26" s="669" t="str">
        <f t="shared" si="14"/>
        <v>-</v>
      </c>
      <c r="AA26" s="674" t="str">
        <f t="shared" si="14"/>
        <v>-</v>
      </c>
      <c r="AB26" s="675"/>
      <c r="AC26" s="676" t="str">
        <f t="shared" si="15"/>
        <v>-</v>
      </c>
      <c r="AD26" s="677" t="str">
        <f t="shared" si="16"/>
        <v>-</v>
      </c>
      <c r="AE26" s="678" t="str">
        <f t="shared" si="17"/>
        <v>0_2024_2nd Highest</v>
      </c>
      <c r="AF26" s="678"/>
      <c r="AG26" s="684" t="str" cm="1">
        <f t="array" ref="AG26">IFERROR(INDEX('Import 2024 Data'!$E$4:$I$113,_xlfn.XMATCH('2nd Highest'!$AE26,'Import 2024 Data'!$C$4:$C$113),_xlfn.XMATCH('2nd Highest'!AG$5,'Import 2024 Data'!$E$3:$I$3)),"-")</f>
        <v>-</v>
      </c>
      <c r="AH26" s="685" t="str" cm="1">
        <f t="array" ref="AH26">IFERROR(INDEX('Import 2024 Data'!$E$4:$I$113,_xlfn.XMATCH('2nd Highest'!$AE26,'Import 2024 Data'!$C$4:$C$113),_xlfn.XMATCH('2nd Highest'!AH$5,'Import 2024 Data'!$E$3:$I$3)),"-")</f>
        <v>-</v>
      </c>
      <c r="AI26" s="685"/>
      <c r="AJ26" s="686" t="str">
        <f t="shared" si="19"/>
        <v>N</v>
      </c>
      <c r="AK26" s="685" t="str" cm="1">
        <f t="array" ref="AK26">IFERROR(INDEX('Import 2024 Data'!$E$4:$I$113,_xlfn.XMATCH('2nd Highest'!$AE26,'Import 2024 Data'!$C$4:$C$113),_xlfn.XMATCH('2nd Highest'!AK$5,'Import 2024 Data'!$E$3:$I$3)),"-")</f>
        <v>-</v>
      </c>
      <c r="AL26" s="687" t="str" cm="1">
        <f t="array" ref="AL26">IFERROR(INDEX('Import 2024 Data'!$E$4:$I$113,_xlfn.XMATCH('2nd Highest'!$AE26,'Import 2024 Data'!$C$4:$C$113),_xlfn.XMATCH('2nd Highest'!AL$5,'Import 2024 Data'!$E$3:$I$3)),"-")</f>
        <v>-</v>
      </c>
      <c r="AM26" s="687" t="str" cm="1">
        <f t="array" ref="AM26">IFERROR(INDEX('Import 2024 Data'!$E$4:$I$113,_xlfn.XMATCH('2nd Highest'!$AE26,'Import 2024 Data'!$C$4:$C$113),_xlfn.XMATCH('2nd Highest'!AM$5,'Import 2024 Data'!$E$3:$I$3)),"-")</f>
        <v>-</v>
      </c>
      <c r="AN26" s="464" t="str">
        <f t="shared" si="20"/>
        <v>-</v>
      </c>
    </row>
    <row r="27" spans="1:42" ht="20.25" customHeight="1" collapsed="1">
      <c r="C27" s="688" t="str">
        <f>$C$3&amp;" Summary Statistics"</f>
        <v>2025 Summary Statistics</v>
      </c>
      <c r="D27" s="689"/>
      <c r="E27" s="689"/>
      <c r="F27" s="689"/>
      <c r="G27" s="689"/>
      <c r="H27" s="689"/>
      <c r="I27" s="689"/>
      <c r="J27" s="689"/>
      <c r="K27" s="690"/>
      <c r="L27" s="690"/>
      <c r="M27" s="689"/>
      <c r="N27" s="690"/>
      <c r="O27" s="689"/>
      <c r="P27" s="689"/>
      <c r="Q27" s="689"/>
      <c r="R27" s="690"/>
      <c r="S27" s="690"/>
      <c r="T27" s="689"/>
      <c r="U27" s="690"/>
      <c r="V27" s="689"/>
      <c r="W27" s="691"/>
      <c r="X27" s="689"/>
      <c r="Y27" s="691"/>
      <c r="Z27" s="689"/>
      <c r="AA27" s="691"/>
      <c r="AB27" s="675"/>
      <c r="AC27" s="692"/>
      <c r="AD27" s="693"/>
      <c r="AE27" s="678"/>
      <c r="AF27" s="678"/>
      <c r="AG27" s="678"/>
      <c r="AH27" s="678"/>
      <c r="AI27" s="678"/>
      <c r="AJ27" s="678"/>
      <c r="AK27" s="678"/>
      <c r="AL27" s="694"/>
      <c r="AM27" s="695"/>
    </row>
    <row r="28" spans="1:42" s="17" customFormat="1" ht="20.25" customHeight="1">
      <c r="B28" s="17">
        <v>0.75</v>
      </c>
      <c r="C28" s="696" t="s">
        <v>9</v>
      </c>
      <c r="D28" s="697" t="e">
        <f t="shared" ref="D28:E30" si="26">PERCENTILE(D$8:D$26,$B28)</f>
        <v>#NUM!</v>
      </c>
      <c r="E28" s="697" t="e">
        <f t="shared" si="26"/>
        <v>#NUM!</v>
      </c>
      <c r="F28" s="698"/>
      <c r="G28" s="698"/>
      <c r="H28" s="698"/>
      <c r="I28" s="697">
        <f t="shared" ref="I28:X30" si="27">PERCENTILE(I$8:I$26,$B28)</f>
        <v>816.84345422500007</v>
      </c>
      <c r="J28" s="699" t="e">
        <f t="shared" si="27"/>
        <v>#NUM!</v>
      </c>
      <c r="K28" s="700" t="e">
        <f t="shared" si="27"/>
        <v>#NUM!</v>
      </c>
      <c r="L28" s="700" t="e">
        <f t="shared" si="27"/>
        <v>#NUM!</v>
      </c>
      <c r="M28" s="701">
        <f t="shared" si="27"/>
        <v>637.66624999999999</v>
      </c>
      <c r="N28" s="677">
        <f t="shared" si="27"/>
        <v>0.875</v>
      </c>
      <c r="O28" s="699">
        <f t="shared" si="27"/>
        <v>1701.29056625</v>
      </c>
      <c r="P28" s="702">
        <f t="shared" si="27"/>
        <v>1467.3225</v>
      </c>
      <c r="Q28" s="699">
        <f t="shared" si="27"/>
        <v>2148.5695928499999</v>
      </c>
      <c r="R28" s="700">
        <f t="shared" si="27"/>
        <v>2.7428377859139004</v>
      </c>
      <c r="S28" s="700">
        <f t="shared" si="27"/>
        <v>2.336786244667882</v>
      </c>
      <c r="T28" s="701">
        <f t="shared" si="27"/>
        <v>1753.5821875000001</v>
      </c>
      <c r="U28" s="677">
        <f>PERCENTILE(U$8:U$26,$B28)</f>
        <v>2.2250000000000001</v>
      </c>
      <c r="V28" s="699">
        <f t="shared" si="27"/>
        <v>3686.6952386749999</v>
      </c>
      <c r="W28" s="702">
        <f t="shared" si="27"/>
        <v>3175.2301562499997</v>
      </c>
      <c r="X28" s="699">
        <f t="shared" si="27"/>
        <v>363.64499999999998</v>
      </c>
      <c r="Y28" s="702">
        <f t="shared" ref="S28:AA30" si="28">PERCENTILE(Y$8:Y$26,$B28)</f>
        <v>87.573999150000006</v>
      </c>
      <c r="Z28" s="699">
        <f t="shared" si="28"/>
        <v>3871.4656594500002</v>
      </c>
      <c r="AA28" s="702">
        <f t="shared" si="28"/>
        <v>3388.435444875</v>
      </c>
      <c r="AB28" s="703"/>
      <c r="AC28" s="676">
        <f t="shared" ref="AC28:AD30" si="29">PERCENTILE(AC$8:AC$26,$B28)</f>
        <v>0.52230173998842599</v>
      </c>
      <c r="AD28" s="677">
        <f t="shared" si="29"/>
        <v>0.5315517285303033</v>
      </c>
      <c r="AE28" s="678"/>
      <c r="AF28" s="678"/>
      <c r="AG28" s="678"/>
      <c r="AH28" s="678"/>
      <c r="AI28" s="678"/>
      <c r="AJ28" s="678"/>
      <c r="AK28" s="678"/>
      <c r="AL28" s="704">
        <v>2606.57982932</v>
      </c>
      <c r="AM28" s="705">
        <v>2479.994840788167</v>
      </c>
      <c r="AN28" s="596" t="e">
        <f>PERCENTILE(AN$8:AN$26,$B28)</f>
        <v>#NUM!</v>
      </c>
    </row>
    <row r="29" spans="1:42" s="17" customFormat="1" ht="20.25" customHeight="1">
      <c r="B29" s="17">
        <v>0.5</v>
      </c>
      <c r="C29" s="706" t="s">
        <v>8</v>
      </c>
      <c r="D29" s="707" t="e">
        <f t="shared" si="26"/>
        <v>#NUM!</v>
      </c>
      <c r="E29" s="707" t="e">
        <f t="shared" si="26"/>
        <v>#NUM!</v>
      </c>
      <c r="F29" s="708"/>
      <c r="G29" s="708"/>
      <c r="H29" s="708"/>
      <c r="I29" s="707">
        <f t="shared" si="27"/>
        <v>686.20500000000004</v>
      </c>
      <c r="J29" s="709" t="e">
        <f t="shared" si="27"/>
        <v>#NUM!</v>
      </c>
      <c r="K29" s="710" t="e">
        <f t="shared" si="27"/>
        <v>#NUM!</v>
      </c>
      <c r="L29" s="710" t="e">
        <f t="shared" si="27"/>
        <v>#NUM!</v>
      </c>
      <c r="M29" s="711">
        <f t="shared" si="27"/>
        <v>576.448125</v>
      </c>
      <c r="N29" s="712">
        <f t="shared" si="27"/>
        <v>0.8</v>
      </c>
      <c r="O29" s="709">
        <f t="shared" si="27"/>
        <v>1407.9602214500001</v>
      </c>
      <c r="P29" s="713">
        <f t="shared" si="27"/>
        <v>1303.7895000000001</v>
      </c>
      <c r="Q29" s="709">
        <f t="shared" si="27"/>
        <v>1467.3225</v>
      </c>
      <c r="R29" s="710">
        <f t="shared" si="27"/>
        <v>1.7500015531326687</v>
      </c>
      <c r="S29" s="710">
        <f t="shared" si="28"/>
        <v>1.75</v>
      </c>
      <c r="T29" s="711">
        <f t="shared" si="28"/>
        <v>1467.3225</v>
      </c>
      <c r="U29" s="712">
        <f t="shared" si="28"/>
        <v>1.75</v>
      </c>
      <c r="V29" s="709">
        <f t="shared" si="28"/>
        <v>3087.0285377999999</v>
      </c>
      <c r="W29" s="713">
        <f t="shared" si="28"/>
        <v>2934.645</v>
      </c>
      <c r="X29" s="709">
        <f t="shared" si="28"/>
        <v>39.8748383</v>
      </c>
      <c r="Y29" s="713">
        <f t="shared" si="28"/>
        <v>71.757660050000013</v>
      </c>
      <c r="Z29" s="709">
        <f t="shared" si="28"/>
        <v>3202.7262181999999</v>
      </c>
      <c r="AA29" s="713">
        <f t="shared" si="28"/>
        <v>3050.3426804000001</v>
      </c>
      <c r="AB29" s="703"/>
      <c r="AC29" s="714">
        <f t="shared" si="29"/>
        <v>0.5</v>
      </c>
      <c r="AD29" s="712">
        <f t="shared" si="29"/>
        <v>0.5</v>
      </c>
      <c r="AE29" s="678"/>
      <c r="AF29" s="678"/>
      <c r="AG29" s="678"/>
      <c r="AH29" s="678"/>
      <c r="AI29" s="678"/>
      <c r="AJ29" s="678"/>
      <c r="AK29" s="678"/>
      <c r="AL29" s="709">
        <v>2167.4192702200003</v>
      </c>
      <c r="AM29" s="713">
        <v>2156.25</v>
      </c>
      <c r="AN29" s="597" t="e">
        <f>PERCENTILE(AN$8:AN$26,$B29)</f>
        <v>#NUM!</v>
      </c>
      <c r="AP29" s="17">
        <f>W29/AM29</f>
        <v>1.3609947826086957</v>
      </c>
    </row>
    <row r="30" spans="1:42" s="17" customFormat="1" ht="20.25" customHeight="1">
      <c r="B30" s="17">
        <v>0.25</v>
      </c>
      <c r="C30" s="696" t="s">
        <v>7</v>
      </c>
      <c r="D30" s="697" t="e">
        <f t="shared" si="26"/>
        <v>#NUM!</v>
      </c>
      <c r="E30" s="697" t="e">
        <f t="shared" si="26"/>
        <v>#NUM!</v>
      </c>
      <c r="F30" s="698"/>
      <c r="G30" s="698"/>
      <c r="H30" s="698"/>
      <c r="I30" s="697">
        <f t="shared" si="27"/>
        <v>620.08648855000001</v>
      </c>
      <c r="J30" s="699" t="e">
        <f t="shared" si="27"/>
        <v>#NUM!</v>
      </c>
      <c r="K30" s="700" t="e">
        <f t="shared" si="27"/>
        <v>#NUM!</v>
      </c>
      <c r="L30" s="700" t="e">
        <f t="shared" si="27"/>
        <v>#NUM!</v>
      </c>
      <c r="M30" s="701">
        <f t="shared" si="27"/>
        <v>472.25075937500003</v>
      </c>
      <c r="N30" s="677">
        <f t="shared" si="27"/>
        <v>0.77500000000000002</v>
      </c>
      <c r="O30" s="699">
        <f t="shared" si="27"/>
        <v>1149.604464475</v>
      </c>
      <c r="P30" s="702">
        <f t="shared" si="27"/>
        <v>1085.652280535</v>
      </c>
      <c r="Q30" s="699">
        <f t="shared" si="27"/>
        <v>1017.7219990060025</v>
      </c>
      <c r="R30" s="700">
        <f t="shared" si="27"/>
        <v>1.4266702849511184</v>
      </c>
      <c r="S30" s="700">
        <f t="shared" si="28"/>
        <v>1.6189322337136769</v>
      </c>
      <c r="T30" s="701">
        <f t="shared" si="28"/>
        <v>1089.684</v>
      </c>
      <c r="U30" s="677">
        <f t="shared" si="28"/>
        <v>1.6869928663944127</v>
      </c>
      <c r="V30" s="699">
        <f t="shared" si="28"/>
        <v>2291.6019030560028</v>
      </c>
      <c r="W30" s="702">
        <f t="shared" si="28"/>
        <v>2291.7146265642373</v>
      </c>
      <c r="X30" s="699">
        <f t="shared" si="28"/>
        <v>31.516999999999999</v>
      </c>
      <c r="Y30" s="702">
        <f t="shared" si="28"/>
        <v>21.099</v>
      </c>
      <c r="Z30" s="699">
        <f t="shared" si="28"/>
        <v>2420.2484990060025</v>
      </c>
      <c r="AA30" s="702">
        <f t="shared" si="28"/>
        <v>2510.6629499999999</v>
      </c>
      <c r="AB30" s="703"/>
      <c r="AC30" s="676">
        <f t="shared" si="29"/>
        <v>0.46844827146969653</v>
      </c>
      <c r="AD30" s="677">
        <f t="shared" si="29"/>
        <v>0.47769826001157406</v>
      </c>
      <c r="AE30" s="678"/>
      <c r="AF30" s="678"/>
      <c r="AG30" s="678"/>
      <c r="AH30" s="678"/>
      <c r="AI30" s="678"/>
      <c r="AJ30" s="678"/>
      <c r="AK30" s="678"/>
      <c r="AL30" s="699">
        <v>2061.8701363636364</v>
      </c>
      <c r="AM30" s="702">
        <v>2005.41</v>
      </c>
      <c r="AN30" s="598" t="e">
        <f>PERCENTILE(AN$8:AN$26,$B30)</f>
        <v>#NUM!</v>
      </c>
    </row>
    <row r="31" spans="1:42" s="17" customFormat="1" ht="20.25" customHeight="1">
      <c r="A31" s="12"/>
      <c r="B31" s="12"/>
      <c r="C31" s="715" t="s">
        <v>6</v>
      </c>
      <c r="D31" s="716" t="e">
        <f>AVERAGE(D8:D26)</f>
        <v>#DIV/0!</v>
      </c>
      <c r="E31" s="716" t="e">
        <f>AVERAGE(E8:E26)</f>
        <v>#DIV/0!</v>
      </c>
      <c r="F31" s="715"/>
      <c r="G31" s="715"/>
      <c r="H31" s="715"/>
      <c r="I31" s="716">
        <f t="shared" ref="I31:AA31" si="30">AVERAGE(I8:I26)</f>
        <v>722.41637308666645</v>
      </c>
      <c r="J31" s="717" t="e">
        <f t="shared" si="30"/>
        <v>#DIV/0!</v>
      </c>
      <c r="K31" s="718" t="e">
        <f t="shared" si="30"/>
        <v>#DIV/0!</v>
      </c>
      <c r="L31" s="718" t="e">
        <f t="shared" si="30"/>
        <v>#DIV/0!</v>
      </c>
      <c r="M31" s="719">
        <f t="shared" si="30"/>
        <v>602.08541165116662</v>
      </c>
      <c r="N31" s="720">
        <f t="shared" si="30"/>
        <v>0.83666666666666667</v>
      </c>
      <c r="O31" s="717">
        <f t="shared" si="30"/>
        <v>1423.6244377066666</v>
      </c>
      <c r="P31" s="721">
        <f t="shared" si="30"/>
        <v>1324.5017847378333</v>
      </c>
      <c r="Q31" s="717">
        <f t="shared" si="30"/>
        <v>1543.6820688052674</v>
      </c>
      <c r="R31" s="718">
        <f t="shared" si="30"/>
        <v>2.1280380810545299</v>
      </c>
      <c r="S31" s="718">
        <f t="shared" si="30"/>
        <v>2.0467000796296992</v>
      </c>
      <c r="T31" s="719">
        <f t="shared" si="30"/>
        <v>1491.7007903064341</v>
      </c>
      <c r="U31" s="720">
        <f t="shared" si="30"/>
        <v>2.0773975159054014</v>
      </c>
      <c r="V31" s="717">
        <f t="shared" si="30"/>
        <v>2967.306506511934</v>
      </c>
      <c r="W31" s="721">
        <f t="shared" si="30"/>
        <v>2816.2025750442672</v>
      </c>
      <c r="X31" s="717">
        <f t="shared" si="30"/>
        <v>188.57106816111113</v>
      </c>
      <c r="Y31" s="721">
        <f t="shared" si="30"/>
        <v>68.00364869615386</v>
      </c>
      <c r="Z31" s="717">
        <f t="shared" si="30"/>
        <v>3139.3856429452667</v>
      </c>
      <c r="AA31" s="721">
        <f t="shared" si="30"/>
        <v>2988.2817114776003</v>
      </c>
      <c r="AB31" s="703"/>
      <c r="AC31" s="722">
        <f>AVERAGE(AC8:AC26)</f>
        <v>0.47922641638091623</v>
      </c>
      <c r="AD31" s="720">
        <f>AVERAGE(AD8:AD26)</f>
        <v>0.52077358361908377</v>
      </c>
      <c r="AE31" s="678"/>
      <c r="AF31" s="678"/>
      <c r="AG31" s="678"/>
      <c r="AH31" s="678"/>
      <c r="AI31" s="678"/>
      <c r="AJ31" s="678"/>
      <c r="AK31" s="678"/>
      <c r="AL31" s="717">
        <v>2300.4112162910492</v>
      </c>
      <c r="AM31" s="721">
        <v>2259.9220784689046</v>
      </c>
      <c r="AN31" s="599" t="e">
        <f>PERCENTILE(AN$8:AN$26,$B31)</f>
        <v>#NUM!</v>
      </c>
    </row>
    <row r="32" spans="1:42" s="17" customFormat="1" ht="20.25" customHeight="1" outlineLevel="1">
      <c r="A32" s="12"/>
      <c r="B32" s="12"/>
      <c r="C32" s="688" t="str">
        <f>$C$3+1&amp;" Estimated Summary Statistics "</f>
        <v xml:space="preserve">2026 Estimated Summary Statistics </v>
      </c>
      <c r="D32" s="689"/>
      <c r="E32" s="689"/>
      <c r="F32" s="689"/>
      <c r="G32" s="689"/>
      <c r="H32" s="689"/>
      <c r="I32" s="689"/>
      <c r="J32" s="689"/>
      <c r="K32" s="690"/>
      <c r="L32" s="690"/>
      <c r="M32" s="689"/>
      <c r="N32" s="690"/>
      <c r="O32" s="689"/>
      <c r="P32" s="689"/>
      <c r="Q32" s="689"/>
      <c r="R32" s="690"/>
      <c r="S32" s="690"/>
      <c r="T32" s="689"/>
      <c r="U32" s="690"/>
      <c r="V32" s="689"/>
      <c r="W32" s="691"/>
      <c r="X32" s="688"/>
      <c r="Y32" s="688"/>
      <c r="Z32" s="689"/>
      <c r="AA32" s="691"/>
      <c r="AB32" s="703"/>
      <c r="AC32" s="724"/>
      <c r="AD32" s="724"/>
      <c r="AE32" s="678"/>
      <c r="AF32" s="678"/>
      <c r="AG32" s="678"/>
      <c r="AH32" s="678"/>
      <c r="AI32" s="678"/>
      <c r="AJ32" s="678"/>
      <c r="AK32" s="678"/>
      <c r="AL32" s="678"/>
      <c r="AM32" s="678"/>
    </row>
    <row r="33" spans="1:40" s="17" customFormat="1" ht="20.25" customHeight="1" outlineLevel="1">
      <c r="A33" s="12"/>
      <c r="B33" s="17">
        <v>0.75</v>
      </c>
      <c r="C33" s="696" t="s">
        <v>9</v>
      </c>
      <c r="D33" s="697" t="e">
        <f t="shared" ref="D33:E35" si="31">PERCENTILE(D$8:D$26,$B33)</f>
        <v>#NUM!</v>
      </c>
      <c r="E33" s="697" t="e">
        <f t="shared" si="31"/>
        <v>#NUM!</v>
      </c>
      <c r="F33" s="698"/>
      <c r="G33" s="698"/>
      <c r="H33" s="698"/>
      <c r="I33" s="697">
        <f>I67</f>
        <v>841.34875785175018</v>
      </c>
      <c r="J33" s="699">
        <f>J67</f>
        <v>0</v>
      </c>
      <c r="K33" s="700">
        <f>K67</f>
        <v>0</v>
      </c>
      <c r="L33" s="700">
        <f>L67</f>
        <v>0</v>
      </c>
      <c r="M33" s="701">
        <f>M67</f>
        <v>658.43380875000014</v>
      </c>
      <c r="N33" s="677">
        <f>PERCENTILE(N$8:N$26,$B33)</f>
        <v>0.875</v>
      </c>
      <c r="O33" s="699" t="s">
        <v>78</v>
      </c>
      <c r="P33" s="697">
        <f>P67</f>
        <v>1504.7797875000001</v>
      </c>
      <c r="Q33" s="699" t="s">
        <v>78</v>
      </c>
      <c r="R33" s="699" t="s">
        <v>78</v>
      </c>
      <c r="S33" s="700" t="s">
        <v>78</v>
      </c>
      <c r="T33" s="701">
        <f>T67</f>
        <v>1796.0694890550972</v>
      </c>
      <c r="U33" s="677">
        <f>PERCENTILE(U$8:U$26,$B33)</f>
        <v>2.2250000000000001</v>
      </c>
      <c r="V33" s="699" t="s">
        <v>78</v>
      </c>
      <c r="W33" s="702">
        <f>W67</f>
        <v>3270.4870609375002</v>
      </c>
      <c r="X33" s="863">
        <f>X28</f>
        <v>363.64499999999998</v>
      </c>
      <c r="Y33" s="867">
        <f>Y28</f>
        <v>87.573999150000006</v>
      </c>
      <c r="Z33" s="699" t="s">
        <v>78</v>
      </c>
      <c r="AA33" s="702">
        <f>AA67</f>
        <v>3344.0253690242548</v>
      </c>
      <c r="AB33" s="703"/>
      <c r="AC33" s="724"/>
      <c r="AD33" s="724"/>
      <c r="AE33" s="678"/>
      <c r="AF33" s="678"/>
      <c r="AG33" s="678"/>
      <c r="AH33" s="678"/>
      <c r="AI33" s="678"/>
      <c r="AJ33" s="678"/>
      <c r="AK33" s="678"/>
      <c r="AL33" s="639"/>
      <c r="AM33" s="639"/>
      <c r="AN33" s="778">
        <f>W29/2434-1</f>
        <v>0.20568816762530817</v>
      </c>
    </row>
    <row r="34" spans="1:40" s="17" customFormat="1" ht="20.25" customHeight="1" outlineLevel="1">
      <c r="A34" s="12"/>
      <c r="B34" s="17">
        <v>0.5</v>
      </c>
      <c r="C34" s="706" t="s">
        <v>8</v>
      </c>
      <c r="D34" s="707" t="e">
        <f t="shared" si="31"/>
        <v>#NUM!</v>
      </c>
      <c r="E34" s="707" t="e">
        <f t="shared" si="31"/>
        <v>#NUM!</v>
      </c>
      <c r="F34" s="708"/>
      <c r="G34" s="708"/>
      <c r="H34" s="708"/>
      <c r="I34" s="707">
        <f t="shared" ref="I34:M36" si="32">I68</f>
        <v>706.79115000000002</v>
      </c>
      <c r="J34" s="709">
        <f t="shared" si="32"/>
        <v>0</v>
      </c>
      <c r="K34" s="710">
        <f t="shared" si="32"/>
        <v>0</v>
      </c>
      <c r="L34" s="710">
        <f t="shared" si="32"/>
        <v>0</v>
      </c>
      <c r="M34" s="711">
        <f t="shared" si="32"/>
        <v>592.27394754506258</v>
      </c>
      <c r="N34" s="712">
        <f>PERCENTILE(N$8:N$26,$B34)</f>
        <v>0.8</v>
      </c>
      <c r="O34" s="709" t="s">
        <v>78</v>
      </c>
      <c r="P34" s="707">
        <f t="shared" ref="P34:T36" si="33">P68</f>
        <v>1285.8725926226252</v>
      </c>
      <c r="Q34" s="699" t="s">
        <v>78</v>
      </c>
      <c r="R34" s="699" t="s">
        <v>78</v>
      </c>
      <c r="S34" s="710" t="s">
        <v>78</v>
      </c>
      <c r="T34" s="711">
        <f t="shared" si="33"/>
        <v>1511.342175</v>
      </c>
      <c r="U34" s="712">
        <f>PERCENTILE(U$8:U$26,$B34)</f>
        <v>1.75</v>
      </c>
      <c r="V34" s="709" t="s">
        <v>78</v>
      </c>
      <c r="W34" s="713">
        <f>W68</f>
        <v>2544.4481400000004</v>
      </c>
      <c r="X34" s="871">
        <f t="shared" ref="X34:Y36" si="34">X29</f>
        <v>39.8748383</v>
      </c>
      <c r="Y34" s="875">
        <f t="shared" si="34"/>
        <v>71.757660050000013</v>
      </c>
      <c r="Z34" s="709" t="s">
        <v>78</v>
      </c>
      <c r="AA34" s="713">
        <f>AA68</f>
        <v>2676.7361998611646</v>
      </c>
      <c r="AB34" s="703">
        <f>AA34/W34</f>
        <v>1.0519908650451661</v>
      </c>
      <c r="AC34" s="724"/>
      <c r="AD34" s="724"/>
      <c r="AE34" s="678"/>
      <c r="AF34" s="678"/>
      <c r="AG34" s="678"/>
      <c r="AH34" s="678"/>
      <c r="AI34" s="678"/>
      <c r="AJ34" s="678"/>
      <c r="AK34" s="678"/>
      <c r="AL34" s="639"/>
      <c r="AM34" s="639"/>
    </row>
    <row r="35" spans="1:40" s="17" customFormat="1" ht="20.25" customHeight="1" outlineLevel="1">
      <c r="A35" s="12"/>
      <c r="B35" s="17">
        <v>0.25</v>
      </c>
      <c r="C35" s="696" t="s">
        <v>7</v>
      </c>
      <c r="D35" s="697" t="e">
        <f t="shared" si="31"/>
        <v>#NUM!</v>
      </c>
      <c r="E35" s="697" t="e">
        <f t="shared" si="31"/>
        <v>#NUM!</v>
      </c>
      <c r="F35" s="698"/>
      <c r="G35" s="698"/>
      <c r="H35" s="698"/>
      <c r="I35" s="697">
        <f t="shared" si="32"/>
        <v>638.68908320650007</v>
      </c>
      <c r="J35" s="699">
        <f t="shared" si="32"/>
        <v>0</v>
      </c>
      <c r="K35" s="700">
        <f t="shared" si="32"/>
        <v>0</v>
      </c>
      <c r="L35" s="700">
        <f t="shared" si="32"/>
        <v>0</v>
      </c>
      <c r="M35" s="701">
        <f t="shared" si="32"/>
        <v>481.51739531043751</v>
      </c>
      <c r="N35" s="677">
        <f>PERCENTILE(N$8:N$26,$B35)</f>
        <v>0.77500000000000002</v>
      </c>
      <c r="O35" s="699" t="s">
        <v>78</v>
      </c>
      <c r="P35" s="697">
        <f t="shared" si="33"/>
        <v>1067.9982243613749</v>
      </c>
      <c r="Q35" s="699" t="s">
        <v>78</v>
      </c>
      <c r="R35" s="699" t="s">
        <v>78</v>
      </c>
      <c r="S35" s="700" t="s">
        <v>78</v>
      </c>
      <c r="T35" s="701">
        <f t="shared" si="33"/>
        <v>1152.4830990498517</v>
      </c>
      <c r="U35" s="677">
        <f>PERCENTILE(U$8:U$26,$B35)</f>
        <v>1.6869928663944127</v>
      </c>
      <c r="V35" s="699" t="s">
        <v>78</v>
      </c>
      <c r="W35" s="702">
        <f>W69</f>
        <v>2382.7029075624996</v>
      </c>
      <c r="X35" s="863">
        <f t="shared" si="34"/>
        <v>31.516999999999999</v>
      </c>
      <c r="Y35" s="867">
        <f t="shared" si="34"/>
        <v>21.099</v>
      </c>
      <c r="Z35" s="699" t="s">
        <v>78</v>
      </c>
      <c r="AA35" s="702">
        <f>AA69</f>
        <v>2502.2689042437501</v>
      </c>
      <c r="AB35" s="703"/>
      <c r="AC35" s="724"/>
      <c r="AD35" s="724"/>
      <c r="AE35" s="678"/>
      <c r="AF35" s="678"/>
      <c r="AG35" s="678"/>
      <c r="AH35" s="678"/>
      <c r="AI35" s="678"/>
      <c r="AJ35" s="678"/>
      <c r="AK35" s="678"/>
      <c r="AL35" s="639"/>
      <c r="AM35" s="639"/>
    </row>
    <row r="36" spans="1:40" s="17" customFormat="1" ht="20.25" customHeight="1" outlineLevel="1">
      <c r="A36" s="12"/>
      <c r="B36" s="12"/>
      <c r="C36" s="715" t="s">
        <v>6</v>
      </c>
      <c r="D36" s="716" t="e">
        <f>AVERAGE(D13:D31)</f>
        <v>#NUM!</v>
      </c>
      <c r="E36" s="716" t="e">
        <f>AVERAGE(E13:E31)</f>
        <v>#NUM!</v>
      </c>
      <c r="F36" s="715"/>
      <c r="G36" s="715"/>
      <c r="H36" s="715"/>
      <c r="I36" s="716">
        <f t="shared" si="32"/>
        <v>744.08886427926677</v>
      </c>
      <c r="J36" s="717">
        <f t="shared" si="32"/>
        <v>0</v>
      </c>
      <c r="K36" s="718">
        <f t="shared" si="32"/>
        <v>0</v>
      </c>
      <c r="L36" s="718">
        <f t="shared" si="32"/>
        <v>0</v>
      </c>
      <c r="M36" s="719">
        <f t="shared" si="32"/>
        <v>616.3607530593697</v>
      </c>
      <c r="N36" s="720">
        <f>AVERAGE(N13:N31)</f>
        <v>0.80976190476190479</v>
      </c>
      <c r="O36" s="717" t="s">
        <v>78</v>
      </c>
      <c r="P36" s="716">
        <f t="shared" si="33"/>
        <v>1319.3589004680118</v>
      </c>
      <c r="Q36" s="1230" t="s">
        <v>78</v>
      </c>
      <c r="R36" s="1230" t="s">
        <v>78</v>
      </c>
      <c r="S36" s="718" t="s">
        <v>78</v>
      </c>
      <c r="T36" s="719">
        <f t="shared" si="33"/>
        <v>1520.388608235819</v>
      </c>
      <c r="U36" s="720">
        <f>AVERAGE(U13:U31)</f>
        <v>2.0193266707166231</v>
      </c>
      <c r="V36" s="717" t="s">
        <v>78</v>
      </c>
      <c r="W36" s="721">
        <f>W70</f>
        <v>2839.747508703831</v>
      </c>
      <c r="X36" s="878">
        <f t="shared" si="34"/>
        <v>188.57106816111113</v>
      </c>
      <c r="Y36" s="882">
        <f t="shared" si="34"/>
        <v>68.00364869615386</v>
      </c>
      <c r="Z36" s="717" t="s">
        <v>78</v>
      </c>
      <c r="AA36" s="721">
        <f>AA70</f>
        <v>2830.8185848410908</v>
      </c>
      <c r="AB36" s="703"/>
      <c r="AC36" s="724"/>
      <c r="AD36" s="724"/>
      <c r="AE36" s="678"/>
      <c r="AF36" s="678"/>
      <c r="AG36" s="678"/>
      <c r="AH36" s="678"/>
      <c r="AI36" s="678"/>
      <c r="AJ36" s="678"/>
      <c r="AK36" s="678"/>
      <c r="AL36" s="639"/>
      <c r="AM36" s="639"/>
    </row>
    <row r="37" spans="1:40" ht="7.5" customHeight="1">
      <c r="C37" s="725"/>
      <c r="D37" s="725"/>
      <c r="E37" s="725"/>
      <c r="F37" s="725"/>
      <c r="G37" s="725"/>
      <c r="H37" s="725"/>
      <c r="I37" s="726"/>
      <c r="J37" s="727"/>
      <c r="K37" s="728"/>
      <c r="L37" s="728"/>
      <c r="M37" s="726"/>
      <c r="N37" s="729"/>
      <c r="O37" s="727"/>
      <c r="P37" s="726"/>
      <c r="Q37" s="726"/>
      <c r="R37" s="729"/>
      <c r="S37" s="729"/>
      <c r="T37" s="727"/>
      <c r="U37" s="728"/>
      <c r="V37" s="727"/>
      <c r="W37" s="726"/>
      <c r="X37" s="728"/>
      <c r="Y37" s="727"/>
      <c r="Z37" s="726"/>
      <c r="AA37" s="726"/>
      <c r="AB37" s="675"/>
      <c r="AC37" s="725"/>
      <c r="AD37" s="725"/>
      <c r="AE37" s="678"/>
      <c r="AF37" s="678"/>
      <c r="AG37" s="678"/>
      <c r="AH37" s="678"/>
      <c r="AI37" s="678"/>
      <c r="AJ37" s="678"/>
      <c r="AK37" s="678"/>
      <c r="AL37" s="639"/>
      <c r="AM37" s="639"/>
    </row>
    <row r="38" spans="1:40" s="35" customFormat="1" ht="20.25" customHeight="1">
      <c r="A38" s="35" t="str">
        <f>$B38&amp;"_"&amp;$C$3&amp;"_"&amp;$C$2</f>
        <v>TSX:HBM_2025_2nd Highest</v>
      </c>
      <c r="B38" s="35" t="str">
        <f>'Raw Data'!H6</f>
        <v>TSX:HBM</v>
      </c>
      <c r="C38" s="732" t="str">
        <f>IFERROR(INDEX(Raw_Data,MATCH($A38,Look_Up3,0),MATCH(C$4,Component,0)),"-")</f>
        <v>Hudbay Minerals Inc.</v>
      </c>
      <c r="D38" s="731">
        <f>_xll.ciqfunctions.udf.CIQ(B38, "IQ_MARKETCAP", $A$1,$A$2)</f>
        <v>5664.3295799999996</v>
      </c>
      <c r="E38" s="731">
        <f>_xll.ciqfunctions.udf.CIQ($B38, "IQ_TEV", $A$1,$A$2)</f>
        <v>6773.8200500000003</v>
      </c>
      <c r="F38" s="732" t="str">
        <f>IFERROR(INDEX(Raw_Data,MATCH($A38,Look_Up3,0),MATCH(F$4,Component,0)),"-")</f>
        <v>Andre Lauzon</v>
      </c>
      <c r="G38" s="732" t="str">
        <f>IFERROR(INDEX(Raw_Data,MATCH($A38,Look_Up3,0),MATCH(G$4,Component,0)),"-")</f>
        <v>COO</v>
      </c>
      <c r="H38" s="732" t="str">
        <f>IFERROR(INDEX(Raw_Data,MATCH($A38,Look_Up2,0),MATCH(H$4,Component,0))/1000,"-")</f>
        <v>-</v>
      </c>
      <c r="I38" s="731">
        <f>IFERROR(INDEX(Raw_Data,MATCH($A38,Look_Up3,0),MATCH(I$4,Component,0))/1000,"-")</f>
        <v>696.57</v>
      </c>
      <c r="J38" s="731" t="str">
        <f>IFERROR(INDEX(Raw_Data,MATCH($A38,Look_Up2,0),MATCH(J$4,Component,0))/1000,"-")</f>
        <v>-</v>
      </c>
      <c r="K38" s="733" t="str">
        <f>IFERROR(INDEX(Raw_Data,MATCH($A38,Look_Up2,0),MATCH(K$4,Component,0)),"-")</f>
        <v>-</v>
      </c>
      <c r="L38" s="733" t="str">
        <f>IFERROR(INDEX(Raw_Data,MATCH($A38,Look_Up2,0),MATCH(L$4,Component,0)),"-")</f>
        <v>-</v>
      </c>
      <c r="M38" s="731">
        <f>IFERROR(INDEX(Raw_Data,MATCH($A38,Look_Up3,0),MATCH(M$4,Component,0))/1000,"-")</f>
        <v>626.91300000000001</v>
      </c>
      <c r="N38" s="733">
        <f>IFERROR(IF(INDEX(Raw_Data,MATCH($A38,Look_Up3,0),MATCH(N$4,Component,0))="-",L38,INDEX(Raw_Data,MATCH($A38,Look_Up3,0),MATCH(N$4,Component,0))),"-")</f>
        <v>0.9</v>
      </c>
      <c r="O38" s="731" t="s">
        <v>78</v>
      </c>
      <c r="P38" s="731">
        <f>IFERROR(INDEX(Raw_Data,MATCH($A38,Look_Up3,0),MATCH(P$4,Component,0))/1000,"-")</f>
        <v>1323.4829999999999</v>
      </c>
      <c r="Q38" s="731" t="str">
        <f>IFERROR(INDEX(Raw_Data,MATCH($A38,Look_Up2,0),MATCH(Q$4,Component,0))/1000,"-")</f>
        <v>-</v>
      </c>
      <c r="R38" s="733" t="str">
        <f>IFERROR(INDEX(Raw_Data,MATCH($A38,Look_Up2,0),MATCH(R$4,Component,0)),"-")</f>
        <v>-</v>
      </c>
      <c r="S38" s="733" t="str">
        <f>IFERROR(INDEX(Raw_Data,MATCH($A38,Look_Up2,0),MATCH(S$4,Component,0)),"-")</f>
        <v>-</v>
      </c>
      <c r="T38" s="731">
        <f>IFERROR(INDEX(Raw_Data,MATCH($A38,Look_Up3,0),MATCH(T$4,Component,0))/1000,"-")</f>
        <v>1253.826</v>
      </c>
      <c r="U38" s="733">
        <f>IFERROR(IF(INDEX(Raw_Data,MATCH($A38,Look_Up3,0),MATCH(U$4,Component,0))="-",S38,INDEX(Raw_Data,MATCH($A38,Look_Up3,0),MATCH(U$4,Component,0))),"-")</f>
        <v>1.8</v>
      </c>
      <c r="V38" s="731" t="s">
        <v>78</v>
      </c>
      <c r="W38" s="731">
        <f>IFERROR(INDEX(Raw_Data,MATCH($A38,Look_Up3,0),MATCH(W$4,Component,0))/1000,"-")</f>
        <v>2577.3090000000002</v>
      </c>
      <c r="X38" s="735">
        <f>IFERROR((INDEX(Raw_Data,MATCH($A38,Look_Up3,0),MATCH(X$4,Component,0))/1000),"-")</f>
        <v>44.31</v>
      </c>
      <c r="Y38" s="731" t="str">
        <f>IFERROR((INDEX(Raw_Data,MATCH($A38,Look_Up3,0),MATCH(Y$4,Component,0))/1000),"-")</f>
        <v>-</v>
      </c>
      <c r="Z38" s="731">
        <f>IFERROR(INDEX(Raw_Data,MATCH($A38,Look_Up3,0),MATCH(Z$4,Component,0))/1000,"-")</f>
        <v>2597.5320000000002</v>
      </c>
      <c r="AA38" s="734">
        <f>IFERROR(INDEX(Raw_Data,MATCH($A38,Look_Up3,0),MATCH(AA$4,Component,0))/1000,"-")</f>
        <v>2621.6190000000001</v>
      </c>
      <c r="AB38" s="703">
        <f>AA38/W38</f>
        <v>1.0171923506261764</v>
      </c>
      <c r="AC38" s="737">
        <f>IFERROR(P38/W38,0)</f>
        <v>0.51351351351351349</v>
      </c>
      <c r="AD38" s="738">
        <f>IFERROR(T38/W38,0)</f>
        <v>0.48648648648648646</v>
      </c>
      <c r="AE38" s="678" t="str">
        <f>B38&amp;"_"&amp;$AE$6&amp;"_"&amp;$C$2</f>
        <v>TSX:HBM_2024_2nd Highest</v>
      </c>
      <c r="AF38" s="678"/>
      <c r="AG38" s="678"/>
      <c r="AH38" s="678"/>
      <c r="AI38" s="678"/>
      <c r="AJ38" s="678"/>
      <c r="AK38" s="678"/>
      <c r="AL38" s="639"/>
      <c r="AM38" s="639"/>
    </row>
    <row r="39" spans="1:40" ht="20.25" customHeight="1">
      <c r="B39" s="33"/>
      <c r="C39" s="739" t="s">
        <v>5</v>
      </c>
      <c r="D39" s="740" t="str">
        <f>IF(D$38&gt;=MAX(D$8:D$26),"max",IF(D$38&lt;=MIN(D$8:D$26),"min",PERCENTRANK(D$8:D$26,D$38)))</f>
        <v>max</v>
      </c>
      <c r="E39" s="740" t="str">
        <f>IF(E$38&gt;=MAX(E$8:E$26),"max",IF(E$38&lt;=MIN(E$8:E$26),"min",PERCENTRANK(E$8:E$26,E$38)))</f>
        <v>max</v>
      </c>
      <c r="F39" s="741"/>
      <c r="G39" s="741"/>
      <c r="H39" s="741"/>
      <c r="I39" s="740">
        <f>IF(I$38&gt;=MAX(I$46:I$65),"max",IF(I$38&lt;=MIN(I$46:I$65),"min",PERCENTRANK(I$46:I$65,I$38)))</f>
        <v>0.437</v>
      </c>
      <c r="J39" s="740" t="str">
        <f>IF(J$38&gt;=MAX(J$8:J$26),"max",IF(J$38&lt;=MIN(J$8:J$26),"min",PERCENTRANK(J$8:J$26,J$38)))</f>
        <v>max</v>
      </c>
      <c r="K39" s="740" t="str">
        <f>IF(K$38&gt;=MAX(K$8:K$26),"max",IF(K$38&lt;=MIN(K$8:K$26),"min",PERCENTRANK(K$8:K$26,K$38)))</f>
        <v>max</v>
      </c>
      <c r="L39" s="740" t="str">
        <f>IF(L$38&gt;=MAX(L$8:L$26),"max",IF(L$38&lt;=MIN(L$8:L$26),"min",PERCENTRANK(L$8:L$26,L$38)))</f>
        <v>max</v>
      </c>
      <c r="M39" s="740">
        <f>IF(M$38&gt;=MAX(M$46:M$65),"max",IF(M$38&lt;=MIN(M$46:M$65),"min",PERCENTRANK(M$46:M$65,M$38)))</f>
        <v>0.66600000000000004</v>
      </c>
      <c r="N39" s="740">
        <f>IF(N$38&gt;=MAX(N$8:N$26),"max",IF(N$38&lt;=MIN(N$8:N$26),"min",PERCENTRANK(N$8:N$26,N$38)))</f>
        <v>0.78500000000000003</v>
      </c>
      <c r="O39" s="740" t="s">
        <v>78</v>
      </c>
      <c r="P39" s="740">
        <f>IF(P$38&gt;=MAX(P$46:P$65),"max",IF(P$38&lt;=MIN(P$46:P$65),"min",PERCENTRANK(P$46:P$65,P$38)))</f>
        <v>0.54700000000000004</v>
      </c>
      <c r="Q39" s="740" t="s">
        <v>78</v>
      </c>
      <c r="R39" s="740" t="s">
        <v>78</v>
      </c>
      <c r="S39" s="740" t="s">
        <v>78</v>
      </c>
      <c r="T39" s="740">
        <f>IF(T$38&gt;=MAX(T$46:T$65),"max",IF(T$38&lt;=MIN(T$46:T$65),"min",PERCENTRANK(T$46:T$65,T$38)))</f>
        <v>0.44</v>
      </c>
      <c r="U39" s="740">
        <f>IF(U$38&gt;=MAX(U$8:U$26),"max",IF(U$38&lt;=MIN(U$8:U$26),"min",PERCENTRANK(U$8:U$26,U$38)))</f>
        <v>0.57099999999999995</v>
      </c>
      <c r="V39" s="740" t="s">
        <v>78</v>
      </c>
      <c r="W39" s="740">
        <f>IF(W$38&gt;=MAX(W$46:W$65),"max",IF(W$38&lt;=MIN(W$46:W$65),"min",PERCENTRANK(W$46:W$65,W$38)))</f>
        <v>0.50600000000000001</v>
      </c>
      <c r="X39" s="740">
        <f>IF(X$38&gt;=MAX(X$8:X$26),"max",IF(X$38&lt;=MIN(X$8:X$26),"min",PERCENTRANK(X$8:X$26,X$38)))</f>
        <v>0.505</v>
      </c>
      <c r="Y39" s="740" t="str">
        <f>IF(Y$38&gt;=MAX(Y$8:Y$26),"max",IF(Y$38&lt;=MIN(Y$8:Y$26),"min",PERCENTRANK(Y$8:Y$26,Y$38)))</f>
        <v>max</v>
      </c>
      <c r="Z39" s="740">
        <f>IF(Z$38&gt;=MAX(Z$8:Z$26),"max",IF(Z$38&lt;=MIN(Z$8:Z$26),"min",PERCENTRANK(Z$8:Z$26,Z$38)))</f>
        <v>0.42899999999999999</v>
      </c>
      <c r="AA39" s="742">
        <f>IF(AA$38&gt;=MAX(AA$46:AA$65),"max",IF(AA$38&lt;=MIN(AA$46:AA$65),"min",PERCENTRANK(AA$46:AA$65,AA$38)))</f>
        <v>0.45100000000000001</v>
      </c>
      <c r="AB39" s="675"/>
      <c r="AC39" s="743">
        <f>IF(AC$38&gt;=MAX(AC$8:AC26),"max",IF(AC$38&lt;=MIN(AC$8:AC26),"min",PERCENTRANK(AC$8:AC26,AC$38)))</f>
        <v>0.68400000000000005</v>
      </c>
      <c r="AD39" s="744">
        <f>IF(AD$38&gt;=MAX(AD$8:AD26),"max",IF(AD$38&lt;=MIN(AD$8:AD26),"min",PERCENTRANK(AD$8:AD26,AD$38)))</f>
        <v>0.315</v>
      </c>
      <c r="AE39" s="678"/>
      <c r="AF39" s="678"/>
      <c r="AG39" s="678"/>
      <c r="AH39" s="678"/>
      <c r="AI39" s="678"/>
      <c r="AJ39" s="678"/>
      <c r="AK39" s="678"/>
      <c r="AL39" s="639"/>
      <c r="AM39" s="639"/>
    </row>
    <row r="40" spans="1:40" ht="7.5" customHeight="1">
      <c r="B40" s="33"/>
      <c r="C40" s="286"/>
      <c r="D40" s="286"/>
      <c r="E40" s="259"/>
      <c r="F40" s="259"/>
      <c r="G40" s="259"/>
      <c r="H40" s="259"/>
      <c r="I40" s="275"/>
      <c r="J40" s="275"/>
      <c r="K40" s="275"/>
      <c r="L40" s="275"/>
      <c r="M40" s="275"/>
      <c r="N40" s="275"/>
      <c r="O40" s="275"/>
      <c r="P40" s="275"/>
      <c r="Q40" s="275"/>
      <c r="R40" s="275"/>
      <c r="S40" s="275"/>
      <c r="T40" s="275"/>
      <c r="U40" s="275"/>
      <c r="V40" s="275"/>
      <c r="W40" s="275"/>
      <c r="X40" s="275"/>
      <c r="Y40" s="275"/>
      <c r="Z40" s="275"/>
      <c r="AA40" s="275"/>
      <c r="AC40" s="259"/>
      <c r="AD40" s="259"/>
      <c r="AE40" s="316"/>
      <c r="AF40" s="316"/>
      <c r="AG40" s="316"/>
      <c r="AH40" s="316"/>
      <c r="AI40" s="316"/>
      <c r="AJ40" s="316"/>
      <c r="AK40" s="316"/>
    </row>
    <row r="41" spans="1:40" ht="15" customHeight="1">
      <c r="B41" s="33"/>
      <c r="C41" s="286" t="s">
        <v>243</v>
      </c>
      <c r="D41" s="286"/>
      <c r="E41" s="259"/>
      <c r="F41" s="259"/>
      <c r="G41" s="259"/>
      <c r="H41" s="259"/>
      <c r="I41" s="275"/>
      <c r="J41" s="275"/>
      <c r="K41" s="275"/>
      <c r="L41" s="275"/>
      <c r="M41" s="275"/>
      <c r="N41" s="275"/>
      <c r="O41" s="275"/>
      <c r="P41" s="275"/>
      <c r="Q41" s="275"/>
      <c r="R41" s="275"/>
      <c r="S41" s="275"/>
      <c r="T41" s="275"/>
      <c r="U41" s="275"/>
      <c r="V41" s="275"/>
      <c r="W41" s="531">
        <f>W38/W34-1</f>
        <v>1.291472971423957E-2</v>
      </c>
      <c r="X41" s="275"/>
      <c r="Y41" s="275"/>
      <c r="Z41" s="275"/>
      <c r="AA41" s="275"/>
      <c r="AC41" s="259"/>
      <c r="AD41" s="259"/>
      <c r="AE41" s="316"/>
      <c r="AF41" s="316"/>
      <c r="AG41" s="316"/>
      <c r="AH41" s="316"/>
      <c r="AI41" s="316"/>
      <c r="AJ41" s="316"/>
      <c r="AK41" s="316"/>
    </row>
    <row r="42" spans="1:40">
      <c r="B42" s="15"/>
      <c r="C42" s="284"/>
      <c r="D42" s="284"/>
      <c r="E42" s="284"/>
      <c r="F42" s="284"/>
      <c r="G42" s="284"/>
      <c r="H42" s="284"/>
      <c r="I42" s="284"/>
      <c r="J42" s="284"/>
      <c r="K42" s="284"/>
      <c r="L42" s="284"/>
      <c r="M42" s="284"/>
      <c r="N42" s="284"/>
      <c r="O42" s="284"/>
      <c r="P42" s="284"/>
      <c r="Q42" s="284"/>
      <c r="R42" s="284"/>
      <c r="S42" s="284"/>
      <c r="T42" s="284"/>
      <c r="U42" s="284"/>
      <c r="V42" s="284"/>
      <c r="W42" s="535">
        <f>W38-W34</f>
        <v>32.860859999999775</v>
      </c>
      <c r="X42" s="284"/>
      <c r="Y42" s="284"/>
      <c r="Z42" s="284"/>
      <c r="AA42" s="284"/>
      <c r="AC42" s="258"/>
      <c r="AD42" s="258"/>
    </row>
    <row r="43" spans="1:40">
      <c r="B43" s="15"/>
      <c r="C43" s="14"/>
      <c r="D43" s="14"/>
      <c r="E43" s="14"/>
      <c r="F43" s="14"/>
      <c r="G43" s="14"/>
      <c r="H43" s="14"/>
      <c r="I43" s="14"/>
      <c r="J43" s="14"/>
      <c r="K43" s="14"/>
      <c r="L43" s="14"/>
      <c r="M43" s="14"/>
      <c r="N43" s="14"/>
      <c r="O43" s="14"/>
      <c r="P43" s="14"/>
      <c r="Q43" s="14"/>
      <c r="R43" s="14"/>
      <c r="S43" s="14"/>
      <c r="T43" s="14"/>
      <c r="U43" s="14"/>
      <c r="V43" s="14"/>
      <c r="W43" s="14"/>
      <c r="X43" s="1068">
        <f>W29*1.03</f>
        <v>3022.68435</v>
      </c>
      <c r="Y43" s="14"/>
      <c r="Z43" s="14"/>
      <c r="AA43" s="14"/>
      <c r="AC43" s="27"/>
      <c r="AD43" s="27"/>
    </row>
    <row r="44" spans="1:40">
      <c r="B44" s="15"/>
      <c r="C44" s="305" t="s">
        <v>110</v>
      </c>
      <c r="D44" s="313"/>
      <c r="E44" s="306"/>
      <c r="F44" s="306"/>
      <c r="G44" s="306"/>
      <c r="H44" s="306"/>
      <c r="I44" s="306"/>
      <c r="J44" s="306"/>
      <c r="K44" s="306"/>
      <c r="L44" s="306"/>
      <c r="M44" s="306"/>
      <c r="N44" s="306"/>
      <c r="O44" s="306"/>
      <c r="P44" s="306"/>
      <c r="Q44" s="306"/>
      <c r="R44" s="306"/>
      <c r="S44" s="306"/>
      <c r="T44" s="306"/>
      <c r="U44" s="306"/>
      <c r="V44" s="306"/>
      <c r="W44" s="306"/>
      <c r="X44" s="306"/>
      <c r="Y44" s="306"/>
      <c r="Z44" s="306"/>
      <c r="AA44" s="306"/>
      <c r="AC44" s="307"/>
      <c r="AD44" s="307"/>
      <c r="AE44" s="308"/>
      <c r="AF44" s="308"/>
      <c r="AG44" s="308"/>
      <c r="AH44" s="308"/>
      <c r="AI44" s="308"/>
      <c r="AJ44" s="308"/>
      <c r="AK44" s="308"/>
    </row>
    <row r="45" spans="1:40" ht="50">
      <c r="B45" s="15"/>
      <c r="C45" s="297" t="s">
        <v>111</v>
      </c>
      <c r="E45" s="14"/>
      <c r="F45" s="14"/>
      <c r="G45" s="315" t="s">
        <v>119</v>
      </c>
      <c r="H45" s="314" t="s">
        <v>115</v>
      </c>
      <c r="I45" s="314" t="s">
        <v>116</v>
      </c>
      <c r="J45" s="314"/>
      <c r="K45" s="314"/>
      <c r="L45" s="314"/>
      <c r="M45" s="314" t="s">
        <v>16</v>
      </c>
      <c r="O45" s="314"/>
      <c r="P45" s="314" t="s">
        <v>117</v>
      </c>
      <c r="Q45" s="314"/>
      <c r="R45" s="314"/>
      <c r="S45" s="314"/>
      <c r="T45" s="314" t="s">
        <v>14</v>
      </c>
      <c r="V45" s="314"/>
      <c r="W45" s="314" t="s">
        <v>118</v>
      </c>
      <c r="Y45" s="314"/>
      <c r="Z45" s="314"/>
      <c r="AA45" s="314" t="s">
        <v>246</v>
      </c>
      <c r="AC45" s="27"/>
      <c r="AD45" s="27"/>
    </row>
    <row r="46" spans="1:40" ht="14.5">
      <c r="A46" s="295" t="str">
        <f t="shared" ref="A46:B57" si="35">A8</f>
        <v>TSX:FM_2025_2nd Highest</v>
      </c>
      <c r="B46" s="295" t="str">
        <f t="shared" si="35"/>
        <v>TSX:FM</v>
      </c>
      <c r="C46" s="296" t="str">
        <f>_xll.ciqfunctions.udf.CIQ(B46,"IQ_COMPANY_NAME")</f>
        <v>First Quantum Minerals Ltd.</v>
      </c>
      <c r="E46" s="14"/>
      <c r="F46" s="14"/>
      <c r="G46" s="294" t="s">
        <v>398</v>
      </c>
      <c r="H46" s="303" t="str">
        <f t="shared" ref="H46:H65" si="36">IFERROR(INDEX(Raw_Data,MATCH($A46,Look_Up2,0),MATCH(H$4,Component,0))/1000,"-")</f>
        <v>-</v>
      </c>
      <c r="I46" s="303">
        <f>IFERROR(IF(G46="y",IF(H46&lt;&gt;"-",H46,INDEX(Raw_Data,MATCH($A46,Look_Up3,0),MATCH(I$4,Component,0))/1000*(1+'Raw Data'!$H$13)),(INDEX(Raw_Data,MATCH($A46,Look_Up3,0),MATCH(I$4,Component,0))/1000)),"-")</f>
        <v>1187.4831375000001</v>
      </c>
      <c r="J46" s="361"/>
      <c r="K46" s="361"/>
      <c r="L46" s="361"/>
      <c r="M46" s="303">
        <f t="shared" ref="M46:M56" si="37">IFERROR(I46*N8,"-")</f>
        <v>593.74156875000006</v>
      </c>
      <c r="N46" s="362"/>
      <c r="O46" s="361"/>
      <c r="P46" s="303">
        <f>IFERROR(IF(SUM(M46,I46)=0,"-",SUM(M46,I46)),"-")</f>
        <v>1781.2247062500001</v>
      </c>
      <c r="Q46" s="361"/>
      <c r="R46" s="361"/>
      <c r="S46" s="361"/>
      <c r="T46" s="303">
        <f t="shared" ref="T46:T57" si="38">IFERROR(I46*U8,"-")</f>
        <v>1781.2247062500001</v>
      </c>
      <c r="U46" s="362"/>
      <c r="V46" s="361"/>
      <c r="W46" s="303">
        <f>IFERROR(IF(SUM(T46,P46)=0,"-",SUM(T46,P46)),"-")</f>
        <v>3562.4494125000001</v>
      </c>
      <c r="X46" s="362"/>
      <c r="Y46" s="361"/>
      <c r="Z46" s="361"/>
      <c r="AA46" s="303">
        <f t="shared" ref="AA46:AA57" si="39">IFERROR(IF(SUM(W46,X8,Y8)=0,"-",SUM(W46,X8,Y8)),"-")</f>
        <v>3661.4671297</v>
      </c>
      <c r="AB46" s="362"/>
    </row>
    <row r="47" spans="1:40" ht="14.5">
      <c r="A47" s="295" t="str">
        <f t="shared" si="35"/>
        <v>TSX:K_2025_2nd Highest</v>
      </c>
      <c r="B47" s="295" t="str">
        <f t="shared" si="35"/>
        <v>TSX:K</v>
      </c>
      <c r="C47" s="296" t="str">
        <f>_xll.ciqfunctions.udf.CIQ(B47,"IQ_COMPANY_NAME")</f>
        <v>Kinross Gold Corporation</v>
      </c>
      <c r="E47" s="14"/>
      <c r="F47" s="14"/>
      <c r="G47" s="294" t="s">
        <v>398</v>
      </c>
      <c r="H47" s="262" t="str">
        <f t="shared" si="36"/>
        <v>-</v>
      </c>
      <c r="I47" s="262">
        <f>IFERROR(IF(G47="y",IF(H47&lt;&gt;"-",H47,INDEX(Raw_Data,MATCH($A47,Look_Up3,0),MATCH(I$4,Component,0))/1000*(1+'Raw Data'!$H$13)),(INDEX(Raw_Data,MATCH($A47,Look_Up3,0),MATCH(I$4,Component,0))/1000)),"-")</f>
        <v>945.15021504000015</v>
      </c>
      <c r="J47" s="361"/>
      <c r="K47" s="361"/>
      <c r="L47" s="361"/>
      <c r="M47" s="262">
        <f t="shared" si="37"/>
        <v>1323.2103010560002</v>
      </c>
      <c r="N47" s="362"/>
      <c r="O47" s="361"/>
      <c r="P47" s="262">
        <f t="shared" ref="P47:P65" si="40">IFERROR(IF(SUM(M47,I47)=0,"-",SUM(M47,I47)),"-")</f>
        <v>2268.3605160960005</v>
      </c>
      <c r="Q47" s="361"/>
      <c r="R47" s="361"/>
      <c r="S47" s="361"/>
      <c r="T47" s="262">
        <f t="shared" si="38"/>
        <v>2581.3102539648007</v>
      </c>
      <c r="U47" s="362"/>
      <c r="V47" s="361"/>
      <c r="W47" s="262">
        <f t="shared" ref="W47:W65" si="41">IFERROR(IF(SUM(T47,P47)=0,"-",SUM(T47,P47)),"-")</f>
        <v>4849.6707700608013</v>
      </c>
      <c r="X47" s="362"/>
      <c r="Y47" s="361"/>
      <c r="Z47" s="361"/>
      <c r="AA47" s="262">
        <f t="shared" si="39"/>
        <v>5396.1701441108016</v>
      </c>
      <c r="AB47" s="362"/>
    </row>
    <row r="48" spans="1:40" ht="14.5">
      <c r="A48" s="295" t="str">
        <f t="shared" si="35"/>
        <v>TSX:LUN_2025_2nd Highest</v>
      </c>
      <c r="B48" s="295" t="str">
        <f t="shared" si="35"/>
        <v>TSX:LUN</v>
      </c>
      <c r="C48" s="296" t="str">
        <f>_xll.ciqfunctions.udf.CIQ(B48,"IQ_COMPANY_NAME")</f>
        <v>Lundin Mining Corporation</v>
      </c>
      <c r="E48" s="14"/>
      <c r="F48" s="14"/>
      <c r="G48" s="294" t="s">
        <v>398</v>
      </c>
      <c r="H48" s="262" t="str">
        <f t="shared" si="36"/>
        <v>-</v>
      </c>
      <c r="I48" s="262">
        <f>IFERROR(IF(G48="y",IF(H48&lt;&gt;"-",H48,INDEX(Raw_Data,MATCH($A48,Look_Up3,0),MATCH(I$4,Component,0))/1000*(1+'Raw Data'!$H$13)),(INDEX(Raw_Data,MATCH($A48,Look_Up3,0),MATCH(I$4,Component,0))/1000)),"-")</f>
        <v>850.35451570350017</v>
      </c>
      <c r="J48" s="361"/>
      <c r="K48" s="361"/>
      <c r="L48" s="361"/>
      <c r="M48" s="262">
        <f t="shared" si="37"/>
        <v>680.28361256280016</v>
      </c>
      <c r="N48" s="362"/>
      <c r="O48" s="361"/>
      <c r="P48" s="262">
        <f t="shared" si="40"/>
        <v>1530.6381282663003</v>
      </c>
      <c r="Q48" s="361"/>
      <c r="R48" s="361"/>
      <c r="S48" s="361"/>
      <c r="T48" s="262">
        <f t="shared" si="38"/>
        <v>1657.0591604030672</v>
      </c>
      <c r="U48" s="362"/>
      <c r="V48" s="361"/>
      <c r="W48" s="262">
        <f t="shared" si="41"/>
        <v>3187.6972886693675</v>
      </c>
      <c r="X48" s="362"/>
      <c r="Y48" s="361"/>
      <c r="Z48" s="361"/>
      <c r="AA48" s="262">
        <f t="shared" si="39"/>
        <v>3193.5931302193676</v>
      </c>
      <c r="AB48" s="362"/>
    </row>
    <row r="49" spans="1:30" ht="14.5">
      <c r="A49" s="295" t="str">
        <f t="shared" si="35"/>
        <v>TSX:PAAS_2025_2nd Highest</v>
      </c>
      <c r="B49" s="295" t="str">
        <f t="shared" si="35"/>
        <v>TSX:PAAS</v>
      </c>
      <c r="C49" s="296" t="str">
        <f>_xll.ciqfunctions.udf.CIQ(B49,"IQ_COMPANY_NAME")</f>
        <v>Pan American Silver Corp.</v>
      </c>
      <c r="G49" s="294" t="s">
        <v>398</v>
      </c>
      <c r="H49" s="262" t="str">
        <f t="shared" si="36"/>
        <v>-</v>
      </c>
      <c r="I49" s="262">
        <f>IFERROR(IF(G49="y",IF(H49&lt;&gt;"-",H49,INDEX(Raw_Data,MATCH($A49,Look_Up3,0),MATCH(I$4,Component,0))/1000*(1+'Raw Data'!$H$13)),(INDEX(Raw_Data,MATCH($A49,Look_Up3,0),MATCH(I$4,Component,0))/1000)),"-")</f>
        <v>832.34300000000007</v>
      </c>
      <c r="J49" s="362"/>
      <c r="K49" s="362"/>
      <c r="L49" s="362"/>
      <c r="M49" s="262">
        <f t="shared" si="37"/>
        <v>665.87440000000015</v>
      </c>
      <c r="N49" s="362"/>
      <c r="O49" s="362"/>
      <c r="P49" s="262">
        <f t="shared" si="40"/>
        <v>1498.2174000000002</v>
      </c>
      <c r="Q49" s="362"/>
      <c r="R49" s="362"/>
      <c r="S49" s="362"/>
      <c r="T49" s="262">
        <f t="shared" si="38"/>
        <v>1831.1546000000003</v>
      </c>
      <c r="U49" s="362"/>
      <c r="V49" s="362"/>
      <c r="W49" s="262">
        <f t="shared" si="41"/>
        <v>3329.3720000000003</v>
      </c>
      <c r="X49" s="362"/>
      <c r="Y49" s="362"/>
      <c r="Z49" s="362"/>
      <c r="AA49" s="262">
        <f t="shared" si="39"/>
        <v>3693.0170000000003</v>
      </c>
      <c r="AB49" s="362"/>
    </row>
    <row r="50" spans="1:30" ht="14.5">
      <c r="A50" s="295" t="str">
        <f t="shared" si="35"/>
        <v>TSX:CDE_2025_2nd Highest</v>
      </c>
      <c r="B50" s="295" t="str">
        <f t="shared" si="35"/>
        <v>TSX:CDE</v>
      </c>
      <c r="C50" s="296" t="str">
        <f>_xll.ciqfunctions.udf.CIQ(B50,"IQ_COMPANY_NAME")</f>
        <v>Coeur Mining, Inc.</v>
      </c>
      <c r="G50" s="294" t="s">
        <v>398</v>
      </c>
      <c r="H50" s="262" t="str">
        <f t="shared" si="36"/>
        <v>-</v>
      </c>
      <c r="I50" s="262">
        <f>IFERROR(IF(G50="y",IF(H50&lt;&gt;"-",H50,INDEX(Raw_Data,MATCH($A50,Look_Up3,0),MATCH(I$4,Component,0))/1000*(1+'Raw Data'!$H$13)),(INDEX(Raw_Data,MATCH($A50,Look_Up3,0),MATCH(I$4,Component,0))/1000)),"-")</f>
        <v>755.6710875</v>
      </c>
      <c r="J50" s="362"/>
      <c r="K50" s="362"/>
      <c r="L50" s="362"/>
      <c r="M50" s="262">
        <f t="shared" si="37"/>
        <v>755.6710875</v>
      </c>
      <c r="N50" s="362"/>
      <c r="O50" s="362"/>
      <c r="P50" s="262">
        <f t="shared" si="40"/>
        <v>1511.342175</v>
      </c>
      <c r="Q50" s="362"/>
      <c r="R50" s="362"/>
      <c r="S50" s="362"/>
      <c r="T50" s="262">
        <f t="shared" si="38"/>
        <v>1700.259946875</v>
      </c>
      <c r="U50" s="362"/>
      <c r="V50" s="362"/>
      <c r="W50" s="262">
        <f t="shared" si="41"/>
        <v>3211.6021218750002</v>
      </c>
      <c r="X50" s="362"/>
      <c r="Y50" s="362"/>
      <c r="Z50" s="362"/>
      <c r="AA50" s="262">
        <f t="shared" si="39"/>
        <v>3312.7062319250003</v>
      </c>
      <c r="AB50" s="362"/>
    </row>
    <row r="51" spans="1:30" ht="14.5">
      <c r="A51" s="295" t="str">
        <f t="shared" si="35"/>
        <v>TSX:AGI_2025_2nd Highest</v>
      </c>
      <c r="B51" s="295" t="str">
        <f t="shared" si="35"/>
        <v>TSX:AGI</v>
      </c>
      <c r="C51" s="296" t="str">
        <f>_xll.ciqfunctions.udf.CIQ(B51,"IQ_COMPANY_NAME")</f>
        <v>Alamos Gold Inc.</v>
      </c>
      <c r="G51" s="294" t="s">
        <v>398</v>
      </c>
      <c r="H51" s="262" t="str">
        <f t="shared" si="36"/>
        <v>-</v>
      </c>
      <c r="I51" s="262">
        <f>IFERROR(IF(G51="y",IF(H51&lt;&gt;"-",H51,INDEX(Raw_Data,MATCH($A51,Look_Up3,0),MATCH(I$4,Component,0))/1000*(1+'Raw Data'!$H$13)),(INDEX(Raw_Data,MATCH($A51,Look_Up3,0),MATCH(I$4,Component,0))/1000)),"-")</f>
        <v>695.06626628250012</v>
      </c>
      <c r="J51" s="362"/>
      <c r="K51" s="362"/>
      <c r="L51" s="362"/>
      <c r="M51" s="262">
        <f t="shared" si="37"/>
        <v>590.80632634012511</v>
      </c>
      <c r="N51" s="362"/>
      <c r="O51" s="362"/>
      <c r="P51" s="262">
        <f t="shared" si="40"/>
        <v>1285.8725926226252</v>
      </c>
      <c r="Q51" s="362"/>
      <c r="R51" s="362"/>
      <c r="S51" s="362"/>
      <c r="T51" s="262">
        <f t="shared" si="38"/>
        <v>1163.5310130997036</v>
      </c>
      <c r="U51" s="362"/>
      <c r="V51" s="362"/>
      <c r="W51" s="262">
        <f t="shared" si="41"/>
        <v>2449.4036057223288</v>
      </c>
      <c r="X51" s="362"/>
      <c r="Y51" s="362"/>
      <c r="Z51" s="362"/>
      <c r="AA51" s="262">
        <f t="shared" si="39"/>
        <v>2623.3567842723292</v>
      </c>
      <c r="AB51" s="362"/>
    </row>
    <row r="52" spans="1:30" ht="14.5">
      <c r="A52" s="295" t="str">
        <f t="shared" si="35"/>
        <v>NYSE:HL_2025_2nd Highest</v>
      </c>
      <c r="B52" s="295" t="str">
        <f t="shared" si="35"/>
        <v>NYSE:HL</v>
      </c>
      <c r="C52" s="296" t="str">
        <f>_xll.ciqfunctions.udf.CIQ(B52,"IQ_COMPANY_NAME")</f>
        <v>Hecla Mining Company</v>
      </c>
      <c r="G52" s="294" t="s">
        <v>398</v>
      </c>
      <c r="H52" s="262" t="str">
        <f t="shared" si="36"/>
        <v>-</v>
      </c>
      <c r="I52" s="262">
        <f>IFERROR(IF(G52="y",IF(H52&lt;&gt;"-",H52,INDEX(Raw_Data,MATCH($A52,Look_Up3,0),MATCH(I$4,Component,0))/1000*(1+'Raw Data'!$H$13)),(INDEX(Raw_Data,MATCH($A52,Look_Up3,0),MATCH(I$4,Component,0))/1000)),"-")</f>
        <v>575.74940000000004</v>
      </c>
      <c r="J52" s="362"/>
      <c r="K52" s="362"/>
      <c r="L52" s="362"/>
      <c r="M52" s="262">
        <f t="shared" si="37"/>
        <v>460.59952000000004</v>
      </c>
      <c r="N52" s="362"/>
      <c r="O52" s="362"/>
      <c r="P52" s="262">
        <f t="shared" si="40"/>
        <v>1036.3489200000001</v>
      </c>
      <c r="Q52" s="362"/>
      <c r="R52" s="362"/>
      <c r="S52" s="362"/>
      <c r="T52" s="262">
        <f t="shared" si="38"/>
        <v>1007.56145</v>
      </c>
      <c r="U52" s="362"/>
      <c r="V52" s="362"/>
      <c r="W52" s="262">
        <f t="shared" si="41"/>
        <v>2043.9103700000001</v>
      </c>
      <c r="X52" s="362"/>
      <c r="Y52" s="362"/>
      <c r="Z52" s="362"/>
      <c r="AA52" s="262">
        <f t="shared" si="39"/>
        <v>2730.11561545</v>
      </c>
      <c r="AB52" s="362"/>
    </row>
    <row r="53" spans="1:30" s="17" customFormat="1" ht="14.5">
      <c r="A53" s="295" t="str">
        <f t="shared" si="35"/>
        <v>TSX:IMG_2025_2nd Highest</v>
      </c>
      <c r="B53" s="295" t="str">
        <f t="shared" si="35"/>
        <v>TSX:IMG</v>
      </c>
      <c r="C53" s="296" t="str">
        <f>_xll.ciqfunctions.udf.CIQ(B53,"IQ_COMPANY_NAME")</f>
        <v>IAMGOLD Corporation</v>
      </c>
      <c r="E53" s="22"/>
      <c r="F53" s="20"/>
      <c r="G53" s="294" t="s">
        <v>398</v>
      </c>
      <c r="H53" s="262" t="str">
        <f t="shared" si="36"/>
        <v>-</v>
      </c>
      <c r="I53" s="262">
        <f>IFERROR(IF(G53="y",IF(H53&lt;&gt;"-",H53,INDEX(Raw_Data,MATCH($A53,Look_Up3,0),MATCH(I$4,Component,0))/1000*(1+'Raw Data'!$H$13)),(INDEX(Raw_Data,MATCH($A53,Look_Up3,0),MATCH(I$4,Component,0))/1000)),"-")</f>
        <v>649.00815</v>
      </c>
      <c r="J53" s="22"/>
      <c r="K53" s="363"/>
      <c r="L53" s="363"/>
      <c r="M53" s="262">
        <f t="shared" si="37"/>
        <v>519.20652000000007</v>
      </c>
      <c r="N53" s="364"/>
      <c r="O53" s="22"/>
      <c r="P53" s="262">
        <f t="shared" si="40"/>
        <v>1168.2146700000001</v>
      </c>
      <c r="Q53" s="21"/>
      <c r="R53" s="365"/>
      <c r="S53" s="365"/>
      <c r="T53" s="262">
        <f t="shared" si="38"/>
        <v>1103.3138549999999</v>
      </c>
      <c r="U53" s="364"/>
      <c r="V53" s="22"/>
      <c r="W53" s="262">
        <f t="shared" si="41"/>
        <v>2271.5285249999997</v>
      </c>
      <c r="X53" s="364"/>
      <c r="Y53" s="22"/>
      <c r="Z53" s="22"/>
      <c r="AA53" s="262">
        <f t="shared" si="39"/>
        <v>2378.3885249999994</v>
      </c>
      <c r="AB53" s="364"/>
      <c r="AC53" s="19"/>
      <c r="AD53" s="19"/>
    </row>
    <row r="54" spans="1:30" ht="14.5">
      <c r="A54" s="295" t="str">
        <f t="shared" si="35"/>
        <v>TSX:CS_2025_2nd Highest</v>
      </c>
      <c r="B54" s="295" t="str">
        <f t="shared" si="35"/>
        <v>TSX:CS</v>
      </c>
      <c r="C54" s="296" t="str">
        <f>_xll.ciqfunctions.udf.CIQ(B54,"IQ_COMPANY_NAME")</f>
        <v>Capstone Copper Corp.</v>
      </c>
      <c r="G54" s="294" t="s">
        <v>398</v>
      </c>
      <c r="H54" s="262" t="str">
        <f t="shared" si="36"/>
        <v>-</v>
      </c>
      <c r="I54" s="262">
        <f>IFERROR(IF(G54="y",IF(H54&lt;&gt;"-",H54,INDEX(Raw_Data,MATCH($A54,Look_Up3,0),MATCH(I$4,Component,0))/1000*(1+'Raw Data'!$H$13)),(INDEX(Raw_Data,MATCH($A54,Look_Up3,0),MATCH(I$4,Component,0))/1000)),"-")</f>
        <v>706.79115000000002</v>
      </c>
      <c r="J54" s="366"/>
      <c r="K54" s="366"/>
      <c r="L54" s="366"/>
      <c r="M54" s="262">
        <f t="shared" si="37"/>
        <v>636.11203499999999</v>
      </c>
      <c r="N54" s="362"/>
      <c r="O54" s="366"/>
      <c r="P54" s="262">
        <f t="shared" si="40"/>
        <v>1342.9031850000001</v>
      </c>
      <c r="Q54" s="366"/>
      <c r="R54" s="366"/>
      <c r="S54" s="366"/>
      <c r="T54" s="262">
        <f t="shared" si="38"/>
        <v>1201.5449550000001</v>
      </c>
      <c r="U54" s="362"/>
      <c r="V54" s="366"/>
      <c r="W54" s="262">
        <f t="shared" si="41"/>
        <v>2544.4481400000004</v>
      </c>
      <c r="X54" s="362"/>
      <c r="Y54" s="366"/>
      <c r="Z54" s="366"/>
      <c r="AA54" s="262">
        <f t="shared" si="39"/>
        <v>2552.7561400000004</v>
      </c>
      <c r="AB54" s="362"/>
    </row>
    <row r="55" spans="1:30" ht="14.5">
      <c r="A55" s="295" t="str">
        <f t="shared" si="35"/>
        <v>TSX:ELD_2025_2nd Highest</v>
      </c>
      <c r="B55" s="295" t="str">
        <f t="shared" si="35"/>
        <v>TSX:ELD</v>
      </c>
      <c r="C55" s="296" t="str">
        <f>_xll.ciqfunctions.udf.CIQ(B55,"IQ_COMPANY_NAME")</f>
        <v>Eldorado Gold Corporation</v>
      </c>
      <c r="G55" s="294" t="s">
        <v>398</v>
      </c>
      <c r="H55" s="262" t="str">
        <f t="shared" si="36"/>
        <v>-</v>
      </c>
      <c r="I55" s="262">
        <f>IFERROR(IF(G55="y",IF(H55&lt;&gt;"-",H55,INDEX(Raw_Data,MATCH($A55,Look_Up3,0),MATCH(I$4,Component,0))/1000*(1+'Raw Data'!$H$13)),(INDEX(Raw_Data,MATCH($A55,Look_Up3,0),MATCH(I$4,Component,0))/1000)),"-")</f>
        <v>760.95679000000007</v>
      </c>
      <c r="J55" s="362"/>
      <c r="K55" s="362"/>
      <c r="L55" s="362"/>
      <c r="M55" s="262">
        <f t="shared" si="37"/>
        <v>608.76543200000003</v>
      </c>
      <c r="N55" s="362"/>
      <c r="O55" s="362"/>
      <c r="P55" s="262">
        <f t="shared" si="40"/>
        <v>1369.7222220000001</v>
      </c>
      <c r="Q55" s="362"/>
      <c r="R55" s="362"/>
      <c r="S55" s="362"/>
      <c r="T55" s="262">
        <f t="shared" si="38"/>
        <v>1141.435185</v>
      </c>
      <c r="U55" s="362"/>
      <c r="V55" s="362"/>
      <c r="W55" s="262">
        <f t="shared" si="41"/>
        <v>2511.1574070000001</v>
      </c>
      <c r="X55" s="362"/>
      <c r="Y55" s="362"/>
      <c r="Z55" s="362"/>
      <c r="AA55" s="262">
        <f t="shared" si="39"/>
        <v>2615.8204070000002</v>
      </c>
      <c r="AB55" s="362"/>
    </row>
    <row r="56" spans="1:30" ht="14.5">
      <c r="A56" s="295" t="str">
        <f t="shared" si="35"/>
        <v>TSX:EQX_2025_2nd Highest</v>
      </c>
      <c r="B56" s="295" t="str">
        <f t="shared" si="35"/>
        <v>TSX:EQX</v>
      </c>
      <c r="C56" s="296" t="str">
        <f>_xll.ciqfunctions.udf.CIQ(B56,"IQ_COMPANY_NAME")</f>
        <v>Equinox Gold Corp.</v>
      </c>
      <c r="G56" s="294" t="s">
        <v>398</v>
      </c>
      <c r="H56" s="262" t="str">
        <f t="shared" si="36"/>
        <v>-</v>
      </c>
      <c r="I56" s="262">
        <f>IFERROR(IF(G56="y",IF(H56&lt;&gt;"-",H56,INDEX(Raw_Data,MATCH($A56,Look_Up3,0),MATCH(I$4,Component,0))/1000*(1+'Raw Data'!$H$13)),(INDEX(Raw_Data,MATCH($A56,Look_Up3,0),MATCH(I$4,Component,0))/1000)),"-")</f>
        <v>459.08748000000003</v>
      </c>
      <c r="J56" s="362"/>
      <c r="K56" s="362"/>
      <c r="L56" s="362"/>
      <c r="M56" s="262">
        <f t="shared" si="37"/>
        <v>413.17873200000002</v>
      </c>
      <c r="N56" s="362"/>
      <c r="O56" s="362"/>
      <c r="P56" s="262">
        <f t="shared" si="40"/>
        <v>872.266212</v>
      </c>
      <c r="Q56" s="362"/>
      <c r="R56" s="362"/>
      <c r="S56" s="362"/>
      <c r="T56" s="262">
        <f t="shared" si="38"/>
        <v>688.63121999999998</v>
      </c>
      <c r="U56" s="362"/>
      <c r="V56" s="362"/>
      <c r="W56" s="262">
        <f t="shared" si="41"/>
        <v>1560.897432</v>
      </c>
      <c r="X56" s="362"/>
      <c r="Y56" s="362"/>
      <c r="Z56" s="362"/>
      <c r="AA56" s="262">
        <f t="shared" si="39"/>
        <v>1581.9964319999999</v>
      </c>
      <c r="AB56" s="362"/>
    </row>
    <row r="57" spans="1:30" ht="14.5">
      <c r="A57" s="295" t="str">
        <f t="shared" si="35"/>
        <v>TSX:SSRM_2025_2nd Highest</v>
      </c>
      <c r="B57" s="295" t="str">
        <f t="shared" si="35"/>
        <v>TSX:SSRM</v>
      </c>
      <c r="C57" s="296" t="str">
        <f>_xll.ciqfunctions.udf.CIQ(B57,"IQ_COMPANY_NAME")</f>
        <v>SSR Mining Inc.</v>
      </c>
      <c r="G57" s="294" t="s">
        <v>398</v>
      </c>
      <c r="H57" s="262" t="str">
        <f t="shared" si="36"/>
        <v>-</v>
      </c>
      <c r="I57" s="262">
        <f>IFERROR(IF(G57="y",IF(H57&lt;&gt;"-",H57,INDEX(Raw_Data,MATCH($A57,Look_Up3,0),MATCH(I$4,Component,0))/1000*(1+'Raw Data'!$H$13)),(INDEX(Raw_Data,MATCH($A57,Look_Up3,0),MATCH(I$4,Component,0))/1000)),"-")</f>
        <v>863.6241</v>
      </c>
      <c r="J57" s="362"/>
      <c r="K57" s="362"/>
      <c r="L57" s="362"/>
      <c r="M57" s="262" t="str">
        <f>IFERROR(I57*#REF!,"-")</f>
        <v>-</v>
      </c>
      <c r="N57" s="362"/>
      <c r="O57" s="362"/>
      <c r="P57" s="262">
        <f t="shared" si="40"/>
        <v>863.6241</v>
      </c>
      <c r="Q57" s="362"/>
      <c r="R57" s="362"/>
      <c r="S57" s="362"/>
      <c r="T57" s="262">
        <f t="shared" si="38"/>
        <v>1511.342175</v>
      </c>
      <c r="U57" s="362"/>
      <c r="V57" s="362"/>
      <c r="W57" s="262">
        <f t="shared" si="41"/>
        <v>2374.9662749999998</v>
      </c>
      <c r="X57" s="362"/>
      <c r="Y57" s="362"/>
      <c r="Z57" s="362"/>
      <c r="AA57" s="262">
        <f t="shared" si="39"/>
        <v>2490.6639553999998</v>
      </c>
      <c r="AB57" s="362"/>
    </row>
    <row r="58" spans="1:30" ht="14.5">
      <c r="A58" s="295" t="str">
        <f t="shared" ref="A58:B58" si="42">A20</f>
        <v>TSX:BTO_2025_2nd Highest</v>
      </c>
      <c r="B58" s="295" t="str">
        <f t="shared" si="42"/>
        <v>TSX:BTO</v>
      </c>
      <c r="C58" s="296" t="str">
        <f>_xll.ciqfunctions.udf.CIQ(B58,"IQ_COMPANY_NAME")</f>
        <v>B2Gold Corp.</v>
      </c>
      <c r="G58" s="294" t="s">
        <v>398</v>
      </c>
      <c r="H58" s="262" t="str">
        <f t="shared" si="36"/>
        <v>-</v>
      </c>
      <c r="I58" s="262">
        <f>IFERROR(IF(G58="y",IF(H58&lt;&gt;"-",H58,INDEX(Raw_Data,MATCH($A58,Look_Up3,0),MATCH(I$4,Component,0))/1000*(1+'Raw Data'!$H$13)),(INDEX(Raw_Data,MATCH($A58,Look_Up3,0),MATCH(I$4,Component,0))/1000)),"-")</f>
        <v>682.98272574999999</v>
      </c>
      <c r="J58" s="362"/>
      <c r="K58" s="362"/>
      <c r="L58" s="362"/>
      <c r="M58" s="262">
        <f t="shared" ref="M58:M65" si="43">IFERROR(I58*N19,"-")</f>
        <v>512.23704431249996</v>
      </c>
      <c r="N58" s="362"/>
      <c r="O58" s="362"/>
      <c r="P58" s="262">
        <f t="shared" si="40"/>
        <v>1195.2197700624999</v>
      </c>
      <c r="Q58" s="362"/>
      <c r="R58" s="362"/>
      <c r="S58" s="362"/>
      <c r="T58" s="262">
        <f t="shared" ref="T58:T65" si="44">IFERROR(I58*U19,"-")</f>
        <v>1195.2197700624999</v>
      </c>
      <c r="U58" s="362"/>
      <c r="V58" s="362"/>
      <c r="W58" s="262">
        <f t="shared" si="41"/>
        <v>2390.4395401249999</v>
      </c>
      <c r="X58" s="362"/>
      <c r="Y58" s="362"/>
      <c r="Z58" s="362"/>
      <c r="AA58" s="262">
        <f t="shared" ref="AA58:AA65" si="45">IFERROR(IF(SUM(W58,X19,Y19)=0,"-",SUM(W58,X19,Y19)),"-")</f>
        <v>2506.137220525</v>
      </c>
      <c r="AB58" s="362"/>
    </row>
    <row r="59" spans="1:30" ht="14.5">
      <c r="A59" s="295" t="str">
        <f t="shared" ref="A59:B59" si="46">A21</f>
        <v>TSX:OGC_2025_2nd Highest</v>
      </c>
      <c r="B59" s="295" t="str">
        <f t="shared" si="46"/>
        <v>TSX:OGC</v>
      </c>
      <c r="C59" s="296" t="str">
        <f>_xll.ciqfunctions.udf.CIQ(B59,"IQ_COMPANY_NAME")</f>
        <v>OceanaGold Corporation</v>
      </c>
      <c r="G59" s="294" t="s">
        <v>398</v>
      </c>
      <c r="H59" s="262" t="str">
        <f t="shared" si="36"/>
        <v>-</v>
      </c>
      <c r="I59" s="262">
        <f>IFERROR(IF(G59="y",IF(H59&lt;&gt;"-",H59,INDEX(Raw_Data,MATCH($A59,Look_Up3,0),MATCH(I$4,Component,0))/1000*(1+'Raw Data'!$H$13)),(INDEX(Raw_Data,MATCH($A59,Look_Up3,0),MATCH(I$4,Component,0))/1000)),"-")</f>
        <v>628.37001641300003</v>
      </c>
      <c r="J59" s="362"/>
      <c r="K59" s="362"/>
      <c r="L59" s="362"/>
      <c r="M59" s="262">
        <f t="shared" si="43"/>
        <v>471.27751230975002</v>
      </c>
      <c r="N59" s="362"/>
      <c r="O59" s="362"/>
      <c r="P59" s="262">
        <f t="shared" si="40"/>
        <v>1099.6475287227499</v>
      </c>
      <c r="Q59" s="362"/>
      <c r="R59" s="362"/>
      <c r="S59" s="362"/>
      <c r="T59" s="262">
        <f t="shared" si="44"/>
        <v>1810.9142718601945</v>
      </c>
      <c r="U59" s="362"/>
      <c r="V59" s="362"/>
      <c r="W59" s="262">
        <f t="shared" si="41"/>
        <v>2910.5618005829447</v>
      </c>
      <c r="X59" s="362"/>
      <c r="Y59" s="362"/>
      <c r="Z59" s="362"/>
      <c r="AA59" s="262">
        <f t="shared" si="45"/>
        <v>2917.8718615329449</v>
      </c>
      <c r="AB59" s="362"/>
    </row>
    <row r="60" spans="1:30" ht="14.5">
      <c r="A60" s="295" t="str">
        <f t="shared" ref="A60:B60" si="47">A22</f>
        <v>TSX:CG_2025_2nd Highest</v>
      </c>
      <c r="B60" s="295" t="str">
        <f t="shared" si="47"/>
        <v>TSX:CG</v>
      </c>
      <c r="C60" s="296" t="str">
        <f>_xll.ciqfunctions.udf.CIQ(B60,"IQ_COMPANY_NAME")</f>
        <v>Centerra Gold Inc.</v>
      </c>
      <c r="G60" s="294" t="s">
        <v>398</v>
      </c>
      <c r="H60" s="262" t="str">
        <f t="shared" si="36"/>
        <v>-</v>
      </c>
      <c r="I60" s="262">
        <f>IFERROR(IF(G60="y",IF(H60&lt;&gt;"-",H60,INDEX(Raw_Data,MATCH($A60,Look_Up3,0),MATCH(I$4,Component,0))/1000*(1+'Raw Data'!$H$13)),(INDEX(Raw_Data,MATCH($A60,Look_Up3,0),MATCH(I$4,Component,0))/1000)),"-")</f>
        <v>568.69493</v>
      </c>
      <c r="J60" s="362"/>
      <c r="K60" s="362"/>
      <c r="L60" s="362"/>
      <c r="M60" s="262">
        <f t="shared" si="43"/>
        <v>398.08645099999995</v>
      </c>
      <c r="N60" s="362"/>
      <c r="O60" s="362"/>
      <c r="P60" s="262">
        <f t="shared" si="40"/>
        <v>966.78138100000001</v>
      </c>
      <c r="Q60" s="362"/>
      <c r="R60" s="362"/>
      <c r="S60" s="362"/>
      <c r="T60" s="262">
        <f t="shared" si="44"/>
        <v>2431.3265610220174</v>
      </c>
      <c r="U60" s="362"/>
      <c r="V60" s="362"/>
      <c r="W60" s="262">
        <f t="shared" si="41"/>
        <v>3398.1079420220176</v>
      </c>
      <c r="X60" s="362"/>
      <c r="Y60" s="362"/>
      <c r="Z60" s="362"/>
      <c r="AA60" s="262">
        <f t="shared" si="45"/>
        <v>3437.9827803220178</v>
      </c>
      <c r="AB60" s="362"/>
    </row>
    <row r="61" spans="1:30" ht="14.5">
      <c r="A61" s="295" t="str">
        <f t="shared" ref="A61:B61" si="48">A23</f>
        <v>0_2025_2nd Highest</v>
      </c>
      <c r="B61" s="295">
        <f t="shared" si="48"/>
        <v>0</v>
      </c>
      <c r="C61" s="296" t="str">
        <f>_xll.ciqfunctions.udf.CIQ(B61,"IQ_COMPANY_NAME")</f>
        <v>(Invalid Identifier)</v>
      </c>
      <c r="G61" s="294" t="s">
        <v>398</v>
      </c>
      <c r="H61" s="262" t="str">
        <f t="shared" si="36"/>
        <v>-</v>
      </c>
      <c r="I61" s="262" t="str">
        <f>IFERROR(IF(G61="y",IF(H61&lt;&gt;"-",H61,INDEX(Raw_Data,MATCH($A61,Look_Up3,0),MATCH(I$4,Component,0))/1000*(1+'Raw Data'!$H$13)),(INDEX(Raw_Data,MATCH($A61,Look_Up3,0),MATCH(I$4,Component,0))/1000)),"-")</f>
        <v>-</v>
      </c>
      <c r="J61" s="362"/>
      <c r="K61" s="362"/>
      <c r="L61" s="362"/>
      <c r="M61" s="262" t="str">
        <f t="shared" si="43"/>
        <v>-</v>
      </c>
      <c r="N61" s="362"/>
      <c r="O61" s="362"/>
      <c r="P61" s="262" t="str">
        <f t="shared" si="40"/>
        <v>-</v>
      </c>
      <c r="Q61" s="362"/>
      <c r="R61" s="362"/>
      <c r="S61" s="362"/>
      <c r="T61" s="262" t="str">
        <f t="shared" si="44"/>
        <v>-</v>
      </c>
      <c r="U61" s="362"/>
      <c r="V61" s="362"/>
      <c r="W61" s="262" t="str">
        <f t="shared" si="41"/>
        <v>-</v>
      </c>
      <c r="X61" s="362"/>
      <c r="Y61" s="362"/>
      <c r="Z61" s="362"/>
      <c r="AA61" s="262">
        <f t="shared" si="45"/>
        <v>201.05400000000003</v>
      </c>
      <c r="AB61" s="362"/>
    </row>
    <row r="62" spans="1:30" ht="14.5">
      <c r="A62" s="295" t="str">
        <f t="shared" ref="A62:B65" si="49">A23</f>
        <v>0_2025_2nd Highest</v>
      </c>
      <c r="B62" s="295">
        <f t="shared" si="49"/>
        <v>0</v>
      </c>
      <c r="C62" s="296" t="str">
        <f>_xll.ciqfunctions.udf.CIQ(B62,"IQ_COMPANY_NAME")</f>
        <v>(Invalid Identifier)</v>
      </c>
      <c r="G62" s="294" t="s">
        <v>398</v>
      </c>
      <c r="H62" s="262" t="str">
        <f t="shared" si="36"/>
        <v>-</v>
      </c>
      <c r="I62" s="262" t="str">
        <f>IFERROR(IF(G62="y",IF(H62&lt;&gt;"-",H62,INDEX(Raw_Data,MATCH($A62,Look_Up3,0),MATCH(I$4,Component,0))/1000*(1+'Raw Data'!$H$13)),(INDEX(Raw_Data,MATCH($A62,Look_Up3,0),MATCH(I$4,Component,0))/1000)),"-")</f>
        <v>-</v>
      </c>
      <c r="J62" s="362"/>
      <c r="K62" s="362"/>
      <c r="L62" s="362"/>
      <c r="M62" s="262" t="str">
        <f t="shared" si="43"/>
        <v>-</v>
      </c>
      <c r="N62" s="362"/>
      <c r="O62" s="362"/>
      <c r="P62" s="262" t="str">
        <f t="shared" si="40"/>
        <v>-</v>
      </c>
      <c r="Q62" s="362"/>
      <c r="R62" s="362"/>
      <c r="S62" s="362"/>
      <c r="T62" s="262" t="str">
        <f t="shared" si="44"/>
        <v>-</v>
      </c>
      <c r="U62" s="362"/>
      <c r="V62" s="362"/>
      <c r="W62" s="262" t="str">
        <f t="shared" si="41"/>
        <v>-</v>
      </c>
      <c r="X62" s="362"/>
      <c r="Y62" s="362"/>
      <c r="Z62" s="362"/>
      <c r="AA62" s="262" t="str">
        <f t="shared" si="45"/>
        <v>-</v>
      </c>
      <c r="AB62" s="362"/>
    </row>
    <row r="63" spans="1:30" ht="14.5">
      <c r="A63" s="295" t="str">
        <f t="shared" si="49"/>
        <v>0_2025_2nd Highest</v>
      </c>
      <c r="B63" s="295">
        <f t="shared" si="49"/>
        <v>0</v>
      </c>
      <c r="C63" s="296" t="str">
        <f>_xll.ciqfunctions.udf.CIQ(B63,"IQ_COMPANY_NAME")</f>
        <v>(Invalid Identifier)</v>
      </c>
      <c r="G63" s="294" t="s">
        <v>398</v>
      </c>
      <c r="H63" s="262" t="str">
        <f t="shared" si="36"/>
        <v>-</v>
      </c>
      <c r="I63" s="262" t="str">
        <f>IFERROR(IF(G63="y",IF(H63&lt;&gt;"-",H63,INDEX(Raw_Data,MATCH($A63,Look_Up3,0),MATCH(I$4,Component,0))/1000*(1+'Raw Data'!$H$13)),(INDEX(Raw_Data,MATCH($A63,Look_Up3,0),MATCH(I$4,Component,0))/1000)),"-")</f>
        <v>-</v>
      </c>
      <c r="J63" s="362"/>
      <c r="K63" s="362"/>
      <c r="L63" s="362"/>
      <c r="M63" s="262" t="str">
        <f t="shared" si="43"/>
        <v>-</v>
      </c>
      <c r="N63" s="362"/>
      <c r="O63" s="362"/>
      <c r="P63" s="262" t="str">
        <f t="shared" si="40"/>
        <v>-</v>
      </c>
      <c r="Q63" s="362"/>
      <c r="R63" s="362"/>
      <c r="S63" s="362"/>
      <c r="T63" s="262" t="str">
        <f t="shared" si="44"/>
        <v>-</v>
      </c>
      <c r="U63" s="362"/>
      <c r="V63" s="362"/>
      <c r="W63" s="262" t="str">
        <f t="shared" si="41"/>
        <v>-</v>
      </c>
      <c r="X63" s="362"/>
      <c r="Y63" s="362"/>
      <c r="Z63" s="362"/>
      <c r="AA63" s="262" t="str">
        <f t="shared" si="45"/>
        <v>-</v>
      </c>
      <c r="AB63" s="362"/>
    </row>
    <row r="64" spans="1:30" ht="14.5">
      <c r="A64" s="295" t="str">
        <f t="shared" si="49"/>
        <v>0_2025_2nd Highest</v>
      </c>
      <c r="B64" s="295">
        <f t="shared" si="49"/>
        <v>0</v>
      </c>
      <c r="C64" s="296" t="str">
        <f>_xll.ciqfunctions.udf.CIQ(B64,"IQ_COMPANY_NAME")</f>
        <v>(Invalid Identifier)</v>
      </c>
      <c r="G64" s="294" t="s">
        <v>398</v>
      </c>
      <c r="H64" s="262" t="str">
        <f t="shared" si="36"/>
        <v>-</v>
      </c>
      <c r="I64" s="262" t="str">
        <f>IFERROR(IF(G64="y",IF(H64&lt;&gt;"-",H64,INDEX(Raw_Data,MATCH($A64,Look_Up3,0),MATCH(I$4,Component,0))/1000*(1+'Raw Data'!$H$13)),(INDEX(Raw_Data,MATCH($A64,Look_Up3,0),MATCH(I$4,Component,0))/1000)),"-")</f>
        <v>-</v>
      </c>
      <c r="J64" s="362"/>
      <c r="K64" s="362"/>
      <c r="L64" s="362"/>
      <c r="M64" s="262" t="str">
        <f t="shared" si="43"/>
        <v>-</v>
      </c>
      <c r="N64" s="362"/>
      <c r="O64" s="362"/>
      <c r="P64" s="262" t="str">
        <f t="shared" si="40"/>
        <v>-</v>
      </c>
      <c r="Q64" s="362"/>
      <c r="R64" s="362"/>
      <c r="S64" s="362"/>
      <c r="T64" s="262" t="str">
        <f t="shared" si="44"/>
        <v>-</v>
      </c>
      <c r="U64" s="362"/>
      <c r="V64" s="362"/>
      <c r="W64" s="262" t="str">
        <f t="shared" si="41"/>
        <v>-</v>
      </c>
      <c r="X64" s="362"/>
      <c r="Y64" s="362"/>
      <c r="Z64" s="362"/>
      <c r="AA64" s="262" t="str">
        <f t="shared" si="45"/>
        <v>-</v>
      </c>
      <c r="AB64" s="362"/>
    </row>
    <row r="65" spans="1:28" ht="14.5">
      <c r="A65" s="295" t="str">
        <f t="shared" si="49"/>
        <v>0_2025_2nd Highest</v>
      </c>
      <c r="B65" s="295">
        <f t="shared" si="49"/>
        <v>0</v>
      </c>
      <c r="C65" s="296" t="str">
        <f>_xll.ciqfunctions.udf.CIQ(B65,"IQ_COMPANY_NAME")</f>
        <v>(Invalid Identifier)</v>
      </c>
      <c r="G65" s="294" t="s">
        <v>398</v>
      </c>
      <c r="H65" s="304" t="str">
        <f t="shared" si="36"/>
        <v>-</v>
      </c>
      <c r="I65" s="262" t="str">
        <f>IFERROR(IF(G65="y",IF(H65&lt;&gt;"-",H65,INDEX(Raw_Data,MATCH($A65,Look_Up3,0),MATCH(I$4,Component,0))/1000*(1+'Raw Data'!$H$13)),(INDEX(Raw_Data,MATCH($A65,Look_Up3,0),MATCH(I$4,Component,0))/1000)),"-")</f>
        <v>-</v>
      </c>
      <c r="J65" s="362"/>
      <c r="K65" s="362"/>
      <c r="L65" s="362"/>
      <c r="M65" s="262" t="str">
        <f t="shared" si="43"/>
        <v>-</v>
      </c>
      <c r="N65" s="362"/>
      <c r="O65" s="362"/>
      <c r="P65" s="304" t="str">
        <f t="shared" si="40"/>
        <v>-</v>
      </c>
      <c r="Q65" s="362"/>
      <c r="R65" s="362"/>
      <c r="S65" s="362"/>
      <c r="T65" s="262" t="str">
        <f t="shared" si="44"/>
        <v>-</v>
      </c>
      <c r="U65" s="362"/>
      <c r="V65" s="362"/>
      <c r="W65" s="304" t="str">
        <f t="shared" si="41"/>
        <v>-</v>
      </c>
      <c r="X65" s="362"/>
      <c r="Y65" s="362"/>
      <c r="Z65" s="362"/>
      <c r="AA65" s="304" t="str">
        <f t="shared" si="45"/>
        <v>-</v>
      </c>
      <c r="AB65" s="362"/>
    </row>
    <row r="66" spans="1:28" ht="14.5">
      <c r="A66" s="15"/>
      <c r="B66" s="15"/>
      <c r="I66" s="288"/>
      <c r="M66" s="288"/>
      <c r="P66" s="288"/>
      <c r="T66" s="288"/>
      <c r="W66" s="288"/>
      <c r="AA66" s="288"/>
    </row>
    <row r="67" spans="1:28" ht="14.5">
      <c r="A67" s="15"/>
      <c r="B67" s="15"/>
      <c r="I67" s="262">
        <f>PERCENTILE(I$46:I$65,$B28)</f>
        <v>841.34875785175018</v>
      </c>
      <c r="M67" s="262">
        <f>PERCENTILE(M$46:M$65,$B28)</f>
        <v>658.43380875000014</v>
      </c>
      <c r="P67" s="262">
        <f>PERCENTILE(P$46:P$65,$B28)</f>
        <v>1504.7797875000001</v>
      </c>
      <c r="T67" s="262">
        <f>PERCENTILE(T$46:T$65,$B28)</f>
        <v>1796.0694890550972</v>
      </c>
      <c r="W67" s="262">
        <f>PERCENTILE(W$46:W$65,$B28)</f>
        <v>3270.4870609375002</v>
      </c>
      <c r="AA67" s="262">
        <f>PERCENTILE(AA$46:AA$65,$B28)</f>
        <v>3344.0253690242548</v>
      </c>
    </row>
    <row r="68" spans="1:28" ht="14.5">
      <c r="A68" s="15"/>
      <c r="B68" s="15"/>
      <c r="I68" s="266">
        <f>PERCENTILE(I$46:I$65,$B29)</f>
        <v>706.79115000000002</v>
      </c>
      <c r="M68" s="266">
        <f>PERCENTILE(M$46:M$65,$B29)</f>
        <v>592.27394754506258</v>
      </c>
      <c r="P68" s="266">
        <f>PERCENTILE(P$46:P$65,$B29)</f>
        <v>1285.8725926226252</v>
      </c>
      <c r="T68" s="266">
        <f>PERCENTILE(T$46:T$65,$B29)</f>
        <v>1511.342175</v>
      </c>
      <c r="W68" s="266">
        <f>PERCENTILE(W$46:W$65,$B29)</f>
        <v>2544.4481400000004</v>
      </c>
      <c r="AA68" s="266">
        <f>PERCENTILE(AA$46:AA$65,$B29)</f>
        <v>2676.7361998611646</v>
      </c>
    </row>
    <row r="69" spans="1:28" ht="14.5">
      <c r="A69" s="15"/>
      <c r="B69" s="15"/>
      <c r="I69" s="262">
        <f>PERCENTILE(I$46:I$65,$B30)</f>
        <v>638.68908320650007</v>
      </c>
      <c r="M69" s="262">
        <f>PERCENTILE(M$46:M$65,$B30)</f>
        <v>481.51739531043751</v>
      </c>
      <c r="P69" s="262">
        <f>PERCENTILE(P$46:P$65,$B30)</f>
        <v>1067.9982243613749</v>
      </c>
      <c r="T69" s="262">
        <f>PERCENTILE(T$46:T$65,$B30)</f>
        <v>1152.4830990498517</v>
      </c>
      <c r="W69" s="262">
        <f>PERCENTILE(W$46:W$65,$B30)</f>
        <v>2382.7029075624996</v>
      </c>
      <c r="AA69" s="262">
        <f>PERCENTILE(AA$46:AA$65,$B30)</f>
        <v>2502.2689042437501</v>
      </c>
    </row>
    <row r="70" spans="1:28" ht="14.5">
      <c r="A70" s="15"/>
      <c r="B70" s="15"/>
      <c r="I70" s="270">
        <f>AVERAGE(I46:I65)</f>
        <v>744.08886427926677</v>
      </c>
      <c r="M70" s="270">
        <f>AVERAGE(M46:M65)</f>
        <v>616.3607530593697</v>
      </c>
      <c r="P70" s="270">
        <f>AVERAGE(P46:P65)</f>
        <v>1319.3589004680118</v>
      </c>
      <c r="T70" s="270">
        <f>AVERAGE(T46:T65)</f>
        <v>1520.388608235819</v>
      </c>
      <c r="W70" s="270">
        <f>AVERAGE(W46:W65)</f>
        <v>2839.747508703831</v>
      </c>
      <c r="AA70" s="270">
        <f>AVERAGE(AA46:AA65)</f>
        <v>2830.8185848410908</v>
      </c>
    </row>
    <row r="71" spans="1:28">
      <c r="A71" s="15"/>
      <c r="B71" s="15"/>
    </row>
  </sheetData>
  <mergeCells count="10">
    <mergeCell ref="I6:I7"/>
    <mergeCell ref="X6:X7"/>
    <mergeCell ref="Y6:Y7"/>
    <mergeCell ref="Z6:AA6"/>
    <mergeCell ref="C6:C7"/>
    <mergeCell ref="D6:D7"/>
    <mergeCell ref="E6:E7"/>
    <mergeCell ref="F6:F7"/>
    <mergeCell ref="G6:G7"/>
    <mergeCell ref="H6:H7"/>
  </mergeCells>
  <conditionalFormatting sqref="C8:P8 D9:E15 H9:H15 J9:L15 C9:C26 F9:G26 I9:I26 M9:P26">
    <cfRule type="expression" dxfId="31" priority="5">
      <formula>MOD(ROW(),2)=0</formula>
    </cfRule>
  </conditionalFormatting>
  <conditionalFormatting sqref="C28:AA31">
    <cfRule type="expression" dxfId="30" priority="2">
      <formula>MOD(ROW(),2)=0</formula>
    </cfRule>
  </conditionalFormatting>
  <conditionalFormatting sqref="C33:AA36">
    <cfRule type="expression" dxfId="29" priority="1">
      <formula>MOD(ROW(),2)=0</formula>
    </cfRule>
  </conditionalFormatting>
  <conditionalFormatting sqref="D16:E26 H16:H26 J16:L26">
    <cfRule type="expression" dxfId="28" priority="4">
      <formula>MOD(ROW(),2)=1</formula>
    </cfRule>
  </conditionalFormatting>
  <conditionalFormatting sqref="H46:I65">
    <cfRule type="expression" dxfId="27" priority="37">
      <formula>MOD(ROW(),2)=0</formula>
    </cfRule>
  </conditionalFormatting>
  <conditionalFormatting sqref="I67:I70">
    <cfRule type="expression" dxfId="26" priority="42">
      <formula>MOD(ROW(),2)=0</formula>
    </cfRule>
  </conditionalFormatting>
  <conditionalFormatting sqref="M46:M65">
    <cfRule type="expression" dxfId="25" priority="45">
      <formula>MOD(ROW(),2)=0</formula>
    </cfRule>
  </conditionalFormatting>
  <conditionalFormatting sqref="M67:M70">
    <cfRule type="expression" dxfId="24" priority="41">
      <formula>MOD(ROW(),2)=0</formula>
    </cfRule>
  </conditionalFormatting>
  <conditionalFormatting sqref="P46:P65">
    <cfRule type="expression" dxfId="23" priority="44">
      <formula>MOD(ROW(),2)=0</formula>
    </cfRule>
  </conditionalFormatting>
  <conditionalFormatting sqref="P67:P70">
    <cfRule type="expression" dxfId="22" priority="40">
      <formula>MOD(ROW(),2)=0</formula>
    </cfRule>
  </conditionalFormatting>
  <conditionalFormatting sqref="Q23:S26">
    <cfRule type="expression" dxfId="21" priority="17">
      <formula>MOD(ROW(),2)=1</formula>
    </cfRule>
  </conditionalFormatting>
  <conditionalFormatting sqref="Q8:AA22">
    <cfRule type="expression" dxfId="20" priority="3">
      <formula>MOD(ROW(),2)=0</formula>
    </cfRule>
  </conditionalFormatting>
  <conditionalFormatting sqref="T46:T65">
    <cfRule type="expression" dxfId="19" priority="43">
      <formula>MOD(ROW(),2)=0</formula>
    </cfRule>
  </conditionalFormatting>
  <conditionalFormatting sqref="T67:T70">
    <cfRule type="expression" dxfId="18" priority="39">
      <formula>MOD(ROW(),2)=0</formula>
    </cfRule>
  </conditionalFormatting>
  <conditionalFormatting sqref="T23:AA26">
    <cfRule type="expression" dxfId="17" priority="12">
      <formula>MOD(ROW(),2)=0</formula>
    </cfRule>
  </conditionalFormatting>
  <conditionalFormatting sqref="W46:W65">
    <cfRule type="expression" dxfId="16" priority="36">
      <formula>MOD(ROW(),2)=0</formula>
    </cfRule>
  </conditionalFormatting>
  <conditionalFormatting sqref="W67:W70">
    <cfRule type="expression" dxfId="15" priority="38">
      <formula>MOD(ROW(),2)=0</formula>
    </cfRule>
  </conditionalFormatting>
  <conditionalFormatting sqref="AA46:AA65">
    <cfRule type="expression" dxfId="14" priority="34">
      <formula>MOD(ROW(),2)=0</formula>
    </cfRule>
  </conditionalFormatting>
  <conditionalFormatting sqref="AA67:AA70">
    <cfRule type="expression" dxfId="13" priority="35">
      <formula>MOD(ROW(),2)=0</formula>
    </cfRule>
  </conditionalFormatting>
  <conditionalFormatting sqref="AC28:AD36">
    <cfRule type="expression" dxfId="12" priority="32">
      <formula>MOD(ROW(),2)=0</formula>
    </cfRule>
  </conditionalFormatting>
  <conditionalFormatting sqref="AG8:AK14 AC9:AD26">
    <cfRule type="expression" dxfId="11" priority="31">
      <formula>MOD(ROW(),2)=0</formula>
    </cfRule>
  </conditionalFormatting>
  <conditionalFormatting sqref="AG16:AK20">
    <cfRule type="expression" dxfId="10" priority="30">
      <formula>MOD(ROW(),2)=1</formula>
    </cfRule>
  </conditionalFormatting>
  <conditionalFormatting sqref="AL8:AM8 AL9 AL10:AM14 AL15 AL17:AM17">
    <cfRule type="expression" dxfId="9" priority="28">
      <formula>MOD(ROW(),2)=0</formula>
    </cfRule>
  </conditionalFormatting>
  <dataValidations count="1">
    <dataValidation type="list" allowBlank="1" showInputMessage="1" showErrorMessage="1" sqref="G46:G65" xr:uid="{731E63FB-379B-4551-AC2B-E16A296FE78C}">
      <formula1>"Y, N"</formula1>
    </dataValidation>
  </dataValidations>
  <pageMargins left="0.70866141732283505" right="0.70866141732283505" top="0.74803149606299202" bottom="0.74803149606299202" header="0.31496062992126" footer="0.31496062992126"/>
  <pageSetup scale="49" orientation="landscape" r:id="rId1"/>
  <headerFooter>
    <oddHeader>&amp;Z&amp;F</oddHead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BBC0A-EE9F-4A33-BAFC-4071648B5B41}">
  <sheetPr>
    <tabColor theme="4"/>
    <pageSetUpPr autoPageBreaks="0"/>
  </sheetPr>
  <dimension ref="B2:I72"/>
  <sheetViews>
    <sheetView topLeftCell="A56" zoomScale="87" zoomScaleNormal="87" workbookViewId="0">
      <selection activeCell="C12" sqref="C12"/>
    </sheetView>
  </sheetViews>
  <sheetFormatPr defaultRowHeight="14.5" outlineLevelRow="1"/>
  <cols>
    <col min="2" max="2" width="26.26953125" bestFit="1" customWidth="1"/>
    <col min="3" max="5" width="15.7265625" customWidth="1"/>
    <col min="6" max="6" width="10.81640625" customWidth="1"/>
    <col min="9" max="9" width="8.453125" bestFit="1" customWidth="1"/>
  </cols>
  <sheetData>
    <row r="2" spans="2:8" outlineLevel="1">
      <c r="B2" s="1045" t="s">
        <v>399</v>
      </c>
      <c r="C2" s="1046">
        <v>2024</v>
      </c>
      <c r="D2" s="1046">
        <v>2025</v>
      </c>
      <c r="E2" s="1047">
        <f>D2+1</f>
        <v>2026</v>
      </c>
    </row>
    <row r="3" spans="2:8" outlineLevel="1">
      <c r="B3" s="1048" t="str">
        <f>B14</f>
        <v>75th Percentile</v>
      </c>
      <c r="C3" s="840"/>
      <c r="D3" s="840" t="s">
        <v>404</v>
      </c>
      <c r="E3" s="1050" t="s">
        <v>405</v>
      </c>
    </row>
    <row r="4" spans="2:8" outlineLevel="1">
      <c r="B4" s="1048" t="str">
        <f>B15</f>
        <v>Median</v>
      </c>
      <c r="C4" s="840"/>
      <c r="D4" s="840" t="s">
        <v>406</v>
      </c>
      <c r="E4" s="1050" t="s">
        <v>407</v>
      </c>
    </row>
    <row r="5" spans="2:8" outlineLevel="1">
      <c r="B5" s="1048" t="str">
        <f>B16</f>
        <v>25th Percentile</v>
      </c>
      <c r="C5" s="840"/>
      <c r="D5" s="840" t="s">
        <v>408</v>
      </c>
      <c r="E5" s="1050" t="s">
        <v>409</v>
      </c>
    </row>
    <row r="6" spans="2:8" outlineLevel="1">
      <c r="B6" s="1048" t="str">
        <f>B17</f>
        <v>Average</v>
      </c>
      <c r="C6" s="840"/>
      <c r="D6" s="840" t="s">
        <v>410</v>
      </c>
      <c r="E6" s="1050" t="s">
        <v>411</v>
      </c>
    </row>
    <row r="7" spans="2:8" outlineLevel="1">
      <c r="B7" s="1051" t="str">
        <f>B18</f>
        <v>Hudbay Minerals Inc.</v>
      </c>
      <c r="C7" s="1053"/>
      <c r="D7" s="1053" t="s">
        <v>412</v>
      </c>
      <c r="E7" s="1054" t="s">
        <v>412</v>
      </c>
    </row>
    <row r="8" spans="2:8" outlineLevel="1"/>
    <row r="10" spans="2:8">
      <c r="C10" s="471" t="s">
        <v>79</v>
      </c>
    </row>
    <row r="11" spans="2:8" ht="15" customHeight="1">
      <c r="B11" s="76"/>
      <c r="C11" s="470" t="s">
        <v>68</v>
      </c>
      <c r="D11" s="78"/>
      <c r="E11" s="77"/>
    </row>
    <row r="12" spans="2:8" ht="30">
      <c r="B12" s="76"/>
      <c r="C12" s="75" t="s">
        <v>439</v>
      </c>
      <c r="D12" s="75" t="s">
        <v>675</v>
      </c>
      <c r="E12" s="75" t="s">
        <v>749</v>
      </c>
    </row>
    <row r="13" spans="2:8">
      <c r="B13" s="74" t="s">
        <v>67</v>
      </c>
      <c r="C13" s="73"/>
      <c r="D13" s="73"/>
      <c r="E13" s="73"/>
    </row>
    <row r="14" spans="2:8">
      <c r="B14" s="67" t="s">
        <v>9</v>
      </c>
      <c r="C14" s="648">
        <v>7095.4449833333301</v>
      </c>
      <c r="D14" s="72" cm="1">
        <f t="array" aca="1" ref="D14" ca="1">INDIRECT("'"&amp;$C$10&amp;"'!"&amp;D3)</f>
        <v>7438.8010312500001</v>
      </c>
      <c r="E14" s="72" cm="1">
        <f t="array" aca="1" ref="E14" ca="1">INDIRECT("'"&amp;$C$10&amp;"'!"&amp;E3)</f>
        <v>7666.4194340624999</v>
      </c>
      <c r="G14" s="645"/>
      <c r="H14" s="645"/>
    </row>
    <row r="15" spans="2:8">
      <c r="B15" s="65" t="s">
        <v>8</v>
      </c>
      <c r="C15" s="649">
        <v>5021.26</v>
      </c>
      <c r="D15" s="64" cm="1">
        <f t="array" aca="1" ref="D15" ca="1">INDIRECT("'"&amp;$C$10&amp;"'!"&amp;D4)</f>
        <v>5733.7981086956515</v>
      </c>
      <c r="E15" s="64" cm="1">
        <f t="array" aca="1" ref="E15" ca="1">INDIRECT("'"&amp;$C$10&amp;"'!"&amp;E4)</f>
        <v>5820.2881119565227</v>
      </c>
      <c r="F15" s="502">
        <f ca="1">D15/C15 -1</f>
        <v>0.14190424488985864</v>
      </c>
      <c r="G15" s="645"/>
      <c r="H15" s="654"/>
    </row>
    <row r="16" spans="2:8">
      <c r="B16" s="63" t="s">
        <v>7</v>
      </c>
      <c r="C16" s="649">
        <v>4314.703125</v>
      </c>
      <c r="D16" s="64" cm="1">
        <f t="array" aca="1" ref="D16" ca="1">INDIRECT("'"&amp;$C$10&amp;"'!"&amp;D5)</f>
        <v>4956.1421462659609</v>
      </c>
      <c r="E16" s="64" cm="1">
        <f t="array" aca="1" ref="E16" ca="1">INDIRECT("'"&amp;$C$10&amp;"'!"&amp;E5)</f>
        <v>5086.6236106539409</v>
      </c>
      <c r="F16" s="645"/>
    </row>
    <row r="17" spans="2:6">
      <c r="B17" s="61" t="s">
        <v>6</v>
      </c>
      <c r="C17" s="650">
        <v>5578.1621173485619</v>
      </c>
      <c r="D17" s="64" cm="1">
        <f t="array" aca="1" ref="D17" ca="1">INDIRECT("'"&amp;$C$10&amp;"'!"&amp;D6)</f>
        <v>6074.7685150935913</v>
      </c>
      <c r="E17" s="60" cm="1">
        <f t="array" aca="1" ref="E17" ca="1">INDIRECT("'"&amp;$C$10&amp;"'!"&amp;E6)</f>
        <v>6185.7470850106838</v>
      </c>
      <c r="F17" s="655"/>
    </row>
    <row r="18" spans="2:6">
      <c r="B18" s="59" t="str">
        <f>CEO!C39</f>
        <v>Hudbay Minerals Inc.</v>
      </c>
      <c r="C18" s="1084">
        <v>5080.4962500000001</v>
      </c>
      <c r="D18" s="58" cm="1">
        <f t="array" aca="1" ref="D18" ca="1">INDIRECT("'"&amp;$C$10&amp;"'!"&amp;D7)</f>
        <v>5334.5198499999997</v>
      </c>
      <c r="E18" s="58" cm="1">
        <f t="array" aca="1" ref="E18" ca="1">INDIRECT("'"&amp;$C$10&amp;"'!"&amp;E7)</f>
        <v>5334.5198499999997</v>
      </c>
      <c r="F18" s="502">
        <f>C15/C18 -1</f>
        <v>-1.1659540148267977E-2</v>
      </c>
    </row>
    <row r="19" spans="2:6">
      <c r="B19" s="71"/>
      <c r="C19" s="70"/>
      <c r="D19" s="70"/>
      <c r="E19" s="504"/>
    </row>
    <row r="20" spans="2:6">
      <c r="B20" s="69" t="s">
        <v>66</v>
      </c>
      <c r="C20" s="68"/>
      <c r="D20" s="68"/>
      <c r="E20" s="68"/>
    </row>
    <row r="21" spans="2:6">
      <c r="B21" s="67" t="s">
        <v>65</v>
      </c>
      <c r="C21" s="66">
        <f>C16</f>
        <v>4314.703125</v>
      </c>
      <c r="D21" s="66">
        <f ca="1">D16</f>
        <v>4956.1421462659609</v>
      </c>
      <c r="E21" s="66">
        <f ca="1">E16</f>
        <v>5086.6236106539409</v>
      </c>
    </row>
    <row r="22" spans="2:6">
      <c r="B22" s="65" t="s">
        <v>64</v>
      </c>
      <c r="C22" s="64">
        <f>(C15-C16)</f>
        <v>706.55687500000022</v>
      </c>
      <c r="D22" s="64">
        <f ca="1">(D15-D16)</f>
        <v>777.65596242969059</v>
      </c>
      <c r="E22" s="64">
        <f ca="1">(E15-E16)</f>
        <v>733.66450130258181</v>
      </c>
    </row>
    <row r="23" spans="2:6">
      <c r="B23" s="63" t="s">
        <v>63</v>
      </c>
      <c r="C23" s="62">
        <f>(C14-C15)</f>
        <v>2074.1849833333299</v>
      </c>
      <c r="D23" s="62">
        <f ca="1">(D14-D15)</f>
        <v>1705.0029225543485</v>
      </c>
      <c r="E23" s="62">
        <f ca="1">(E14-E15)</f>
        <v>1846.1313221059772</v>
      </c>
    </row>
    <row r="24" spans="2:6">
      <c r="B24" s="61" t="s">
        <v>6</v>
      </c>
      <c r="C24" s="60">
        <f t="shared" ref="C24:E25" si="0">C17</f>
        <v>5578.1621173485619</v>
      </c>
      <c r="D24" s="60">
        <f t="shared" ca="1" si="0"/>
        <v>6074.7685150935913</v>
      </c>
      <c r="E24" s="60">
        <f t="shared" ca="1" si="0"/>
        <v>6185.7470850106838</v>
      </c>
    </row>
    <row r="25" spans="2:6">
      <c r="B25" s="59" t="str">
        <f>B18</f>
        <v>Hudbay Minerals Inc.</v>
      </c>
      <c r="C25" s="58">
        <f t="shared" si="0"/>
        <v>5080.4962500000001</v>
      </c>
      <c r="D25" s="58">
        <f t="shared" ca="1" si="0"/>
        <v>5334.5198499999997</v>
      </c>
      <c r="E25" s="58">
        <f t="shared" ca="1" si="0"/>
        <v>5334.5198499999997</v>
      </c>
    </row>
    <row r="27" spans="2:6">
      <c r="B27" s="57" t="s">
        <v>62</v>
      </c>
      <c r="C27" s="56">
        <f>C18-C15</f>
        <v>59.236249999999927</v>
      </c>
      <c r="D27" s="56">
        <f ca="1">D18-D15</f>
        <v>-399.27825869565186</v>
      </c>
      <c r="E27" s="56">
        <f ca="1">E18-E15</f>
        <v>-485.76826195652302</v>
      </c>
    </row>
    <row r="29" spans="2:6">
      <c r="B29" s="472" t="s">
        <v>421</v>
      </c>
      <c r="C29" s="473"/>
      <c r="D29" s="473"/>
      <c r="E29" s="473"/>
    </row>
    <row r="30" spans="2:6">
      <c r="B30" t="s">
        <v>417</v>
      </c>
    </row>
    <row r="31" spans="2:6">
      <c r="B31" t="s">
        <v>418</v>
      </c>
      <c r="C31" s="54"/>
      <c r="E31" s="54"/>
    </row>
    <row r="32" spans="2:6">
      <c r="B32" t="s">
        <v>419</v>
      </c>
      <c r="C32" s="54"/>
      <c r="E32" s="54"/>
    </row>
    <row r="33" spans="2:5">
      <c r="B33" t="s">
        <v>420</v>
      </c>
    </row>
    <row r="34" spans="2:5">
      <c r="C34" s="533"/>
      <c r="D34" s="533"/>
    </row>
    <row r="39" spans="2:5">
      <c r="B39" s="1083" t="s">
        <v>775</v>
      </c>
    </row>
    <row r="40" spans="2:5" ht="30">
      <c r="B40" s="74" t="s">
        <v>67</v>
      </c>
      <c r="C40" s="75" t="s">
        <v>439</v>
      </c>
      <c r="D40" s="75" t="s">
        <v>675</v>
      </c>
    </row>
    <row r="41" spans="2:5">
      <c r="B41" s="67" t="s">
        <v>9</v>
      </c>
      <c r="C41" s="985">
        <f>CEO!AM29</f>
        <v>7285.9842489583334</v>
      </c>
      <c r="D41" s="985">
        <f>CEO!AQ29</f>
        <v>6532.9423084588125</v>
      </c>
    </row>
    <row r="42" spans="2:5">
      <c r="B42" s="65" t="s">
        <v>8</v>
      </c>
      <c r="C42" s="985">
        <f>CEO!AM30</f>
        <v>5403.8292628044055</v>
      </c>
      <c r="D42" s="985">
        <f>CEO!AQ30</f>
        <v>5485.7979999999998</v>
      </c>
      <c r="E42" s="503">
        <f>D42/C42 -1</f>
        <v>1.5168639349840474E-2</v>
      </c>
    </row>
    <row r="43" spans="2:5">
      <c r="B43" s="63" t="s">
        <v>7</v>
      </c>
      <c r="C43" s="985">
        <f>CEO!AM31</f>
        <v>4419</v>
      </c>
      <c r="D43" s="985">
        <f>CEO!AQ31</f>
        <v>4749.0259375000005</v>
      </c>
    </row>
    <row r="44" spans="2:5">
      <c r="B44" s="61" t="s">
        <v>6</v>
      </c>
      <c r="C44" s="985">
        <f>CEO!AM32</f>
        <v>5838.685833603352</v>
      </c>
      <c r="D44" s="985">
        <f>CEO!AQ32</f>
        <v>5894.4481321925223</v>
      </c>
    </row>
    <row r="45" spans="2:5">
      <c r="B45" s="59" t="s">
        <v>776</v>
      </c>
      <c r="C45" s="651">
        <v>5080.4962500000001</v>
      </c>
      <c r="D45" s="985">
        <f>CEO!W39</f>
        <v>5334.5198499999997</v>
      </c>
    </row>
    <row r="47" spans="2:5">
      <c r="B47" s="69" t="s">
        <v>66</v>
      </c>
      <c r="C47" s="68"/>
      <c r="D47" s="68"/>
      <c r="E47" s="68"/>
    </row>
    <row r="48" spans="2:5">
      <c r="B48" s="67" t="s">
        <v>65</v>
      </c>
      <c r="C48" s="66">
        <f>C43</f>
        <v>4419</v>
      </c>
      <c r="D48" s="66">
        <f>D43</f>
        <v>4749.0259375000005</v>
      </c>
      <c r="E48" s="66"/>
    </row>
    <row r="49" spans="2:9">
      <c r="B49" s="65" t="s">
        <v>64</v>
      </c>
      <c r="C49" s="64">
        <f>(C42-C43)</f>
        <v>984.82926280440552</v>
      </c>
      <c r="D49" s="64">
        <f>(D42-D43)</f>
        <v>736.77206249999927</v>
      </c>
      <c r="E49" s="64"/>
    </row>
    <row r="50" spans="2:9">
      <c r="B50" s="63" t="s">
        <v>63</v>
      </c>
      <c r="C50" s="62">
        <f>(C41-C42)</f>
        <v>1882.1549861539279</v>
      </c>
      <c r="D50" s="62">
        <f>(D41-D42)</f>
        <v>1047.1443084588127</v>
      </c>
      <c r="E50" s="62"/>
    </row>
    <row r="51" spans="2:9">
      <c r="B51" s="61" t="s">
        <v>6</v>
      </c>
      <c r="C51" s="60">
        <f t="shared" ref="C51:D51" si="1">C44</f>
        <v>5838.685833603352</v>
      </c>
      <c r="D51" s="60">
        <f t="shared" si="1"/>
        <v>5894.4481321925223</v>
      </c>
      <c r="E51" s="60"/>
    </row>
    <row r="52" spans="2:9">
      <c r="B52" s="59" t="str">
        <f>B45</f>
        <v>Hudbay Minerals</v>
      </c>
      <c r="C52" s="58">
        <f t="shared" ref="C52:D52" si="2">C45</f>
        <v>5080.4962500000001</v>
      </c>
      <c r="D52" s="58">
        <f t="shared" si="2"/>
        <v>5334.5198499999997</v>
      </c>
      <c r="E52" s="58"/>
    </row>
    <row r="54" spans="2:9">
      <c r="B54" s="57" t="s">
        <v>62</v>
      </c>
      <c r="C54" s="56">
        <f>C45-C42</f>
        <v>-323.33301280440537</v>
      </c>
      <c r="D54" s="56">
        <f>D45-D42</f>
        <v>-151.2781500000001</v>
      </c>
      <c r="E54" s="56"/>
    </row>
    <row r="59" spans="2:9" ht="29">
      <c r="B59" s="613" t="s">
        <v>393</v>
      </c>
      <c r="C59" s="614"/>
      <c r="D59" s="614"/>
      <c r="E59" s="614"/>
      <c r="F59" s="614"/>
      <c r="G59" s="613" t="s">
        <v>393</v>
      </c>
      <c r="H59" s="615"/>
    </row>
    <row r="60" spans="2:9">
      <c r="B60" s="990" t="s">
        <v>22</v>
      </c>
      <c r="C60" s="991" t="s">
        <v>19</v>
      </c>
      <c r="D60" s="991" t="s">
        <v>397</v>
      </c>
      <c r="E60" s="992" t="s">
        <v>395</v>
      </c>
      <c r="F60" s="991" t="s">
        <v>18</v>
      </c>
      <c r="G60" s="993" t="s">
        <v>40</v>
      </c>
      <c r="H60" s="994" t="s">
        <v>42</v>
      </c>
      <c r="I60" s="1092" t="s">
        <v>784</v>
      </c>
    </row>
    <row r="61" spans="2:9">
      <c r="B61" t="s">
        <v>371</v>
      </c>
      <c r="C61" t="s">
        <v>313</v>
      </c>
      <c r="D61" t="s">
        <v>442</v>
      </c>
      <c r="E61" t="s">
        <v>442</v>
      </c>
      <c r="F61" t="s">
        <v>79</v>
      </c>
      <c r="G61">
        <v>9344.8457655300008</v>
      </c>
      <c r="H61">
        <v>8698.6526040203098</v>
      </c>
      <c r="I61" s="340">
        <f>CEO!W8/'CEO - YoY'!H61 -1</f>
        <v>-0.11240147164497882</v>
      </c>
    </row>
    <row r="62" spans="2:9">
      <c r="B62" t="s">
        <v>384</v>
      </c>
      <c r="C62" t="s">
        <v>322</v>
      </c>
      <c r="D62" t="s">
        <v>442</v>
      </c>
      <c r="E62" t="s">
        <v>442</v>
      </c>
      <c r="F62" t="s">
        <v>269</v>
      </c>
      <c r="G62">
        <v>5366.5489181399998</v>
      </c>
      <c r="H62">
        <v>4420</v>
      </c>
      <c r="I62" s="340">
        <f>CEO!W9/'CEO - YoY'!H62 -1</f>
        <v>1.2169319564653156</v>
      </c>
    </row>
    <row r="63" spans="2:9">
      <c r="B63" t="s">
        <v>372</v>
      </c>
      <c r="C63" t="s">
        <v>331</v>
      </c>
      <c r="D63" t="s">
        <v>442</v>
      </c>
      <c r="E63" t="s">
        <v>442</v>
      </c>
      <c r="F63" t="s">
        <v>79</v>
      </c>
      <c r="G63">
        <v>7737.93</v>
      </c>
      <c r="H63">
        <v>7690.8</v>
      </c>
      <c r="I63" s="340">
        <f>CEO!W10/'CEO - YoY'!H63 -1</f>
        <v>-0.31476569407603894</v>
      </c>
    </row>
    <row r="64" spans="2:9">
      <c r="B64" t="s">
        <v>374</v>
      </c>
      <c r="C64" t="s">
        <v>341</v>
      </c>
      <c r="D64" t="s">
        <v>442</v>
      </c>
      <c r="E64" t="s">
        <v>442</v>
      </c>
      <c r="F64" t="s">
        <v>269</v>
      </c>
      <c r="G64">
        <v>5443.5</v>
      </c>
      <c r="H64">
        <v>7186.1111111111113</v>
      </c>
      <c r="I64" s="340">
        <f>CEO!W11/'CEO - YoY'!H64 -1</f>
        <v>0.14137881716273681</v>
      </c>
    </row>
    <row r="65" spans="2:9">
      <c r="B65" t="s">
        <v>379</v>
      </c>
      <c r="C65" t="s">
        <v>280</v>
      </c>
      <c r="D65" t="s">
        <v>442</v>
      </c>
      <c r="E65" t="s">
        <v>442</v>
      </c>
      <c r="F65" t="s">
        <v>79</v>
      </c>
      <c r="G65">
        <v>4468.9359999999997</v>
      </c>
      <c r="H65">
        <v>4280.9375</v>
      </c>
      <c r="I65" s="340">
        <f>CEO!W12/'CEO - YoY'!H65 -1</f>
        <v>0.5399595006934812</v>
      </c>
    </row>
    <row r="66" spans="2:9">
      <c r="B66" t="s">
        <v>375</v>
      </c>
      <c r="C66" t="s">
        <v>335</v>
      </c>
      <c r="D66" t="s">
        <v>442</v>
      </c>
      <c r="E66" t="s">
        <v>398</v>
      </c>
      <c r="F66" t="s">
        <v>79</v>
      </c>
      <c r="G66">
        <v>4278.72</v>
      </c>
      <c r="H66">
        <v>4416</v>
      </c>
      <c r="I66" s="340">
        <f>CEO!W13/'CEO - YoY'!H66 -1</f>
        <v>0.38852178980489493</v>
      </c>
    </row>
    <row r="67" spans="2:9">
      <c r="B67" t="s">
        <v>377</v>
      </c>
      <c r="C67" t="s">
        <v>301</v>
      </c>
      <c r="D67" t="s">
        <v>442</v>
      </c>
      <c r="E67" t="s">
        <v>442</v>
      </c>
      <c r="F67" t="s">
        <v>300</v>
      </c>
      <c r="G67">
        <v>6971.5743085300001</v>
      </c>
      <c r="H67">
        <v>7585.6036625000015</v>
      </c>
      <c r="I67" s="340">
        <f>CEO!W14/'CEO - YoY'!H67 -1</f>
        <v>-0.24836621399213543</v>
      </c>
    </row>
    <row r="68" spans="2:9">
      <c r="B68" t="s">
        <v>380</v>
      </c>
      <c r="C68" t="s">
        <v>347</v>
      </c>
      <c r="D68" t="s">
        <v>442</v>
      </c>
      <c r="E68" t="s">
        <v>442</v>
      </c>
      <c r="F68" t="s">
        <v>269</v>
      </c>
      <c r="G68">
        <v>5305.9531812600007</v>
      </c>
      <c r="H68">
        <v>5432.6585256088119</v>
      </c>
      <c r="I68" s="340">
        <f>CEO!W15/'CEO - YoY'!H68 -1</f>
        <v>-0.183850093080695</v>
      </c>
    </row>
    <row r="69" spans="2:9">
      <c r="B69" t="s">
        <v>378</v>
      </c>
      <c r="C69" t="s">
        <v>291</v>
      </c>
      <c r="D69" t="s">
        <v>442</v>
      </c>
      <c r="E69" t="s">
        <v>442</v>
      </c>
      <c r="F69" t="s">
        <v>269</v>
      </c>
      <c r="G69">
        <v>4858.4409999999998</v>
      </c>
      <c r="H69">
        <v>4667.5200000000004</v>
      </c>
      <c r="I69" s="340">
        <f>CEO!W16/'CEO - YoY'!H69 -1</f>
        <v>-0.19871794871794879</v>
      </c>
    </row>
    <row r="70" spans="2:9">
      <c r="B70" t="s">
        <v>373</v>
      </c>
      <c r="C70" t="s">
        <v>327</v>
      </c>
      <c r="D70" t="s">
        <v>442</v>
      </c>
      <c r="E70" t="s">
        <v>442</v>
      </c>
      <c r="F70" t="s">
        <v>79</v>
      </c>
      <c r="G70">
        <v>6013.0529450700005</v>
      </c>
      <c r="H70">
        <v>5375</v>
      </c>
      <c r="I70" s="340">
        <f>CEO!W17/'CEO - YoY'!H70 -1</f>
        <v>-9.6915348837209314E-2</v>
      </c>
    </row>
    <row r="71" spans="2:9">
      <c r="B71" t="s">
        <v>376</v>
      </c>
      <c r="C71" t="s">
        <v>286</v>
      </c>
      <c r="D71" t="s">
        <v>442</v>
      </c>
      <c r="E71" t="s">
        <v>442</v>
      </c>
      <c r="F71" t="s">
        <v>269</v>
      </c>
      <c r="G71">
        <v>2391.3823133129631</v>
      </c>
      <c r="H71">
        <v>6823.4466000000002</v>
      </c>
      <c r="I71" s="340" t="e">
        <f>CEO!W18/'CEO - YoY'!H71 -1</f>
        <v>#VALUE!</v>
      </c>
    </row>
    <row r="72" spans="2:9">
      <c r="B72" t="s">
        <v>382</v>
      </c>
      <c r="C72" t="s">
        <v>307</v>
      </c>
      <c r="D72" t="s">
        <v>442</v>
      </c>
      <c r="E72" t="s">
        <v>442</v>
      </c>
      <c r="F72" t="s">
        <v>269</v>
      </c>
      <c r="G72">
        <v>3530.6250000000005</v>
      </c>
      <c r="H72">
        <v>3487.5</v>
      </c>
      <c r="I72" s="340">
        <f>CEO!W19/'CEO - YoY'!H72 -1</f>
        <v>1.2183892652329749</v>
      </c>
    </row>
  </sheetData>
  <phoneticPr fontId="63" type="noConversion"/>
  <pageMargins left="0.7" right="0.7" top="0.75" bottom="0.75" header="0.3" footer="0.3"/>
  <pageSetup orientation="portrait" r:id="rId1"/>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56EA6-42F6-4487-B4D6-05205AC8A131}">
  <sheetPr>
    <tabColor theme="4"/>
    <pageSetUpPr autoPageBreaks="0"/>
  </sheetPr>
  <dimension ref="B2:I71"/>
  <sheetViews>
    <sheetView topLeftCell="A8" zoomScaleNormal="100" workbookViewId="0">
      <selection activeCell="E42" sqref="E42"/>
    </sheetView>
  </sheetViews>
  <sheetFormatPr defaultRowHeight="14.5" outlineLevelRow="1"/>
  <cols>
    <col min="2" max="2" width="26.26953125" bestFit="1" customWidth="1"/>
    <col min="3" max="5" width="15.7265625" customWidth="1"/>
    <col min="6" max="6" width="11.453125" customWidth="1"/>
  </cols>
  <sheetData>
    <row r="2" spans="2:8" outlineLevel="1">
      <c r="B2" s="1045" t="s">
        <v>399</v>
      </c>
      <c r="C2" s="1046">
        <v>2024</v>
      </c>
      <c r="D2" s="1046">
        <v>2025</v>
      </c>
      <c r="E2" s="1047">
        <f>D2+1</f>
        <v>2026</v>
      </c>
    </row>
    <row r="3" spans="2:8" outlineLevel="1">
      <c r="B3" s="1048" t="str">
        <f>B14</f>
        <v>75th Percentile</v>
      </c>
      <c r="C3" s="1049"/>
      <c r="D3" s="840" t="s">
        <v>404</v>
      </c>
      <c r="E3" s="1050" t="s">
        <v>405</v>
      </c>
    </row>
    <row r="4" spans="2:8" outlineLevel="1">
      <c r="B4" s="1048" t="str">
        <f>B15</f>
        <v>Median</v>
      </c>
      <c r="C4" s="1049"/>
      <c r="D4" s="840" t="s">
        <v>406</v>
      </c>
      <c r="E4" s="1050" t="s">
        <v>407</v>
      </c>
    </row>
    <row r="5" spans="2:8" outlineLevel="1">
      <c r="B5" s="1048" t="str">
        <f>B16</f>
        <v>25th Percentile</v>
      </c>
      <c r="C5" s="1049"/>
      <c r="D5" s="840" t="s">
        <v>408</v>
      </c>
      <c r="E5" s="1050" t="s">
        <v>409</v>
      </c>
    </row>
    <row r="6" spans="2:8" outlineLevel="1">
      <c r="B6" s="1048" t="str">
        <f>B17</f>
        <v>Average</v>
      </c>
      <c r="C6" s="1049"/>
      <c r="D6" s="840" t="s">
        <v>410</v>
      </c>
      <c r="E6" s="1050" t="s">
        <v>411</v>
      </c>
    </row>
    <row r="7" spans="2:8" outlineLevel="1">
      <c r="B7" s="1051" t="str">
        <f>B18</f>
        <v>Hudbay Minerals Inc.</v>
      </c>
      <c r="C7" s="1052"/>
      <c r="D7" s="1053" t="s">
        <v>412</v>
      </c>
      <c r="E7" s="1054" t="s">
        <v>412</v>
      </c>
    </row>
    <row r="8" spans="2:8" outlineLevel="1">
      <c r="C8" s="645"/>
    </row>
    <row r="10" spans="2:8">
      <c r="C10" s="471" t="s">
        <v>106</v>
      </c>
    </row>
    <row r="11" spans="2:8" ht="15" customHeight="1">
      <c r="B11" s="76"/>
      <c r="C11" s="470" t="s">
        <v>68</v>
      </c>
      <c r="D11" s="78"/>
      <c r="E11" s="77"/>
    </row>
    <row r="12" spans="2:8" ht="30">
      <c r="B12" s="76"/>
      <c r="C12" s="75" t="s">
        <v>439</v>
      </c>
      <c r="D12" s="75" t="s">
        <v>675</v>
      </c>
      <c r="E12" s="75" t="s">
        <v>749</v>
      </c>
    </row>
    <row r="13" spans="2:8">
      <c r="B13" s="74" t="s">
        <v>67</v>
      </c>
      <c r="C13" s="73"/>
      <c r="D13" s="73"/>
      <c r="E13" s="73"/>
    </row>
    <row r="14" spans="2:8">
      <c r="B14" s="67" t="s">
        <v>9</v>
      </c>
      <c r="C14" s="648">
        <v>2444.054430566538</v>
      </c>
      <c r="D14" s="72" cm="1">
        <f t="array" aca="1" ref="D14" ca="1">INDIRECT("'"&amp;$C$10&amp;"'!"&amp;D3)</f>
        <v>2877.8735937500001</v>
      </c>
      <c r="E14" s="72" cm="1">
        <f t="array" aca="1" ref="E14" ca="1">INDIRECT("'"&amp;$C$10&amp;"'!"&amp;E3)</f>
        <v>2964.2098015624997</v>
      </c>
      <c r="G14" s="645"/>
      <c r="H14" s="645"/>
    </row>
    <row r="15" spans="2:8">
      <c r="B15" s="65" t="s">
        <v>8</v>
      </c>
      <c r="C15" s="649">
        <v>1947.2020750000001</v>
      </c>
      <c r="D15" s="64" cm="1">
        <f t="array" aca="1" ref="D15" ca="1">INDIRECT("'"&amp;$C$10&amp;"'!"&amp;D4)</f>
        <v>2291.3652614520447</v>
      </c>
      <c r="E15" s="64" cm="1">
        <f t="array" aca="1" ref="E15" ca="1">INDIRECT("'"&amp;$C$10&amp;"'!"&amp;E4)</f>
        <v>2360.1062192956065</v>
      </c>
      <c r="F15" s="503">
        <f ca="1">D15/C15 -1</f>
        <v>0.17674754503948664</v>
      </c>
      <c r="G15" s="645"/>
      <c r="H15" s="654"/>
    </row>
    <row r="16" spans="2:8">
      <c r="B16" s="63" t="s">
        <v>7</v>
      </c>
      <c r="C16" s="649">
        <v>1781.652112491556</v>
      </c>
      <c r="D16" s="64" cm="1">
        <f t="array" aca="1" ref="D16" ca="1">INDIRECT("'"&amp;$C$10&amp;"'!"&amp;D5)</f>
        <v>1941.3970102723999</v>
      </c>
      <c r="E16" s="64" cm="1">
        <f t="array" aca="1" ref="E16" ca="1">INDIRECT("'"&amp;$C$10&amp;"'!"&amp;E5)</f>
        <v>1999.6389205805719</v>
      </c>
      <c r="F16" s="645"/>
    </row>
    <row r="17" spans="2:6">
      <c r="B17" s="61" t="s">
        <v>6</v>
      </c>
      <c r="C17" s="650">
        <v>2080.8100143840697</v>
      </c>
      <c r="D17" s="64" cm="1">
        <f t="array" aca="1" ref="D17" ca="1">INDIRECT("'"&amp;$C$10&amp;"'!"&amp;D6)</f>
        <v>2409.0228119974167</v>
      </c>
      <c r="E17" s="60" cm="1">
        <f t="array" aca="1" ref="E17" ca="1">INDIRECT("'"&amp;$C$10&amp;"'!"&amp;E6)</f>
        <v>2485.1007393049817</v>
      </c>
      <c r="F17" s="655"/>
    </row>
    <row r="18" spans="2:6">
      <c r="B18" s="59" t="str">
        <f>CEO!C39</f>
        <v>Hudbay Minerals Inc.</v>
      </c>
      <c r="C18" s="1084">
        <v>2122.6197000000002</v>
      </c>
      <c r="D18" s="58" cm="1">
        <f t="array" aca="1" ref="D18" ca="1">INDIRECT("'"&amp;$C$10&amp;"'!"&amp;D7)</f>
        <v>2313.6544000000004</v>
      </c>
      <c r="E18" s="1084">
        <v>2313.654</v>
      </c>
      <c r="F18" s="655">
        <f ca="1">D18/C18-1</f>
        <v>8.9999494492583931E-2</v>
      </c>
    </row>
    <row r="19" spans="2:6">
      <c r="B19" s="71"/>
      <c r="C19" s="70"/>
      <c r="D19" s="70"/>
      <c r="E19" s="70"/>
    </row>
    <row r="20" spans="2:6">
      <c r="B20" s="69" t="s">
        <v>66</v>
      </c>
      <c r="C20" s="68"/>
      <c r="D20" s="68"/>
      <c r="E20" s="68"/>
    </row>
    <row r="21" spans="2:6">
      <c r="B21" s="67" t="s">
        <v>65</v>
      </c>
      <c r="C21" s="66">
        <f>C16</f>
        <v>1781.652112491556</v>
      </c>
      <c r="D21" s="66">
        <f ca="1">D16</f>
        <v>1941.3970102723999</v>
      </c>
      <c r="E21" s="66">
        <f ca="1">E16</f>
        <v>1999.6389205805719</v>
      </c>
    </row>
    <row r="22" spans="2:6">
      <c r="B22" s="65" t="s">
        <v>64</v>
      </c>
      <c r="C22" s="64">
        <f>(C15-C16)</f>
        <v>165.5499625084442</v>
      </c>
      <c r="D22" s="64">
        <f ca="1">(D15-D16)</f>
        <v>349.96825117964477</v>
      </c>
      <c r="E22" s="64">
        <f ca="1">(E15-E16)</f>
        <v>360.46729871503453</v>
      </c>
    </row>
    <row r="23" spans="2:6">
      <c r="B23" s="63" t="s">
        <v>63</v>
      </c>
      <c r="C23" s="62">
        <f>(C14-C15)</f>
        <v>496.85235556653788</v>
      </c>
      <c r="D23" s="62">
        <f ca="1">(D14-D15)</f>
        <v>586.50833229795535</v>
      </c>
      <c r="E23" s="62">
        <f ca="1">(E14-E15)</f>
        <v>604.10358226689323</v>
      </c>
    </row>
    <row r="24" spans="2:6">
      <c r="B24" s="61" t="s">
        <v>6</v>
      </c>
      <c r="C24" s="60">
        <f t="shared" ref="C24:D25" si="0">C17</f>
        <v>2080.8100143840697</v>
      </c>
      <c r="D24" s="60">
        <f t="shared" ca="1" si="0"/>
        <v>2409.0228119974167</v>
      </c>
      <c r="E24" s="60">
        <f ca="1">E17</f>
        <v>2485.1007393049817</v>
      </c>
    </row>
    <row r="25" spans="2:6">
      <c r="B25" s="59" t="str">
        <f>B18</f>
        <v>Hudbay Minerals Inc.</v>
      </c>
      <c r="C25" s="58">
        <f t="shared" si="0"/>
        <v>2122.6197000000002</v>
      </c>
      <c r="D25" s="58">
        <f t="shared" ca="1" si="0"/>
        <v>2313.6544000000004</v>
      </c>
      <c r="E25" s="58">
        <f>E18</f>
        <v>2313.654</v>
      </c>
    </row>
    <row r="27" spans="2:6">
      <c r="B27" s="57" t="s">
        <v>62</v>
      </c>
      <c r="C27" s="56">
        <f>C18-C15</f>
        <v>175.41762500000004</v>
      </c>
      <c r="D27" s="56">
        <f ca="1">D18-D15</f>
        <v>22.289138547955645</v>
      </c>
      <c r="E27" s="56">
        <f ca="1">E18-E15</f>
        <v>-46.452219295606483</v>
      </c>
    </row>
    <row r="29" spans="2:6">
      <c r="B29" s="472" t="s">
        <v>421</v>
      </c>
      <c r="C29" s="473"/>
      <c r="D29" s="473"/>
      <c r="E29" s="473"/>
    </row>
    <row r="30" spans="2:6">
      <c r="B30" t="s">
        <v>417</v>
      </c>
    </row>
    <row r="31" spans="2:6">
      <c r="B31" t="s">
        <v>418</v>
      </c>
      <c r="C31" s="54"/>
      <c r="E31" s="54"/>
    </row>
    <row r="32" spans="2:6">
      <c r="B32" t="s">
        <v>419</v>
      </c>
      <c r="C32" s="54"/>
      <c r="E32" s="54"/>
    </row>
    <row r="33" spans="2:5">
      <c r="B33" t="s">
        <v>420</v>
      </c>
    </row>
    <row r="39" spans="2:5">
      <c r="B39" s="1083" t="s">
        <v>775</v>
      </c>
    </row>
    <row r="40" spans="2:5" ht="30">
      <c r="B40" s="74" t="s">
        <v>67</v>
      </c>
      <c r="C40" s="75" t="s">
        <v>439</v>
      </c>
      <c r="D40" s="75" t="s">
        <v>675</v>
      </c>
    </row>
    <row r="41" spans="2:5">
      <c r="B41" s="67" t="s">
        <v>9</v>
      </c>
      <c r="C41" s="985">
        <f>CFO!AM29</f>
        <v>2476.7022183360559</v>
      </c>
      <c r="D41" s="985">
        <f>CFO!AP29</f>
        <v>2805.7427937021721</v>
      </c>
    </row>
    <row r="42" spans="2:5">
      <c r="B42" s="65" t="s">
        <v>8</v>
      </c>
      <c r="C42" s="985">
        <f>CFO!AM30</f>
        <v>2059.2020750000001</v>
      </c>
      <c r="D42" s="985">
        <f>CFO!AP30</f>
        <v>2224.6887119760222</v>
      </c>
      <c r="E42" s="340">
        <f>D42/C42 -1</f>
        <v>8.0364447464934763E-2</v>
      </c>
    </row>
    <row r="43" spans="2:5">
      <c r="B43" s="63" t="s">
        <v>7</v>
      </c>
      <c r="C43" s="985">
        <f>CFO!AM31</f>
        <v>1821.0081250000001</v>
      </c>
      <c r="D43" s="985">
        <f>CFO!AP31</f>
        <v>1982.4485051361999</v>
      </c>
    </row>
    <row r="44" spans="2:5">
      <c r="B44" s="61" t="s">
        <v>6</v>
      </c>
      <c r="C44" s="985">
        <f>CFO!AM32</f>
        <v>2160.7276459508962</v>
      </c>
      <c r="D44" s="985">
        <f>CFO!AP32</f>
        <v>2361.6764035384372</v>
      </c>
    </row>
    <row r="45" spans="2:5">
      <c r="B45" s="59" t="s">
        <v>776</v>
      </c>
      <c r="C45" s="651">
        <f>C18</f>
        <v>2122.6197000000002</v>
      </c>
      <c r="D45" s="985">
        <f>CFO!W39</f>
        <v>2313.6544000000004</v>
      </c>
    </row>
    <row r="47" spans="2:5">
      <c r="B47" s="69" t="s">
        <v>66</v>
      </c>
      <c r="C47" s="68"/>
      <c r="D47" s="68"/>
    </row>
    <row r="48" spans="2:5">
      <c r="B48" s="67" t="s">
        <v>65</v>
      </c>
      <c r="C48" s="66">
        <f>C43</f>
        <v>1821.0081250000001</v>
      </c>
      <c r="D48" s="66">
        <f>D43</f>
        <v>1982.4485051361999</v>
      </c>
    </row>
    <row r="49" spans="2:9">
      <c r="B49" s="65" t="s">
        <v>64</v>
      </c>
      <c r="C49" s="64">
        <f>(C42-C43)</f>
        <v>238.19395000000009</v>
      </c>
      <c r="D49" s="64">
        <f>(D42-D43)</f>
        <v>242.24020683982235</v>
      </c>
    </row>
    <row r="50" spans="2:9">
      <c r="B50" s="63" t="s">
        <v>63</v>
      </c>
      <c r="C50" s="62">
        <f>(C41-C42)</f>
        <v>417.50014333605577</v>
      </c>
      <c r="D50" s="62">
        <f>(D41-D42)</f>
        <v>581.05408172614989</v>
      </c>
    </row>
    <row r="51" spans="2:9">
      <c r="B51" s="61" t="s">
        <v>6</v>
      </c>
      <c r="C51" s="60">
        <f t="shared" ref="C51:D52" si="1">C44</f>
        <v>2160.7276459508962</v>
      </c>
      <c r="D51" s="60">
        <f t="shared" si="1"/>
        <v>2361.6764035384372</v>
      </c>
    </row>
    <row r="52" spans="2:9">
      <c r="B52" s="59" t="str">
        <f>B45</f>
        <v>Hudbay Minerals</v>
      </c>
      <c r="C52" s="58">
        <f t="shared" si="1"/>
        <v>2122.6197000000002</v>
      </c>
      <c r="D52" s="58">
        <f t="shared" si="1"/>
        <v>2313.6544000000004</v>
      </c>
    </row>
    <row r="54" spans="2:9">
      <c r="B54" s="57" t="s">
        <v>62</v>
      </c>
      <c r="C54" s="56">
        <f>C45-C42</f>
        <v>63.417625000000044</v>
      </c>
      <c r="D54" s="56">
        <f>D45-D42</f>
        <v>88.965688023978146</v>
      </c>
    </row>
    <row r="58" spans="2:9" ht="29">
      <c r="B58" s="613" t="s">
        <v>393</v>
      </c>
      <c r="C58" s="614"/>
      <c r="D58" s="614"/>
      <c r="E58" s="614"/>
      <c r="F58" s="614"/>
      <c r="G58" s="613" t="s">
        <v>393</v>
      </c>
      <c r="H58" s="615"/>
      <c r="I58" s="607"/>
    </row>
    <row r="59" spans="2:9" ht="43.5">
      <c r="B59" s="990" t="s">
        <v>22</v>
      </c>
      <c r="C59" s="991" t="s">
        <v>19</v>
      </c>
      <c r="D59" s="991" t="s">
        <v>397</v>
      </c>
      <c r="E59" s="992" t="s">
        <v>395</v>
      </c>
      <c r="F59" s="991" t="s">
        <v>18</v>
      </c>
      <c r="G59" s="993" t="s">
        <v>40</v>
      </c>
      <c r="H59" s="994" t="s">
        <v>42</v>
      </c>
      <c r="I59" s="995" t="s">
        <v>396</v>
      </c>
    </row>
    <row r="60" spans="2:9">
      <c r="B60" s="487" t="s">
        <v>371</v>
      </c>
      <c r="C60" t="s">
        <v>314</v>
      </c>
      <c r="D60" t="s">
        <v>442</v>
      </c>
      <c r="E60" t="s">
        <v>442</v>
      </c>
      <c r="F60" t="s">
        <v>292</v>
      </c>
      <c r="G60">
        <v>2579.5752135600001</v>
      </c>
      <c r="H60">
        <v>2420.8247457463776</v>
      </c>
      <c r="I60" s="1029">
        <v>0.1412537799183351</v>
      </c>
    </row>
    <row r="61" spans="2:9">
      <c r="B61" s="487" t="s">
        <v>384</v>
      </c>
      <c r="C61" t="s">
        <v>323</v>
      </c>
      <c r="D61" t="s">
        <v>442</v>
      </c>
      <c r="E61" t="s">
        <v>442</v>
      </c>
      <c r="F61" t="s">
        <v>106</v>
      </c>
      <c r="G61">
        <v>3301.7115582599999</v>
      </c>
      <c r="H61">
        <v>2451.7976588399251</v>
      </c>
      <c r="I61" s="1029">
        <v>0.21812245550119647</v>
      </c>
    </row>
    <row r="62" spans="2:9">
      <c r="B62" s="487" t="s">
        <v>372</v>
      </c>
      <c r="C62" t="s">
        <v>333</v>
      </c>
      <c r="D62" t="s">
        <v>442</v>
      </c>
      <c r="E62" t="s">
        <v>442</v>
      </c>
      <c r="F62" t="s">
        <v>106</v>
      </c>
      <c r="G62">
        <v>2117.73</v>
      </c>
      <c r="H62">
        <v>2070</v>
      </c>
      <c r="I62" s="1029">
        <v>0.2560386473429952</v>
      </c>
    </row>
    <row r="63" spans="2:9">
      <c r="B63" s="487" t="s">
        <v>374</v>
      </c>
      <c r="C63" t="s">
        <v>342</v>
      </c>
      <c r="D63" t="s">
        <v>442</v>
      </c>
      <c r="E63" t="s">
        <v>442</v>
      </c>
      <c r="F63" t="s">
        <v>703</v>
      </c>
      <c r="G63">
        <v>2721.75</v>
      </c>
      <c r="H63">
        <v>2887.5</v>
      </c>
      <c r="I63" s="1029">
        <v>6.3682154730158702E-2</v>
      </c>
    </row>
    <row r="64" spans="2:9">
      <c r="B64" s="487" t="s">
        <v>379</v>
      </c>
      <c r="C64" t="s">
        <v>281</v>
      </c>
      <c r="D64" t="s">
        <v>442</v>
      </c>
      <c r="E64" t="s">
        <v>442</v>
      </c>
      <c r="F64" t="s">
        <v>106</v>
      </c>
      <c r="G64">
        <v>1807.146</v>
      </c>
      <c r="H64">
        <v>1733.424</v>
      </c>
      <c r="I64" s="1029">
        <v>6.7109374278883749E-2</v>
      </c>
    </row>
    <row r="65" spans="2:9">
      <c r="B65" s="487" t="s">
        <v>375</v>
      </c>
      <c r="C65" t="s">
        <v>337</v>
      </c>
      <c r="D65" t="s">
        <v>442</v>
      </c>
      <c r="E65" t="s">
        <v>442</v>
      </c>
      <c r="F65" t="s">
        <v>287</v>
      </c>
      <c r="G65">
        <v>1800.7059999999999</v>
      </c>
      <c r="H65">
        <v>1838.6775</v>
      </c>
      <c r="I65" s="1029">
        <v>0.14212525034977586</v>
      </c>
    </row>
    <row r="66" spans="2:9">
      <c r="B66" s="487" t="s">
        <v>377</v>
      </c>
      <c r="C66" t="s">
        <v>303</v>
      </c>
      <c r="D66" t="s">
        <v>442</v>
      </c>
      <c r="E66" t="s">
        <v>442</v>
      </c>
      <c r="F66" t="s">
        <v>292</v>
      </c>
      <c r="G66">
        <v>2821.8651150000001</v>
      </c>
      <c r="H66">
        <v>2877.3570000000004</v>
      </c>
      <c r="I66" s="1029">
        <v>1.9909938182853137E-2</v>
      </c>
    </row>
    <row r="67" spans="2:9">
      <c r="B67" s="487" t="s">
        <v>380</v>
      </c>
      <c r="C67" t="s">
        <v>348</v>
      </c>
      <c r="D67" t="s">
        <v>442</v>
      </c>
      <c r="E67" t="s">
        <v>442</v>
      </c>
      <c r="F67" t="s">
        <v>292</v>
      </c>
      <c r="G67">
        <v>2233.73060386</v>
      </c>
      <c r="H67">
        <v>2551.4158968244487</v>
      </c>
      <c r="I67" s="1029">
        <v>-0.10192404762236884</v>
      </c>
    </row>
    <row r="68" spans="2:9">
      <c r="B68" s="487" t="s">
        <v>378</v>
      </c>
      <c r="C68" t="s">
        <v>293</v>
      </c>
      <c r="D68" t="s">
        <v>442</v>
      </c>
      <c r="E68" t="s">
        <v>442</v>
      </c>
      <c r="F68" t="s">
        <v>292</v>
      </c>
      <c r="G68">
        <v>1778.4450000000002</v>
      </c>
      <c r="H68">
        <v>1846</v>
      </c>
      <c r="I68" s="1029">
        <v>9.6153846153846256E-2</v>
      </c>
    </row>
    <row r="69" spans="2:9">
      <c r="B69" s="487" t="s">
        <v>373</v>
      </c>
      <c r="C69" t="s">
        <v>328</v>
      </c>
      <c r="D69" t="s">
        <v>442</v>
      </c>
      <c r="E69" t="s">
        <v>442</v>
      </c>
      <c r="F69" t="s">
        <v>106</v>
      </c>
      <c r="G69">
        <v>1824.2579721500001</v>
      </c>
      <c r="H69">
        <v>1768</v>
      </c>
      <c r="I69" s="1029">
        <v>5.1636889448416268E-2</v>
      </c>
    </row>
    <row r="70" spans="2:9">
      <c r="B70" s="487" t="s">
        <v>376</v>
      </c>
      <c r="C70" t="s">
        <v>288</v>
      </c>
      <c r="D70" t="s">
        <v>442</v>
      </c>
      <c r="E70" t="s">
        <v>442</v>
      </c>
      <c r="F70" t="s">
        <v>287</v>
      </c>
      <c r="G70">
        <v>2115.1108764500004</v>
      </c>
      <c r="H70">
        <v>2048.4041500000003</v>
      </c>
      <c r="I70" s="1029">
        <v>5.3508977952422043E-2</v>
      </c>
    </row>
    <row r="71" spans="2:9">
      <c r="B71" s="492" t="s">
        <v>382</v>
      </c>
      <c r="C71" s="493" t="s">
        <v>308</v>
      </c>
      <c r="D71" s="493" t="s">
        <v>442</v>
      </c>
      <c r="E71" s="493" t="s">
        <v>442</v>
      </c>
      <c r="F71" s="493" t="s">
        <v>704</v>
      </c>
      <c r="G71" s="493">
        <v>1319.809</v>
      </c>
      <c r="H71" s="493">
        <v>1435.3308</v>
      </c>
      <c r="I71" s="1030">
        <v>0.18634672926965679</v>
      </c>
    </row>
  </sheetData>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2AA16-97F6-4C6B-86B2-E738B3E7682E}">
  <sheetPr>
    <tabColor theme="4"/>
    <pageSetUpPr autoPageBreaks="0"/>
  </sheetPr>
  <dimension ref="B2:I70"/>
  <sheetViews>
    <sheetView topLeftCell="A18" zoomScaleNormal="100" workbookViewId="0">
      <selection activeCell="F15" sqref="F15"/>
    </sheetView>
  </sheetViews>
  <sheetFormatPr defaultRowHeight="14.5" outlineLevelRow="1"/>
  <cols>
    <col min="2" max="2" width="26.26953125" bestFit="1" customWidth="1"/>
    <col min="3" max="5" width="15.7265625" customWidth="1"/>
    <col min="6" max="6" width="10.81640625" customWidth="1"/>
  </cols>
  <sheetData>
    <row r="2" spans="2:7" outlineLevel="1">
      <c r="B2" s="1045" t="s">
        <v>399</v>
      </c>
      <c r="C2" s="1046">
        <v>2024</v>
      </c>
      <c r="D2" s="1046">
        <v>2025</v>
      </c>
      <c r="E2" s="1047">
        <f>D2+1</f>
        <v>2026</v>
      </c>
    </row>
    <row r="3" spans="2:7" outlineLevel="1">
      <c r="B3" s="1048" t="str">
        <f>B14</f>
        <v>75th Percentile</v>
      </c>
      <c r="C3" s="1049"/>
      <c r="D3" s="840" t="s">
        <v>486</v>
      </c>
      <c r="E3" s="1050" t="s">
        <v>474</v>
      </c>
    </row>
    <row r="4" spans="2:7" outlineLevel="1">
      <c r="B4" s="1048" t="str">
        <f>B15</f>
        <v>Median</v>
      </c>
      <c r="C4" s="1049"/>
      <c r="D4" s="840" t="s">
        <v>487</v>
      </c>
      <c r="E4" s="1050" t="s">
        <v>404</v>
      </c>
    </row>
    <row r="5" spans="2:7" outlineLevel="1">
      <c r="B5" s="1048" t="str">
        <f>B16</f>
        <v>25th Percentile</v>
      </c>
      <c r="C5" s="1049"/>
      <c r="D5" s="840" t="s">
        <v>488</v>
      </c>
      <c r="E5" s="1050" t="s">
        <v>406</v>
      </c>
    </row>
    <row r="6" spans="2:7" outlineLevel="1">
      <c r="B6" s="1048" t="str">
        <f>B17</f>
        <v>Average</v>
      </c>
      <c r="C6" s="1049"/>
      <c r="D6" s="840" t="s">
        <v>750</v>
      </c>
      <c r="E6" s="1050" t="s">
        <v>408</v>
      </c>
    </row>
    <row r="7" spans="2:7" outlineLevel="1">
      <c r="B7" s="1051" t="str">
        <f>B18</f>
        <v>Hudbay Minerals Inc.</v>
      </c>
      <c r="C7" s="1052"/>
      <c r="D7" s="1053" t="s">
        <v>475</v>
      </c>
      <c r="E7" s="1054" t="s">
        <v>475</v>
      </c>
    </row>
    <row r="8" spans="2:7" outlineLevel="1"/>
    <row r="10" spans="2:7">
      <c r="C10" s="471" t="s">
        <v>272</v>
      </c>
    </row>
    <row r="11" spans="2:7" ht="15" customHeight="1">
      <c r="B11" s="76"/>
      <c r="C11" s="470" t="s">
        <v>68</v>
      </c>
      <c r="D11" s="78"/>
      <c r="E11" s="77"/>
    </row>
    <row r="12" spans="2:7" ht="30">
      <c r="B12" s="76"/>
      <c r="C12" s="75" t="s">
        <v>439</v>
      </c>
      <c r="D12" s="75" t="s">
        <v>675</v>
      </c>
      <c r="E12" s="75" t="s">
        <v>749</v>
      </c>
    </row>
    <row r="13" spans="2:7">
      <c r="B13" s="74" t="s">
        <v>67</v>
      </c>
      <c r="C13" s="73"/>
      <c r="D13" s="73"/>
      <c r="E13" s="73"/>
    </row>
    <row r="14" spans="2:7">
      <c r="B14" s="67" t="s">
        <v>9</v>
      </c>
      <c r="C14" s="648">
        <v>2699.7048683100002</v>
      </c>
      <c r="D14" s="72" cm="1">
        <f t="array" aca="1" ref="D14" ca="1">INDIRECT("'"&amp;$C$10&amp;"'!"&amp;D3)</f>
        <v>3071.3822217833335</v>
      </c>
      <c r="E14" s="72" cm="1">
        <f t="array" aca="1" ref="E14" ca="1">INDIRECT("'"&amp;$C$10&amp;"'!"&amp;E3)</f>
        <v>3155.4427663276251</v>
      </c>
    </row>
    <row r="15" spans="2:7">
      <c r="B15" s="65" t="s">
        <v>8</v>
      </c>
      <c r="C15" s="649">
        <v>2471.4075624090606</v>
      </c>
      <c r="D15" s="64" cm="1">
        <f t="array" aca="1" ref="D15" ca="1">INDIRECT("'"&amp;$C$10&amp;"'!"&amp;D4)</f>
        <v>2859.9885255680001</v>
      </c>
      <c r="E15" s="64" cm="1">
        <f t="array" aca="1" ref="E15" ca="1">INDIRECT("'"&amp;$C$10&amp;"'!"&amp;E4)</f>
        <v>2762.0417156675203</v>
      </c>
      <c r="F15" s="503">
        <f ca="1">D15/C15 -1</f>
        <v>0.15723062803132382</v>
      </c>
      <c r="G15">
        <f ca="1">E15/D15 -1</f>
        <v>-3.42472737302425E-2</v>
      </c>
    </row>
    <row r="16" spans="2:7">
      <c r="B16" s="63" t="s">
        <v>7</v>
      </c>
      <c r="C16" s="649">
        <v>2127.4594999999999</v>
      </c>
      <c r="D16" s="64" cm="1">
        <f t="array" aca="1" ref="D16" ca="1">INDIRECT("'"&amp;$C$10&amp;"'!"&amp;D5)</f>
        <v>2378.0617531284747</v>
      </c>
      <c r="E16" s="64" cm="1">
        <f t="array" aca="1" ref="E16" ca="1">INDIRECT("'"&amp;$C$10&amp;"'!"&amp;E5)</f>
        <v>2315.9972951805821</v>
      </c>
      <c r="F16" s="645"/>
      <c r="G16" s="533">
        <f ca="1">E15-D15</f>
        <v>-97.94680990047982</v>
      </c>
    </row>
    <row r="17" spans="2:6">
      <c r="B17" s="61" t="s">
        <v>6</v>
      </c>
      <c r="C17" s="650">
        <v>2426.1705153423964</v>
      </c>
      <c r="D17" s="64" cm="1">
        <f t="array" aca="1" ref="D17" ca="1">INDIRECT("'"&amp;$C$10&amp;"'!"&amp;D6)</f>
        <v>2733.9997915670779</v>
      </c>
      <c r="E17" s="60" cm="1">
        <f t="array" aca="1" ref="E17" ca="1">INDIRECT("'"&amp;$C$10&amp;"'!"&amp;E6)</f>
        <v>2712.4672940915334</v>
      </c>
      <c r="F17" s="655"/>
    </row>
    <row r="18" spans="2:6">
      <c r="B18" s="59" t="str">
        <f>CEO!C39</f>
        <v>Hudbay Minerals Inc.</v>
      </c>
      <c r="C18" s="1084">
        <v>2408.6999999999998</v>
      </c>
      <c r="D18" s="58" cm="1">
        <f t="array" aca="1" ref="D18" ca="1">INDIRECT("'"&amp;$C$10&amp;"'!"&amp;D7)</f>
        <v>2577.3090000000002</v>
      </c>
      <c r="E18" s="58" cm="1">
        <f t="array" aca="1" ref="E18" ca="1">INDIRECT("'"&amp;$C$10&amp;"'!"&amp;E7)</f>
        <v>2577.3090000000002</v>
      </c>
      <c r="F18" s="655"/>
    </row>
    <row r="19" spans="2:6">
      <c r="B19" s="71"/>
      <c r="C19" s="70"/>
      <c r="D19" s="70"/>
      <c r="E19" s="70"/>
    </row>
    <row r="20" spans="2:6">
      <c r="B20" s="69" t="s">
        <v>66</v>
      </c>
      <c r="C20" s="68"/>
      <c r="D20" s="68"/>
      <c r="E20" s="68"/>
    </row>
    <row r="21" spans="2:6">
      <c r="B21" s="67" t="s">
        <v>65</v>
      </c>
      <c r="C21" s="66">
        <f>C16</f>
        <v>2127.4594999999999</v>
      </c>
      <c r="D21" s="66">
        <f ca="1">D16</f>
        <v>2378.0617531284747</v>
      </c>
      <c r="E21" s="66">
        <f ca="1">E16</f>
        <v>2315.9972951805821</v>
      </c>
    </row>
    <row r="22" spans="2:6">
      <c r="B22" s="65" t="s">
        <v>64</v>
      </c>
      <c r="C22" s="64">
        <f>(C15-C16)</f>
        <v>343.94806240906064</v>
      </c>
      <c r="D22" s="64">
        <f ca="1">(D15-D16)</f>
        <v>481.92677243952539</v>
      </c>
      <c r="E22" s="64">
        <f ca="1">(E15-E16)</f>
        <v>446.04442048693818</v>
      </c>
    </row>
    <row r="23" spans="2:6">
      <c r="B23" s="63" t="s">
        <v>63</v>
      </c>
      <c r="C23" s="62">
        <f>(C14-C15)</f>
        <v>228.29730590093959</v>
      </c>
      <c r="D23" s="62">
        <f ca="1">(D14-D15)</f>
        <v>211.39369621533342</v>
      </c>
      <c r="E23" s="62">
        <f ca="1">(E14-E15)</f>
        <v>393.40105066010483</v>
      </c>
    </row>
    <row r="24" spans="2:6">
      <c r="B24" s="61" t="s">
        <v>6</v>
      </c>
      <c r="C24" s="60">
        <f t="shared" ref="C24:E25" si="0">C17</f>
        <v>2426.1705153423964</v>
      </c>
      <c r="D24" s="60">
        <f t="shared" ca="1" si="0"/>
        <v>2733.9997915670779</v>
      </c>
      <c r="E24" s="60">
        <f t="shared" ca="1" si="0"/>
        <v>2712.4672940915334</v>
      </c>
    </row>
    <row r="25" spans="2:6">
      <c r="B25" s="59" t="str">
        <f>B18</f>
        <v>Hudbay Minerals Inc.</v>
      </c>
      <c r="C25" s="58">
        <f t="shared" si="0"/>
        <v>2408.6999999999998</v>
      </c>
      <c r="D25" s="58">
        <f t="shared" ca="1" si="0"/>
        <v>2577.3090000000002</v>
      </c>
      <c r="E25" s="58">
        <f t="shared" ca="1" si="0"/>
        <v>2577.3090000000002</v>
      </c>
    </row>
    <row r="27" spans="2:6">
      <c r="B27" s="57" t="s">
        <v>62</v>
      </c>
      <c r="C27" s="56">
        <f>C18-C15</f>
        <v>-62.707562409060756</v>
      </c>
      <c r="D27" s="56">
        <f ca="1">D18-D15</f>
        <v>-282.67952556799992</v>
      </c>
      <c r="E27" s="56">
        <f ca="1">E18-E15</f>
        <v>-184.7327156675201</v>
      </c>
    </row>
    <row r="29" spans="2:6">
      <c r="B29" s="472" t="s">
        <v>421</v>
      </c>
      <c r="C29" s="473"/>
      <c r="D29" s="473"/>
      <c r="E29" s="473"/>
    </row>
    <row r="30" spans="2:6">
      <c r="B30" t="s">
        <v>417</v>
      </c>
    </row>
    <row r="31" spans="2:6">
      <c r="B31" t="s">
        <v>418</v>
      </c>
      <c r="C31" s="54"/>
      <c r="E31" s="54"/>
    </row>
    <row r="32" spans="2:6">
      <c r="B32" t="s">
        <v>419</v>
      </c>
      <c r="C32" s="54"/>
      <c r="E32" s="54"/>
    </row>
    <row r="33" spans="2:5">
      <c r="B33" t="s">
        <v>420</v>
      </c>
    </row>
    <row r="34" spans="2:5">
      <c r="C34" s="533"/>
      <c r="D34" s="533"/>
    </row>
    <row r="39" spans="2:5">
      <c r="B39" s="1083" t="s">
        <v>775</v>
      </c>
    </row>
    <row r="40" spans="2:5" ht="30">
      <c r="B40" s="74" t="s">
        <v>67</v>
      </c>
      <c r="C40" s="75" t="s">
        <v>439</v>
      </c>
      <c r="D40" s="75" t="s">
        <v>675</v>
      </c>
    </row>
    <row r="41" spans="2:5">
      <c r="B41" s="67" t="s">
        <v>9</v>
      </c>
      <c r="C41" s="985">
        <f>COO!AM23</f>
        <v>2877.3570000000004</v>
      </c>
      <c r="D41" s="985">
        <f>COO!AP23</f>
        <v>3055.6911108916665</v>
      </c>
    </row>
    <row r="42" spans="2:5">
      <c r="B42" s="65" t="s">
        <v>8</v>
      </c>
      <c r="C42" s="985">
        <f>COO!AM24</f>
        <v>2509.2151248181212</v>
      </c>
      <c r="D42" s="985">
        <f>COO!AP24</f>
        <v>2859.9885255680001</v>
      </c>
      <c r="E42" s="340">
        <f>D42/C42 -1</f>
        <v>0.13979407236966357</v>
      </c>
    </row>
    <row r="43" spans="2:5">
      <c r="B43" s="63" t="s">
        <v>7</v>
      </c>
      <c r="C43" s="985">
        <f>COO!AM25</f>
        <v>2307.5</v>
      </c>
      <c r="D43" s="985">
        <f>COO!AP25</f>
        <v>2291.7146265642373</v>
      </c>
    </row>
    <row r="44" spans="2:5">
      <c r="B44" s="61" t="s">
        <v>6</v>
      </c>
      <c r="C44" s="985">
        <f>COO!AM26</f>
        <v>2522.989854780973</v>
      </c>
      <c r="D44" s="985">
        <f>COO!AP26</f>
        <v>2732.6982534774561</v>
      </c>
    </row>
    <row r="45" spans="2:5">
      <c r="B45" s="59" t="s">
        <v>776</v>
      </c>
      <c r="C45" s="651">
        <f>C18</f>
        <v>2408.6999999999998</v>
      </c>
      <c r="D45" s="985">
        <f>COO!W33</f>
        <v>2577.3090000000002</v>
      </c>
    </row>
    <row r="47" spans="2:5">
      <c r="B47" s="69" t="s">
        <v>66</v>
      </c>
      <c r="C47" s="68"/>
      <c r="D47" s="68"/>
    </row>
    <row r="48" spans="2:5">
      <c r="B48" s="67" t="s">
        <v>65</v>
      </c>
      <c r="C48" s="66">
        <f>C43</f>
        <v>2307.5</v>
      </c>
      <c r="D48" s="66">
        <f>D43</f>
        <v>2291.7146265642373</v>
      </c>
    </row>
    <row r="49" spans="2:9">
      <c r="B49" s="65" t="s">
        <v>64</v>
      </c>
      <c r="C49" s="64">
        <f>(C42-C43)</f>
        <v>201.71512481812124</v>
      </c>
      <c r="D49" s="64">
        <f>(D42-D43)</f>
        <v>568.27389900376284</v>
      </c>
    </row>
    <row r="50" spans="2:9">
      <c r="B50" s="63" t="s">
        <v>63</v>
      </c>
      <c r="C50" s="62">
        <f>(C41-C42)</f>
        <v>368.14187518187919</v>
      </c>
      <c r="D50" s="62">
        <f>(D41-D42)</f>
        <v>195.70258532366643</v>
      </c>
    </row>
    <row r="51" spans="2:9">
      <c r="B51" s="61" t="s">
        <v>6</v>
      </c>
      <c r="C51" s="60">
        <f t="shared" ref="C51:D52" si="1">C44</f>
        <v>2522.989854780973</v>
      </c>
      <c r="D51" s="60">
        <f t="shared" si="1"/>
        <v>2732.6982534774561</v>
      </c>
    </row>
    <row r="52" spans="2:9">
      <c r="B52" s="59" t="str">
        <f>B45</f>
        <v>Hudbay Minerals</v>
      </c>
      <c r="C52" s="58">
        <f t="shared" si="1"/>
        <v>2408.6999999999998</v>
      </c>
      <c r="D52" s="58">
        <f t="shared" si="1"/>
        <v>2577.3090000000002</v>
      </c>
    </row>
    <row r="54" spans="2:9">
      <c r="B54" s="57" t="s">
        <v>62</v>
      </c>
      <c r="C54" s="56">
        <f>C45-C42</f>
        <v>-100.51512481812142</v>
      </c>
      <c r="D54" s="56">
        <f>D45-D42</f>
        <v>-282.67952556799992</v>
      </c>
    </row>
    <row r="63" spans="2:9" ht="55.5">
      <c r="B63" s="812" t="s">
        <v>393</v>
      </c>
      <c r="C63" s="813"/>
      <c r="D63" s="813"/>
      <c r="E63" s="813"/>
      <c r="F63" s="813"/>
      <c r="G63" s="812" t="s">
        <v>393</v>
      </c>
      <c r="H63" s="814"/>
      <c r="I63" s="607"/>
    </row>
    <row r="64" spans="2:9" ht="43.5">
      <c r="B64" s="1013" t="s">
        <v>22</v>
      </c>
      <c r="C64" s="1025" t="s">
        <v>19</v>
      </c>
      <c r="D64" s="1025" t="s">
        <v>397</v>
      </c>
      <c r="E64" s="1026" t="s">
        <v>395</v>
      </c>
      <c r="F64" s="1025" t="s">
        <v>18</v>
      </c>
      <c r="G64" s="1027" t="s">
        <v>40</v>
      </c>
      <c r="H64" s="1028" t="s">
        <v>42</v>
      </c>
      <c r="I64" s="995" t="s">
        <v>396</v>
      </c>
    </row>
    <row r="65" spans="2:9" ht="15.5">
      <c r="B65" s="1006" t="s">
        <v>371</v>
      </c>
      <c r="C65" s="1006" t="s">
        <v>316</v>
      </c>
      <c r="D65" s="1008" t="s">
        <v>442</v>
      </c>
      <c r="E65" s="1008" t="s">
        <v>442</v>
      </c>
      <c r="F65" s="1006" t="s">
        <v>318</v>
      </c>
      <c r="G65" s="521">
        <v>2673.1948191500005</v>
      </c>
      <c r="H65" s="521">
        <v>2509.2151248181212</v>
      </c>
      <c r="I65" s="460">
        <v>0.13979407236966357</v>
      </c>
    </row>
    <row r="66" spans="2:9" ht="15.5">
      <c r="B66" s="1006" t="s">
        <v>384</v>
      </c>
      <c r="C66" s="1006" t="s">
        <v>324</v>
      </c>
      <c r="D66" s="1008" t="s">
        <v>442</v>
      </c>
      <c r="E66" s="1008" t="s">
        <v>442</v>
      </c>
      <c r="F66" s="1006" t="s">
        <v>272</v>
      </c>
      <c r="G66" s="1023">
        <v>3137.5646145299997</v>
      </c>
      <c r="H66" s="1023">
        <v>2550.6485682106331</v>
      </c>
      <c r="I66" s="460">
        <v>0.21335874143702416</v>
      </c>
    </row>
    <row r="67" spans="2:9" ht="15.5">
      <c r="B67" s="1006" t="s">
        <v>374</v>
      </c>
      <c r="C67" s="1006" t="s">
        <v>343</v>
      </c>
      <c r="D67" s="1008" t="s">
        <v>442</v>
      </c>
      <c r="E67" s="1008" t="s">
        <v>442</v>
      </c>
      <c r="F67" s="1006" t="s">
        <v>705</v>
      </c>
      <c r="G67" s="521">
        <v>2721.75</v>
      </c>
      <c r="H67" s="521">
        <v>2887.5</v>
      </c>
      <c r="I67" s="460">
        <v>6.3682154730158702E-2</v>
      </c>
    </row>
    <row r="68" spans="2:9" ht="15.5">
      <c r="B68" s="1006" t="s">
        <v>379</v>
      </c>
      <c r="C68" s="1006" t="s">
        <v>282</v>
      </c>
      <c r="D68" s="1008" t="s">
        <v>442</v>
      </c>
      <c r="E68" s="1008" t="s">
        <v>442</v>
      </c>
      <c r="F68" s="1006" t="s">
        <v>272</v>
      </c>
      <c r="G68" s="521">
        <v>2124.4520000000002</v>
      </c>
      <c r="H68" s="521">
        <v>2041.088</v>
      </c>
      <c r="I68" s="460">
        <v>8.0486240671641784E-2</v>
      </c>
    </row>
    <row r="69" spans="2:9" ht="15.5">
      <c r="B69" s="1006" t="s">
        <v>377</v>
      </c>
      <c r="C69" s="1006" t="s">
        <v>304</v>
      </c>
      <c r="D69" s="1008" t="s">
        <v>442</v>
      </c>
      <c r="E69" s="1008" t="s">
        <v>442</v>
      </c>
      <c r="F69" s="1006" t="s">
        <v>707</v>
      </c>
      <c r="G69" s="521">
        <v>2821.8651150000001</v>
      </c>
      <c r="H69" s="521">
        <v>2877.3570000000004</v>
      </c>
      <c r="I69" s="460">
        <v>1.9909938182853137E-2</v>
      </c>
    </row>
    <row r="70" spans="2:9" ht="15.5">
      <c r="B70" s="1009" t="s">
        <v>373</v>
      </c>
      <c r="C70" s="1009" t="s">
        <v>329</v>
      </c>
      <c r="D70" s="1011" t="s">
        <v>442</v>
      </c>
      <c r="E70" s="1011" t="s">
        <v>442</v>
      </c>
      <c r="F70" s="1009" t="s">
        <v>272</v>
      </c>
      <c r="G70" s="1012">
        <v>2382.2867486199998</v>
      </c>
      <c r="H70" s="1012">
        <v>2307.5</v>
      </c>
      <c r="I70" s="464">
        <v>3.0579307964669455E-2</v>
      </c>
    </row>
  </sheetData>
  <conditionalFormatting sqref="B66:F69 B70:C70">
    <cfRule type="expression" dxfId="8" priority="3">
      <formula>MOD(ROW(),2)=0</formula>
    </cfRule>
  </conditionalFormatting>
  <conditionalFormatting sqref="B65:H65 G66 G67:H69">
    <cfRule type="expression" dxfId="7" priority="2">
      <formula>MOD(ROW(),2)=0</formula>
    </cfRule>
  </conditionalFormatting>
  <conditionalFormatting sqref="D70:F70">
    <cfRule type="expression" dxfId="6" priority="1">
      <formula>MOD(ROW(),2)=1</formula>
    </cfRule>
  </conditionalFormatting>
  <pageMargins left="0.7" right="0.7" top="0.75" bottom="0.75" header="0.3" footer="0.3"/>
  <pageSetup orientation="portrait" r:id="rId1"/>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2254B-31B3-4CBF-9815-7529296BBFEC}">
  <sheetPr>
    <tabColor theme="4"/>
  </sheetPr>
  <dimension ref="A1:BE1"/>
  <sheetViews>
    <sheetView workbookViewId="0"/>
  </sheetViews>
  <sheetFormatPr defaultRowHeight="14.5"/>
  <sheetData>
    <row r="1" spans="1:57">
      <c r="A1">
        <v>57</v>
      </c>
      <c r="B1" t="s">
        <v>831</v>
      </c>
      <c r="C1" t="s">
        <v>832</v>
      </c>
      <c r="D1" t="s">
        <v>833</v>
      </c>
      <c r="E1" t="s">
        <v>834</v>
      </c>
      <c r="F1" t="s">
        <v>866</v>
      </c>
      <c r="G1" t="s">
        <v>835</v>
      </c>
      <c r="H1" t="s">
        <v>867</v>
      </c>
      <c r="I1" t="s">
        <v>868</v>
      </c>
      <c r="J1" t="s">
        <v>836</v>
      </c>
      <c r="K1" t="s">
        <v>837</v>
      </c>
      <c r="L1" t="s">
        <v>869</v>
      </c>
      <c r="M1" t="s">
        <v>838</v>
      </c>
      <c r="N1" t="s">
        <v>839</v>
      </c>
      <c r="O1" t="s">
        <v>870</v>
      </c>
      <c r="P1" t="s">
        <v>840</v>
      </c>
      <c r="Q1" t="s">
        <v>841</v>
      </c>
      <c r="R1" t="s">
        <v>842</v>
      </c>
      <c r="S1" t="s">
        <v>843</v>
      </c>
      <c r="T1" t="s">
        <v>844</v>
      </c>
      <c r="U1" t="s">
        <v>845</v>
      </c>
      <c r="V1" t="s">
        <v>846</v>
      </c>
      <c r="W1" t="s">
        <v>871</v>
      </c>
      <c r="X1" t="s">
        <v>872</v>
      </c>
      <c r="Y1" t="s">
        <v>873</v>
      </c>
      <c r="Z1" t="s">
        <v>874</v>
      </c>
      <c r="AA1" t="s">
        <v>875</v>
      </c>
      <c r="AB1" t="s">
        <v>876</v>
      </c>
      <c r="AC1" t="s">
        <v>877</v>
      </c>
      <c r="AD1" t="s">
        <v>878</v>
      </c>
      <c r="AE1" t="s">
        <v>879</v>
      </c>
      <c r="AF1" t="s">
        <v>847</v>
      </c>
      <c r="AG1" t="s">
        <v>848</v>
      </c>
      <c r="AH1" t="s">
        <v>849</v>
      </c>
      <c r="AI1" t="s">
        <v>850</v>
      </c>
      <c r="AJ1" t="s">
        <v>851</v>
      </c>
      <c r="AK1" t="s">
        <v>852</v>
      </c>
      <c r="AL1" t="s">
        <v>853</v>
      </c>
      <c r="AM1" t="s">
        <v>854</v>
      </c>
      <c r="AN1" t="s">
        <v>855</v>
      </c>
      <c r="AO1" t="s">
        <v>856</v>
      </c>
      <c r="AP1" t="s">
        <v>857</v>
      </c>
      <c r="AQ1" t="s">
        <v>858</v>
      </c>
      <c r="AR1" t="s">
        <v>859</v>
      </c>
      <c r="AS1" t="s">
        <v>860</v>
      </c>
      <c r="AT1" t="s">
        <v>861</v>
      </c>
      <c r="AU1" t="s">
        <v>862</v>
      </c>
      <c r="AV1" t="s">
        <v>863</v>
      </c>
      <c r="AW1" t="s">
        <v>864</v>
      </c>
      <c r="AX1" t="s">
        <v>865</v>
      </c>
      <c r="AY1" t="s">
        <v>880</v>
      </c>
      <c r="AZ1" t="s">
        <v>881</v>
      </c>
      <c r="BA1" t="s">
        <v>882</v>
      </c>
      <c r="BB1" t="s">
        <v>883</v>
      </c>
      <c r="BC1" t="s">
        <v>884</v>
      </c>
      <c r="BD1" t="s">
        <v>885</v>
      </c>
      <c r="BE1" t="s">
        <v>886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B36F9-0ADB-43D2-841D-13D0E075CF39}">
  <sheetPr>
    <tabColor theme="4"/>
    <pageSetUpPr autoPageBreaks="0"/>
  </sheetPr>
  <dimension ref="B2:I59"/>
  <sheetViews>
    <sheetView topLeftCell="A10" zoomScaleNormal="100" workbookViewId="0">
      <selection activeCell="R28" sqref="R28"/>
    </sheetView>
  </sheetViews>
  <sheetFormatPr defaultRowHeight="14.5" outlineLevelRow="1"/>
  <cols>
    <col min="2" max="2" width="26.26953125" bestFit="1" customWidth="1"/>
    <col min="3" max="8" width="15.7265625" customWidth="1"/>
    <col min="14" max="14" width="11.1796875" bestFit="1" customWidth="1"/>
  </cols>
  <sheetData>
    <row r="2" spans="2:9" outlineLevel="1">
      <c r="B2" s="1045" t="s">
        <v>794</v>
      </c>
      <c r="C2" s="1046">
        <v>2024</v>
      </c>
      <c r="D2" s="1046">
        <v>2025</v>
      </c>
      <c r="E2" s="1047">
        <f>D2+1</f>
        <v>2026</v>
      </c>
      <c r="G2" s="1098">
        <v>2025</v>
      </c>
      <c r="H2" s="1047">
        <f>G2+1</f>
        <v>2026</v>
      </c>
    </row>
    <row r="3" spans="2:9" outlineLevel="1">
      <c r="B3" s="1048" t="str">
        <f>B14</f>
        <v>75th Percentile</v>
      </c>
      <c r="C3" s="1049"/>
      <c r="D3" s="840" t="s">
        <v>483</v>
      </c>
      <c r="E3" s="1050" t="s">
        <v>488</v>
      </c>
      <c r="G3" s="1038" t="s">
        <v>486</v>
      </c>
      <c r="H3" s="1050" t="s">
        <v>474</v>
      </c>
    </row>
    <row r="4" spans="2:9" outlineLevel="1">
      <c r="B4" s="1048" t="str">
        <f>B15</f>
        <v>Median</v>
      </c>
      <c r="C4" s="1049"/>
      <c r="D4" s="840" t="s">
        <v>751</v>
      </c>
      <c r="E4" s="1050" t="s">
        <v>750</v>
      </c>
      <c r="G4" s="1038" t="s">
        <v>487</v>
      </c>
      <c r="H4" s="1050" t="s">
        <v>404</v>
      </c>
    </row>
    <row r="5" spans="2:9" outlineLevel="1">
      <c r="B5" s="1048" t="str">
        <f>B16</f>
        <v>25th Percentile</v>
      </c>
      <c r="C5" s="1049"/>
      <c r="D5" s="840" t="s">
        <v>484</v>
      </c>
      <c r="E5" s="1050" t="s">
        <v>485</v>
      </c>
      <c r="G5" s="1038" t="s">
        <v>488</v>
      </c>
      <c r="H5" s="1050" t="s">
        <v>406</v>
      </c>
    </row>
    <row r="6" spans="2:9" outlineLevel="1">
      <c r="B6" s="1048" t="str">
        <f>B17</f>
        <v>Average</v>
      </c>
      <c r="C6" s="1049"/>
      <c r="D6" s="840" t="s">
        <v>486</v>
      </c>
      <c r="E6" s="1050" t="s">
        <v>474</v>
      </c>
      <c r="G6" s="1038" t="s">
        <v>750</v>
      </c>
      <c r="H6" s="1050" t="s">
        <v>408</v>
      </c>
    </row>
    <row r="7" spans="2:9" outlineLevel="1">
      <c r="B7" s="1051" t="str">
        <f>B18</f>
        <v>Hudbay Minerals Inc.</v>
      </c>
      <c r="C7" s="1052"/>
      <c r="D7" s="1053" t="s">
        <v>406</v>
      </c>
      <c r="E7" s="1054" t="s">
        <v>406</v>
      </c>
      <c r="G7" s="1099" t="s">
        <v>475</v>
      </c>
      <c r="H7" s="1099" t="s">
        <v>475</v>
      </c>
    </row>
    <row r="8" spans="2:9" outlineLevel="1"/>
    <row r="10" spans="2:9">
      <c r="C10" s="471" t="s">
        <v>360</v>
      </c>
      <c r="F10" s="471" t="s">
        <v>352</v>
      </c>
    </row>
    <row r="11" spans="2:9" ht="15" customHeight="1">
      <c r="B11" s="76"/>
      <c r="C11" s="470" t="s">
        <v>422</v>
      </c>
      <c r="D11" s="78"/>
      <c r="E11" s="78"/>
      <c r="F11" s="1100" t="s">
        <v>795</v>
      </c>
      <c r="G11" s="1100"/>
      <c r="H11" s="1100"/>
    </row>
    <row r="12" spans="2:9" ht="30">
      <c r="B12" s="76"/>
      <c r="C12" s="75" t="s">
        <v>439</v>
      </c>
      <c r="D12" s="75" t="s">
        <v>675</v>
      </c>
      <c r="E12" s="75" t="s">
        <v>749</v>
      </c>
      <c r="F12" s="75" t="s">
        <v>439</v>
      </c>
      <c r="G12" s="75" t="s">
        <v>675</v>
      </c>
      <c r="H12" s="75" t="s">
        <v>749</v>
      </c>
    </row>
    <row r="13" spans="2:9">
      <c r="B13" s="74" t="s">
        <v>67</v>
      </c>
      <c r="C13" s="73"/>
      <c r="D13" s="73"/>
      <c r="E13" s="73"/>
      <c r="F13" s="73"/>
      <c r="G13" s="73"/>
      <c r="H13" s="73"/>
    </row>
    <row r="14" spans="2:9">
      <c r="B14" s="67" t="s">
        <v>9</v>
      </c>
      <c r="C14" s="648">
        <v>2099.7557683374544</v>
      </c>
      <c r="D14" s="72" cm="1">
        <f t="array" aca="1" ref="D14" ca="1">INDIRECT("'"&amp;$C$10&amp;"'!"&amp;D3)</f>
        <v>2334.9154037432081</v>
      </c>
      <c r="E14" s="480" cm="1">
        <f t="array" aca="1" ref="E14" ca="1">INDIRECT("'"&amp;$C$10&amp;"'!"&amp;E3)</f>
        <v>2372.7775646807077</v>
      </c>
      <c r="F14" s="648">
        <v>1935.2286802512044</v>
      </c>
      <c r="G14" s="72" cm="1">
        <f t="array" aca="1" ref="G14" ca="1">INDIRECT("'"&amp;$F$10&amp;"'!"&amp;G3)</f>
        <v>1947.346575</v>
      </c>
      <c r="H14" s="480" cm="1">
        <f t="array" aca="1" ref="H14" ca="1">INDIRECT("'"&amp;$F$10&amp;"'!"&amp;H3)</f>
        <v>1961.11844475</v>
      </c>
    </row>
    <row r="15" spans="2:9">
      <c r="B15" s="65" t="s">
        <v>8</v>
      </c>
      <c r="C15" s="649">
        <v>1674.3244472631341</v>
      </c>
      <c r="D15" s="64" cm="1">
        <f t="array" aca="1" ref="D15" ca="1">INDIRECT("'"&amp;$C$10&amp;"'!"&amp;D4)</f>
        <v>1624.26</v>
      </c>
      <c r="E15" s="481" cm="1">
        <f t="array" aca="1" ref="E15" ca="1">INDIRECT("'"&amp;$C$10&amp;"'!"&amp;E4)</f>
        <v>1672.9878000000001</v>
      </c>
      <c r="F15" s="649">
        <v>1545.257864490181</v>
      </c>
      <c r="G15" s="72" cm="1">
        <f t="array" aca="1" ref="G15" ca="1">INDIRECT("'"&amp;$F$10&amp;"'!"&amp;G4)</f>
        <v>1562.6267748693263</v>
      </c>
      <c r="H15" s="480" cm="1">
        <f t="array" aca="1" ref="H15" ca="1">INDIRECT("'"&amp;$F$10&amp;"'!"&amp;H4)</f>
        <v>1609.505578115406</v>
      </c>
      <c r="I15">
        <f ca="1">G15/F15-1</f>
        <v>1.1240137182460197E-2</v>
      </c>
    </row>
    <row r="16" spans="2:9">
      <c r="B16" s="63" t="s">
        <v>7</v>
      </c>
      <c r="C16" s="649">
        <v>1462.2595000000001</v>
      </c>
      <c r="D16" s="64" cm="1">
        <f t="array" aca="1" ref="D16" ca="1">INDIRECT("'"&amp;$C$10&amp;"'!"&amp;D5)</f>
        <v>1523.875</v>
      </c>
      <c r="E16" s="481" cm="1">
        <f t="array" aca="1" ref="E16" ca="1">INDIRECT("'"&amp;$C$10&amp;"'!"&amp;E5)</f>
        <v>1569.5912499999999</v>
      </c>
      <c r="F16" s="649">
        <v>1415.0239999999999</v>
      </c>
      <c r="G16" s="72" cm="1">
        <f t="array" aca="1" ref="G16" ca="1">INDIRECT("'"&amp;$F$10&amp;"'!"&amp;G5)</f>
        <v>1339.8463686937503</v>
      </c>
      <c r="H16" s="480" cm="1">
        <f t="array" aca="1" ref="H16" ca="1">INDIRECT("'"&amp;$F$10&amp;"'!"&amp;H5)</f>
        <v>1349.9298966937502</v>
      </c>
    </row>
    <row r="17" spans="2:9">
      <c r="B17" s="61" t="s">
        <v>6</v>
      </c>
      <c r="C17" s="650">
        <v>1858.9752553086805</v>
      </c>
      <c r="D17" s="64" cm="1">
        <f t="array" aca="1" ref="D17" ca="1">INDIRECT("'"&amp;$C$10&amp;"'!"&amp;D6)</f>
        <v>1924.9596691144</v>
      </c>
      <c r="E17" s="482" cm="1">
        <f t="array" aca="1" ref="E17" ca="1">INDIRECT("'"&amp;$C$10&amp;"'!"&amp;E6)</f>
        <v>1971.4446435196876</v>
      </c>
      <c r="F17" s="650">
        <v>1702.093364541762</v>
      </c>
      <c r="G17" s="72" cm="1">
        <f t="array" aca="1" ref="G17" ca="1">INDIRECT("'"&amp;$F$10&amp;"'!"&amp;G6)</f>
        <v>1699.521855072961</v>
      </c>
      <c r="H17" s="480" cm="1">
        <f t="array" aca="1" ref="H17" ca="1">INDIRECT("'"&amp;$F$10&amp;"'!"&amp;H6)</f>
        <v>1741.8253356050659</v>
      </c>
    </row>
    <row r="18" spans="2:9">
      <c r="B18" s="59" t="str">
        <f>CEO!C39</f>
        <v>Hudbay Minerals Inc.</v>
      </c>
      <c r="C18" s="1084">
        <v>1630.39175</v>
      </c>
      <c r="D18" s="58" cm="1">
        <f t="array" aca="1" ref="D18" ca="1">INDIRECT("'"&amp;$C$10&amp;"'!"&amp;D7)</f>
        <v>1711.9147499999999</v>
      </c>
      <c r="E18" s="483" cm="1">
        <f t="array" aca="1" ref="E18" ca="1">INDIRECT("'"&amp;$C$10&amp;"'!"&amp;E7)</f>
        <v>1711.9147499999999</v>
      </c>
      <c r="F18" s="1084">
        <v>1630.39175</v>
      </c>
      <c r="G18" s="58" cm="1">
        <f t="array" aca="1" ref="G18" ca="1">INDIRECT("'"&amp;$F$10&amp;"'!"&amp;G7)</f>
        <v>1711.9147499999999</v>
      </c>
      <c r="H18" s="480" cm="1">
        <f t="array" aca="1" ref="H18" ca="1">INDIRECT("'"&amp;$F$10&amp;"'!"&amp;H7)</f>
        <v>1711.9147499999999</v>
      </c>
      <c r="I18" s="340">
        <f ca="1">D15/C15-1</f>
        <v>-2.9901281884147313E-2</v>
      </c>
    </row>
    <row r="19" spans="2:9">
      <c r="B19" s="71"/>
      <c r="C19" s="70"/>
      <c r="D19" s="70"/>
      <c r="E19" s="70"/>
      <c r="F19" s="70"/>
      <c r="G19" s="70"/>
      <c r="H19" s="70"/>
      <c r="I19">
        <f ca="1">D18/C18-1</f>
        <v>5.0002093055242725E-2</v>
      </c>
    </row>
    <row r="20" spans="2:9">
      <c r="B20" s="69" t="s">
        <v>66</v>
      </c>
      <c r="C20" s="68"/>
      <c r="D20" s="68"/>
      <c r="E20" s="68"/>
      <c r="F20" s="68"/>
      <c r="G20" s="68"/>
      <c r="H20" s="68"/>
    </row>
    <row r="21" spans="2:9">
      <c r="B21" s="67" t="s">
        <v>65</v>
      </c>
      <c r="C21" s="66">
        <f t="shared" ref="C21:E21" si="0">C16</f>
        <v>1462.2595000000001</v>
      </c>
      <c r="D21" s="66">
        <f t="shared" ca="1" si="0"/>
        <v>1523.875</v>
      </c>
      <c r="E21" s="484">
        <f t="shared" ca="1" si="0"/>
        <v>1569.5912499999999</v>
      </c>
      <c r="F21" s="66">
        <f t="shared" ref="F21:H21" si="1">F16</f>
        <v>1415.0239999999999</v>
      </c>
      <c r="G21" s="66">
        <f ca="1">G16</f>
        <v>1339.8463686937503</v>
      </c>
      <c r="H21" s="484">
        <f t="shared" ca="1" si="1"/>
        <v>1349.9298966937502</v>
      </c>
    </row>
    <row r="22" spans="2:9">
      <c r="B22" s="65" t="s">
        <v>64</v>
      </c>
      <c r="C22" s="64">
        <f t="shared" ref="C22:E22" si="2">(C15-C16)</f>
        <v>212.06494726313394</v>
      </c>
      <c r="D22" s="64">
        <f t="shared" ca="1" si="2"/>
        <v>100.38499999999999</v>
      </c>
      <c r="E22" s="481">
        <f t="shared" ca="1" si="2"/>
        <v>103.39655000000016</v>
      </c>
      <c r="F22" s="64">
        <f t="shared" ref="F22:H22" si="3">(F15-F16)</f>
        <v>130.23386449018108</v>
      </c>
      <c r="G22" s="64">
        <f ca="1">(G15-G16)</f>
        <v>222.78040617557599</v>
      </c>
      <c r="H22" s="481">
        <f t="shared" ca="1" si="3"/>
        <v>259.57568142165587</v>
      </c>
    </row>
    <row r="23" spans="2:9">
      <c r="B23" s="63" t="s">
        <v>63</v>
      </c>
      <c r="C23" s="62">
        <f t="shared" ref="C23:E23" si="4">(C14-C15)</f>
        <v>425.43132107432029</v>
      </c>
      <c r="D23" s="62">
        <f t="shared" ca="1" si="4"/>
        <v>710.65540374320813</v>
      </c>
      <c r="E23" s="485">
        <f t="shared" ca="1" si="4"/>
        <v>699.78976468070755</v>
      </c>
      <c r="F23" s="62">
        <f t="shared" ref="F23:H23" si="5">(F14-F15)</f>
        <v>389.97081576102346</v>
      </c>
      <c r="G23" s="62">
        <f ca="1">(G14-G15)</f>
        <v>384.71980013067378</v>
      </c>
      <c r="H23" s="485">
        <f t="shared" ca="1" si="5"/>
        <v>351.61286663459396</v>
      </c>
    </row>
    <row r="24" spans="2:9">
      <c r="B24" s="61" t="s">
        <v>6</v>
      </c>
      <c r="C24" s="60">
        <f t="shared" ref="C24:E25" si="6">C17</f>
        <v>1858.9752553086805</v>
      </c>
      <c r="D24" s="60">
        <f t="shared" ca="1" si="6"/>
        <v>1924.9596691144</v>
      </c>
      <c r="E24" s="482">
        <f t="shared" ca="1" si="6"/>
        <v>1971.4446435196876</v>
      </c>
      <c r="F24" s="60">
        <f t="shared" ref="F24:H24" si="7">F17</f>
        <v>1702.093364541762</v>
      </c>
      <c r="G24" s="60">
        <f ca="1">G17</f>
        <v>1699.521855072961</v>
      </c>
      <c r="H24" s="482">
        <f t="shared" ca="1" si="7"/>
        <v>1741.8253356050659</v>
      </c>
    </row>
    <row r="25" spans="2:9">
      <c r="B25" s="59" t="str">
        <f>B18</f>
        <v>Hudbay Minerals Inc.</v>
      </c>
      <c r="C25" s="58">
        <f t="shared" si="6"/>
        <v>1630.39175</v>
      </c>
      <c r="D25" s="58">
        <f t="shared" ca="1" si="6"/>
        <v>1711.9147499999999</v>
      </c>
      <c r="E25" s="483">
        <f t="shared" ca="1" si="6"/>
        <v>1711.9147499999999</v>
      </c>
      <c r="F25" s="58">
        <f t="shared" ref="F25:H25" si="8">F18</f>
        <v>1630.39175</v>
      </c>
      <c r="G25" s="58">
        <f ca="1">G18</f>
        <v>1711.9147499999999</v>
      </c>
      <c r="H25" s="483">
        <f t="shared" ca="1" si="8"/>
        <v>1711.9147499999999</v>
      </c>
    </row>
    <row r="27" spans="2:9">
      <c r="B27" s="57" t="s">
        <v>62</v>
      </c>
      <c r="C27" s="56">
        <f t="shared" ref="C27:E27" si="9">C18-C15</f>
        <v>-43.93269726313406</v>
      </c>
      <c r="D27" s="56">
        <f t="shared" ca="1" si="9"/>
        <v>87.654749999999922</v>
      </c>
      <c r="E27" s="486">
        <f t="shared" ca="1" si="9"/>
        <v>38.926949999999806</v>
      </c>
      <c r="F27" s="56">
        <f t="shared" ref="F27:H27" si="10">F18-F15</f>
        <v>85.133885509819038</v>
      </c>
      <c r="G27" s="56">
        <f t="shared" ca="1" si="10"/>
        <v>149.28797513067366</v>
      </c>
      <c r="H27" s="486">
        <f t="shared" ca="1" si="10"/>
        <v>102.40917188459389</v>
      </c>
    </row>
    <row r="29" spans="2:9">
      <c r="B29" s="472" t="s">
        <v>421</v>
      </c>
      <c r="C29" s="473"/>
      <c r="D29" s="473"/>
      <c r="E29" s="473"/>
    </row>
    <row r="30" spans="2:9">
      <c r="B30" t="s">
        <v>417</v>
      </c>
    </row>
    <row r="31" spans="2:9">
      <c r="B31" t="s">
        <v>418</v>
      </c>
      <c r="C31" s="54"/>
      <c r="E31" s="54"/>
      <c r="F31" s="54"/>
      <c r="G31" s="54"/>
      <c r="H31" s="54"/>
    </row>
    <row r="32" spans="2:9">
      <c r="B32" t="s">
        <v>419</v>
      </c>
      <c r="C32" s="54"/>
      <c r="E32" s="54"/>
      <c r="F32" s="54"/>
      <c r="G32" s="54"/>
      <c r="H32" s="54"/>
    </row>
    <row r="33" spans="2:9">
      <c r="B33" t="s">
        <v>420</v>
      </c>
    </row>
    <row r="37" spans="2:9">
      <c r="B37" s="613" t="s">
        <v>394</v>
      </c>
      <c r="C37" s="614"/>
      <c r="D37" s="614"/>
      <c r="E37" s="614"/>
      <c r="F37" s="614"/>
      <c r="G37" s="613" t="s">
        <v>393</v>
      </c>
      <c r="H37" s="615"/>
      <c r="I37" s="607"/>
    </row>
    <row r="38" spans="2:9" ht="43.5">
      <c r="B38" s="990" t="s">
        <v>22</v>
      </c>
      <c r="C38" s="991" t="s">
        <v>19</v>
      </c>
      <c r="D38" s="991" t="s">
        <v>397</v>
      </c>
      <c r="E38" s="992" t="s">
        <v>395</v>
      </c>
      <c r="F38" s="991" t="s">
        <v>18</v>
      </c>
      <c r="G38" s="993" t="s">
        <v>40</v>
      </c>
      <c r="H38" s="994" t="s">
        <v>42</v>
      </c>
      <c r="I38" s="995" t="s">
        <v>396</v>
      </c>
    </row>
    <row r="39" spans="2:9" ht="15.5">
      <c r="B39" s="1015" t="s">
        <v>384</v>
      </c>
      <c r="C39" s="1031" t="s">
        <v>325</v>
      </c>
      <c r="D39" s="1032" t="s">
        <v>442</v>
      </c>
      <c r="E39" s="1032" t="s">
        <v>442</v>
      </c>
      <c r="F39" s="1015" t="s">
        <v>326</v>
      </c>
      <c r="G39" s="1033">
        <v>2659.9732443200005</v>
      </c>
      <c r="H39" s="1033">
        <v>1953.8076911166058</v>
      </c>
      <c r="I39" s="467">
        <v>9.8207748255997096E-2</v>
      </c>
    </row>
    <row r="40" spans="2:9" ht="15.5">
      <c r="B40" s="1006" t="s">
        <v>372</v>
      </c>
      <c r="C40" s="1007" t="s">
        <v>334</v>
      </c>
      <c r="D40" s="1008" t="s">
        <v>442</v>
      </c>
      <c r="E40" s="1008" t="s">
        <v>442</v>
      </c>
      <c r="F40" s="1006" t="s">
        <v>326</v>
      </c>
      <c r="G40" s="1023">
        <v>2597.87</v>
      </c>
      <c r="H40" s="1023">
        <v>2537.6</v>
      </c>
      <c r="I40" s="460">
        <v>0.10340479192938212</v>
      </c>
    </row>
    <row r="41" spans="2:9" ht="15.5">
      <c r="B41" s="1006" t="s">
        <v>374</v>
      </c>
      <c r="C41" s="1007" t="s">
        <v>344</v>
      </c>
      <c r="D41" s="1008" t="s">
        <v>442</v>
      </c>
      <c r="E41" s="1008" t="s">
        <v>442</v>
      </c>
      <c r="F41" s="1006" t="s">
        <v>710</v>
      </c>
      <c r="G41" s="521">
        <v>2634.375</v>
      </c>
      <c r="H41" s="521">
        <v>2790.6826568265687</v>
      </c>
      <c r="I41" s="460">
        <v>6.8598787375006687E-2</v>
      </c>
    </row>
    <row r="42" spans="2:9" ht="15.5">
      <c r="B42" s="1006" t="s">
        <v>375</v>
      </c>
      <c r="C42" s="1007" t="s">
        <v>339</v>
      </c>
      <c r="D42" s="1008" t="s">
        <v>442</v>
      </c>
      <c r="E42" s="1008" t="s">
        <v>442</v>
      </c>
      <c r="F42" s="1006" t="s">
        <v>713</v>
      </c>
      <c r="G42" s="521">
        <v>1435.422</v>
      </c>
      <c r="H42" s="521">
        <v>1467.596</v>
      </c>
      <c r="I42" s="460">
        <v>5.1890302235765073E-2</v>
      </c>
    </row>
    <row r="43" spans="2:9" ht="15.5">
      <c r="B43" s="1006" t="s">
        <v>378</v>
      </c>
      <c r="C43" s="1007" t="s">
        <v>298</v>
      </c>
      <c r="D43" s="1008" t="s">
        <v>442</v>
      </c>
      <c r="E43" s="1008" t="s">
        <v>442</v>
      </c>
      <c r="F43" s="1006" t="s">
        <v>297</v>
      </c>
      <c r="G43" s="521">
        <v>1618.645</v>
      </c>
      <c r="H43" s="521">
        <v>1561.89</v>
      </c>
      <c r="I43" s="460">
        <v>3.9932389604901752E-2</v>
      </c>
    </row>
    <row r="44" spans="2:9" ht="15.5">
      <c r="B44" s="1006" t="s">
        <v>376</v>
      </c>
      <c r="C44" s="1007" t="s">
        <v>290</v>
      </c>
      <c r="D44" s="1008" t="s">
        <v>442</v>
      </c>
      <c r="E44" s="1008" t="s">
        <v>442</v>
      </c>
      <c r="F44" s="1006" t="s">
        <v>711</v>
      </c>
      <c r="G44" s="521">
        <v>1945.3687361700001</v>
      </c>
      <c r="H44" s="521">
        <v>1786.7588945262683</v>
      </c>
      <c r="I44" s="460">
        <v>0.11060255867713353</v>
      </c>
    </row>
    <row r="45" spans="2:9" ht="15.5">
      <c r="B45" s="1009" t="s">
        <v>382</v>
      </c>
      <c r="C45" s="1010" t="s">
        <v>310</v>
      </c>
      <c r="D45" s="1011" t="s">
        <v>442</v>
      </c>
      <c r="E45" s="1011" t="s">
        <v>442</v>
      </c>
      <c r="F45" s="1009" t="s">
        <v>309</v>
      </c>
      <c r="G45" s="1012">
        <v>1436.1260000000002</v>
      </c>
      <c r="H45" s="1012">
        <v>1446.25</v>
      </c>
      <c r="I45" s="464">
        <v>3.1460674157303359E-2</v>
      </c>
    </row>
    <row r="59" spans="8:8">
      <c r="H59" t="e">
        <f>MEDIAN(H53:H58)</f>
        <v>#NUM!</v>
      </c>
    </row>
  </sheetData>
  <conditionalFormatting sqref="B39:F45">
    <cfRule type="expression" dxfId="5" priority="2">
      <formula>MOD(ROW(),2)=0</formula>
    </cfRule>
  </conditionalFormatting>
  <conditionalFormatting sqref="G39:H39 G40 G41:H45">
    <cfRule type="expression" dxfId="4" priority="1">
      <formula>MOD(ROW(),2)=0</formula>
    </cfRule>
  </conditionalFormatting>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ED884-703B-41A9-A45A-DF4C583C1022}">
  <sheetPr>
    <tabColor theme="4"/>
    <pageSetUpPr autoPageBreaks="0"/>
  </sheetPr>
  <dimension ref="B2:F35"/>
  <sheetViews>
    <sheetView topLeftCell="A5" zoomScaleNormal="100" workbookViewId="0">
      <selection activeCell="F18" sqref="F18"/>
    </sheetView>
  </sheetViews>
  <sheetFormatPr defaultRowHeight="14.5" outlineLevelRow="1"/>
  <cols>
    <col min="2" max="2" width="26.26953125" bestFit="1" customWidth="1"/>
    <col min="3" max="5" width="15.7265625" customWidth="1"/>
  </cols>
  <sheetData>
    <row r="2" spans="2:6" outlineLevel="1">
      <c r="B2" s="475" t="s">
        <v>399</v>
      </c>
      <c r="C2" s="652">
        <v>2023</v>
      </c>
      <c r="D2" s="476">
        <f>C2+1</f>
        <v>2024</v>
      </c>
      <c r="E2" s="476">
        <f>D2+1</f>
        <v>2025</v>
      </c>
    </row>
    <row r="3" spans="2:6" outlineLevel="1">
      <c r="B3" s="474" t="str">
        <f>B14</f>
        <v>75th Percentile</v>
      </c>
      <c r="C3" s="653" t="s">
        <v>400</v>
      </c>
      <c r="D3" s="157" t="s">
        <v>404</v>
      </c>
      <c r="E3" s="157" t="s">
        <v>405</v>
      </c>
    </row>
    <row r="4" spans="2:6" outlineLevel="1">
      <c r="B4" s="474" t="str">
        <f>B15</f>
        <v>Median</v>
      </c>
      <c r="C4" s="653" t="s">
        <v>401</v>
      </c>
      <c r="D4" s="157" t="s">
        <v>406</v>
      </c>
      <c r="E4" s="157" t="s">
        <v>407</v>
      </c>
    </row>
    <row r="5" spans="2:6" outlineLevel="1">
      <c r="B5" s="474" t="str">
        <f>B16</f>
        <v>25th Percentile</v>
      </c>
      <c r="C5" s="653" t="s">
        <v>402</v>
      </c>
      <c r="D5" s="157" t="s">
        <v>408</v>
      </c>
      <c r="E5" s="157" t="s">
        <v>409</v>
      </c>
    </row>
    <row r="6" spans="2:6" outlineLevel="1">
      <c r="B6" s="474" t="str">
        <f>B17</f>
        <v>Average</v>
      </c>
      <c r="C6" s="653" t="s">
        <v>403</v>
      </c>
      <c r="D6" s="157" t="s">
        <v>410</v>
      </c>
      <c r="E6" s="157" t="s">
        <v>411</v>
      </c>
    </row>
    <row r="7" spans="2:6" outlineLevel="1">
      <c r="B7" s="474" t="str">
        <f>B18</f>
        <v>Hudbay Minerals Inc.</v>
      </c>
      <c r="C7" s="653" t="s">
        <v>416</v>
      </c>
      <c r="D7" s="157" t="s">
        <v>412</v>
      </c>
      <c r="E7" s="157" t="s">
        <v>412</v>
      </c>
    </row>
    <row r="8" spans="2:6" outlineLevel="1"/>
    <row r="10" spans="2:6">
      <c r="C10" s="471" t="s">
        <v>352</v>
      </c>
    </row>
    <row r="11" spans="2:6" ht="15" customHeight="1">
      <c r="B11" s="76"/>
      <c r="C11" s="470" t="s">
        <v>68</v>
      </c>
      <c r="D11" s="78"/>
      <c r="E11" s="77"/>
    </row>
    <row r="12" spans="2:6" ht="30">
      <c r="B12" s="76"/>
      <c r="C12" s="75" t="s">
        <v>438</v>
      </c>
      <c r="D12" s="75" t="s">
        <v>439</v>
      </c>
      <c r="E12" s="75" t="s">
        <v>440</v>
      </c>
    </row>
    <row r="13" spans="2:6">
      <c r="B13" s="74" t="s">
        <v>67</v>
      </c>
      <c r="C13" s="73"/>
      <c r="D13" s="73"/>
      <c r="E13" s="73"/>
    </row>
    <row r="14" spans="2:6">
      <c r="B14" s="67" t="s">
        <v>9</v>
      </c>
      <c r="C14" s="648">
        <v>1927.9014840480907</v>
      </c>
      <c r="D14" s="72" cm="1">
        <f t="array" aca="1" ref="D14" ca="1">INDIRECT("'"&amp;$C$10&amp;"'!"&amp;D3)</f>
        <v>1609.505578115406</v>
      </c>
      <c r="E14" s="72" cm="1">
        <f t="array" aca="1" ref="E14" ca="1">INDIRECT("'"&amp;$C$10&amp;"'!"&amp;E3)</f>
        <v>0.629</v>
      </c>
      <c r="F14" t="s">
        <v>437</v>
      </c>
    </row>
    <row r="15" spans="2:6">
      <c r="B15" s="65" t="s">
        <v>8</v>
      </c>
      <c r="C15" s="649">
        <v>1432.8826545805</v>
      </c>
      <c r="D15" s="64" cm="1">
        <f t="array" aca="1" ref="D15" ca="1">INDIRECT("'"&amp;$C$10&amp;"'!"&amp;D4)</f>
        <v>1349.9298966937502</v>
      </c>
      <c r="E15" s="64" cm="1">
        <f t="array" aca="1" ref="E15" ca="1">INDIRECT("'"&amp;$C$10&amp;"'!"&amp;E4)</f>
        <v>1356.5551999999998</v>
      </c>
      <c r="F15" s="502">
        <f ca="1">D15/C15-1</f>
        <v>-5.7892220009485462E-2</v>
      </c>
    </row>
    <row r="16" spans="2:6">
      <c r="B16" s="63" t="s">
        <v>7</v>
      </c>
      <c r="C16" s="649">
        <v>1305.9778587325</v>
      </c>
      <c r="D16" s="64" cm="1">
        <f t="array" aca="1" ref="D16" ca="1">INDIRECT("'"&amp;$C$10&amp;"'!"&amp;D5)</f>
        <v>1741.8253356050659</v>
      </c>
      <c r="E16" s="64" cm="1">
        <f t="array" aca="1" ref="E16" ca="1">INDIRECT("'"&amp;$C$10&amp;"'!"&amp;E5)</f>
        <v>0.26</v>
      </c>
      <c r="F16" t="s">
        <v>62</v>
      </c>
    </row>
    <row r="17" spans="2:6">
      <c r="B17" s="61" t="s">
        <v>6</v>
      </c>
      <c r="C17" s="650">
        <v>1626.2010226289901</v>
      </c>
      <c r="D17" s="64" cm="1">
        <f t="array" aca="1" ref="D17" ca="1">INDIRECT("'"&amp;$C$10&amp;"'!"&amp;D6)</f>
        <v>0</v>
      </c>
      <c r="E17" s="60" t="str" cm="1">
        <f t="array" aca="1" ref="E17" ca="1">INDIRECT("'"&amp;$C$10&amp;"'!"&amp;E6)</f>
        <v>-</v>
      </c>
      <c r="F17" s="503">
        <f ca="1">D18/D15-1</f>
        <v>0.26815085301305164</v>
      </c>
    </row>
    <row r="18" spans="2:6">
      <c r="B18" s="59" t="str">
        <f>CEO!C39</f>
        <v>Hudbay Minerals Inc.</v>
      </c>
      <c r="C18" s="651">
        <v>1532</v>
      </c>
      <c r="D18" s="64" cm="1">
        <f t="array" aca="1" ref="D18" ca="1">INDIRECT("'"&amp;$C$10&amp;"'!"&amp;D7)</f>
        <v>1711.9147499999999</v>
      </c>
      <c r="E18" s="60" cm="1">
        <f t="array" aca="1" ref="E18" ca="1">INDIRECT("'"&amp;$C$10&amp;"'!"&amp;E7)</f>
        <v>1711.9147499999999</v>
      </c>
      <c r="F18" s="502">
        <f ca="1">D18/C18-1</f>
        <v>0.11743782637075717</v>
      </c>
    </row>
    <row r="19" spans="2:6">
      <c r="B19" s="71"/>
      <c r="C19" s="70"/>
      <c r="D19" s="70"/>
      <c r="E19" s="70"/>
    </row>
    <row r="20" spans="2:6">
      <c r="B20" s="69" t="s">
        <v>66</v>
      </c>
      <c r="C20" s="68"/>
      <c r="D20" s="68"/>
      <c r="E20" s="68"/>
    </row>
    <row r="21" spans="2:6">
      <c r="B21" s="67" t="s">
        <v>65</v>
      </c>
      <c r="C21" s="66">
        <f>C16</f>
        <v>1305.9778587325</v>
      </c>
      <c r="D21" s="66">
        <f ca="1">D16</f>
        <v>1741.8253356050659</v>
      </c>
      <c r="E21" s="66">
        <f ca="1">E16</f>
        <v>0.26</v>
      </c>
    </row>
    <row r="22" spans="2:6">
      <c r="B22" s="65" t="s">
        <v>64</v>
      </c>
      <c r="C22" s="64">
        <f>(C15-C16)</f>
        <v>126.90479584800005</v>
      </c>
      <c r="D22" s="64">
        <f ca="1">(D15-D16)</f>
        <v>-391.89543891131575</v>
      </c>
      <c r="E22" s="64">
        <f ca="1">(E15-E16)</f>
        <v>1356.2951999999998</v>
      </c>
    </row>
    <row r="23" spans="2:6">
      <c r="B23" s="63" t="s">
        <v>63</v>
      </c>
      <c r="C23" s="62">
        <f>(C14-C15)</f>
        <v>495.01882946759065</v>
      </c>
      <c r="D23" s="62">
        <f ca="1">(D14-D15)</f>
        <v>259.57568142165587</v>
      </c>
      <c r="E23" s="62">
        <f ca="1">(E14-E15)</f>
        <v>-1355.9261999999999</v>
      </c>
    </row>
    <row r="24" spans="2:6">
      <c r="B24" s="61" t="s">
        <v>6</v>
      </c>
      <c r="C24" s="60">
        <f t="shared" ref="C24:E25" si="0">C17</f>
        <v>1626.2010226289901</v>
      </c>
      <c r="D24" s="60">
        <f t="shared" ca="1" si="0"/>
        <v>0</v>
      </c>
      <c r="E24" s="60" t="str">
        <f t="shared" ca="1" si="0"/>
        <v>-</v>
      </c>
    </row>
    <row r="25" spans="2:6">
      <c r="B25" s="59" t="str">
        <f>B18</f>
        <v>Hudbay Minerals Inc.</v>
      </c>
      <c r="C25" s="58">
        <f t="shared" si="0"/>
        <v>1532</v>
      </c>
      <c r="D25" s="58">
        <f t="shared" ca="1" si="0"/>
        <v>1711.9147499999999</v>
      </c>
      <c r="E25" s="58">
        <f t="shared" ca="1" si="0"/>
        <v>1711.9147499999999</v>
      </c>
    </row>
    <row r="27" spans="2:6">
      <c r="B27" s="57" t="s">
        <v>62</v>
      </c>
      <c r="C27" s="56">
        <f>C18-C15</f>
        <v>99.117345419499998</v>
      </c>
      <c r="D27" s="56">
        <f ca="1">D18-D15</f>
        <v>361.98485330624976</v>
      </c>
      <c r="E27" s="56">
        <f ca="1">E18-E15</f>
        <v>355.35955000000013</v>
      </c>
    </row>
    <row r="29" spans="2:6">
      <c r="B29" s="472" t="s">
        <v>421</v>
      </c>
      <c r="C29" s="473"/>
      <c r="D29" s="473"/>
      <c r="E29" s="473"/>
    </row>
    <row r="30" spans="2:6">
      <c r="B30" t="s">
        <v>451</v>
      </c>
      <c r="E30" s="54">
        <f>Region!W36</f>
        <v>2511.1574070000001</v>
      </c>
    </row>
    <row r="31" spans="2:6">
      <c r="B31" t="s">
        <v>447</v>
      </c>
      <c r="C31" s="54"/>
      <c r="E31" s="54" t="str">
        <f>Region!W37</f>
        <v>-</v>
      </c>
    </row>
    <row r="32" spans="2:6">
      <c r="B32" t="s">
        <v>452</v>
      </c>
      <c r="C32" s="54"/>
      <c r="E32" s="54" t="str">
        <f>Region!W39</f>
        <v>-</v>
      </c>
    </row>
    <row r="33" spans="2:5">
      <c r="B33" t="s">
        <v>450</v>
      </c>
      <c r="E33" s="54" t="str">
        <f>Region!W44</f>
        <v>-</v>
      </c>
    </row>
    <row r="34" spans="2:5">
      <c r="B34" t="s">
        <v>478</v>
      </c>
      <c r="E34" s="54" t="str">
        <f>Region!W46</f>
        <v>-</v>
      </c>
    </row>
    <row r="35" spans="2:5">
      <c r="B35" t="s">
        <v>479</v>
      </c>
      <c r="E35" s="54" t="str">
        <f>Region!W47</f>
        <v>-</v>
      </c>
    </row>
  </sheetData>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06508-D98D-453E-8D02-A9818AF9E81C}">
  <sheetPr>
    <tabColor theme="4"/>
    <pageSetUpPr autoPageBreaks="0"/>
  </sheetPr>
  <dimension ref="B2:G35"/>
  <sheetViews>
    <sheetView zoomScaleNormal="100" workbookViewId="0">
      <selection activeCell="D18" sqref="D18"/>
    </sheetView>
  </sheetViews>
  <sheetFormatPr defaultRowHeight="14.5" outlineLevelRow="1"/>
  <cols>
    <col min="2" max="2" width="26.26953125" bestFit="1" customWidth="1"/>
    <col min="3" max="5" width="15.7265625" customWidth="1"/>
  </cols>
  <sheetData>
    <row r="2" spans="2:7" outlineLevel="1">
      <c r="B2" s="475" t="s">
        <v>399</v>
      </c>
      <c r="C2" s="476">
        <v>2023</v>
      </c>
      <c r="D2" s="476">
        <f>C2+1</f>
        <v>2024</v>
      </c>
      <c r="E2" s="476">
        <f>D2+1</f>
        <v>2025</v>
      </c>
    </row>
    <row r="3" spans="2:7" outlineLevel="1">
      <c r="B3" s="474" t="str">
        <f>B14</f>
        <v>75th Percentile</v>
      </c>
      <c r="C3" s="653" t="s">
        <v>400</v>
      </c>
      <c r="D3" s="157" t="s">
        <v>404</v>
      </c>
      <c r="E3" s="157" t="s">
        <v>405</v>
      </c>
    </row>
    <row r="4" spans="2:7" outlineLevel="1">
      <c r="B4" s="474" t="str">
        <f>B15</f>
        <v>Median</v>
      </c>
      <c r="C4" s="653" t="s">
        <v>401</v>
      </c>
      <c r="D4" s="157" t="s">
        <v>406</v>
      </c>
      <c r="E4" s="157" t="s">
        <v>407</v>
      </c>
    </row>
    <row r="5" spans="2:7" outlineLevel="1">
      <c r="B5" s="474" t="str">
        <f>B16</f>
        <v>25th Percentile</v>
      </c>
      <c r="C5" s="653" t="s">
        <v>402</v>
      </c>
      <c r="D5" s="157" t="s">
        <v>408</v>
      </c>
      <c r="E5" s="157" t="s">
        <v>409</v>
      </c>
    </row>
    <row r="6" spans="2:7" outlineLevel="1">
      <c r="B6" s="474" t="str">
        <f>B17</f>
        <v>Average</v>
      </c>
      <c r="C6" s="653" t="s">
        <v>403</v>
      </c>
      <c r="D6" s="157" t="s">
        <v>410</v>
      </c>
      <c r="E6" s="157" t="s">
        <v>411</v>
      </c>
    </row>
    <row r="7" spans="2:7" outlineLevel="1">
      <c r="B7" s="474" t="str">
        <f>B18</f>
        <v>Hudbay Minerals Inc.</v>
      </c>
      <c r="C7" s="653" t="s">
        <v>416</v>
      </c>
      <c r="D7" s="157" t="s">
        <v>412</v>
      </c>
      <c r="E7" s="157" t="s">
        <v>412</v>
      </c>
    </row>
    <row r="8" spans="2:7" outlineLevel="1"/>
    <row r="10" spans="2:7">
      <c r="C10" s="471" t="s">
        <v>352</v>
      </c>
    </row>
    <row r="11" spans="2:7" ht="15" customHeight="1">
      <c r="B11" s="76"/>
      <c r="C11" s="470" t="s">
        <v>68</v>
      </c>
      <c r="D11" s="78"/>
      <c r="E11" s="77"/>
    </row>
    <row r="12" spans="2:7" ht="30">
      <c r="B12" s="76"/>
      <c r="C12" s="75" t="s">
        <v>438</v>
      </c>
      <c r="D12" s="75" t="s">
        <v>439</v>
      </c>
      <c r="E12" s="75" t="s">
        <v>440</v>
      </c>
    </row>
    <row r="13" spans="2:7">
      <c r="B13" s="74" t="s">
        <v>67</v>
      </c>
      <c r="C13" s="73"/>
      <c r="D13" s="73"/>
      <c r="E13" s="73"/>
    </row>
    <row r="14" spans="2:7">
      <c r="B14" s="67" t="s">
        <v>9</v>
      </c>
      <c r="C14" s="648">
        <v>1927.9014840480907</v>
      </c>
      <c r="D14" s="72" cm="1">
        <f t="array" aca="1" ref="D14" ca="1">INDIRECT("'"&amp;$C$10&amp;"'!"&amp;D3)</f>
        <v>1609.505578115406</v>
      </c>
      <c r="E14" s="72" cm="1">
        <f t="array" aca="1" ref="E14" ca="1">INDIRECT("'"&amp;$C$10&amp;"'!"&amp;E3)</f>
        <v>0.629</v>
      </c>
      <c r="F14" t="s">
        <v>437</v>
      </c>
    </row>
    <row r="15" spans="2:7">
      <c r="B15" s="65" t="s">
        <v>8</v>
      </c>
      <c r="C15" s="649">
        <v>1432.8826545805</v>
      </c>
      <c r="D15" s="64" cm="1">
        <f t="array" aca="1" ref="D15" ca="1">INDIRECT("'"&amp;$C$10&amp;"'!"&amp;D4)</f>
        <v>1349.9298966937502</v>
      </c>
      <c r="E15" s="64" cm="1">
        <f t="array" aca="1" ref="E15" ca="1">INDIRECT("'"&amp;$C$10&amp;"'!"&amp;E4)</f>
        <v>1356.5551999999998</v>
      </c>
      <c r="F15" s="502">
        <f ca="1">D15/C15-1</f>
        <v>-5.7892220009485462E-2</v>
      </c>
    </row>
    <row r="16" spans="2:7">
      <c r="B16" s="63" t="s">
        <v>7</v>
      </c>
      <c r="C16" s="649">
        <v>1305.9778587325</v>
      </c>
      <c r="D16" s="64" cm="1">
        <f t="array" aca="1" ref="D16" ca="1">INDIRECT("'"&amp;$C$10&amp;"'!"&amp;D5)</f>
        <v>1741.8253356050659</v>
      </c>
      <c r="E16" s="64" cm="1">
        <f t="array" aca="1" ref="E16" ca="1">INDIRECT("'"&amp;$C$10&amp;"'!"&amp;E5)</f>
        <v>0.26</v>
      </c>
      <c r="F16" t="s">
        <v>62</v>
      </c>
      <c r="G16">
        <f ca="1">D16/C16</f>
        <v>1.333732669323791</v>
      </c>
    </row>
    <row r="17" spans="2:6">
      <c r="B17" s="61" t="s">
        <v>6</v>
      </c>
      <c r="C17" s="650">
        <v>1626.2010226289901</v>
      </c>
      <c r="D17" s="64" cm="1">
        <f t="array" aca="1" ref="D17" ca="1">INDIRECT("'"&amp;$C$10&amp;"'!"&amp;D6)</f>
        <v>0</v>
      </c>
      <c r="E17" s="60" t="str" cm="1">
        <f t="array" aca="1" ref="E17" ca="1">INDIRECT("'"&amp;$C$10&amp;"'!"&amp;E6)</f>
        <v>-</v>
      </c>
      <c r="F17" s="503" t="e">
        <f ca="1">D18/D15-1</f>
        <v>#VALUE!</v>
      </c>
    </row>
    <row r="18" spans="2:6">
      <c r="B18" s="59" t="str">
        <f>CEO!C39</f>
        <v>Hudbay Minerals Inc.</v>
      </c>
      <c r="C18" s="656">
        <v>1101</v>
      </c>
      <c r="D18" s="58" t="str">
        <f>'NEO5'!W37</f>
        <v>-</v>
      </c>
      <c r="E18" s="58" t="str">
        <f>D18</f>
        <v>-</v>
      </c>
      <c r="F18" s="502" t="e">
        <f>D18/C18-1</f>
        <v>#VALUE!</v>
      </c>
    </row>
    <row r="19" spans="2:6">
      <c r="B19" s="71"/>
      <c r="C19" s="70"/>
      <c r="D19" s="70"/>
      <c r="E19" s="70"/>
    </row>
    <row r="20" spans="2:6">
      <c r="B20" s="69" t="s">
        <v>66</v>
      </c>
      <c r="C20" s="68"/>
      <c r="D20" s="68"/>
      <c r="E20" s="68"/>
    </row>
    <row r="21" spans="2:6">
      <c r="B21" s="67" t="s">
        <v>65</v>
      </c>
      <c r="C21" s="66">
        <f>C16</f>
        <v>1305.9778587325</v>
      </c>
      <c r="D21" s="66">
        <f ca="1">D16</f>
        <v>1741.8253356050659</v>
      </c>
      <c r="E21" s="66">
        <f ca="1">E16</f>
        <v>0.26</v>
      </c>
    </row>
    <row r="22" spans="2:6">
      <c r="B22" s="65" t="s">
        <v>64</v>
      </c>
      <c r="C22" s="64">
        <f>(C15-C16)</f>
        <v>126.90479584800005</v>
      </c>
      <c r="D22" s="64">
        <f ca="1">(D15-D16)</f>
        <v>-391.89543891131575</v>
      </c>
      <c r="E22" s="64">
        <f ca="1">(E15-E16)</f>
        <v>1356.2951999999998</v>
      </c>
    </row>
    <row r="23" spans="2:6">
      <c r="B23" s="63" t="s">
        <v>63</v>
      </c>
      <c r="C23" s="62">
        <f>(C14-C15)</f>
        <v>495.01882946759065</v>
      </c>
      <c r="D23" s="62">
        <f ca="1">(D14-D15)</f>
        <v>259.57568142165587</v>
      </c>
      <c r="E23" s="62">
        <f ca="1">(E14-E15)</f>
        <v>-1355.9261999999999</v>
      </c>
    </row>
    <row r="24" spans="2:6">
      <c r="B24" s="61" t="s">
        <v>6</v>
      </c>
      <c r="C24" s="60">
        <f t="shared" ref="C24:E25" si="0">C17</f>
        <v>1626.2010226289901</v>
      </c>
      <c r="D24" s="60">
        <f t="shared" ca="1" si="0"/>
        <v>0</v>
      </c>
      <c r="E24" s="60" t="str">
        <f t="shared" ca="1" si="0"/>
        <v>-</v>
      </c>
    </row>
    <row r="25" spans="2:6">
      <c r="B25" s="59" t="str">
        <f>B18</f>
        <v>Hudbay Minerals Inc.</v>
      </c>
      <c r="C25" s="58">
        <f t="shared" si="0"/>
        <v>1101</v>
      </c>
      <c r="D25" s="58" t="str">
        <f t="shared" si="0"/>
        <v>-</v>
      </c>
      <c r="E25" s="58" t="str">
        <f t="shared" si="0"/>
        <v>-</v>
      </c>
    </row>
    <row r="27" spans="2:6">
      <c r="B27" s="57" t="s">
        <v>62</v>
      </c>
      <c r="C27" s="56">
        <f>C18-C15</f>
        <v>-331.8826545805</v>
      </c>
      <c r="D27" s="56" t="e">
        <f ca="1">D18-D15</f>
        <v>#VALUE!</v>
      </c>
      <c r="E27" s="56" t="e">
        <f ca="1">E18-E15</f>
        <v>#VALUE!</v>
      </c>
    </row>
    <row r="28" spans="2:6">
      <c r="B28" s="57" t="s">
        <v>477</v>
      </c>
      <c r="C28" s="56">
        <f>C18-C16</f>
        <v>-204.97785873249995</v>
      </c>
      <c r="D28" s="56" t="e">
        <f ca="1">D18-D16</f>
        <v>#VALUE!</v>
      </c>
      <c r="E28" s="56" t="e">
        <f ca="1">E18-E16</f>
        <v>#VALUE!</v>
      </c>
      <c r="F28" t="e">
        <f ca="1">E28/E16</f>
        <v>#VALUE!</v>
      </c>
    </row>
    <row r="29" spans="2:6">
      <c r="B29" s="472" t="s">
        <v>421</v>
      </c>
      <c r="C29" s="473"/>
      <c r="D29" s="473"/>
      <c r="E29" s="473"/>
    </row>
    <row r="30" spans="2:6">
      <c r="B30" t="s">
        <v>446</v>
      </c>
      <c r="E30" s="54">
        <f>Tech!W35</f>
        <v>1338.3050249250002</v>
      </c>
    </row>
    <row r="31" spans="2:6">
      <c r="B31" t="s">
        <v>447</v>
      </c>
      <c r="C31" s="54"/>
      <c r="E31" s="54">
        <f>Tech!W37</f>
        <v>1891.3367790000002</v>
      </c>
    </row>
    <row r="32" spans="2:6">
      <c r="B32" t="s">
        <v>448</v>
      </c>
      <c r="C32" s="54"/>
      <c r="E32" s="54">
        <v>2500</v>
      </c>
      <c r="F32" t="str">
        <f>Tech!W41</f>
        <v>-</v>
      </c>
    </row>
    <row r="33" spans="2:5">
      <c r="B33" t="s">
        <v>449</v>
      </c>
      <c r="E33" s="54">
        <f>Tech!W43</f>
        <v>2468.5255524999998</v>
      </c>
    </row>
    <row r="34" spans="2:5">
      <c r="B34" t="s">
        <v>450</v>
      </c>
      <c r="E34" s="54" t="str">
        <f>Tech!W44</f>
        <v>-</v>
      </c>
    </row>
    <row r="35" spans="2:5">
      <c r="E35" s="54"/>
    </row>
  </sheetData>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3A45C-DB27-474C-974F-FA652AAFEF4E}">
  <sheetPr>
    <tabColor theme="4"/>
  </sheetPr>
  <dimension ref="A1:B36"/>
  <sheetViews>
    <sheetView workbookViewId="0"/>
  </sheetViews>
  <sheetFormatPr defaultRowHeight="14.5"/>
  <sheetData>
    <row r="1" spans="1:2">
      <c r="A1" t="s">
        <v>754</v>
      </c>
      <c r="B1" s="1055">
        <v>46198.646678240744</v>
      </c>
    </row>
    <row r="2" spans="1:2">
      <c r="A2" t="s">
        <v>777</v>
      </c>
      <c r="B2" s="1055">
        <v>46204.275763888887</v>
      </c>
    </row>
    <row r="3" spans="1:2">
      <c r="A3" t="s">
        <v>778</v>
      </c>
      <c r="B3" s="1055">
        <v>46204.275763888887</v>
      </c>
    </row>
    <row r="4" spans="1:2">
      <c r="A4" t="s">
        <v>800</v>
      </c>
      <c r="B4" s="1055">
        <v>46203.682175925926</v>
      </c>
    </row>
    <row r="5" spans="1:2">
      <c r="A5" t="s">
        <v>801</v>
      </c>
      <c r="B5" s="1055">
        <v>46203.682175925926</v>
      </c>
    </row>
    <row r="6" spans="1:2">
      <c r="A6" t="s">
        <v>802</v>
      </c>
      <c r="B6" s="1055">
        <v>46203.665127314816</v>
      </c>
    </row>
    <row r="7" spans="1:2">
      <c r="A7" t="s">
        <v>803</v>
      </c>
      <c r="B7" s="1055">
        <v>46203.665370370371</v>
      </c>
    </row>
    <row r="8" spans="1:2">
      <c r="A8" t="s">
        <v>804</v>
      </c>
      <c r="B8" s="1055">
        <v>46204.669398148151</v>
      </c>
    </row>
    <row r="9" spans="1:2">
      <c r="A9" t="s">
        <v>805</v>
      </c>
      <c r="B9" s="1055">
        <v>46203.666319444441</v>
      </c>
    </row>
    <row r="10" spans="1:2">
      <c r="A10" t="s">
        <v>806</v>
      </c>
      <c r="B10" s="1055">
        <v>46203.682175925926</v>
      </c>
    </row>
    <row r="11" spans="1:2">
      <c r="A11" t="s">
        <v>807</v>
      </c>
      <c r="B11" s="1055">
        <v>46203.667129629626</v>
      </c>
    </row>
    <row r="12" spans="1:2">
      <c r="A12" t="s">
        <v>808</v>
      </c>
      <c r="B12" s="1055">
        <v>46204.670300925929</v>
      </c>
    </row>
    <row r="13" spans="1:2">
      <c r="A13" t="s">
        <v>809</v>
      </c>
      <c r="B13" s="1055">
        <v>46204.275763888887</v>
      </c>
    </row>
    <row r="14" spans="1:2">
      <c r="A14" t="s">
        <v>810</v>
      </c>
      <c r="B14" s="1055">
        <v>46204.275763888887</v>
      </c>
    </row>
    <row r="15" spans="1:2">
      <c r="A15" t="s">
        <v>811</v>
      </c>
      <c r="B15" s="1055">
        <v>46204.275763888887</v>
      </c>
    </row>
    <row r="16" spans="1:2">
      <c r="A16" t="s">
        <v>812</v>
      </c>
      <c r="B16" s="1055">
        <v>46204.668668981481</v>
      </c>
    </row>
    <row r="17" spans="1:2">
      <c r="A17" t="s">
        <v>813</v>
      </c>
      <c r="B17" s="1055">
        <v>46204.668668981481</v>
      </c>
    </row>
    <row r="18" spans="1:2">
      <c r="A18" t="s">
        <v>814</v>
      </c>
      <c r="B18" s="1055">
        <v>46204.669398148151</v>
      </c>
    </row>
    <row r="19" spans="1:2">
      <c r="A19" t="s">
        <v>815</v>
      </c>
      <c r="B19" s="1055">
        <v>46203.911377314813</v>
      </c>
    </row>
    <row r="20" spans="1:2">
      <c r="A20" t="s">
        <v>816</v>
      </c>
      <c r="B20" s="1055">
        <v>46204.277870370373</v>
      </c>
    </row>
    <row r="21" spans="1:2">
      <c r="A21" t="s">
        <v>817</v>
      </c>
      <c r="B21" s="1055">
        <v>46204.277986111112</v>
      </c>
    </row>
    <row r="22" spans="1:2">
      <c r="A22" t="s">
        <v>818</v>
      </c>
      <c r="B22" s="1055">
        <v>46203.92690972222</v>
      </c>
    </row>
    <row r="23" spans="1:2">
      <c r="A23" t="s">
        <v>819</v>
      </c>
      <c r="B23" s="1055">
        <v>46204.665659722225</v>
      </c>
    </row>
    <row r="24" spans="1:2">
      <c r="A24" t="s">
        <v>820</v>
      </c>
      <c r="B24" s="1055">
        <v>46204.665266203701</v>
      </c>
    </row>
    <row r="25" spans="1:2">
      <c r="A25" t="s">
        <v>821</v>
      </c>
      <c r="B25" s="1055">
        <v>46204.667905092596</v>
      </c>
    </row>
    <row r="26" spans="1:2">
      <c r="A26" t="s">
        <v>822</v>
      </c>
      <c r="B26" s="1055">
        <v>46204.278437499997</v>
      </c>
    </row>
    <row r="27" spans="1:2">
      <c r="A27" t="s">
        <v>823</v>
      </c>
      <c r="B27" s="1055">
        <v>46204.278437499997</v>
      </c>
    </row>
    <row r="28" spans="1:2">
      <c r="A28" t="s">
        <v>824</v>
      </c>
      <c r="B28" s="1055">
        <v>46203.93922453704</v>
      </c>
    </row>
    <row r="29" spans="1:2">
      <c r="A29" t="s">
        <v>825</v>
      </c>
      <c r="B29" s="1055">
        <v>46203.942754629628</v>
      </c>
    </row>
    <row r="30" spans="1:2">
      <c r="A30" t="s">
        <v>826</v>
      </c>
      <c r="B30" s="1055">
        <v>46204.667627314811</v>
      </c>
    </row>
    <row r="31" spans="1:2">
      <c r="A31" t="s">
        <v>827</v>
      </c>
      <c r="B31" s="1055">
        <v>46204.279270833336</v>
      </c>
    </row>
    <row r="32" spans="1:2">
      <c r="A32" t="s">
        <v>828</v>
      </c>
      <c r="B32" s="1055">
        <v>46203.953472222223</v>
      </c>
    </row>
    <row r="33" spans="1:2">
      <c r="A33" t="s">
        <v>829</v>
      </c>
      <c r="B33" s="1055">
        <v>46204.667164351849</v>
      </c>
    </row>
    <row r="34" spans="1:2">
      <c r="A34" t="s">
        <v>830</v>
      </c>
      <c r="B34" s="1055">
        <v>46204.281724537039</v>
      </c>
    </row>
    <row r="35" spans="1:2">
      <c r="A35" t="s">
        <v>888</v>
      </c>
      <c r="B35" s="1055">
        <v>46204.673182870371</v>
      </c>
    </row>
    <row r="36" spans="1:2">
      <c r="A36" t="s">
        <v>889</v>
      </c>
      <c r="B36" s="1055">
        <v>46204.674571759257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21E34-6047-4EF5-9903-6C0CBCA415D4}">
  <sheetPr>
    <tabColor theme="4"/>
    <pageSetUpPr autoPageBreaks="0"/>
  </sheetPr>
  <dimension ref="B2:G35"/>
  <sheetViews>
    <sheetView workbookViewId="0">
      <selection activeCell="S33" sqref="S33"/>
    </sheetView>
  </sheetViews>
  <sheetFormatPr defaultRowHeight="14.5" outlineLevelRow="1"/>
  <cols>
    <col min="2" max="2" width="26.26953125" bestFit="1" customWidth="1"/>
    <col min="3" max="5" width="15.7265625" customWidth="1"/>
  </cols>
  <sheetData>
    <row r="2" spans="2:7" outlineLevel="1">
      <c r="B2" s="475" t="s">
        <v>399</v>
      </c>
      <c r="C2" s="652">
        <v>2023</v>
      </c>
      <c r="D2" s="476">
        <f>C2+1</f>
        <v>2024</v>
      </c>
      <c r="E2" s="476">
        <f>D2+1</f>
        <v>2025</v>
      </c>
    </row>
    <row r="3" spans="2:7" outlineLevel="1">
      <c r="B3" s="474" t="str">
        <f>B14</f>
        <v>75th Percentile</v>
      </c>
      <c r="C3" s="653" t="s">
        <v>400</v>
      </c>
      <c r="D3" s="157" t="s">
        <v>404</v>
      </c>
      <c r="E3" s="157" t="s">
        <v>405</v>
      </c>
    </row>
    <row r="4" spans="2:7" outlineLevel="1">
      <c r="B4" s="474" t="str">
        <f>B15</f>
        <v>Median</v>
      </c>
      <c r="C4" s="653" t="s">
        <v>401</v>
      </c>
      <c r="D4" s="157" t="s">
        <v>406</v>
      </c>
      <c r="E4" s="157" t="s">
        <v>407</v>
      </c>
    </row>
    <row r="5" spans="2:7" outlineLevel="1">
      <c r="B5" s="474" t="str">
        <f>B16</f>
        <v>25th Percentile</v>
      </c>
      <c r="C5" s="653" t="s">
        <v>402</v>
      </c>
      <c r="D5" s="157" t="s">
        <v>408</v>
      </c>
      <c r="E5" s="157" t="s">
        <v>409</v>
      </c>
    </row>
    <row r="6" spans="2:7" outlineLevel="1">
      <c r="B6" s="474" t="str">
        <f>B17</f>
        <v>Average</v>
      </c>
      <c r="C6" s="653" t="s">
        <v>403</v>
      </c>
      <c r="D6" s="157" t="s">
        <v>410</v>
      </c>
      <c r="E6" s="157" t="s">
        <v>411</v>
      </c>
    </row>
    <row r="7" spans="2:7" outlineLevel="1">
      <c r="B7" s="474" t="str">
        <f>B18</f>
        <v>Hudbay Minerals Inc.</v>
      </c>
      <c r="C7" s="653" t="s">
        <v>416</v>
      </c>
      <c r="D7" s="157" t="s">
        <v>412</v>
      </c>
      <c r="E7" s="157" t="s">
        <v>412</v>
      </c>
    </row>
    <row r="8" spans="2:7" outlineLevel="1"/>
    <row r="10" spans="2:7">
      <c r="C10" s="471" t="s">
        <v>352</v>
      </c>
    </row>
    <row r="11" spans="2:7" ht="15" customHeight="1">
      <c r="B11" s="76"/>
      <c r="C11" s="470" t="s">
        <v>68</v>
      </c>
      <c r="D11" s="78"/>
      <c r="E11" s="77"/>
    </row>
    <row r="12" spans="2:7" ht="30">
      <c r="B12" s="76"/>
      <c r="C12" s="75" t="s">
        <v>438</v>
      </c>
      <c r="D12" s="75" t="s">
        <v>439</v>
      </c>
      <c r="E12" s="75" t="s">
        <v>440</v>
      </c>
    </row>
    <row r="13" spans="2:7">
      <c r="B13" s="74" t="s">
        <v>67</v>
      </c>
      <c r="C13" s="73"/>
      <c r="D13" s="73"/>
      <c r="E13" s="73"/>
    </row>
    <row r="14" spans="2:7">
      <c r="B14" s="67" t="s">
        <v>9</v>
      </c>
      <c r="C14" s="648">
        <v>1927.9014840480907</v>
      </c>
      <c r="D14" s="72" cm="1">
        <f t="array" aca="1" ref="D14" ca="1">INDIRECT("'"&amp;$C$10&amp;"'!"&amp;D3)</f>
        <v>1609.505578115406</v>
      </c>
      <c r="E14" s="72" cm="1">
        <f t="array" aca="1" ref="E14" ca="1">INDIRECT("'"&amp;$C$10&amp;"'!"&amp;E3)</f>
        <v>0.629</v>
      </c>
      <c r="F14" t="s">
        <v>437</v>
      </c>
    </row>
    <row r="15" spans="2:7">
      <c r="B15" s="65" t="s">
        <v>8</v>
      </c>
      <c r="C15" s="649">
        <v>1432.8826545805</v>
      </c>
      <c r="D15" s="64" cm="1">
        <f t="array" aca="1" ref="D15" ca="1">INDIRECT("'"&amp;$C$10&amp;"'!"&amp;D4)</f>
        <v>1349.9298966937502</v>
      </c>
      <c r="E15" s="64" cm="1">
        <f t="array" aca="1" ref="E15" ca="1">INDIRECT("'"&amp;$C$10&amp;"'!"&amp;E4)</f>
        <v>1356.5551999999998</v>
      </c>
      <c r="F15" s="502">
        <f ca="1">D15/C15-1</f>
        <v>-5.7892220009485462E-2</v>
      </c>
    </row>
    <row r="16" spans="2:7">
      <c r="B16" s="63" t="s">
        <v>7</v>
      </c>
      <c r="C16" s="649">
        <v>1305.9778587325</v>
      </c>
      <c r="D16" s="64" cm="1">
        <f t="array" aca="1" ref="D16" ca="1">INDIRECT("'"&amp;$C$10&amp;"'!"&amp;D5)</f>
        <v>1741.8253356050659</v>
      </c>
      <c r="E16" s="64" cm="1">
        <f t="array" aca="1" ref="E16" ca="1">INDIRECT("'"&amp;$C$10&amp;"'!"&amp;E5)</f>
        <v>0.26</v>
      </c>
      <c r="F16" t="s">
        <v>62</v>
      </c>
      <c r="G16">
        <f ca="1">D16/C16-1</f>
        <v>0.33373266932379098</v>
      </c>
    </row>
    <row r="17" spans="2:6">
      <c r="B17" s="61" t="s">
        <v>6</v>
      </c>
      <c r="C17" s="650">
        <v>1626.2010226289901</v>
      </c>
      <c r="D17" s="64" cm="1">
        <f t="array" aca="1" ref="D17" ca="1">INDIRECT("'"&amp;$C$10&amp;"'!"&amp;D6)</f>
        <v>0</v>
      </c>
      <c r="E17" s="60" t="str" cm="1">
        <f t="array" aca="1" ref="E17" ca="1">INDIRECT("'"&amp;$C$10&amp;"'!"&amp;E6)</f>
        <v>-</v>
      </c>
      <c r="F17" s="503">
        <f ca="1">D18/D15-1</f>
        <v>4.9078869372967127E-3</v>
      </c>
    </row>
    <row r="18" spans="2:6">
      <c r="B18" s="59" t="str">
        <f>CEO!C39</f>
        <v>Hudbay Minerals Inc.</v>
      </c>
      <c r="C18" s="651">
        <v>954</v>
      </c>
      <c r="D18" s="58">
        <f>'NEO5'!W35</f>
        <v>1356.5551999999998</v>
      </c>
      <c r="E18" s="58">
        <f>D18</f>
        <v>1356.5551999999998</v>
      </c>
      <c r="F18" s="502">
        <f>D18/C18-1</f>
        <v>0.42196561844863711</v>
      </c>
    </row>
    <row r="19" spans="2:6">
      <c r="B19" s="71"/>
      <c r="C19" s="70"/>
      <c r="D19" s="70"/>
      <c r="E19" s="70"/>
    </row>
    <row r="20" spans="2:6">
      <c r="B20" s="69" t="s">
        <v>66</v>
      </c>
      <c r="C20" s="68"/>
      <c r="D20" s="68"/>
      <c r="E20" s="68"/>
    </row>
    <row r="21" spans="2:6">
      <c r="B21" s="67" t="s">
        <v>65</v>
      </c>
      <c r="C21" s="66">
        <f>C16</f>
        <v>1305.9778587325</v>
      </c>
      <c r="D21" s="66">
        <f ca="1">D16</f>
        <v>1741.8253356050659</v>
      </c>
      <c r="E21" s="66">
        <f ca="1">E16</f>
        <v>0.26</v>
      </c>
    </row>
    <row r="22" spans="2:6">
      <c r="B22" s="65" t="s">
        <v>64</v>
      </c>
      <c r="C22" s="64">
        <f>(C15-C16)</f>
        <v>126.90479584800005</v>
      </c>
      <c r="D22" s="64">
        <f ca="1">(D15-D16)</f>
        <v>-391.89543891131575</v>
      </c>
      <c r="E22" s="64">
        <f ca="1">(E15-E16)</f>
        <v>1356.2951999999998</v>
      </c>
    </row>
    <row r="23" spans="2:6">
      <c r="B23" s="63" t="s">
        <v>63</v>
      </c>
      <c r="C23" s="62">
        <f>(C14-C15)</f>
        <v>495.01882946759065</v>
      </c>
      <c r="D23" s="62">
        <f ca="1">(D14-D15)</f>
        <v>259.57568142165587</v>
      </c>
      <c r="E23" s="62">
        <f ca="1">(E14-E15)</f>
        <v>-1355.9261999999999</v>
      </c>
    </row>
    <row r="24" spans="2:6">
      <c r="B24" s="61" t="s">
        <v>6</v>
      </c>
      <c r="C24" s="60">
        <f t="shared" ref="C24:E25" si="0">C17</f>
        <v>1626.2010226289901</v>
      </c>
      <c r="D24" s="60">
        <f t="shared" ca="1" si="0"/>
        <v>0</v>
      </c>
      <c r="E24" s="60" t="str">
        <f t="shared" ca="1" si="0"/>
        <v>-</v>
      </c>
    </row>
    <row r="25" spans="2:6">
      <c r="B25" s="59" t="str">
        <f>B18</f>
        <v>Hudbay Minerals Inc.</v>
      </c>
      <c r="C25" s="58">
        <f t="shared" si="0"/>
        <v>954</v>
      </c>
      <c r="D25" s="58">
        <f t="shared" si="0"/>
        <v>1356.5551999999998</v>
      </c>
      <c r="E25" s="58">
        <f t="shared" si="0"/>
        <v>1356.5551999999998</v>
      </c>
    </row>
    <row r="27" spans="2:6">
      <c r="B27" s="57" t="s">
        <v>62</v>
      </c>
      <c r="C27" s="56">
        <f>C18-C15</f>
        <v>-478.8826545805</v>
      </c>
      <c r="D27" s="56">
        <f ca="1">D18-D15</f>
        <v>6.6253033062496343</v>
      </c>
      <c r="E27" s="56">
        <f ca="1">E18-E15</f>
        <v>0</v>
      </c>
    </row>
    <row r="29" spans="2:6">
      <c r="B29" s="472" t="s">
        <v>421</v>
      </c>
      <c r="C29" s="473"/>
      <c r="D29" s="473"/>
      <c r="E29" s="473"/>
    </row>
    <row r="30" spans="2:6">
      <c r="B30" t="s">
        <v>451</v>
      </c>
      <c r="E30" s="54">
        <f>Region!W36</f>
        <v>2511.1574070000001</v>
      </c>
    </row>
    <row r="31" spans="2:6">
      <c r="B31" t="s">
        <v>447</v>
      </c>
      <c r="C31" s="54"/>
      <c r="E31" s="54" t="str">
        <f>Region!W37</f>
        <v>-</v>
      </c>
    </row>
    <row r="32" spans="2:6">
      <c r="B32" t="s">
        <v>452</v>
      </c>
      <c r="C32" s="54"/>
      <c r="E32" s="54" t="str">
        <f>Region!W39</f>
        <v>-</v>
      </c>
    </row>
    <row r="33" spans="2:5">
      <c r="B33" t="s">
        <v>450</v>
      </c>
      <c r="E33" s="54" t="str">
        <f>Region!W44</f>
        <v>-</v>
      </c>
    </row>
    <row r="34" spans="2:5">
      <c r="B34" t="s">
        <v>478</v>
      </c>
      <c r="E34" s="54" t="str">
        <f>Region!W46</f>
        <v>-</v>
      </c>
    </row>
    <row r="35" spans="2:5">
      <c r="B35" t="s">
        <v>479</v>
      </c>
      <c r="E35" s="54" t="str">
        <f>Region!W47</f>
        <v>-</v>
      </c>
    </row>
  </sheetData>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991E8-7947-44E6-83FD-C23A25A95DD0}">
  <sheetPr>
    <tabColor rgb="FFF0531E"/>
    <pageSetUpPr autoPageBreaks="0"/>
  </sheetPr>
  <dimension ref="B3:F24"/>
  <sheetViews>
    <sheetView zoomScaleNormal="100" workbookViewId="0">
      <selection activeCell="F7" sqref="F7"/>
    </sheetView>
  </sheetViews>
  <sheetFormatPr defaultRowHeight="14.5"/>
  <cols>
    <col min="2" max="2" width="26.26953125" bestFit="1" customWidth="1"/>
    <col min="3" max="5" width="15.7265625" customWidth="1"/>
  </cols>
  <sheetData>
    <row r="3" spans="2:6" ht="15" customHeight="1">
      <c r="B3" s="76"/>
      <c r="C3" s="79" t="s">
        <v>351</v>
      </c>
      <c r="D3" s="78" t="str">
        <f>C3</f>
        <v>NEO4</v>
      </c>
      <c r="E3" s="77" t="str">
        <f>D3</f>
        <v>NEO4</v>
      </c>
      <c r="F3" s="77"/>
    </row>
    <row r="4" spans="2:6" ht="30">
      <c r="B4" s="76"/>
      <c r="C4" s="75" t="s">
        <v>439</v>
      </c>
      <c r="D4" s="75" t="s">
        <v>675</v>
      </c>
      <c r="E4" s="75" t="s">
        <v>749</v>
      </c>
    </row>
    <row r="5" spans="2:6">
      <c r="B5" s="74" t="s">
        <v>67</v>
      </c>
      <c r="C5" s="73"/>
      <c r="D5" s="73"/>
      <c r="E5" s="73"/>
    </row>
    <row r="6" spans="2:6">
      <c r="B6" s="67" t="s">
        <v>9</v>
      </c>
      <c r="C6" s="648">
        <v>2486.1915196150203</v>
      </c>
      <c r="D6" s="72">
        <f>'NEO4'!W24</f>
        <v>2731.0360156249999</v>
      </c>
      <c r="E6" s="72">
        <f>'NEO4'!W29</f>
        <v>2741.9341921874998</v>
      </c>
    </row>
    <row r="7" spans="2:6">
      <c r="B7" s="65" t="s">
        <v>8</v>
      </c>
      <c r="C7" s="648">
        <v>1880.3622243831342</v>
      </c>
      <c r="D7" s="72">
        <f>'NEO4'!W25</f>
        <v>2101.5052437758213</v>
      </c>
      <c r="E7" s="72">
        <f>'NEO4'!W30</f>
        <v>2119.0434548421827</v>
      </c>
      <c r="F7" s="340">
        <f>D7/C7 -1</f>
        <v>0.1176066060703993</v>
      </c>
    </row>
    <row r="8" spans="2:6">
      <c r="B8" s="63" t="s">
        <v>7</v>
      </c>
      <c r="C8" s="648">
        <v>1621.8000000000002</v>
      </c>
      <c r="D8" s="72">
        <f>'NEO4'!W26</f>
        <v>1513.9375</v>
      </c>
      <c r="E8" s="72">
        <f>'NEO4'!W31</f>
        <v>1542.8112500000002</v>
      </c>
    </row>
    <row r="9" spans="2:6">
      <c r="B9" s="61" t="s">
        <v>6</v>
      </c>
      <c r="C9" s="648">
        <v>2012.1751832934981</v>
      </c>
      <c r="D9" s="72">
        <f>'NEO4'!W27</f>
        <v>2103.6494885705856</v>
      </c>
      <c r="E9" s="72">
        <f>'NEO4'!W32</f>
        <v>2095.3517551975506</v>
      </c>
    </row>
    <row r="10" spans="2:6">
      <c r="B10" s="59" t="str">
        <f>CEO!C39</f>
        <v>Hudbay Minerals Inc.</v>
      </c>
      <c r="C10" s="1102">
        <v>1698.7123999999999</v>
      </c>
      <c r="D10" s="66">
        <f>'NEO4'!W34</f>
        <v>1791.7339999999999</v>
      </c>
      <c r="E10" s="66">
        <f>'NEO4'!W34</f>
        <v>1791.7339999999999</v>
      </c>
    </row>
    <row r="11" spans="2:6">
      <c r="B11" s="71"/>
      <c r="C11" s="70"/>
      <c r="D11" s="70"/>
      <c r="E11" s="70"/>
    </row>
    <row r="12" spans="2:6">
      <c r="B12" s="69" t="s">
        <v>66</v>
      </c>
      <c r="C12" s="68"/>
      <c r="D12" s="68"/>
      <c r="E12" s="68"/>
    </row>
    <row r="13" spans="2:6">
      <c r="B13" s="67" t="s">
        <v>65</v>
      </c>
      <c r="C13" s="66">
        <f>C8</f>
        <v>1621.8000000000002</v>
      </c>
      <c r="D13" s="66">
        <f>D8</f>
        <v>1513.9375</v>
      </c>
      <c r="E13" s="66">
        <f>E8</f>
        <v>1542.8112500000002</v>
      </c>
    </row>
    <row r="14" spans="2:6">
      <c r="B14" s="65" t="s">
        <v>64</v>
      </c>
      <c r="C14" s="64">
        <f>(C7-C8)</f>
        <v>258.56222438313398</v>
      </c>
      <c r="D14" s="64">
        <f>(D7-D8)</f>
        <v>587.56774377582133</v>
      </c>
      <c r="E14" s="64">
        <f>(E7-E8)</f>
        <v>576.23220484218245</v>
      </c>
    </row>
    <row r="15" spans="2:6">
      <c r="B15" s="63" t="s">
        <v>63</v>
      </c>
      <c r="C15" s="62">
        <f>(C6-C7)</f>
        <v>605.82929523188614</v>
      </c>
      <c r="D15" s="62">
        <f>(D6-D7)</f>
        <v>629.53077184917856</v>
      </c>
      <c r="E15" s="62">
        <f>(E6-E7)</f>
        <v>622.89073734531712</v>
      </c>
    </row>
    <row r="16" spans="2:6">
      <c r="B16" s="61" t="s">
        <v>6</v>
      </c>
      <c r="C16" s="60">
        <f t="shared" ref="C16:E17" si="0">C9</f>
        <v>2012.1751832934981</v>
      </c>
      <c r="D16" s="60">
        <f t="shared" si="0"/>
        <v>2103.6494885705856</v>
      </c>
      <c r="E16" s="60">
        <f t="shared" si="0"/>
        <v>2095.3517551975506</v>
      </c>
    </row>
    <row r="17" spans="2:5">
      <c r="B17" s="59" t="str">
        <f>B10</f>
        <v>Hudbay Minerals Inc.</v>
      </c>
      <c r="C17" s="58">
        <f t="shared" si="0"/>
        <v>1698.7123999999999</v>
      </c>
      <c r="D17" s="58">
        <f t="shared" si="0"/>
        <v>1791.7339999999999</v>
      </c>
      <c r="E17" s="58">
        <f t="shared" si="0"/>
        <v>1791.7339999999999</v>
      </c>
    </row>
    <row r="18" spans="2:5">
      <c r="B18" s="986" t="s">
        <v>450</v>
      </c>
      <c r="C18" s="1103">
        <v>2562.1035000000002</v>
      </c>
      <c r="D18" s="987">
        <f>Region!W8</f>
        <v>2438.0169000000001</v>
      </c>
      <c r="E18" s="987">
        <f>Region!W36</f>
        <v>2511.1574070000001</v>
      </c>
    </row>
    <row r="19" spans="2:5">
      <c r="B19" s="57" t="s">
        <v>62</v>
      </c>
      <c r="C19" s="56">
        <f>C10-C7</f>
        <v>-181.64982438313427</v>
      </c>
      <c r="D19" s="56">
        <f>D10-D7</f>
        <v>-309.7712437758214</v>
      </c>
      <c r="E19" s="56">
        <f>E10-E7</f>
        <v>-327.30945484218273</v>
      </c>
    </row>
    <row r="22" spans="2:5">
      <c r="B22" s="1065" t="s">
        <v>760</v>
      </c>
    </row>
    <row r="23" spans="2:5">
      <c r="B23" s="55"/>
      <c r="C23" s="54"/>
      <c r="E23" s="54"/>
    </row>
    <row r="24" spans="2:5">
      <c r="B24" s="55"/>
      <c r="C24" s="54"/>
      <c r="E24" s="54"/>
    </row>
  </sheetData>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ED1F2-7AEA-4B46-AE72-A38825179FD9}">
  <sheetPr>
    <tabColor rgb="FFF0531E"/>
    <pageSetUpPr autoPageBreaks="0"/>
  </sheetPr>
  <dimension ref="B3:H28"/>
  <sheetViews>
    <sheetView zoomScaleNormal="100" workbookViewId="0">
      <selection activeCell="F29" sqref="F29"/>
    </sheetView>
  </sheetViews>
  <sheetFormatPr defaultRowHeight="14.5"/>
  <cols>
    <col min="2" max="2" width="26.26953125" bestFit="1" customWidth="1"/>
    <col min="3" max="5" width="15.7265625" customWidth="1"/>
  </cols>
  <sheetData>
    <row r="3" spans="2:8" ht="15" customHeight="1">
      <c r="B3" s="76"/>
      <c r="C3" s="79" t="s">
        <v>352</v>
      </c>
      <c r="D3" s="78"/>
      <c r="E3" s="77"/>
      <c r="F3" s="79" t="s">
        <v>361</v>
      </c>
      <c r="G3" s="78"/>
      <c r="H3" s="77"/>
    </row>
    <row r="4" spans="2:8" ht="45">
      <c r="B4" s="76"/>
      <c r="C4" s="75" t="s">
        <v>439</v>
      </c>
      <c r="D4" s="75" t="s">
        <v>675</v>
      </c>
      <c r="E4" s="75" t="s">
        <v>749</v>
      </c>
      <c r="F4" s="75" t="s">
        <v>439</v>
      </c>
      <c r="G4" s="75" t="s">
        <v>675</v>
      </c>
      <c r="H4" s="75" t="s">
        <v>749</v>
      </c>
    </row>
    <row r="5" spans="2:8">
      <c r="B5" s="74" t="s">
        <v>67</v>
      </c>
      <c r="C5" s="73"/>
      <c r="D5" s="73"/>
      <c r="E5" s="73"/>
    </row>
    <row r="6" spans="2:8">
      <c r="B6" s="67" t="s">
        <v>9</v>
      </c>
      <c r="C6" s="1104">
        <v>1935.2286802512044</v>
      </c>
      <c r="D6" s="984">
        <f>'NEO5'!W23</f>
        <v>1947.346575</v>
      </c>
      <c r="E6" s="984">
        <f>'NEO5'!W28</f>
        <v>1961.11844475</v>
      </c>
      <c r="F6" s="648">
        <v>2101.4876677800848</v>
      </c>
      <c r="G6" s="72">
        <f>Tech!W17</f>
        <v>2142.1494944239194</v>
      </c>
      <c r="H6" s="72">
        <f>Tech!W22</f>
        <v>2206.413979256637</v>
      </c>
    </row>
    <row r="7" spans="2:8">
      <c r="B7" s="65" t="s">
        <v>8</v>
      </c>
      <c r="C7" s="1104">
        <v>1545.257864490181</v>
      </c>
      <c r="D7" s="984">
        <f>'NEO5'!W24</f>
        <v>1562.6267748693263</v>
      </c>
      <c r="E7" s="984">
        <f>'NEO5'!W29</f>
        <v>1609.505578115406</v>
      </c>
      <c r="F7" s="648">
        <v>1662.8708238274999</v>
      </c>
      <c r="G7" s="72">
        <f>Tech!W18</f>
        <v>1795.75965</v>
      </c>
      <c r="H7" s="72">
        <f>Tech!W23</f>
        <v>1849.6324395000001</v>
      </c>
    </row>
    <row r="8" spans="2:8">
      <c r="B8" s="63" t="s">
        <v>7</v>
      </c>
      <c r="C8" s="1104">
        <v>1415.0239999999999</v>
      </c>
      <c r="D8" s="984">
        <f>'NEO5'!W25</f>
        <v>1339.8463686937503</v>
      </c>
      <c r="E8" s="984">
        <f>'NEO5'!W30</f>
        <v>1349.9298966937502</v>
      </c>
      <c r="F8" s="648">
        <v>1403.6875</v>
      </c>
      <c r="G8" s="72">
        <f>Tech!W19</f>
        <v>1498.7880796650566</v>
      </c>
      <c r="H8" s="72">
        <f>Tech!W24</f>
        <v>1543.7517220550085</v>
      </c>
    </row>
    <row r="9" spans="2:8">
      <c r="B9" s="61" t="s">
        <v>6</v>
      </c>
      <c r="C9" s="1104">
        <v>1702.093364541762</v>
      </c>
      <c r="D9" s="984">
        <f>'NEO5'!W26</f>
        <v>1699.521855072961</v>
      </c>
      <c r="E9" s="984">
        <f>'NEO5'!W31</f>
        <v>1741.8253356050659</v>
      </c>
      <c r="F9" s="648">
        <v>1842.304343952585</v>
      </c>
      <c r="G9" s="72">
        <f>Tech!W20</f>
        <v>1879.0632111479731</v>
      </c>
      <c r="H9" s="72">
        <f>Tech!W25</f>
        <v>1930.4164636389439</v>
      </c>
    </row>
    <row r="10" spans="2:8">
      <c r="B10" s="1072" t="s">
        <v>771</v>
      </c>
      <c r="C10" s="1102">
        <v>1304.3800000000001</v>
      </c>
      <c r="D10" s="66">
        <f>'NEO5'!W35</f>
        <v>1356.5551999999998</v>
      </c>
      <c r="E10" s="66">
        <f>Tech!$W$27</f>
        <v>1356.5551999999998</v>
      </c>
      <c r="F10" s="1102">
        <v>1304.3800000000001</v>
      </c>
      <c r="G10" s="66">
        <f>Tech!W27</f>
        <v>1356.5551999999998</v>
      </c>
      <c r="H10" s="66">
        <f>Tech!$W$27</f>
        <v>1356.5551999999998</v>
      </c>
    </row>
    <row r="11" spans="2:8">
      <c r="B11" s="1072" t="s">
        <v>798</v>
      </c>
      <c r="C11" s="1071"/>
      <c r="D11" s="1071">
        <f>1216062/1000</f>
        <v>1216.0619999999999</v>
      </c>
      <c r="E11" s="1071">
        <f>1216062/1000</f>
        <v>1216.0619999999999</v>
      </c>
      <c r="F11" s="1071"/>
      <c r="G11" s="1071">
        <f>1216062/1000</f>
        <v>1216.0619999999999</v>
      </c>
      <c r="H11" s="1071">
        <f>1216062/1000</f>
        <v>1216.0619999999999</v>
      </c>
    </row>
    <row r="12" spans="2:8">
      <c r="B12" s="59" t="s">
        <v>799</v>
      </c>
      <c r="C12" s="1071"/>
      <c r="D12" s="1071">
        <f>1125340/1000</f>
        <v>1125.3399999999999</v>
      </c>
      <c r="E12" s="1071">
        <f>1125340/1000</f>
        <v>1125.3399999999999</v>
      </c>
      <c r="F12" s="1071"/>
      <c r="G12" s="1071">
        <f>1125340/1000</f>
        <v>1125.3399999999999</v>
      </c>
      <c r="H12" s="1071">
        <f>1125340/1000</f>
        <v>1125.3399999999999</v>
      </c>
    </row>
    <row r="13" spans="2:8">
      <c r="B13" s="71"/>
      <c r="C13" s="70"/>
      <c r="D13" s="70"/>
      <c r="E13" s="70"/>
    </row>
    <row r="14" spans="2:8">
      <c r="B14" s="69" t="s">
        <v>66</v>
      </c>
      <c r="C14" s="68"/>
      <c r="D14" s="68"/>
      <c r="E14" s="68"/>
    </row>
    <row r="15" spans="2:8">
      <c r="B15" s="67" t="s">
        <v>65</v>
      </c>
      <c r="C15" s="66">
        <f t="shared" ref="C15:H15" si="0">C8</f>
        <v>1415.0239999999999</v>
      </c>
      <c r="D15" s="66">
        <f t="shared" si="0"/>
        <v>1339.8463686937503</v>
      </c>
      <c r="E15" s="66">
        <f t="shared" si="0"/>
        <v>1349.9298966937502</v>
      </c>
      <c r="F15" s="66">
        <f t="shared" si="0"/>
        <v>1403.6875</v>
      </c>
      <c r="G15" s="66">
        <f t="shared" si="0"/>
        <v>1498.7880796650566</v>
      </c>
      <c r="H15" s="66">
        <f t="shared" si="0"/>
        <v>1543.7517220550085</v>
      </c>
    </row>
    <row r="16" spans="2:8">
      <c r="B16" s="65" t="s">
        <v>64</v>
      </c>
      <c r="C16" s="64">
        <f t="shared" ref="C16:H16" si="1">(C7-C8)</f>
        <v>130.23386449018108</v>
      </c>
      <c r="D16" s="64">
        <f t="shared" si="1"/>
        <v>222.78040617557599</v>
      </c>
      <c r="E16" s="64">
        <f t="shared" si="1"/>
        <v>259.57568142165587</v>
      </c>
      <c r="F16" s="64">
        <f t="shared" si="1"/>
        <v>259.18332382749986</v>
      </c>
      <c r="G16" s="64">
        <f t="shared" si="1"/>
        <v>296.97157033494341</v>
      </c>
      <c r="H16" s="64">
        <f t="shared" si="1"/>
        <v>305.88071744499166</v>
      </c>
    </row>
    <row r="17" spans="2:8">
      <c r="B17" s="63" t="s">
        <v>63</v>
      </c>
      <c r="C17" s="62">
        <f t="shared" ref="C17:H17" si="2">(C6-C7)</f>
        <v>389.97081576102346</v>
      </c>
      <c r="D17" s="62">
        <f t="shared" si="2"/>
        <v>384.71980013067378</v>
      </c>
      <c r="E17" s="62">
        <f t="shared" si="2"/>
        <v>351.61286663459396</v>
      </c>
      <c r="F17" s="62">
        <f t="shared" si="2"/>
        <v>438.61684395258499</v>
      </c>
      <c r="G17" s="62">
        <f t="shared" si="2"/>
        <v>346.38984442391939</v>
      </c>
      <c r="H17" s="62">
        <f t="shared" si="2"/>
        <v>356.7815397566369</v>
      </c>
    </row>
    <row r="18" spans="2:8">
      <c r="B18" s="61" t="s">
        <v>6</v>
      </c>
      <c r="C18" s="60">
        <f t="shared" ref="C18:H18" si="3">C9</f>
        <v>1702.093364541762</v>
      </c>
      <c r="D18" s="60">
        <f t="shared" si="3"/>
        <v>1699.521855072961</v>
      </c>
      <c r="E18" s="60">
        <f t="shared" si="3"/>
        <v>1741.8253356050659</v>
      </c>
      <c r="F18" s="60">
        <f t="shared" si="3"/>
        <v>1842.304343952585</v>
      </c>
      <c r="G18" s="60">
        <f t="shared" si="3"/>
        <v>1879.0632111479731</v>
      </c>
      <c r="H18" s="60">
        <f t="shared" si="3"/>
        <v>1930.4164636389439</v>
      </c>
    </row>
    <row r="19" spans="2:8">
      <c r="B19" s="1072" t="str">
        <f>B10</f>
        <v>Olivier</v>
      </c>
      <c r="C19" s="1073">
        <f t="shared" ref="C19:H21" si="4">C10</f>
        <v>1304.3800000000001</v>
      </c>
      <c r="D19" s="1073">
        <f t="shared" si="4"/>
        <v>1356.5551999999998</v>
      </c>
      <c r="E19" s="1073">
        <f t="shared" si="4"/>
        <v>1356.5551999999998</v>
      </c>
      <c r="F19" s="1073">
        <f t="shared" si="4"/>
        <v>1304.3800000000001</v>
      </c>
      <c r="G19" s="1073">
        <f t="shared" si="4"/>
        <v>1356.5551999999998</v>
      </c>
      <c r="H19" s="1073">
        <f t="shared" si="4"/>
        <v>1356.5551999999998</v>
      </c>
    </row>
    <row r="20" spans="2:8">
      <c r="B20" s="1072" t="str">
        <f>B11</f>
        <v>Mark</v>
      </c>
      <c r="C20" s="1073"/>
      <c r="D20" s="1073">
        <f t="shared" si="4"/>
        <v>1216.0619999999999</v>
      </c>
      <c r="E20" s="1073">
        <f t="shared" si="4"/>
        <v>1216.0619999999999</v>
      </c>
      <c r="F20" s="1073"/>
      <c r="G20" s="1073">
        <f t="shared" si="4"/>
        <v>1216.0619999999999</v>
      </c>
      <c r="H20" s="1073">
        <f t="shared" si="4"/>
        <v>1216.0619999999999</v>
      </c>
    </row>
    <row r="21" spans="2:8">
      <c r="B21" s="1072" t="str">
        <f>B12</f>
        <v>Candace</v>
      </c>
      <c r="C21" s="1073"/>
      <c r="D21" s="1073">
        <f t="shared" si="4"/>
        <v>1125.3399999999999</v>
      </c>
      <c r="E21" s="1073">
        <f t="shared" si="4"/>
        <v>1125.3399999999999</v>
      </c>
      <c r="F21" s="1073"/>
      <c r="G21" s="1073">
        <f t="shared" si="4"/>
        <v>1125.3399999999999</v>
      </c>
      <c r="H21" s="1073">
        <f t="shared" si="4"/>
        <v>1125.3399999999999</v>
      </c>
    </row>
    <row r="23" spans="2:8">
      <c r="B23" s="57" t="s">
        <v>62</v>
      </c>
      <c r="C23" s="56">
        <f t="shared" ref="C23:H23" si="5">C12-C7</f>
        <v>-1545.257864490181</v>
      </c>
      <c r="D23" s="56">
        <f t="shared" si="5"/>
        <v>-437.28677486932634</v>
      </c>
      <c r="E23" s="56">
        <f t="shared" si="5"/>
        <v>-484.16557811540611</v>
      </c>
      <c r="F23" s="56">
        <f t="shared" si="5"/>
        <v>-1662.8708238274999</v>
      </c>
      <c r="G23" s="56">
        <f t="shared" si="5"/>
        <v>-670.41965000000005</v>
      </c>
      <c r="H23" s="56">
        <f t="shared" si="5"/>
        <v>-724.29243950000023</v>
      </c>
    </row>
    <row r="25" spans="2:8">
      <c r="B25" s="1065" t="s">
        <v>763</v>
      </c>
    </row>
    <row r="26" spans="2:8">
      <c r="B26" t="s">
        <v>765</v>
      </c>
    </row>
    <row r="27" spans="2:8">
      <c r="B27" s="55"/>
      <c r="C27" s="54"/>
      <c r="E27" s="54"/>
    </row>
    <row r="28" spans="2:8">
      <c r="B28" s="55"/>
      <c r="C28" s="1105">
        <f>D7/C7-1</f>
        <v>1.1240137182460197E-2</v>
      </c>
      <c r="E28" s="54"/>
      <c r="F28" s="340">
        <f>G7/F7 -1</f>
        <v>7.9915303262477311E-2</v>
      </c>
    </row>
  </sheetData>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F168A-2B90-4E22-846C-F44CDB2FB0EC}">
  <sheetPr>
    <tabColor theme="4"/>
  </sheetPr>
  <dimension ref="B2:P16"/>
  <sheetViews>
    <sheetView zoomScale="71" zoomScaleNormal="71" workbookViewId="0">
      <selection activeCell="D9" sqref="D9"/>
    </sheetView>
  </sheetViews>
  <sheetFormatPr defaultRowHeight="14.5" outlineLevelRow="2"/>
  <cols>
    <col min="1" max="2" width="2.7265625" customWidth="1"/>
    <col min="4" max="4" width="19.26953125" bestFit="1" customWidth="1"/>
    <col min="5" max="5" width="40.26953125" bestFit="1" customWidth="1"/>
  </cols>
  <sheetData>
    <row r="2" spans="2:16" outlineLevel="1">
      <c r="D2" t="s">
        <v>434</v>
      </c>
      <c r="E2" t="s">
        <v>436</v>
      </c>
      <c r="H2" s="157" t="s">
        <v>432</v>
      </c>
      <c r="I2" s="157" t="s">
        <v>431</v>
      </c>
    </row>
    <row r="3" spans="2:16" outlineLevel="2">
      <c r="D3" t="s">
        <v>433</v>
      </c>
      <c r="E3" t="s">
        <v>435</v>
      </c>
      <c r="F3" s="157" t="s">
        <v>426</v>
      </c>
      <c r="G3" s="157" t="s">
        <v>427</v>
      </c>
      <c r="H3" s="157" t="s">
        <v>428</v>
      </c>
      <c r="I3" s="157" t="s">
        <v>430</v>
      </c>
    </row>
    <row r="4" spans="2:16" ht="15" customHeight="1">
      <c r="B4" s="55" t="s">
        <v>367</v>
      </c>
      <c r="C4" s="1291" t="s">
        <v>358</v>
      </c>
      <c r="D4" s="1293" t="s">
        <v>19</v>
      </c>
      <c r="E4" s="1293" t="s">
        <v>18</v>
      </c>
      <c r="F4" s="488" t="s">
        <v>8</v>
      </c>
      <c r="G4" s="488"/>
      <c r="H4" s="488" t="s">
        <v>425</v>
      </c>
      <c r="I4" s="489"/>
    </row>
    <row r="5" spans="2:16" ht="15" customHeight="1">
      <c r="C5" s="1292"/>
      <c r="D5" s="1294"/>
      <c r="E5" s="1294"/>
      <c r="F5" s="490" t="s">
        <v>423</v>
      </c>
      <c r="G5" s="490" t="s">
        <v>424</v>
      </c>
      <c r="H5" s="490" t="s">
        <v>423</v>
      </c>
      <c r="I5" s="491" t="s">
        <v>424</v>
      </c>
      <c r="J5" s="492" t="s">
        <v>429</v>
      </c>
      <c r="K5" s="493"/>
    </row>
    <row r="6" spans="2:16">
      <c r="C6" s="500" t="s">
        <v>79</v>
      </c>
      <c r="D6" s="494" t="str" cm="1">
        <f t="array" aca="1" ref="D6" ca="1">INDIRECT("'"&amp;$C6&amp;"'!"&amp;D$3)</f>
        <v>Peter Kukielski</v>
      </c>
      <c r="E6" s="495" t="str" cm="1">
        <f t="array" aca="1" ref="E6" ca="1">INDIRECT("'"&amp;$C6&amp;"'!"&amp;E$3)</f>
        <v>President &amp; CEO</v>
      </c>
      <c r="F6" s="494" cm="1">
        <f t="array" aca="1" ref="F6" ca="1">INDIRECT("'"&amp;$C6&amp;"'!"&amp;F$3)</f>
        <v>0.4375</v>
      </c>
      <c r="G6" s="495" cm="1">
        <f t="array" aca="1" ref="G6" ca="1">INDIRECT("'"&amp;$C6&amp;"'!"&amp;G$3)</f>
        <v>0.56250000000000011</v>
      </c>
      <c r="H6" s="494" cm="1">
        <f t="array" aca="1" ref="H6" ca="1">INDIRECT("'"&amp;$C6&amp;"'!"&amp;H$3)</f>
        <v>0.45360824742268047</v>
      </c>
      <c r="I6" s="495" cm="1">
        <f t="array" aca="1" ref="I6" ca="1">INDIRECT("'"&amp;$C6&amp;"'!"&amp;I$3)</f>
        <v>0.54639175257731964</v>
      </c>
      <c r="J6" t="b">
        <f t="shared" ref="J6:J16" ca="1" si="0">SUM(F6:G6)=1</f>
        <v>1</v>
      </c>
      <c r="K6" t="b">
        <f ca="1">SUM(H6:I6)=1</f>
        <v>1</v>
      </c>
    </row>
    <row r="7" spans="2:16">
      <c r="C7" s="479" t="s">
        <v>106</v>
      </c>
      <c r="D7" s="496" t="str" cm="1">
        <f t="array" aca="1" ref="D7" ca="1">INDIRECT("'"&amp;$C7&amp;"'!"&amp;D$3)</f>
        <v>Eugene Lei</v>
      </c>
      <c r="E7" s="497" t="str" cm="1">
        <f t="array" aca="1" ref="E7" ca="1">INDIRECT("'"&amp;$C7&amp;"'!"&amp;E$3)</f>
        <v>CFO</v>
      </c>
      <c r="F7" s="496" cm="1">
        <f t="array" aca="1" ref="F7" ca="1">INDIRECT("'"&amp;$C7&amp;"'!"&amp;F$3)</f>
        <v>0.5</v>
      </c>
      <c r="G7" s="497" cm="1">
        <f t="array" aca="1" ref="G7" ca="1">INDIRECT("'"&amp;$C7&amp;"'!"&amp;G$3)</f>
        <v>0.5</v>
      </c>
      <c r="H7" s="496" cm="1">
        <f t="array" aca="1" ref="H7" ca="1">INDIRECT("'"&amp;$C7&amp;"'!"&amp;H$3)</f>
        <v>0.51351351351351349</v>
      </c>
      <c r="I7" s="497" cm="1">
        <f t="array" aca="1" ref="I7" ca="1">INDIRECT("'"&amp;$C7&amp;"'!"&amp;I$3)</f>
        <v>0.4864864864864864</v>
      </c>
      <c r="J7" t="b">
        <f t="shared" ca="1" si="0"/>
        <v>1</v>
      </c>
      <c r="K7" t="b">
        <f t="shared" ref="K7:K16" ca="1" si="1">SUM(H7:I7)=1</f>
        <v>1</v>
      </c>
    </row>
    <row r="8" spans="2:16">
      <c r="C8" s="479" t="s">
        <v>109</v>
      </c>
      <c r="D8" s="496" t="str" cm="1">
        <f t="array" aca="1" ref="D8" ca="1">INDIRECT("'"&amp;$C8&amp;"'!"&amp;D$3)</f>
        <v>Andre Lauzon</v>
      </c>
      <c r="E8" s="497" t="str" cm="1">
        <f t="array" aca="1" ref="E8" ca="1">INDIRECT("'"&amp;$C8&amp;"'!"&amp;E$3)</f>
        <v>COO</v>
      </c>
      <c r="F8" s="496" cm="1">
        <f t="array" aca="1" ref="F8" ca="1">INDIRECT("'"&amp;$C8&amp;"'!"&amp;F$3)</f>
        <v>0.5</v>
      </c>
      <c r="G8" s="497" cm="1">
        <f t="array" aca="1" ref="G8" ca="1">INDIRECT("'"&amp;$C8&amp;"'!"&amp;G$3)</f>
        <v>0.5</v>
      </c>
      <c r="H8" s="496" cm="1">
        <f t="array" aca="1" ref="H8" ca="1">INDIRECT("'"&amp;$C8&amp;"'!"&amp;H$3)</f>
        <v>0.51351351351351349</v>
      </c>
      <c r="I8" s="497" cm="1">
        <f t="array" aca="1" ref="I8" ca="1">INDIRECT("'"&amp;$C8&amp;"'!"&amp;I$3)</f>
        <v>0.48648648648648646</v>
      </c>
      <c r="J8" t="b">
        <f t="shared" ca="1" si="0"/>
        <v>1</v>
      </c>
      <c r="K8" t="b">
        <f t="shared" ca="1" si="1"/>
        <v>1</v>
      </c>
    </row>
    <row r="9" spans="2:16">
      <c r="C9" s="479" t="s">
        <v>351</v>
      </c>
      <c r="D9" s="496" cm="1">
        <f t="array" aca="1" ref="D9" ca="1">INDIRECT("'"&amp;$C9&amp;"'!"&amp;D$3)</f>
        <v>0</v>
      </c>
      <c r="E9" s="497" cm="1">
        <f t="array" aca="1" ref="E9" ca="1">INDIRECT("'"&amp;$C9&amp;"'!"&amp;E$3)</f>
        <v>0</v>
      </c>
      <c r="F9" s="496" cm="1">
        <f t="array" aca="1" ref="F9" ca="1">INDIRECT("'"&amp;$C9&amp;"'!"&amp;F$3)</f>
        <v>0</v>
      </c>
      <c r="G9" s="497" cm="1">
        <f t="array" aca="1" ref="G9" ca="1">INDIRECT("'"&amp;$C9&amp;"'!"&amp;G$3)</f>
        <v>0</v>
      </c>
      <c r="H9" s="496" cm="1">
        <f t="array" aca="1" ref="H9" ca="1">INDIRECT("'"&amp;$C9&amp;"'!"&amp;H$3)</f>
        <v>0</v>
      </c>
      <c r="I9" s="497" cm="1">
        <f t="array" aca="1" ref="I9" ca="1">INDIRECT("'"&amp;$C9&amp;"'!"&amp;I$3)</f>
        <v>0</v>
      </c>
      <c r="J9" t="b">
        <f t="shared" ca="1" si="0"/>
        <v>0</v>
      </c>
      <c r="K9" t="b">
        <f t="shared" ca="1" si="1"/>
        <v>0</v>
      </c>
    </row>
    <row r="10" spans="2:16">
      <c r="C10" s="479" t="s">
        <v>352</v>
      </c>
      <c r="D10" s="496" cm="1">
        <f t="array" aca="1" ref="D10" ca="1">INDIRECT("'"&amp;$C10&amp;"'!"&amp;D$3)</f>
        <v>0</v>
      </c>
      <c r="E10" s="497" cm="1">
        <f t="array" aca="1" ref="E10" ca="1">INDIRECT("'"&amp;$C10&amp;"'!"&amp;E$3)</f>
        <v>0</v>
      </c>
      <c r="F10" s="496" cm="1">
        <f t="array" aca="1" ref="F10" ca="1">INDIRECT("'"&amp;$C10&amp;"'!"&amp;F$3)</f>
        <v>0</v>
      </c>
      <c r="G10" s="497" cm="1">
        <f t="array" aca="1" ref="G10" ca="1">INDIRECT("'"&amp;$C10&amp;"'!"&amp;G$3)</f>
        <v>0</v>
      </c>
      <c r="H10" s="496" cm="1">
        <f t="array" aca="1" ref="H10" ca="1">INDIRECT("'"&amp;$C10&amp;"'!"&amp;H$3)</f>
        <v>0</v>
      </c>
      <c r="I10" s="497" cm="1">
        <f t="array" aca="1" ref="I10" ca="1">INDIRECT("'"&amp;$C10&amp;"'!"&amp;I$3)</f>
        <v>0</v>
      </c>
      <c r="J10" t="b">
        <f t="shared" ca="1" si="0"/>
        <v>0</v>
      </c>
      <c r="K10" t="b">
        <f t="shared" ca="1" si="1"/>
        <v>0</v>
      </c>
    </row>
    <row r="11" spans="2:16">
      <c r="C11" s="479" t="s">
        <v>352</v>
      </c>
      <c r="D11" s="496" cm="1">
        <f t="array" aca="1" ref="D11" ca="1">INDIRECT("'"&amp;$C11&amp;"'!"&amp;D$2)</f>
        <v>0</v>
      </c>
      <c r="E11" s="497" cm="1">
        <f t="array" aca="1" ref="E11" ca="1">INDIRECT("'"&amp;$C11&amp;"'!"&amp;E$2)</f>
        <v>0</v>
      </c>
      <c r="F11" s="496" cm="1">
        <f t="array" aca="1" ref="F11" ca="1">INDIRECT("'"&amp;$C11&amp;"'!"&amp;F$3)</f>
        <v>0</v>
      </c>
      <c r="G11" s="497" cm="1">
        <f t="array" aca="1" ref="G11" ca="1">INDIRECT("'"&amp;$C11&amp;"'!"&amp;G$3)</f>
        <v>0</v>
      </c>
      <c r="H11" s="496" cm="1">
        <f t="array" aca="1" ref="H11" ca="1">INDIRECT("'"&amp;$C11&amp;"'!"&amp;H$2)</f>
        <v>0</v>
      </c>
      <c r="I11" s="497" cm="1">
        <f t="array" aca="1" ref="I11" ca="1">INDIRECT("'"&amp;$C11&amp;"'!"&amp;I$2)</f>
        <v>0</v>
      </c>
      <c r="J11" t="b">
        <f t="shared" ca="1" si="0"/>
        <v>0</v>
      </c>
      <c r="K11" t="b">
        <f t="shared" ca="1" si="1"/>
        <v>0</v>
      </c>
    </row>
    <row r="12" spans="2:16">
      <c r="C12" s="479" t="s">
        <v>352</v>
      </c>
      <c r="D12" s="659" t="str">
        <f>'NEO5'!F35</f>
        <v>Olivier Tavchandjian</v>
      </c>
      <c r="E12" s="659" t="str">
        <f>'NEO5'!G35</f>
        <v>SVP, Exploration &amp; Technical Services</v>
      </c>
      <c r="F12" s="496" cm="1">
        <f t="array" aca="1" ref="F12" ca="1">INDIRECT("'"&amp;$C12&amp;"'!"&amp;F$3)</f>
        <v>0</v>
      </c>
      <c r="G12" s="497" cm="1">
        <f t="array" aca="1" ref="G12" ca="1">INDIRECT("'"&amp;$C12&amp;"'!"&amp;G$3)</f>
        <v>0</v>
      </c>
      <c r="H12" s="658">
        <f>'NEO5'!AC35</f>
        <v>0.5714285714285714</v>
      </c>
      <c r="I12" s="658">
        <f>'NEO5'!AD35</f>
        <v>0.42857142857142855</v>
      </c>
      <c r="J12" t="b">
        <f ca="1">SUM(F12:G12)=1</f>
        <v>0</v>
      </c>
      <c r="K12" t="b">
        <f>SUM(H12:I12)=1</f>
        <v>1</v>
      </c>
    </row>
    <row r="13" spans="2:16">
      <c r="C13" s="479" t="s">
        <v>272</v>
      </c>
      <c r="D13" s="659" t="str">
        <f ca="1">D8</f>
        <v>Andre Lauzon</v>
      </c>
      <c r="E13" s="659" t="str">
        <f ca="1">E8</f>
        <v>COO</v>
      </c>
      <c r="F13" s="657">
        <f>COO!AC24</f>
        <v>0.5</v>
      </c>
      <c r="G13" s="657">
        <f>COO!AD24</f>
        <v>0.5</v>
      </c>
      <c r="H13" s="658">
        <f>COO!AC33</f>
        <v>0.51351351351351349</v>
      </c>
      <c r="I13" s="658">
        <f>COO!AD33</f>
        <v>0.48648648648648646</v>
      </c>
      <c r="J13" t="b">
        <f t="shared" si="0"/>
        <v>1</v>
      </c>
      <c r="K13" t="b">
        <f t="shared" si="1"/>
        <v>1</v>
      </c>
    </row>
    <row r="14" spans="2:16">
      <c r="C14" s="479" t="s">
        <v>360</v>
      </c>
      <c r="D14" s="496" cm="1">
        <f t="array" aca="1" ref="D14" ca="1">INDIRECT("'"&amp;$C14&amp;"'!"&amp;D$3)</f>
        <v>0</v>
      </c>
      <c r="E14" s="497" t="str" cm="1">
        <f t="array" aca="1" ref="E14" ca="1">INDIRECT("'"&amp;$C14&amp;"'!"&amp;E$3)</f>
        <v>Y</v>
      </c>
      <c r="F14" s="496">
        <f>Legal!AC21</f>
        <v>0.50769230769230766</v>
      </c>
      <c r="G14" s="496">
        <f>Legal!AD21</f>
        <v>0.49230769230769228</v>
      </c>
      <c r="H14" s="496" cm="1">
        <f t="array" aca="1" ref="H14" ca="1">INDIRECT("'"&amp;$C14&amp;"'!"&amp;H$3)</f>
        <v>0</v>
      </c>
      <c r="I14" s="497" cm="1">
        <f t="array" aca="1" ref="I14" ca="1">INDIRECT("'"&amp;$C14&amp;"'!"&amp;I$3)</f>
        <v>0</v>
      </c>
      <c r="J14" t="b">
        <f t="shared" si="0"/>
        <v>1</v>
      </c>
      <c r="K14" t="b">
        <f t="shared" ca="1" si="1"/>
        <v>0</v>
      </c>
    </row>
    <row r="15" spans="2:16">
      <c r="C15" s="660" t="s">
        <v>361</v>
      </c>
      <c r="D15" s="661" cm="1">
        <f t="array" aca="1" ref="D15" ca="1">INDIRECT("'"&amp;$C15&amp;"'!"&amp;D$3)</f>
        <v>0</v>
      </c>
      <c r="E15" s="662" t="str" cm="1">
        <f t="array" aca="1" ref="E15" ca="1">INDIRECT("'"&amp;$C15&amp;"'!"&amp;E$3)</f>
        <v>Y</v>
      </c>
      <c r="F15" s="661" cm="1">
        <f t="array" aca="1" ref="F15" ca="1">INDIRECT("'"&amp;$C15&amp;"'!"&amp;F$3)</f>
        <v>0</v>
      </c>
      <c r="G15" s="662" cm="1">
        <f t="array" aca="1" ref="G15" ca="1">INDIRECT("'"&amp;$C15&amp;"'!"&amp;G$3)</f>
        <v>0</v>
      </c>
      <c r="H15" s="661" cm="1">
        <f t="array" aca="1" ref="H15" ca="1">INDIRECT("'"&amp;$C15&amp;"'!"&amp;H$3)</f>
        <v>0</v>
      </c>
      <c r="I15" s="662" cm="1">
        <f t="array" aca="1" ref="I15" ca="1">INDIRECT("'"&amp;$C15&amp;"'!"&amp;I$3)</f>
        <v>0</v>
      </c>
      <c r="J15" s="645" t="b">
        <f t="shared" ca="1" si="0"/>
        <v>0</v>
      </c>
      <c r="K15" s="645" t="b">
        <f t="shared" ca="1" si="1"/>
        <v>0</v>
      </c>
    </row>
    <row r="16" spans="2:16">
      <c r="C16" s="663" t="s">
        <v>366</v>
      </c>
      <c r="D16" s="664" cm="1">
        <f t="array" aca="1" ref="D16" ca="1">INDIRECT("'"&amp;$C16&amp;"'!"&amp;D$3)</f>
        <v>0</v>
      </c>
      <c r="E16" s="665" t="str" cm="1">
        <f t="array" aca="1" ref="E16" ca="1">INDIRECT("'"&amp;$C16&amp;"'!"&amp;E$3)</f>
        <v>Y</v>
      </c>
      <c r="F16" s="664" cm="1">
        <f t="array" aca="1" ref="F16" ca="1">INDIRECT("'"&amp;$C16&amp;"'!"&amp;F$3)</f>
        <v>0</v>
      </c>
      <c r="G16" s="665" cm="1">
        <f t="array" aca="1" ref="G16" ca="1">INDIRECT("'"&amp;$C16&amp;"'!"&amp;G$3)</f>
        <v>0</v>
      </c>
      <c r="H16" s="664" cm="1">
        <f t="array" aca="1" ref="H16" ca="1">INDIRECT("'"&amp;$C16&amp;"'!"&amp;H$3)</f>
        <v>0</v>
      </c>
      <c r="I16" s="665" cm="1">
        <f t="array" aca="1" ref="I16" ca="1">INDIRECT("'"&amp;$C16&amp;"'!"&amp;I$3)</f>
        <v>0</v>
      </c>
      <c r="J16" s="645" t="b">
        <f t="shared" ca="1" si="0"/>
        <v>0</v>
      </c>
      <c r="K16" s="645" t="b">
        <f t="shared" ca="1" si="1"/>
        <v>0</v>
      </c>
      <c r="P16" s="501"/>
    </row>
  </sheetData>
  <mergeCells count="3">
    <mergeCell ref="C4:C5"/>
    <mergeCell ref="D4:D5"/>
    <mergeCell ref="E4:E5"/>
  </mergeCells>
  <conditionalFormatting sqref="C6:I16">
    <cfRule type="expression" dxfId="3" priority="1">
      <formula>MOD(ROW(),2)</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50455-2687-41F3-9774-D67832FD01D3}">
  <sheetPr>
    <tabColor theme="5"/>
    <pageSetUpPr autoPageBreaks="0"/>
  </sheetPr>
  <dimension ref="B1:E24"/>
  <sheetViews>
    <sheetView workbookViewId="0">
      <selection activeCell="E10" sqref="E10"/>
    </sheetView>
  </sheetViews>
  <sheetFormatPr defaultRowHeight="14.5"/>
  <cols>
    <col min="2" max="2" width="26.26953125" bestFit="1" customWidth="1"/>
  </cols>
  <sheetData>
    <row r="1" spans="2:5">
      <c r="C1" t="s">
        <v>768</v>
      </c>
    </row>
    <row r="3" spans="2:5" ht="15" customHeight="1">
      <c r="B3" s="76"/>
      <c r="C3" s="77" t="s">
        <v>352</v>
      </c>
      <c r="D3" s="77"/>
      <c r="E3" s="77"/>
    </row>
    <row r="4" spans="2:5" ht="30">
      <c r="B4" s="76"/>
      <c r="C4" s="75" t="s">
        <v>17</v>
      </c>
      <c r="D4" s="75" t="s">
        <v>59</v>
      </c>
      <c r="E4" s="75" t="s">
        <v>68</v>
      </c>
    </row>
    <row r="5" spans="2:5">
      <c r="B5" s="74" t="s">
        <v>67</v>
      </c>
    </row>
    <row r="6" spans="2:5">
      <c r="B6" s="67" t="s">
        <v>9</v>
      </c>
      <c r="C6" s="984">
        <f>'NEO5'!I23</f>
        <v>585.84667497500004</v>
      </c>
      <c r="D6" s="984">
        <f>'NEO5'!P23</f>
        <v>977.67383748750001</v>
      </c>
      <c r="E6" s="984">
        <f>'NEO5'!W23</f>
        <v>1947.346575</v>
      </c>
    </row>
    <row r="7" spans="2:5">
      <c r="B7" s="65" t="s">
        <v>8</v>
      </c>
      <c r="C7" s="984">
        <f>'NEO5'!I24</f>
        <v>497.64100000000002</v>
      </c>
      <c r="D7" s="984">
        <f>'NEO5'!P24</f>
        <v>843.3443056000001</v>
      </c>
      <c r="E7" s="984">
        <f>'NEO5'!W24</f>
        <v>1562.6267748693263</v>
      </c>
    </row>
    <row r="8" spans="2:5">
      <c r="B8" s="63" t="s">
        <v>7</v>
      </c>
      <c r="C8" s="984">
        <f>'NEO5'!I25</f>
        <v>424.35525000000001</v>
      </c>
      <c r="D8" s="984">
        <f>'NEO5'!P25</f>
        <v>726.86617499999988</v>
      </c>
      <c r="E8" s="984">
        <f>'NEO5'!W25</f>
        <v>1339.8463686937503</v>
      </c>
    </row>
    <row r="9" spans="2:5">
      <c r="B9" s="61" t="s">
        <v>6</v>
      </c>
      <c r="C9" s="984">
        <f>'NEO5'!I26</f>
        <v>507.87908984285707</v>
      </c>
      <c r="D9" s="984">
        <f>'NEO5'!P26</f>
        <v>871.14280462500005</v>
      </c>
      <c r="E9" s="984">
        <f>'NEO5'!W26</f>
        <v>1699.521855072961</v>
      </c>
    </row>
    <row r="10" spans="2:5">
      <c r="B10" s="59" t="str">
        <f>CEO!C39</f>
        <v>Hudbay Minerals Inc.</v>
      </c>
      <c r="C10" s="985">
        <f>'NEO5'!I33</f>
        <v>526.74300000000005</v>
      </c>
      <c r="D10" s="985">
        <f>'NEO5'!P33</f>
        <v>921.80025000000001</v>
      </c>
      <c r="E10" s="985">
        <f>'NEO5'!W33</f>
        <v>1711.9147499999999</v>
      </c>
    </row>
    <row r="11" spans="2:5">
      <c r="B11" s="71"/>
    </row>
    <row r="12" spans="2:5">
      <c r="B12" s="69" t="s">
        <v>66</v>
      </c>
    </row>
    <row r="13" spans="2:5">
      <c r="B13" s="67" t="s">
        <v>65</v>
      </c>
      <c r="C13" s="66">
        <f t="shared" ref="C13:E13" si="0">C8</f>
        <v>424.35525000000001</v>
      </c>
      <c r="D13" s="66">
        <f t="shared" si="0"/>
        <v>726.86617499999988</v>
      </c>
      <c r="E13" s="66">
        <f t="shared" si="0"/>
        <v>1339.8463686937503</v>
      </c>
    </row>
    <row r="14" spans="2:5">
      <c r="B14" s="65" t="s">
        <v>64</v>
      </c>
      <c r="C14" s="64">
        <f t="shared" ref="C14:E14" si="1">(C7-C8)</f>
        <v>73.285750000000007</v>
      </c>
      <c r="D14" s="64">
        <f t="shared" si="1"/>
        <v>116.47813060000021</v>
      </c>
      <c r="E14" s="64">
        <f t="shared" si="1"/>
        <v>222.78040617557599</v>
      </c>
    </row>
    <row r="15" spans="2:5">
      <c r="B15" s="63" t="s">
        <v>63</v>
      </c>
      <c r="C15" s="62">
        <f t="shared" ref="C15:E15" si="2">(C6-C7)</f>
        <v>88.205674975000022</v>
      </c>
      <c r="D15" s="62">
        <f t="shared" si="2"/>
        <v>134.32953188749991</v>
      </c>
      <c r="E15" s="62">
        <f t="shared" si="2"/>
        <v>384.71980013067378</v>
      </c>
    </row>
    <row r="16" spans="2:5">
      <c r="B16" s="61" t="s">
        <v>6</v>
      </c>
      <c r="C16" s="60">
        <f t="shared" ref="C16:E17" si="3">C9</f>
        <v>507.87908984285707</v>
      </c>
      <c r="D16" s="60">
        <f t="shared" si="3"/>
        <v>871.14280462500005</v>
      </c>
      <c r="E16" s="60">
        <f t="shared" si="3"/>
        <v>1699.521855072961</v>
      </c>
    </row>
    <row r="17" spans="2:5">
      <c r="B17" s="59" t="str">
        <f>B10</f>
        <v>Hudbay Minerals Inc.</v>
      </c>
      <c r="C17" s="58">
        <f t="shared" si="3"/>
        <v>526.74300000000005</v>
      </c>
      <c r="D17" s="58">
        <f t="shared" si="3"/>
        <v>921.80025000000001</v>
      </c>
      <c r="E17" s="58">
        <f t="shared" si="3"/>
        <v>1711.9147499999999</v>
      </c>
    </row>
    <row r="18" spans="2:5">
      <c r="B18" s="1070"/>
    </row>
    <row r="19" spans="2:5">
      <c r="B19" s="57" t="s">
        <v>62</v>
      </c>
      <c r="C19" s="56">
        <f t="shared" ref="C19:E19" si="4">C10-C7</f>
        <v>29.102000000000032</v>
      </c>
      <c r="D19" s="56">
        <f t="shared" si="4"/>
        <v>78.455944399999908</v>
      </c>
      <c r="E19" s="56">
        <f t="shared" si="4"/>
        <v>149.28797513067366</v>
      </c>
    </row>
    <row r="23" spans="2:5">
      <c r="B23" s="55"/>
    </row>
    <row r="24" spans="2:5">
      <c r="B24" s="55"/>
      <c r="C24" t="s">
        <v>769</v>
      </c>
    </row>
  </sheetData>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86C3A-DEBF-420A-81AA-5AC287B8A3DF}">
  <sheetPr codeName="Sheet17">
    <tabColor theme="5"/>
    <pageSetUpPr autoPageBreaks="0"/>
  </sheetPr>
  <dimension ref="B3:E24"/>
  <sheetViews>
    <sheetView workbookViewId="0">
      <selection activeCell="P33" sqref="P33"/>
    </sheetView>
  </sheetViews>
  <sheetFormatPr defaultRowHeight="14.5"/>
  <cols>
    <col min="2" max="2" width="26.26953125" bestFit="1" customWidth="1"/>
    <col min="3" max="5" width="15.7265625" customWidth="1"/>
  </cols>
  <sheetData>
    <row r="3" spans="2:5" ht="15" customHeight="1">
      <c r="B3" s="76"/>
      <c r="C3" s="79" t="s">
        <v>79</v>
      </c>
      <c r="D3" s="78" t="str">
        <f>C3</f>
        <v>CEO</v>
      </c>
      <c r="E3" s="77" t="str">
        <f>D3</f>
        <v>CEO</v>
      </c>
    </row>
    <row r="4" spans="2:5" ht="15">
      <c r="B4" s="76"/>
      <c r="C4" s="75" t="s">
        <v>17</v>
      </c>
      <c r="D4" s="75" t="s">
        <v>59</v>
      </c>
      <c r="E4" s="75" t="s">
        <v>68</v>
      </c>
    </row>
    <row r="5" spans="2:5">
      <c r="B5" s="74" t="s">
        <v>67</v>
      </c>
      <c r="C5" s="73"/>
      <c r="D5" s="73"/>
      <c r="E5" s="73"/>
    </row>
    <row r="6" spans="2:5">
      <c r="B6" s="67" t="s">
        <v>9</v>
      </c>
      <c r="C6" s="72">
        <f>CEO!I29</f>
        <v>1414.2194</v>
      </c>
      <c r="D6" s="72">
        <f>CEO!P29</f>
        <v>2951.2397187500001</v>
      </c>
      <c r="E6" s="72">
        <f>CEO!W29</f>
        <v>7438.8010312500001</v>
      </c>
    </row>
    <row r="7" spans="2:5">
      <c r="B7" s="65" t="s">
        <v>8</v>
      </c>
      <c r="C7" s="64">
        <f>CEO!I30</f>
        <v>1149.6960895</v>
      </c>
      <c r="D7" s="64">
        <f>CEO!P30</f>
        <v>2494.4482499999999</v>
      </c>
      <c r="E7" s="64">
        <f>CEO!W30</f>
        <v>5733.7981086956515</v>
      </c>
    </row>
    <row r="8" spans="2:5">
      <c r="B8" s="63" t="s">
        <v>7</v>
      </c>
      <c r="C8" s="64">
        <f>CEO!I31</f>
        <v>891.72250000000008</v>
      </c>
      <c r="D8" s="64">
        <f>CEO!P31</f>
        <v>1900.5013472999999</v>
      </c>
      <c r="E8" s="64">
        <f>CEO!W31</f>
        <v>4956.1421462659609</v>
      </c>
    </row>
    <row r="9" spans="2:5">
      <c r="B9" s="61" t="s">
        <v>6</v>
      </c>
      <c r="C9" s="60">
        <f>CEO!I32</f>
        <v>1174.3264613866666</v>
      </c>
      <c r="D9" s="64">
        <f>CEO!P32</f>
        <v>2591.6603928983332</v>
      </c>
      <c r="E9" s="60">
        <f>CEO!W32</f>
        <v>6074.7685150935913</v>
      </c>
    </row>
    <row r="10" spans="2:5">
      <c r="B10" s="59" t="str">
        <f>CEO!C39</f>
        <v>Hudbay Minerals Inc.</v>
      </c>
      <c r="C10" s="58">
        <f>CEO!I39</f>
        <v>1099.9010000000001</v>
      </c>
      <c r="D10" s="58">
        <f>CEO!P39</f>
        <v>2419.7822000000001</v>
      </c>
      <c r="E10" s="58">
        <f>CEO!W39</f>
        <v>5334.5198499999997</v>
      </c>
    </row>
    <row r="11" spans="2:5">
      <c r="B11" s="71"/>
      <c r="C11" s="70"/>
      <c r="D11" s="70"/>
      <c r="E11" s="70"/>
    </row>
    <row r="12" spans="2:5">
      <c r="B12" s="69" t="s">
        <v>66</v>
      </c>
      <c r="C12" s="68"/>
      <c r="D12" s="68"/>
      <c r="E12" s="68"/>
    </row>
    <row r="13" spans="2:5">
      <c r="B13" s="67" t="s">
        <v>65</v>
      </c>
      <c r="C13" s="66">
        <f>C8</f>
        <v>891.72250000000008</v>
      </c>
      <c r="D13" s="66">
        <f>D8</f>
        <v>1900.5013472999999</v>
      </c>
      <c r="E13" s="66">
        <f>E8</f>
        <v>4956.1421462659609</v>
      </c>
    </row>
    <row r="14" spans="2:5">
      <c r="B14" s="65" t="s">
        <v>64</v>
      </c>
      <c r="C14" s="64">
        <f>(C7-C8)</f>
        <v>257.97358949999989</v>
      </c>
      <c r="D14" s="64">
        <f>(D7-D8)</f>
        <v>593.94690270000001</v>
      </c>
      <c r="E14" s="64">
        <f>(E7-E8)</f>
        <v>777.65596242969059</v>
      </c>
    </row>
    <row r="15" spans="2:5">
      <c r="B15" s="63" t="s">
        <v>63</v>
      </c>
      <c r="C15" s="62">
        <f>(C6-C7)</f>
        <v>264.52331049999998</v>
      </c>
      <c r="D15" s="62">
        <f>(D6-D7)</f>
        <v>456.79146875000015</v>
      </c>
      <c r="E15" s="62">
        <f>(E6-E7)</f>
        <v>1705.0029225543485</v>
      </c>
    </row>
    <row r="16" spans="2:5">
      <c r="B16" s="61" t="s">
        <v>6</v>
      </c>
      <c r="C16" s="60">
        <f t="shared" ref="C16:E17" si="0">C9</f>
        <v>1174.3264613866666</v>
      </c>
      <c r="D16" s="60">
        <f t="shared" si="0"/>
        <v>2591.6603928983332</v>
      </c>
      <c r="E16" s="60">
        <f t="shared" si="0"/>
        <v>6074.7685150935913</v>
      </c>
    </row>
    <row r="17" spans="2:5">
      <c r="B17" s="59" t="str">
        <f>B10</f>
        <v>Hudbay Minerals Inc.</v>
      </c>
      <c r="C17" s="58">
        <f t="shared" si="0"/>
        <v>1099.9010000000001</v>
      </c>
      <c r="D17" s="58">
        <f t="shared" si="0"/>
        <v>2419.7822000000001</v>
      </c>
      <c r="E17" s="58">
        <f t="shared" si="0"/>
        <v>5334.5198499999997</v>
      </c>
    </row>
    <row r="19" spans="2:5">
      <c r="B19" s="57" t="s">
        <v>62</v>
      </c>
      <c r="C19" s="56">
        <f>C10-C7</f>
        <v>-49.795089499999904</v>
      </c>
      <c r="D19" s="56">
        <f>D10-D7</f>
        <v>-74.666049999999814</v>
      </c>
      <c r="E19" s="56">
        <f>E10-E7</f>
        <v>-399.27825869565186</v>
      </c>
    </row>
    <row r="23" spans="2:5">
      <c r="B23" s="55"/>
      <c r="C23" s="54"/>
      <c r="E23" s="54"/>
    </row>
    <row r="24" spans="2:5">
      <c r="B24" s="55"/>
      <c r="C24" s="54"/>
      <c r="E24" s="54"/>
    </row>
  </sheetData>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36739-D2AD-4A7C-A9A6-476F604E434C}">
  <sheetPr codeName="Sheet18">
    <tabColor theme="5"/>
    <pageSetUpPr autoPageBreaks="0"/>
  </sheetPr>
  <dimension ref="B3:H24"/>
  <sheetViews>
    <sheetView workbookViewId="0">
      <selection activeCell="H30" sqref="H30"/>
    </sheetView>
  </sheetViews>
  <sheetFormatPr defaultRowHeight="14.5"/>
  <cols>
    <col min="2" max="2" width="26.26953125" bestFit="1" customWidth="1"/>
    <col min="3" max="5" width="15.7265625" customWidth="1"/>
    <col min="6" max="6" width="18" customWidth="1"/>
    <col min="7" max="7" width="18.1796875" customWidth="1"/>
    <col min="8" max="8" width="17.81640625" customWidth="1"/>
  </cols>
  <sheetData>
    <row r="3" spans="2:8" ht="15" customHeight="1">
      <c r="B3" s="76"/>
      <c r="C3" s="79" t="s">
        <v>106</v>
      </c>
      <c r="D3" s="78"/>
      <c r="E3" s="77"/>
      <c r="F3" s="77" t="s">
        <v>669</v>
      </c>
      <c r="G3" s="77"/>
      <c r="H3" s="77"/>
    </row>
    <row r="4" spans="2:8" ht="30">
      <c r="B4" s="76"/>
      <c r="C4" s="75" t="s">
        <v>672</v>
      </c>
      <c r="D4" s="75" t="s">
        <v>671</v>
      </c>
      <c r="E4" s="75" t="s">
        <v>673</v>
      </c>
      <c r="F4" s="75" t="s">
        <v>672</v>
      </c>
      <c r="G4" s="75" t="s">
        <v>671</v>
      </c>
      <c r="H4" s="75" t="s">
        <v>673</v>
      </c>
    </row>
    <row r="5" spans="2:8">
      <c r="B5" s="74" t="s">
        <v>67</v>
      </c>
      <c r="C5" s="73"/>
      <c r="D5" s="73"/>
      <c r="E5" s="73"/>
    </row>
    <row r="6" spans="2:8">
      <c r="B6" s="67" t="s">
        <v>9</v>
      </c>
      <c r="C6" s="72">
        <f>CFO!I29</f>
        <v>673.45351420000009</v>
      </c>
      <c r="D6" s="72">
        <f>CFO!P29</f>
        <v>1312.7511144800001</v>
      </c>
      <c r="E6" s="72">
        <f>CFO!W29</f>
        <v>2877.8735937500001</v>
      </c>
      <c r="F6" s="72">
        <f>'2nd Highest'!I28</f>
        <v>816.84345422500007</v>
      </c>
      <c r="G6" s="72">
        <f>'2nd Highest'!P28</f>
        <v>1467.3225</v>
      </c>
      <c r="H6" s="72">
        <f>'2nd Highest'!W28</f>
        <v>3175.2301562499997</v>
      </c>
    </row>
    <row r="7" spans="2:8">
      <c r="B7" s="65" t="s">
        <v>8</v>
      </c>
      <c r="C7" s="64">
        <f>CFO!I30</f>
        <v>607.89075000000003</v>
      </c>
      <c r="D7" s="64">
        <f>CFO!P30</f>
        <v>1094.20335</v>
      </c>
      <c r="E7" s="64">
        <f>CFO!W30</f>
        <v>2291.3652614520447</v>
      </c>
      <c r="F7" s="64">
        <f>'2nd Highest'!I29</f>
        <v>686.20500000000004</v>
      </c>
      <c r="G7" s="64">
        <f>'2nd Highest'!P29</f>
        <v>1303.7895000000001</v>
      </c>
      <c r="H7" s="64">
        <f>'2nd Highest'!W29</f>
        <v>2934.645</v>
      </c>
    </row>
    <row r="8" spans="2:8">
      <c r="B8" s="63" t="s">
        <v>7</v>
      </c>
      <c r="C8" s="64">
        <f>CFO!I31</f>
        <v>564.92600440000001</v>
      </c>
      <c r="D8" s="64">
        <f>CFO!P31</f>
        <v>1002.6405</v>
      </c>
      <c r="E8" s="64">
        <f>CFO!W31</f>
        <v>1941.3970102723999</v>
      </c>
      <c r="F8" s="64">
        <f>'2nd Highest'!I30</f>
        <v>620.08648855000001</v>
      </c>
      <c r="G8" s="64">
        <f>'2nd Highest'!P30</f>
        <v>1085.652280535</v>
      </c>
      <c r="H8" s="64">
        <f>'2nd Highest'!W30</f>
        <v>2291.7146265642373</v>
      </c>
    </row>
    <row r="9" spans="2:8">
      <c r="B9" s="61" t="s">
        <v>6</v>
      </c>
      <c r="C9" s="60">
        <f>CFO!I32</f>
        <v>652.61609650000003</v>
      </c>
      <c r="D9" s="64">
        <f>CFO!P32</f>
        <v>1157.1631086980001</v>
      </c>
      <c r="E9" s="60">
        <f>CFO!W32</f>
        <v>2409.0228119974167</v>
      </c>
      <c r="F9" s="60">
        <f>'2nd Highest'!I31</f>
        <v>722.41637308666645</v>
      </c>
      <c r="G9" s="60">
        <f>'2nd Highest'!P31</f>
        <v>1324.5017847378333</v>
      </c>
      <c r="H9" s="60">
        <f>'2nd Highest'!W31</f>
        <v>2816.2025750442672</v>
      </c>
    </row>
    <row r="10" spans="2:8">
      <c r="B10" s="59" t="str">
        <f>CEO!C39</f>
        <v>Hudbay Minerals Inc.</v>
      </c>
      <c r="C10" s="58">
        <f>CFO!$I$39</f>
        <v>625.31200000000001</v>
      </c>
      <c r="D10" s="58">
        <f>CFO!$P$39</f>
        <v>1188.0928000000001</v>
      </c>
      <c r="E10" s="58">
        <f>CFO!$W$39</f>
        <v>2313.6544000000004</v>
      </c>
      <c r="F10" s="58">
        <f>CFO!$I$39</f>
        <v>625.31200000000001</v>
      </c>
      <c r="G10" s="58">
        <f>CFO!$P$39</f>
        <v>1188.0928000000001</v>
      </c>
      <c r="H10" s="58">
        <f>CFO!$W$39</f>
        <v>2313.6544000000004</v>
      </c>
    </row>
    <row r="11" spans="2:8">
      <c r="B11" s="71"/>
      <c r="C11" s="988"/>
      <c r="D11" s="988"/>
      <c r="E11" s="988"/>
      <c r="F11" s="988"/>
      <c r="G11" s="988"/>
      <c r="H11" s="988"/>
    </row>
    <row r="12" spans="2:8">
      <c r="B12" s="69" t="s">
        <v>66</v>
      </c>
      <c r="C12" s="68"/>
      <c r="D12" s="68"/>
      <c r="E12" s="68"/>
      <c r="F12" s="68"/>
      <c r="G12" s="68"/>
      <c r="H12" s="68"/>
    </row>
    <row r="13" spans="2:8">
      <c r="B13" s="67" t="s">
        <v>65</v>
      </c>
      <c r="C13" s="66">
        <f t="shared" ref="C13:H13" si="0">C8</f>
        <v>564.92600440000001</v>
      </c>
      <c r="D13" s="66">
        <f t="shared" si="0"/>
        <v>1002.6405</v>
      </c>
      <c r="E13" s="66">
        <f t="shared" si="0"/>
        <v>1941.3970102723999</v>
      </c>
      <c r="F13" s="66">
        <f t="shared" si="0"/>
        <v>620.08648855000001</v>
      </c>
      <c r="G13" s="66">
        <f t="shared" si="0"/>
        <v>1085.652280535</v>
      </c>
      <c r="H13" s="66">
        <f t="shared" si="0"/>
        <v>2291.7146265642373</v>
      </c>
    </row>
    <row r="14" spans="2:8">
      <c r="B14" s="65" t="s">
        <v>64</v>
      </c>
      <c r="C14" s="64">
        <f t="shared" ref="C14:H14" si="1">(C7-C8)</f>
        <v>42.964745600000015</v>
      </c>
      <c r="D14" s="64">
        <f t="shared" si="1"/>
        <v>91.562850000000026</v>
      </c>
      <c r="E14" s="64">
        <f t="shared" si="1"/>
        <v>349.96825117964477</v>
      </c>
      <c r="F14" s="64">
        <f t="shared" si="1"/>
        <v>66.118511450000028</v>
      </c>
      <c r="G14" s="64">
        <f t="shared" si="1"/>
        <v>218.13721946500004</v>
      </c>
      <c r="H14" s="64">
        <f t="shared" si="1"/>
        <v>642.9303734357627</v>
      </c>
    </row>
    <row r="15" spans="2:8">
      <c r="B15" s="63" t="s">
        <v>63</v>
      </c>
      <c r="C15" s="62">
        <f t="shared" ref="C15:H15" si="2">(C6-C7)</f>
        <v>65.562764200000061</v>
      </c>
      <c r="D15" s="62">
        <f t="shared" si="2"/>
        <v>218.54776448000007</v>
      </c>
      <c r="E15" s="62">
        <f t="shared" si="2"/>
        <v>586.50833229795535</v>
      </c>
      <c r="F15" s="62">
        <f t="shared" si="2"/>
        <v>130.63845422500003</v>
      </c>
      <c r="G15" s="62">
        <f t="shared" si="2"/>
        <v>163.5329999999999</v>
      </c>
      <c r="H15" s="62">
        <f t="shared" si="2"/>
        <v>240.58515624999973</v>
      </c>
    </row>
    <row r="16" spans="2:8">
      <c r="B16" s="61" t="s">
        <v>6</v>
      </c>
      <c r="C16" s="60">
        <f t="shared" ref="C16:E17" si="3">C9</f>
        <v>652.61609650000003</v>
      </c>
      <c r="D16" s="60">
        <f t="shared" si="3"/>
        <v>1157.1631086980001</v>
      </c>
      <c r="E16" s="60">
        <f t="shared" si="3"/>
        <v>2409.0228119974167</v>
      </c>
      <c r="F16" s="60">
        <f t="shared" ref="F16:H17" si="4">F9</f>
        <v>722.41637308666645</v>
      </c>
      <c r="G16" s="60">
        <f t="shared" si="4"/>
        <v>1324.5017847378333</v>
      </c>
      <c r="H16" s="60">
        <f t="shared" si="4"/>
        <v>2816.2025750442672</v>
      </c>
    </row>
    <row r="17" spans="2:8">
      <c r="B17" s="59" t="str">
        <f>B10</f>
        <v>Hudbay Minerals Inc.</v>
      </c>
      <c r="C17" s="58">
        <f t="shared" si="3"/>
        <v>625.31200000000001</v>
      </c>
      <c r="D17" s="58">
        <f t="shared" si="3"/>
        <v>1188.0928000000001</v>
      </c>
      <c r="E17" s="58">
        <f t="shared" si="3"/>
        <v>2313.6544000000004</v>
      </c>
      <c r="F17" s="58">
        <f t="shared" si="4"/>
        <v>625.31200000000001</v>
      </c>
      <c r="G17" s="58">
        <f t="shared" si="4"/>
        <v>1188.0928000000001</v>
      </c>
      <c r="H17" s="58">
        <f t="shared" si="4"/>
        <v>2313.6544000000004</v>
      </c>
    </row>
    <row r="19" spans="2:8">
      <c r="B19" s="57" t="s">
        <v>62</v>
      </c>
      <c r="C19" s="56">
        <f t="shared" ref="C19:H19" si="5">C10-C7</f>
        <v>17.421249999999986</v>
      </c>
      <c r="D19" s="56">
        <f t="shared" si="5"/>
        <v>93.889450000000124</v>
      </c>
      <c r="E19" s="56">
        <f t="shared" si="5"/>
        <v>22.289138547955645</v>
      </c>
      <c r="F19" s="56">
        <f t="shared" si="5"/>
        <v>-60.893000000000029</v>
      </c>
      <c r="G19" s="56">
        <f t="shared" si="5"/>
        <v>-115.69669999999996</v>
      </c>
      <c r="H19" s="56">
        <f t="shared" si="5"/>
        <v>-620.99059999999963</v>
      </c>
    </row>
    <row r="21" spans="2:8">
      <c r="B21" s="1067" t="s">
        <v>772</v>
      </c>
    </row>
    <row r="23" spans="2:8">
      <c r="B23" s="55"/>
      <c r="C23" s="54"/>
      <c r="E23" s="54"/>
    </row>
    <row r="24" spans="2:8">
      <c r="B24" s="55"/>
      <c r="C24" s="54"/>
      <c r="E24" s="54"/>
    </row>
  </sheetData>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85E77-8E48-4490-9B44-238B22A41400}">
  <sheetPr>
    <tabColor theme="5"/>
    <pageSetUpPr autoPageBreaks="0"/>
  </sheetPr>
  <dimension ref="B3:E27"/>
  <sheetViews>
    <sheetView workbookViewId="0">
      <selection activeCell="P37" sqref="P37"/>
    </sheetView>
  </sheetViews>
  <sheetFormatPr defaultRowHeight="14.5"/>
  <cols>
    <col min="2" max="2" width="26.26953125" bestFit="1" customWidth="1"/>
    <col min="3" max="5" width="15.7265625" customWidth="1"/>
  </cols>
  <sheetData>
    <row r="3" spans="2:5" ht="15" customHeight="1">
      <c r="B3" s="76"/>
      <c r="C3" s="79" t="s">
        <v>272</v>
      </c>
      <c r="D3" s="78" t="str">
        <f>C3</f>
        <v>COO</v>
      </c>
      <c r="E3" s="77" t="str">
        <f>D3</f>
        <v>COO</v>
      </c>
    </row>
    <row r="4" spans="2:5" ht="15">
      <c r="B4" s="76"/>
      <c r="C4" s="75" t="s">
        <v>17</v>
      </c>
      <c r="D4" s="75" t="s">
        <v>59</v>
      </c>
      <c r="E4" s="75" t="s">
        <v>68</v>
      </c>
    </row>
    <row r="5" spans="2:5">
      <c r="B5" s="74" t="s">
        <v>67</v>
      </c>
      <c r="C5" s="73"/>
      <c r="D5" s="73"/>
      <c r="E5" s="73"/>
    </row>
    <row r="6" spans="2:5">
      <c r="B6" s="67" t="s">
        <v>9</v>
      </c>
      <c r="C6" s="72">
        <f>COO!I23</f>
        <v>753.41531250000003</v>
      </c>
      <c r="D6" s="72">
        <f>COO!J23</f>
        <v>823.1689705875001</v>
      </c>
      <c r="E6" s="72">
        <f>COO!W23</f>
        <v>3071.3822217833335</v>
      </c>
    </row>
    <row r="7" spans="2:5">
      <c r="B7" s="65" t="s">
        <v>8</v>
      </c>
      <c r="C7" s="64">
        <f>COO!I24</f>
        <v>678.96994807500005</v>
      </c>
      <c r="D7" s="72">
        <f>COO!J24</f>
        <v>745.06124282500002</v>
      </c>
      <c r="E7" s="72">
        <f>COO!W24</f>
        <v>2859.9885255680001</v>
      </c>
    </row>
    <row r="8" spans="2:5">
      <c r="B8" s="63" t="s">
        <v>7</v>
      </c>
      <c r="C8" s="72">
        <f>COO!I25</f>
        <v>615.07723282500001</v>
      </c>
      <c r="D8" s="72">
        <f>COO!J25</f>
        <v>539.24699999999996</v>
      </c>
      <c r="E8" s="72">
        <f>COO!W25</f>
        <v>2378.0617531284747</v>
      </c>
    </row>
    <row r="9" spans="2:5">
      <c r="B9" s="61" t="s">
        <v>6</v>
      </c>
      <c r="C9" s="64">
        <f>COO!I26</f>
        <v>707.93262904999995</v>
      </c>
      <c r="D9" s="72">
        <f>COO!J26</f>
        <v>688.80935406785727</v>
      </c>
      <c r="E9" s="72">
        <f>COO!W26</f>
        <v>2733.9997915670779</v>
      </c>
    </row>
    <row r="10" spans="2:5">
      <c r="B10" s="59" t="str">
        <f>CEO!C39</f>
        <v>Hudbay Minerals Inc.</v>
      </c>
      <c r="C10" s="72"/>
      <c r="D10" s="58"/>
      <c r="E10" s="58"/>
    </row>
    <row r="11" spans="2:5">
      <c r="B11" s="71"/>
      <c r="C11" s="70"/>
      <c r="D11" s="70"/>
      <c r="E11" s="70"/>
    </row>
    <row r="12" spans="2:5">
      <c r="B12" s="69" t="s">
        <v>66</v>
      </c>
      <c r="C12" s="68"/>
      <c r="D12" s="68"/>
      <c r="E12" s="68"/>
    </row>
    <row r="13" spans="2:5">
      <c r="B13" s="67" t="s">
        <v>65</v>
      </c>
      <c r="C13" s="66">
        <f>C8</f>
        <v>615.07723282500001</v>
      </c>
      <c r="D13" s="66">
        <f>D8</f>
        <v>539.24699999999996</v>
      </c>
      <c r="E13" s="66">
        <f>E8</f>
        <v>2378.0617531284747</v>
      </c>
    </row>
    <row r="14" spans="2:5">
      <c r="B14" s="65" t="s">
        <v>64</v>
      </c>
      <c r="C14" s="64">
        <f>(C7-C8)</f>
        <v>63.892715250000037</v>
      </c>
      <c r="D14" s="64">
        <f>(D7-D8)</f>
        <v>205.81424282500006</v>
      </c>
      <c r="E14" s="64">
        <f>(E7-E8)</f>
        <v>481.92677243952539</v>
      </c>
    </row>
    <row r="15" spans="2:5">
      <c r="B15" s="63" t="s">
        <v>63</v>
      </c>
      <c r="C15" s="62">
        <f>(C6-C7)</f>
        <v>74.44536442499998</v>
      </c>
      <c r="D15" s="62">
        <f>(D6-D7)</f>
        <v>78.107727762500076</v>
      </c>
      <c r="E15" s="62">
        <f>(E6-E7)</f>
        <v>211.39369621533342</v>
      </c>
    </row>
    <row r="16" spans="2:5">
      <c r="B16" s="61" t="s">
        <v>6</v>
      </c>
      <c r="C16" s="60">
        <f t="shared" ref="C16:E16" si="0">C9</f>
        <v>707.93262904999995</v>
      </c>
      <c r="D16" s="60">
        <f t="shared" si="0"/>
        <v>688.80935406785727</v>
      </c>
      <c r="E16" s="60">
        <f t="shared" si="0"/>
        <v>2733.9997915670779</v>
      </c>
    </row>
    <row r="17" spans="2:5">
      <c r="B17" s="59"/>
      <c r="C17" s="58"/>
      <c r="D17" s="58"/>
      <c r="E17" s="58"/>
    </row>
    <row r="19" spans="2:5">
      <c r="B19" s="57" t="s">
        <v>62</v>
      </c>
      <c r="C19" s="56">
        <f>C10-C7</f>
        <v>-678.96994807500005</v>
      </c>
      <c r="D19" s="56">
        <f>D10-D7</f>
        <v>-745.06124282500002</v>
      </c>
      <c r="E19" s="56">
        <f>E10-E7</f>
        <v>-2859.9885255680001</v>
      </c>
    </row>
    <row r="23" spans="2:5">
      <c r="B23" s="55"/>
      <c r="C23" s="54"/>
      <c r="E23" s="54"/>
    </row>
    <row r="24" spans="2:5">
      <c r="B24" s="55"/>
      <c r="C24" s="54"/>
      <c r="E24" s="54"/>
    </row>
    <row r="27" spans="2:5">
      <c r="B27" s="1069" t="s">
        <v>767</v>
      </c>
    </row>
  </sheetData>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B4767-8CCD-40DF-AABA-D934BDF4056C}">
  <sheetPr codeName="Sheet20">
    <tabColor theme="5"/>
    <pageSetUpPr autoPageBreaks="0"/>
  </sheetPr>
  <dimension ref="B1:E25"/>
  <sheetViews>
    <sheetView workbookViewId="0">
      <selection activeCell="C2" sqref="C2"/>
    </sheetView>
  </sheetViews>
  <sheetFormatPr defaultRowHeight="14.5"/>
  <cols>
    <col min="2" max="2" width="26.26953125" bestFit="1" customWidth="1"/>
    <col min="3" max="5" width="15.7265625" customWidth="1"/>
  </cols>
  <sheetData>
    <row r="1" spans="2:5">
      <c r="C1" t="s">
        <v>770</v>
      </c>
    </row>
    <row r="3" spans="2:5" ht="15" customHeight="1">
      <c r="B3" s="76"/>
      <c r="C3" s="79" t="s">
        <v>360</v>
      </c>
      <c r="D3" s="78"/>
      <c r="E3" s="77"/>
    </row>
    <row r="4" spans="2:5" ht="15">
      <c r="B4" s="76"/>
      <c r="C4" s="75" t="s">
        <v>17</v>
      </c>
      <c r="D4" s="75" t="s">
        <v>59</v>
      </c>
      <c r="E4" s="75" t="s">
        <v>68</v>
      </c>
    </row>
    <row r="5" spans="2:5">
      <c r="B5" s="74" t="s">
        <v>67</v>
      </c>
      <c r="C5" s="73"/>
      <c r="D5" s="73"/>
      <c r="E5" s="73"/>
    </row>
    <row r="6" spans="2:5">
      <c r="B6" s="67" t="s">
        <v>9</v>
      </c>
      <c r="C6" s="72">
        <f>Legal!I20</f>
        <v>611.958125</v>
      </c>
      <c r="D6" s="72">
        <f>Legal!P20</f>
        <v>1109.1382421875001</v>
      </c>
      <c r="E6" s="72">
        <f>Legal!W20</f>
        <v>2334.9154037432081</v>
      </c>
    </row>
    <row r="7" spans="2:5">
      <c r="B7" s="65" t="s">
        <v>8</v>
      </c>
      <c r="C7" s="72">
        <f>Legal!I21</f>
        <v>503.93444450000004</v>
      </c>
      <c r="D7" s="72">
        <f>Legal!P21</f>
        <v>885.96</v>
      </c>
      <c r="E7" s="72">
        <f>Legal!W21</f>
        <v>1624.26</v>
      </c>
    </row>
    <row r="8" spans="2:5">
      <c r="B8" s="63" t="s">
        <v>7</v>
      </c>
      <c r="C8" s="72">
        <f>Legal!I22</f>
        <v>472.5</v>
      </c>
      <c r="D8" s="72">
        <f>Legal!P22</f>
        <v>802.64755560000003</v>
      </c>
      <c r="E8" s="72">
        <f>Legal!W22</f>
        <v>1523.875</v>
      </c>
    </row>
    <row r="9" spans="2:5">
      <c r="B9" s="61" t="s">
        <v>6</v>
      </c>
      <c r="C9" s="72">
        <f>Legal!I23</f>
        <v>534.21311427272713</v>
      </c>
      <c r="D9" s="72">
        <f>Legal!P23</f>
        <v>944.76697232500021</v>
      </c>
      <c r="E9" s="72">
        <f>Legal!W23</f>
        <v>1924.9596691144</v>
      </c>
    </row>
    <row r="10" spans="2:5">
      <c r="B10" s="59" t="str">
        <f>CEO!C39</f>
        <v>Hudbay Minerals Inc.</v>
      </c>
      <c r="C10" s="66">
        <f>Legal!I30</f>
        <v>526.74300000000005</v>
      </c>
      <c r="D10" s="66">
        <f>Legal!P30</f>
        <v>921.80025000000001</v>
      </c>
      <c r="E10" s="66">
        <f>Legal!W30</f>
        <v>1711.9147499999999</v>
      </c>
    </row>
    <row r="11" spans="2:5">
      <c r="B11" s="71"/>
      <c r="C11" s="70"/>
      <c r="D11" s="70"/>
      <c r="E11" s="70"/>
    </row>
    <row r="12" spans="2:5">
      <c r="B12" s="69" t="s">
        <v>66</v>
      </c>
      <c r="C12" s="68"/>
      <c r="D12" s="68"/>
      <c r="E12" s="68"/>
    </row>
    <row r="13" spans="2:5">
      <c r="B13" s="67" t="s">
        <v>65</v>
      </c>
      <c r="C13" s="66">
        <f t="shared" ref="C13:E13" si="0">C8</f>
        <v>472.5</v>
      </c>
      <c r="D13" s="66">
        <f t="shared" si="0"/>
        <v>802.64755560000003</v>
      </c>
      <c r="E13" s="66">
        <f t="shared" si="0"/>
        <v>1523.875</v>
      </c>
    </row>
    <row r="14" spans="2:5">
      <c r="B14" s="65" t="s">
        <v>64</v>
      </c>
      <c r="C14" s="64">
        <f t="shared" ref="C14:E14" si="1">(C7-C8)</f>
        <v>31.434444500000041</v>
      </c>
      <c r="D14" s="64">
        <f t="shared" si="1"/>
        <v>83.312444400000004</v>
      </c>
      <c r="E14" s="64">
        <f t="shared" si="1"/>
        <v>100.38499999999999</v>
      </c>
    </row>
    <row r="15" spans="2:5">
      <c r="B15" s="63" t="s">
        <v>63</v>
      </c>
      <c r="C15" s="62">
        <f t="shared" ref="C15:E15" si="2">(C6-C7)</f>
        <v>108.02368049999995</v>
      </c>
      <c r="D15" s="62">
        <f t="shared" si="2"/>
        <v>223.17824218750002</v>
      </c>
      <c r="E15" s="62">
        <f t="shared" si="2"/>
        <v>710.65540374320813</v>
      </c>
    </row>
    <row r="16" spans="2:5">
      <c r="B16" s="61" t="s">
        <v>6</v>
      </c>
      <c r="C16" s="60">
        <f t="shared" ref="C16:E17" si="3">C9</f>
        <v>534.21311427272713</v>
      </c>
      <c r="D16" s="60">
        <f t="shared" si="3"/>
        <v>944.76697232500021</v>
      </c>
      <c r="E16" s="60">
        <f t="shared" si="3"/>
        <v>1924.9596691144</v>
      </c>
    </row>
    <row r="17" spans="2:5">
      <c r="B17" s="59" t="str">
        <f>B10</f>
        <v>Hudbay Minerals Inc.</v>
      </c>
      <c r="C17" s="58">
        <f t="shared" si="3"/>
        <v>526.74300000000005</v>
      </c>
      <c r="D17" s="58">
        <f t="shared" si="3"/>
        <v>921.80025000000001</v>
      </c>
      <c r="E17" s="58">
        <f t="shared" si="3"/>
        <v>1711.9147499999999</v>
      </c>
    </row>
    <row r="19" spans="2:5">
      <c r="B19" s="57" t="s">
        <v>62</v>
      </c>
      <c r="C19" s="56">
        <f t="shared" ref="C19:E19" si="4">C10-C7</f>
        <v>22.808555500000011</v>
      </c>
      <c r="D19" s="56">
        <f t="shared" si="4"/>
        <v>35.840249999999969</v>
      </c>
      <c r="E19" s="56">
        <f t="shared" si="4"/>
        <v>87.654749999999922</v>
      </c>
    </row>
    <row r="23" spans="2:5">
      <c r="B23" s="55"/>
      <c r="C23" s="54"/>
      <c r="E23" s="54"/>
    </row>
    <row r="24" spans="2:5">
      <c r="B24" s="55"/>
      <c r="C24" s="54"/>
      <c r="E24" s="54"/>
    </row>
    <row r="25" spans="2:5">
      <c r="C25" t="s">
        <v>766</v>
      </c>
    </row>
  </sheetData>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7AC11-0AC7-476F-8990-8F2F083D3C09}">
  <sheetPr>
    <tabColor theme="6" tint="0.59999389629810485"/>
  </sheetPr>
  <dimension ref="A1:K109"/>
  <sheetViews>
    <sheetView workbookViewId="0">
      <selection activeCell="K11" sqref="K11"/>
    </sheetView>
  </sheetViews>
  <sheetFormatPr defaultRowHeight="14.5"/>
  <cols>
    <col min="1" max="2" width="11.81640625" customWidth="1"/>
    <col min="5" max="5" width="37.54296875" bestFit="1" customWidth="1"/>
    <col min="6" max="6" width="86.453125" customWidth="1"/>
    <col min="7" max="7" width="5.26953125" style="333" customWidth="1"/>
    <col min="8" max="11" width="18.54296875" customWidth="1"/>
  </cols>
  <sheetData>
    <row r="1" spans="1:11">
      <c r="A1">
        <f>'Raw Data'!G9</f>
        <v>2025</v>
      </c>
    </row>
    <row r="3" spans="1:11">
      <c r="E3" s="348" t="s">
        <v>111</v>
      </c>
    </row>
    <row r="4" spans="1:11" ht="36" customHeight="1">
      <c r="E4" s="342" t="s">
        <v>22</v>
      </c>
      <c r="F4" s="343" t="s">
        <v>211</v>
      </c>
      <c r="G4" s="344"/>
      <c r="H4" s="334" t="s">
        <v>120</v>
      </c>
      <c r="I4" s="334" t="s">
        <v>27</v>
      </c>
      <c r="J4" s="334" t="s">
        <v>126</v>
      </c>
      <c r="K4" s="334" t="s">
        <v>32</v>
      </c>
    </row>
    <row r="5" spans="1:11">
      <c r="A5" s="323" t="str">
        <f t="shared" ref="A5:A36" si="0">+C5&amp;"_"&amp;$A$1&amp;"_"&amp;B5</f>
        <v>TSX:HBM_2025_CEO</v>
      </c>
      <c r="B5" s="323" t="s">
        <v>79</v>
      </c>
      <c r="C5" s="323" t="str">
        <f>'Raw Data'!H6</f>
        <v>TSX:HBM</v>
      </c>
      <c r="E5" s="1295" t="str">
        <f>IFERROR(INDEX(Raw_Data,MATCH($A5,Look_Up,0),MATCH(E$4,Component,0)),"-")</f>
        <v>Hudbay Minerals Inc.</v>
      </c>
      <c r="F5" s="341" t="s">
        <v>78</v>
      </c>
      <c r="G5" s="345"/>
      <c r="H5" s="347" t="str">
        <f t="shared" ref="H5:K9" si="1">IFERROR(INDEX(Raw_Data,MATCH($A5,Look_Up,0),MATCH(H$4,Component,0)),"-")</f>
        <v>2025-12-31</v>
      </c>
      <c r="I5" s="347" t="str">
        <f t="shared" si="1"/>
        <v>CAD</v>
      </c>
      <c r="J5" s="347" t="str">
        <f t="shared" si="1"/>
        <v>DC</v>
      </c>
      <c r="K5" s="347" t="str">
        <f t="shared" si="1"/>
        <v>-</v>
      </c>
    </row>
    <row r="6" spans="1:11">
      <c r="A6" s="322" t="str">
        <f t="shared" si="0"/>
        <v>TSX:HBM_2025_CFO</v>
      </c>
      <c r="B6" s="322" t="s">
        <v>106</v>
      </c>
      <c r="C6" s="322" t="str">
        <f>C5</f>
        <v>TSX:HBM</v>
      </c>
      <c r="E6" s="1295" t="str">
        <f>IFERROR(INDEX(Raw_Data,MATCH($A6,Look_Up,0),MATCH(E$4,Component,0)),"-")</f>
        <v>Hudbay Minerals Inc.</v>
      </c>
      <c r="F6" s="341" t="s">
        <v>78</v>
      </c>
      <c r="G6" s="345"/>
      <c r="H6" s="347" t="str">
        <f t="shared" si="1"/>
        <v>2025-12-31</v>
      </c>
      <c r="I6" s="347" t="str">
        <f t="shared" si="1"/>
        <v>CAD</v>
      </c>
      <c r="J6" s="347" t="str">
        <f t="shared" si="1"/>
        <v>DC &amp; DB</v>
      </c>
      <c r="K6" s="347" t="str">
        <f t="shared" si="1"/>
        <v>-</v>
      </c>
    </row>
    <row r="7" spans="1:11">
      <c r="A7" s="322" t="str">
        <f t="shared" si="0"/>
        <v>TSX:HBM_2025_NEO1</v>
      </c>
      <c r="B7" s="322" t="s">
        <v>107</v>
      </c>
      <c r="C7" s="322" t="str">
        <f>C6</f>
        <v>TSX:HBM</v>
      </c>
      <c r="E7" s="1295" t="str">
        <f>IFERROR(INDEX(Raw_Data,MATCH($A7,Look_Up,0),MATCH(E$4,Component,0)),"-")</f>
        <v>Hudbay Minerals Inc.</v>
      </c>
      <c r="F7" s="341" t="s">
        <v>78</v>
      </c>
      <c r="G7" s="345"/>
      <c r="H7" s="347" t="str">
        <f t="shared" si="1"/>
        <v>2025-12-31</v>
      </c>
      <c r="I7" s="347" t="str">
        <f t="shared" si="1"/>
        <v>CAD</v>
      </c>
      <c r="J7" s="347" t="str">
        <f t="shared" si="1"/>
        <v>DC</v>
      </c>
      <c r="K7" s="347" t="str">
        <f t="shared" si="1"/>
        <v>-</v>
      </c>
    </row>
    <row r="8" spans="1:11">
      <c r="A8" s="322" t="str">
        <f t="shared" si="0"/>
        <v>TSX:HBM_2025_NEO2</v>
      </c>
      <c r="B8" s="322" t="s">
        <v>108</v>
      </c>
      <c r="C8" s="322" t="str">
        <f>C7</f>
        <v>TSX:HBM</v>
      </c>
      <c r="E8" s="1295" t="str">
        <f>IFERROR(INDEX(Raw_Data,MATCH($A8,Look_Up,0),MATCH(E$4,Component,0)),"-")</f>
        <v>Hudbay Minerals Inc.</v>
      </c>
      <c r="F8" s="341" t="s">
        <v>78</v>
      </c>
      <c r="G8" s="345"/>
      <c r="H8" s="347" t="str">
        <f t="shared" si="1"/>
        <v>2025-12-31</v>
      </c>
      <c r="I8" s="347" t="str">
        <f t="shared" si="1"/>
        <v>CAD</v>
      </c>
      <c r="J8" s="347" t="str">
        <f t="shared" si="1"/>
        <v>DC</v>
      </c>
      <c r="K8" s="347" t="str">
        <f t="shared" si="1"/>
        <v>-</v>
      </c>
    </row>
    <row r="9" spans="1:11">
      <c r="A9" s="322" t="str">
        <f t="shared" si="0"/>
        <v>TSX:HBM_2025_NEO3</v>
      </c>
      <c r="B9" s="322" t="s">
        <v>109</v>
      </c>
      <c r="C9" s="322" t="str">
        <f>C8</f>
        <v>TSX:HBM</v>
      </c>
      <c r="E9" s="1295" t="str">
        <f>IFERROR(INDEX(Raw_Data,MATCH($A9,Look_Up,0),MATCH(E$4,Component,0)),"-")</f>
        <v>Hudbay Minerals Inc.</v>
      </c>
      <c r="F9" s="341" t="s">
        <v>78</v>
      </c>
      <c r="G9" s="345"/>
      <c r="H9" s="347" t="str">
        <f t="shared" si="1"/>
        <v>2025-12-31</v>
      </c>
      <c r="I9" s="347" t="str">
        <f t="shared" si="1"/>
        <v>CAD</v>
      </c>
      <c r="J9" s="347" t="str">
        <f t="shared" si="1"/>
        <v>DB</v>
      </c>
      <c r="K9" s="347" t="str">
        <f t="shared" si="1"/>
        <v>-</v>
      </c>
    </row>
    <row r="10" spans="1:11">
      <c r="A10" s="323" t="str">
        <f t="shared" si="0"/>
        <v>TSX:K_2025_CEO</v>
      </c>
      <c r="B10" s="323" t="s">
        <v>79</v>
      </c>
      <c r="C10" s="323" t="str">
        <f>'Raw Data'!E5</f>
        <v>TSX:K</v>
      </c>
      <c r="E10" s="1296" t="str">
        <f t="shared" ref="E10:E73" si="2">IFERROR(INDEX(Raw_Data,MATCH($A10,Look_Up,0),MATCH(E$4,Component,0)),"-")</f>
        <v>Kinross Gold Corporation</v>
      </c>
      <c r="F10" s="335" t="s">
        <v>78</v>
      </c>
      <c r="G10" s="345"/>
      <c r="H10" s="346" t="str">
        <f t="shared" ref="H10:K25" si="3">IFERROR(INDEX(Raw_Data,MATCH($A10,Look_Up,0),MATCH(H$4,Component,0)),"-")</f>
        <v>2025-12-31</v>
      </c>
      <c r="I10" s="346" t="str">
        <f t="shared" si="3"/>
        <v>USD</v>
      </c>
      <c r="J10" s="346" t="str">
        <f t="shared" si="3"/>
        <v>DC</v>
      </c>
      <c r="K10" s="346" t="str">
        <f t="shared" si="3"/>
        <v>-</v>
      </c>
    </row>
    <row r="11" spans="1:11">
      <c r="A11" s="322" t="str">
        <f t="shared" si="0"/>
        <v>TSX:K_2025_CFO</v>
      </c>
      <c r="B11" s="322" t="s">
        <v>106</v>
      </c>
      <c r="C11" s="322" t="str">
        <f>C10</f>
        <v>TSX:K</v>
      </c>
      <c r="E11" s="1296" t="str">
        <f t="shared" si="2"/>
        <v>Kinross Gold Corporation</v>
      </c>
      <c r="F11" s="335" t="s">
        <v>78</v>
      </c>
      <c r="G11" s="345"/>
      <c r="H11" s="346" t="str">
        <f t="shared" si="3"/>
        <v>2025-12-31</v>
      </c>
      <c r="I11" s="346" t="str">
        <f t="shared" si="3"/>
        <v>USD</v>
      </c>
      <c r="J11" s="346" t="str">
        <f t="shared" si="3"/>
        <v>DC</v>
      </c>
      <c r="K11" s="346" t="str">
        <f t="shared" si="3"/>
        <v>Ms. Freeborough’s 2024 STI calculated on formula would have been US$518,383. However, the human resources and compensation committee decided to reduce her STI payment by C$41,000 and increase her long-term incentive by the same amount to better align to the company’s target pay mix.</v>
      </c>
    </row>
    <row r="12" spans="1:11">
      <c r="A12" s="322" t="str">
        <f t="shared" si="0"/>
        <v>TSX:K_2025_NEO1</v>
      </c>
      <c r="B12" s="322" t="s">
        <v>107</v>
      </c>
      <c r="C12" s="322" t="str">
        <f>C11</f>
        <v>TSX:K</v>
      </c>
      <c r="E12" s="1296" t="str">
        <f t="shared" si="2"/>
        <v>Kinross Gold Corporation</v>
      </c>
      <c r="F12" s="335" t="s">
        <v>78</v>
      </c>
      <c r="G12" s="345"/>
      <c r="H12" s="346" t="str">
        <f t="shared" si="3"/>
        <v>2025-12-31</v>
      </c>
      <c r="I12" s="346" t="str">
        <f t="shared" si="3"/>
        <v>USD</v>
      </c>
      <c r="J12" s="346" t="str">
        <f t="shared" si="3"/>
        <v>DC</v>
      </c>
      <c r="K12" s="346" t="str">
        <f t="shared" si="3"/>
        <v>Mr. Gold’s 2024 STI calculated on formula would have been US$1,116,517. However, the human resources and compensation committee decided to reduce his STI payment by C$200,000 and increase his long-term incentive by the same amount to better align to the company’s target pay mix.</v>
      </c>
    </row>
    <row r="13" spans="1:11">
      <c r="A13" s="322" t="str">
        <f t="shared" si="0"/>
        <v>TSX:K_2025_NEO2</v>
      </c>
      <c r="B13" s="322" t="s">
        <v>108</v>
      </c>
      <c r="C13" s="322" t="str">
        <f>C12</f>
        <v>TSX:K</v>
      </c>
      <c r="E13" s="1296" t="str">
        <f t="shared" si="2"/>
        <v>Kinross Gold Corporation</v>
      </c>
      <c r="F13" s="335" t="s">
        <v>78</v>
      </c>
      <c r="G13" s="345"/>
      <c r="H13" s="346" t="str">
        <f t="shared" si="3"/>
        <v>2025-12-31</v>
      </c>
      <c r="I13" s="346" t="str">
        <f t="shared" si="3"/>
        <v>USD</v>
      </c>
      <c r="J13" s="346" t="str">
        <f t="shared" si="3"/>
        <v>DC</v>
      </c>
      <c r="K13" s="346" t="str">
        <f t="shared" si="3"/>
        <v>-</v>
      </c>
    </row>
    <row r="14" spans="1:11">
      <c r="A14" s="322" t="str">
        <f t="shared" si="0"/>
        <v>TSX:K_2025_NEO3</v>
      </c>
      <c r="B14" s="322" t="s">
        <v>109</v>
      </c>
      <c r="C14" s="322" t="str">
        <f>C13</f>
        <v>TSX:K</v>
      </c>
      <c r="E14" s="1296" t="str">
        <f t="shared" si="2"/>
        <v>Kinross Gold Corporation</v>
      </c>
      <c r="F14" s="335" t="s">
        <v>78</v>
      </c>
      <c r="G14" s="345"/>
      <c r="H14" s="346" t="str">
        <f t="shared" si="3"/>
        <v>2025-12-31</v>
      </c>
      <c r="I14" s="346" t="str">
        <f t="shared" si="3"/>
        <v>USD</v>
      </c>
      <c r="J14" s="346" t="str">
        <f t="shared" si="3"/>
        <v>DC</v>
      </c>
      <c r="K14" s="346" t="str">
        <f t="shared" si="3"/>
        <v>Joined in Dec 2024, and received an hire grant of C1.5M in RSUs, but this was not included since only the full year of pay for 2025 was recorded. He also received a signing bonus of C$500K, which was not included.</v>
      </c>
    </row>
    <row r="15" spans="1:11">
      <c r="A15" s="323" t="str">
        <f t="shared" si="0"/>
        <v>TSX:LUN_2025_CEO</v>
      </c>
      <c r="B15" s="323" t="s">
        <v>79</v>
      </c>
      <c r="C15" s="323" t="str">
        <f>'Raw Data'!E6</f>
        <v>TSX:LUN</v>
      </c>
      <c r="E15" s="1295" t="str">
        <f t="shared" si="2"/>
        <v>Lundin Mining Corporation</v>
      </c>
      <c r="F15" s="341" t="s">
        <v>78</v>
      </c>
      <c r="G15" s="345"/>
      <c r="H15" s="347" t="str">
        <f t="shared" si="3"/>
        <v>2025-12-31</v>
      </c>
      <c r="I15" s="347" t="str">
        <f t="shared" si="3"/>
        <v>USD</v>
      </c>
      <c r="J15" s="347" t="str">
        <f t="shared" si="3"/>
        <v>N/A</v>
      </c>
      <c r="K15" s="347" t="str">
        <f t="shared" si="3"/>
        <v>Jack Lundin was promoted from President to Chief Executive Officer in December 2023. 2026 LTIP target was used (400%), instead of his 300% 2025 target.</v>
      </c>
    </row>
    <row r="16" spans="1:11">
      <c r="A16" s="322" t="str">
        <f t="shared" si="0"/>
        <v>TSX:LUN_2025_CFO</v>
      </c>
      <c r="B16" s="322" t="s">
        <v>106</v>
      </c>
      <c r="C16" s="322" t="str">
        <f>C15</f>
        <v>TSX:LUN</v>
      </c>
      <c r="E16" s="1295" t="str">
        <f t="shared" si="2"/>
        <v>Lundin Mining Corporation</v>
      </c>
      <c r="F16" s="341" t="s">
        <v>78</v>
      </c>
      <c r="G16" s="345"/>
      <c r="H16" s="347" t="str">
        <f t="shared" si="3"/>
        <v>2025-12-31</v>
      </c>
      <c r="I16" s="347" t="str">
        <f t="shared" si="3"/>
        <v>USD</v>
      </c>
      <c r="J16" s="347" t="str">
        <f t="shared" si="3"/>
        <v>N/A</v>
      </c>
      <c r="K16" s="347" t="str">
        <f t="shared" si="3"/>
        <v>-</v>
      </c>
    </row>
    <row r="17" spans="1:11">
      <c r="A17" s="322" t="str">
        <f t="shared" si="0"/>
        <v>TSX:LUN_2025_NEO1</v>
      </c>
      <c r="B17" s="322" t="s">
        <v>107</v>
      </c>
      <c r="C17" s="322" t="str">
        <f>C16</f>
        <v>TSX:LUN</v>
      </c>
      <c r="E17" s="1295" t="str">
        <f t="shared" si="2"/>
        <v>Lundin Mining Corporation</v>
      </c>
      <c r="F17" s="341" t="s">
        <v>78</v>
      </c>
      <c r="G17" s="345"/>
      <c r="H17" s="347" t="str">
        <f t="shared" si="3"/>
        <v>2025-12-31</v>
      </c>
      <c r="I17" s="347" t="str">
        <f t="shared" si="3"/>
        <v>USD</v>
      </c>
      <c r="J17" s="347" t="str">
        <f t="shared" si="3"/>
        <v>N/A</v>
      </c>
      <c r="K17" s="347" t="str">
        <f t="shared" si="3"/>
        <v>-</v>
      </c>
    </row>
    <row r="18" spans="1:11">
      <c r="A18" s="322" t="str">
        <f t="shared" si="0"/>
        <v>TSX:LUN_2025_NEO2</v>
      </c>
      <c r="B18" s="322" t="s">
        <v>108</v>
      </c>
      <c r="C18" s="322" t="str">
        <f>C17</f>
        <v>TSX:LUN</v>
      </c>
      <c r="E18" s="1295" t="str">
        <f t="shared" si="2"/>
        <v>Lundin Mining Corporation</v>
      </c>
      <c r="F18" s="341" t="s">
        <v>78</v>
      </c>
      <c r="G18" s="345"/>
      <c r="H18" s="347" t="str">
        <f t="shared" si="3"/>
        <v>2025-12-31</v>
      </c>
      <c r="I18" s="347" t="str">
        <f t="shared" si="3"/>
        <v>USD</v>
      </c>
      <c r="J18" s="347" t="str">
        <f t="shared" si="3"/>
        <v>N/A</v>
      </c>
      <c r="K18" s="347" t="str">
        <f t="shared" si="3"/>
        <v>Peter Brady received an on-hire signing bonus of C$100,000 in 2023 as well as an on-hire grant of 37,000 RSUs (~$250K). In 2024 he received the first installment of a retention bonus of C$100,000, and the second of C$150,000 in 2025. All have been excluded from our benchmarking</v>
      </c>
    </row>
    <row r="19" spans="1:11">
      <c r="A19" s="322" t="str">
        <f t="shared" si="0"/>
        <v>TSX:LUN_2025_NEO3</v>
      </c>
      <c r="B19" s="322" t="s">
        <v>109</v>
      </c>
      <c r="C19" s="322" t="str">
        <f>C18</f>
        <v>TSX:LUN</v>
      </c>
      <c r="E19" s="1295" t="str">
        <f t="shared" si="2"/>
        <v>Lundin Mining Corporation</v>
      </c>
      <c r="F19" s="341" t="s">
        <v>78</v>
      </c>
      <c r="G19" s="345"/>
      <c r="H19" s="347" t="str">
        <f t="shared" si="3"/>
        <v>2025-12-31</v>
      </c>
      <c r="I19" s="347" t="str">
        <f t="shared" si="3"/>
        <v>USD</v>
      </c>
      <c r="J19" s="347" t="str">
        <f t="shared" si="3"/>
        <v>N/A</v>
      </c>
      <c r="K19" s="347" t="str">
        <f t="shared" si="3"/>
        <v>Nathan Monash joined the Corporation on September 1, 2023 and his performance equity grants for 2023 include an initial on hire grant of 3,500 PSUs, 7000 RSUs,10,300 options - this year of compensation was excluded.In 2023 he received an on hire signing bonus of C$100,000. In 2024 he received the first installment of a retention bonus of the amount C$100,000 and the second installment in 2025 of $C150,000</v>
      </c>
    </row>
    <row r="20" spans="1:11">
      <c r="A20" s="323" t="str">
        <f t="shared" si="0"/>
        <v>TSX:PAAS_2025_CEO</v>
      </c>
      <c r="B20" s="323" t="s">
        <v>79</v>
      </c>
      <c r="C20" s="323" t="str">
        <f>'Raw Data'!E7</f>
        <v>TSX:PAAS</v>
      </c>
      <c r="E20" s="1296" t="str">
        <f t="shared" si="2"/>
        <v>Pan American Silver Corp.</v>
      </c>
      <c r="F20" s="335" t="s">
        <v>78</v>
      </c>
      <c r="G20" s="345"/>
      <c r="H20" s="346" t="str">
        <f t="shared" si="3"/>
        <v>2025-12-31</v>
      </c>
      <c r="I20" s="346" t="str">
        <f t="shared" si="3"/>
        <v>CAD</v>
      </c>
      <c r="J20" s="346" t="str">
        <f t="shared" si="3"/>
        <v>DC</v>
      </c>
      <c r="K20" s="346" t="str">
        <f t="shared" si="3"/>
        <v>CEO received an award of CAD$5 million in RSUs in December 2025, which, will vest in full, in cash, on the third anniversary of the grant date. This award has been excluded</v>
      </c>
    </row>
    <row r="21" spans="1:11">
      <c r="A21" s="322" t="str">
        <f t="shared" si="0"/>
        <v>TSX:PAAS_2025_CFO</v>
      </c>
      <c r="B21" s="322" t="s">
        <v>106</v>
      </c>
      <c r="C21" s="322" t="str">
        <f>C20</f>
        <v>TSX:PAAS</v>
      </c>
      <c r="E21" s="1296" t="str">
        <f t="shared" si="2"/>
        <v>Pan American Silver Corp.</v>
      </c>
      <c r="F21" s="335" t="s">
        <v>78</v>
      </c>
      <c r="G21" s="345"/>
      <c r="H21" s="346" t="str">
        <f t="shared" si="3"/>
        <v>2025-12-31</v>
      </c>
      <c r="I21" s="346" t="str">
        <f t="shared" si="3"/>
        <v>CAD</v>
      </c>
      <c r="J21" s="346" t="str">
        <f t="shared" si="3"/>
        <v>DC</v>
      </c>
      <c r="K21" s="346" t="str">
        <f t="shared" si="3"/>
        <v>-</v>
      </c>
    </row>
    <row r="22" spans="1:11">
      <c r="A22" s="322" t="str">
        <f t="shared" si="0"/>
        <v>TSX:PAAS_2025_NEO1</v>
      </c>
      <c r="B22" s="322" t="s">
        <v>107</v>
      </c>
      <c r="C22" s="322" t="str">
        <f>C21</f>
        <v>TSX:PAAS</v>
      </c>
      <c r="E22" s="1296" t="str">
        <f t="shared" si="2"/>
        <v>Pan American Silver Corp.</v>
      </c>
      <c r="F22" s="335" t="s">
        <v>78</v>
      </c>
      <c r="G22" s="345"/>
      <c r="H22" s="346" t="str">
        <f t="shared" si="3"/>
        <v>2025-12-31</v>
      </c>
      <c r="I22" s="346" t="str">
        <f t="shared" si="3"/>
        <v>CAD</v>
      </c>
      <c r="J22" s="346" t="str">
        <f t="shared" si="3"/>
        <v>DC</v>
      </c>
      <c r="K22" s="346" t="str">
        <f t="shared" si="3"/>
        <v>Mr. Campbell joined the Company on April 2, 2024 as SVP, Projects and Operations and was promoted to Chief Operating Officer on October 20, 2025, his 2025 actual 2025 compensation is a combination of pay from both roles, but targets have been captured.</v>
      </c>
    </row>
    <row r="23" spans="1:11">
      <c r="A23" s="322" t="str">
        <f t="shared" si="0"/>
        <v>TSX:PAAS_2025_NEO2</v>
      </c>
      <c r="B23" s="322" t="s">
        <v>108</v>
      </c>
      <c r="C23" s="322" t="str">
        <f>C22</f>
        <v>TSX:PAAS</v>
      </c>
      <c r="E23" s="1296" t="str">
        <f t="shared" si="2"/>
        <v>Pan American Silver Corp.</v>
      </c>
      <c r="F23" s="335" t="s">
        <v>78</v>
      </c>
      <c r="G23" s="345"/>
      <c r="H23" s="346" t="str">
        <f t="shared" si="3"/>
        <v>2025-12-31</v>
      </c>
      <c r="I23" s="346" t="str">
        <f t="shared" si="3"/>
        <v>CAD</v>
      </c>
      <c r="J23" s="346" t="str">
        <f t="shared" si="3"/>
        <v>DC</v>
      </c>
      <c r="K23" s="346" t="str">
        <f t="shared" si="3"/>
        <v>-</v>
      </c>
    </row>
    <row r="24" spans="1:11">
      <c r="A24" s="322" t="str">
        <f t="shared" si="0"/>
        <v>TSX:PAAS_2025_NEO3</v>
      </c>
      <c r="B24" s="322" t="s">
        <v>109</v>
      </c>
      <c r="C24" s="322" t="str">
        <f>C23</f>
        <v>TSX:PAAS</v>
      </c>
      <c r="E24" s="1296" t="str">
        <f t="shared" si="2"/>
        <v>-</v>
      </c>
      <c r="F24" s="335" t="s">
        <v>78</v>
      </c>
      <c r="G24" s="345"/>
      <c r="H24" s="346" t="str">
        <f t="shared" si="3"/>
        <v>-</v>
      </c>
      <c r="I24" s="346" t="str">
        <f t="shared" si="3"/>
        <v>-</v>
      </c>
      <c r="J24" s="346" t="str">
        <f t="shared" si="3"/>
        <v>-</v>
      </c>
      <c r="K24" s="346" t="str">
        <f t="shared" si="3"/>
        <v>-</v>
      </c>
    </row>
    <row r="25" spans="1:11">
      <c r="A25" s="323" t="str">
        <f t="shared" si="0"/>
        <v>TSX:BTO_2025_CEO</v>
      </c>
      <c r="B25" s="323" t="s">
        <v>79</v>
      </c>
      <c r="C25" s="323" t="str">
        <f>'Raw Data'!E8</f>
        <v>TSX:BTO</v>
      </c>
      <c r="E25" s="1295" t="str">
        <f t="shared" si="2"/>
        <v>B2Gold Corp.</v>
      </c>
      <c r="F25" s="341" t="s">
        <v>78</v>
      </c>
      <c r="G25" s="345"/>
      <c r="H25" s="347" t="str">
        <f t="shared" si="3"/>
        <v>2025-12-31</v>
      </c>
      <c r="I25" s="347" t="str">
        <f t="shared" si="3"/>
        <v>USD</v>
      </c>
      <c r="J25" s="347" t="str">
        <f t="shared" si="3"/>
        <v>N/A</v>
      </c>
      <c r="K25" s="347" t="str">
        <f t="shared" si="3"/>
        <v>For the CEO only for 2025, LTI awards consisted entirely of RSUs to reflect Mr. Johnson’s retirement</v>
      </c>
    </row>
    <row r="26" spans="1:11">
      <c r="A26" s="322" t="str">
        <f t="shared" si="0"/>
        <v>TSX:BTO_2025_CFO</v>
      </c>
      <c r="B26" s="322" t="s">
        <v>106</v>
      </c>
      <c r="C26" s="322" t="str">
        <f>C25</f>
        <v>TSX:BTO</v>
      </c>
      <c r="E26" s="1295" t="str">
        <f t="shared" si="2"/>
        <v>B2Gold Corp.</v>
      </c>
      <c r="F26" s="341" t="s">
        <v>78</v>
      </c>
      <c r="G26" s="345"/>
      <c r="H26" s="347" t="str">
        <f t="shared" ref="H26:K89" si="4">IFERROR(INDEX(Raw_Data,MATCH($A26,Look_Up,0),MATCH(H$4,Component,0)),"-")</f>
        <v>2025-12-31</v>
      </c>
      <c r="I26" s="347" t="str">
        <f t="shared" si="4"/>
        <v>USD</v>
      </c>
      <c r="J26" s="347" t="str">
        <f t="shared" si="4"/>
        <v>N/A</v>
      </c>
      <c r="K26" s="347" t="str">
        <f t="shared" si="4"/>
        <v>-</v>
      </c>
    </row>
    <row r="27" spans="1:11">
      <c r="A27" s="322" t="str">
        <f t="shared" si="0"/>
        <v>TSX:BTO_2025_NEO1</v>
      </c>
      <c r="B27" s="322" t="s">
        <v>107</v>
      </c>
      <c r="C27" s="322" t="str">
        <f>C26</f>
        <v>TSX:BTO</v>
      </c>
      <c r="E27" s="1295" t="str">
        <f t="shared" si="2"/>
        <v>B2Gold Corp.</v>
      </c>
      <c r="F27" s="341" t="s">
        <v>78</v>
      </c>
      <c r="G27" s="345"/>
      <c r="H27" s="347" t="str">
        <f t="shared" si="4"/>
        <v>2025-12-31</v>
      </c>
      <c r="I27" s="347" t="str">
        <f t="shared" si="4"/>
        <v>USD</v>
      </c>
      <c r="J27" s="347" t="str">
        <f t="shared" si="4"/>
        <v>N/A</v>
      </c>
      <c r="K27" s="347" t="str">
        <f t="shared" si="4"/>
        <v>-</v>
      </c>
    </row>
    <row r="28" spans="1:11">
      <c r="A28" s="322" t="str">
        <f t="shared" si="0"/>
        <v>TSX:BTO_2025_NEO2</v>
      </c>
      <c r="B28" s="322" t="s">
        <v>108</v>
      </c>
      <c r="C28" s="322" t="str">
        <f>C27</f>
        <v>TSX:BTO</v>
      </c>
      <c r="E28" s="1295" t="str">
        <f t="shared" si="2"/>
        <v>B2Gold Corp.</v>
      </c>
      <c r="F28" s="341" t="s">
        <v>78</v>
      </c>
      <c r="G28" s="345"/>
      <c r="H28" s="347" t="str">
        <f t="shared" si="4"/>
        <v>2025-12-31</v>
      </c>
      <c r="I28" s="347" t="str">
        <f t="shared" si="4"/>
        <v>USD</v>
      </c>
      <c r="J28" s="347" t="str">
        <f t="shared" si="4"/>
        <v>N/A</v>
      </c>
      <c r="K28" s="347" t="str">
        <f t="shared" si="4"/>
        <v>-</v>
      </c>
    </row>
    <row r="29" spans="1:11">
      <c r="A29" s="322" t="str">
        <f t="shared" si="0"/>
        <v>TSX:BTO_2025_NEO3</v>
      </c>
      <c r="B29" s="322" t="s">
        <v>109</v>
      </c>
      <c r="C29" s="322" t="str">
        <f>C28</f>
        <v>TSX:BTO</v>
      </c>
      <c r="E29" s="1295" t="str">
        <f t="shared" si="2"/>
        <v>B2Gold Corp.</v>
      </c>
      <c r="F29" s="341" t="s">
        <v>78</v>
      </c>
      <c r="G29" s="345"/>
      <c r="H29" s="347" t="str">
        <f t="shared" si="4"/>
        <v>2025-12-31</v>
      </c>
      <c r="I29" s="347" t="str">
        <f t="shared" si="4"/>
        <v>USD</v>
      </c>
      <c r="J29" s="347" t="str">
        <f t="shared" si="4"/>
        <v>N/A</v>
      </c>
      <c r="K29" s="347" t="str">
        <f t="shared" si="4"/>
        <v>-</v>
      </c>
    </row>
    <row r="30" spans="1:11">
      <c r="A30" s="323" t="str">
        <f t="shared" si="0"/>
        <v>TSX:IMG_2025_CEO</v>
      </c>
      <c r="B30" s="323" t="s">
        <v>79</v>
      </c>
      <c r="C30" s="323" t="str">
        <f>'Raw Data'!E9</f>
        <v>TSX:IMG</v>
      </c>
      <c r="E30" s="1296" t="str">
        <f t="shared" si="2"/>
        <v>IAMGOLD Corporation</v>
      </c>
      <c r="F30" s="335" t="s">
        <v>78</v>
      </c>
      <c r="G30" s="345"/>
      <c r="H30" s="346" t="str">
        <f t="shared" si="4"/>
        <v>2025-12-31</v>
      </c>
      <c r="I30" s="346" t="str">
        <f t="shared" si="4"/>
        <v>CAD</v>
      </c>
      <c r="J30" s="346" t="str">
        <f t="shared" si="4"/>
        <v>DC</v>
      </c>
      <c r="K30" s="346" t="str">
        <f t="shared" si="4"/>
        <v>Appointed to CEO position on April 1 2023</v>
      </c>
    </row>
    <row r="31" spans="1:11">
      <c r="A31" s="322" t="str">
        <f t="shared" si="0"/>
        <v>TSX:IMG_2025_CFO</v>
      </c>
      <c r="B31" s="322" t="s">
        <v>106</v>
      </c>
      <c r="C31" s="322" t="str">
        <f>C30</f>
        <v>TSX:IMG</v>
      </c>
      <c r="E31" s="1296" t="str">
        <f t="shared" si="2"/>
        <v>IAMGOLD Corporation</v>
      </c>
      <c r="F31" s="335" t="s">
        <v>78</v>
      </c>
      <c r="G31" s="345"/>
      <c r="H31" s="346" t="str">
        <f t="shared" si="4"/>
        <v>2025-12-31</v>
      </c>
      <c r="I31" s="346" t="str">
        <f t="shared" si="4"/>
        <v>CAD</v>
      </c>
      <c r="J31" s="346" t="str">
        <f t="shared" si="4"/>
        <v>DC</v>
      </c>
      <c r="K31" s="346" t="str">
        <f t="shared" si="4"/>
        <v>Appointed March 6 2023</v>
      </c>
    </row>
    <row r="32" spans="1:11">
      <c r="A32" s="322" t="str">
        <f t="shared" si="0"/>
        <v>TSX:IMG_2025_NEO1</v>
      </c>
      <c r="B32" s="322" t="s">
        <v>107</v>
      </c>
      <c r="C32" s="322" t="str">
        <f>C31</f>
        <v>TSX:IMG</v>
      </c>
      <c r="E32" s="1296" t="str">
        <f t="shared" si="2"/>
        <v>IAMGOLD Corporation</v>
      </c>
      <c r="F32" s="335" t="s">
        <v>78</v>
      </c>
      <c r="G32" s="345"/>
      <c r="H32" s="346" t="str">
        <f t="shared" si="4"/>
        <v>2025-12-31</v>
      </c>
      <c r="I32" s="346" t="str">
        <f t="shared" si="4"/>
        <v>CAD</v>
      </c>
      <c r="J32" s="346" t="str">
        <f t="shared" si="4"/>
        <v>DC</v>
      </c>
      <c r="K32" s="346" t="str">
        <f t="shared" si="4"/>
        <v>Appointed September 13 2023</v>
      </c>
    </row>
    <row r="33" spans="1:11">
      <c r="A33" s="322" t="str">
        <f t="shared" si="0"/>
        <v>TSX:IMG_2025_NEO2</v>
      </c>
      <c r="B33" s="322" t="s">
        <v>108</v>
      </c>
      <c r="C33" s="322" t="str">
        <f>C32</f>
        <v>TSX:IMG</v>
      </c>
      <c r="E33" s="1296" t="str">
        <f t="shared" si="2"/>
        <v>IAMGOLD Corporation</v>
      </c>
      <c r="F33" s="335" t="s">
        <v>78</v>
      </c>
      <c r="G33" s="345"/>
      <c r="H33" s="346" t="str">
        <f t="shared" si="4"/>
        <v>2025-12-31</v>
      </c>
      <c r="I33" s="346" t="str">
        <f t="shared" si="4"/>
        <v>CAD</v>
      </c>
      <c r="J33" s="346" t="str">
        <f t="shared" si="4"/>
        <v>DC</v>
      </c>
      <c r="K33" s="346" t="str">
        <f t="shared" si="4"/>
        <v>Per Ms. Torkia Lagacé’s employment agreement, the Board approved a one-time grant of PSUs valued at $500,000 upon her appoitment in February 2025. This has been excluded</v>
      </c>
    </row>
    <row r="34" spans="1:11">
      <c r="A34" s="322" t="str">
        <f t="shared" si="0"/>
        <v>TSX:IMG_2025_NEO3</v>
      </c>
      <c r="B34" s="322" t="s">
        <v>109</v>
      </c>
      <c r="C34" s="322" t="str">
        <f>C33</f>
        <v>TSX:IMG</v>
      </c>
      <c r="E34" s="1296" t="str">
        <f t="shared" si="2"/>
        <v>IAMGOLD Corporation</v>
      </c>
      <c r="F34" s="335" t="s">
        <v>78</v>
      </c>
      <c r="G34" s="345"/>
      <c r="H34" s="346" t="str">
        <f t="shared" si="4"/>
        <v>2025-12-31</v>
      </c>
      <c r="I34" s="346" t="str">
        <f t="shared" si="4"/>
        <v>CAD</v>
      </c>
      <c r="J34" s="346" t="str">
        <f t="shared" si="4"/>
        <v>DC</v>
      </c>
      <c r="K34" s="346" t="str">
        <f t="shared" si="4"/>
        <v>Appointed January 1 2025</v>
      </c>
    </row>
    <row r="35" spans="1:11">
      <c r="A35" s="323" t="str">
        <f t="shared" si="0"/>
        <v>TSX:CS_2025_CEO</v>
      </c>
      <c r="B35" s="323" t="s">
        <v>79</v>
      </c>
      <c r="C35" s="323" t="str">
        <f>'Raw Data'!E10</f>
        <v>TSX:CS</v>
      </c>
      <c r="E35" s="1295" t="str">
        <f t="shared" si="2"/>
        <v>Capstone Copper Corp.</v>
      </c>
      <c r="F35" s="341" t="s">
        <v>78</v>
      </c>
      <c r="G35" s="345"/>
      <c r="H35" s="347" t="str">
        <f t="shared" si="4"/>
        <v>2025-12-31</v>
      </c>
      <c r="I35" s="347" t="str">
        <f t="shared" si="4"/>
        <v>CAD</v>
      </c>
      <c r="J35" s="347" t="str">
        <f t="shared" si="4"/>
        <v>N/A</v>
      </c>
      <c r="K35" s="347" t="str">
        <f t="shared" si="4"/>
        <v>Mr. Meagher was appointed President &amp; CEO on May 2, 2025, John MacKenzie the former CEO is now the board chair, and part of his compensation includes board fees and was excluded. Mr. Meagher's go forward target and base salaries were recorded, and annualization removed</v>
      </c>
    </row>
    <row r="36" spans="1:11">
      <c r="A36" s="322" t="str">
        <f t="shared" si="0"/>
        <v>TSX:CS_2025_CFO</v>
      </c>
      <c r="B36" s="322" t="s">
        <v>106</v>
      </c>
      <c r="C36" s="322" t="str">
        <f>C35</f>
        <v>TSX:CS</v>
      </c>
      <c r="E36" s="1295" t="str">
        <f t="shared" si="2"/>
        <v>Capstone Copper Corp.</v>
      </c>
      <c r="F36" s="341" t="s">
        <v>78</v>
      </c>
      <c r="G36" s="345"/>
      <c r="H36" s="347" t="str">
        <f t="shared" si="4"/>
        <v>2025-12-31</v>
      </c>
      <c r="I36" s="347" t="str">
        <f t="shared" si="4"/>
        <v>CAD</v>
      </c>
      <c r="J36" s="347" t="str">
        <f t="shared" si="4"/>
        <v>N/A</v>
      </c>
      <c r="K36" s="347" t="str">
        <f t="shared" si="4"/>
        <v>-</v>
      </c>
    </row>
    <row r="37" spans="1:11">
      <c r="A37" s="322" t="str">
        <f t="shared" ref="A37:A68" si="5">+C37&amp;"_"&amp;$A$1&amp;"_"&amp;B37</f>
        <v>TSX:CS_2025_NEO1</v>
      </c>
      <c r="B37" s="322" t="s">
        <v>107</v>
      </c>
      <c r="C37" s="322" t="str">
        <f>C36</f>
        <v>TSX:CS</v>
      </c>
      <c r="E37" s="1295" t="str">
        <f t="shared" si="2"/>
        <v>Capstone Copper Corp.</v>
      </c>
      <c r="F37" s="341" t="s">
        <v>78</v>
      </c>
      <c r="G37" s="345"/>
      <c r="H37" s="347" t="str">
        <f t="shared" si="4"/>
        <v>2025-12-31</v>
      </c>
      <c r="I37" s="347" t="str">
        <f t="shared" si="4"/>
        <v>CAD</v>
      </c>
      <c r="J37" s="347" t="str">
        <f t="shared" si="4"/>
        <v>N/A</v>
      </c>
      <c r="K37" s="347" t="str">
        <f t="shared" si="4"/>
        <v>Previously Mr. Whittaker was SVP Head of Chile in 2024, but was appointed to SVP &amp; COO on May 2nd 2025, go forward targets and base have been inputted</v>
      </c>
    </row>
    <row r="38" spans="1:11">
      <c r="A38" s="322" t="str">
        <f t="shared" si="5"/>
        <v>TSX:CS_2025_NEO2</v>
      </c>
      <c r="B38" s="322" t="s">
        <v>108</v>
      </c>
      <c r="C38" s="322" t="str">
        <f>C37</f>
        <v>TSX:CS</v>
      </c>
      <c r="E38" s="1295" t="str">
        <f t="shared" si="2"/>
        <v>Capstone Copper Corp.</v>
      </c>
      <c r="F38" s="341" t="s">
        <v>78</v>
      </c>
      <c r="G38" s="345"/>
      <c r="H38" s="347" t="str">
        <f t="shared" si="4"/>
        <v>2025-12-31</v>
      </c>
      <c r="I38" s="347" t="str">
        <f t="shared" si="4"/>
        <v>CAD</v>
      </c>
      <c r="J38" s="347" t="str">
        <f t="shared" si="4"/>
        <v>N/A</v>
      </c>
      <c r="K38" s="347" t="str">
        <f t="shared" si="4"/>
        <v>-</v>
      </c>
    </row>
    <row r="39" spans="1:11">
      <c r="A39" s="322" t="str">
        <f t="shared" si="5"/>
        <v>TSX:CS_2025_NEO3</v>
      </c>
      <c r="B39" s="322" t="s">
        <v>109</v>
      </c>
      <c r="C39" s="322" t="str">
        <f>C38</f>
        <v>TSX:CS</v>
      </c>
      <c r="E39" s="1295" t="str">
        <f t="shared" si="2"/>
        <v>Capstone Copper Corp.</v>
      </c>
      <c r="F39" s="341" t="s">
        <v>78</v>
      </c>
      <c r="G39" s="345"/>
      <c r="H39" s="347" t="str">
        <f t="shared" si="4"/>
        <v>2025-12-31</v>
      </c>
      <c r="I39" s="347" t="str">
        <f t="shared" si="4"/>
        <v>CAD</v>
      </c>
      <c r="J39" s="347" t="str">
        <f t="shared" si="4"/>
        <v>N/A</v>
      </c>
      <c r="K39" s="347" t="str">
        <f t="shared" si="4"/>
        <v>-</v>
      </c>
    </row>
    <row r="40" spans="1:11">
      <c r="A40" s="323" t="str">
        <f t="shared" si="5"/>
        <v>TSX:SSRM_2025_CEO</v>
      </c>
      <c r="B40" s="323" t="s">
        <v>79</v>
      </c>
      <c r="C40" s="323" t="str">
        <f>'Raw Data'!E11</f>
        <v>TSX:SSRM</v>
      </c>
      <c r="E40" s="1296" t="str">
        <f t="shared" si="2"/>
        <v>SSR Mining Inc.</v>
      </c>
      <c r="F40" s="335" t="s">
        <v>78</v>
      </c>
      <c r="G40" s="345"/>
      <c r="H40" s="346" t="str">
        <f t="shared" si="4"/>
        <v>2025-12-31</v>
      </c>
      <c r="I40" s="346" t="str">
        <f t="shared" si="4"/>
        <v>USD</v>
      </c>
      <c r="J40" s="346" t="str">
        <f t="shared" si="4"/>
        <v>DC</v>
      </c>
      <c r="K40" s="346" t="str">
        <f t="shared" si="4"/>
        <v>Mr. Antal was appointed Executive Chairman of the Company in 2023.</v>
      </c>
    </row>
    <row r="41" spans="1:11">
      <c r="A41" s="322" t="str">
        <f t="shared" si="5"/>
        <v>TSX:SSRM_2025_CFO</v>
      </c>
      <c r="B41" s="322" t="s">
        <v>106</v>
      </c>
      <c r="C41" s="322" t="str">
        <f>C40</f>
        <v>TSX:SSRM</v>
      </c>
      <c r="E41" s="1296" t="str">
        <f t="shared" si="2"/>
        <v>SSR Mining Inc.</v>
      </c>
      <c r="F41" s="335" t="s">
        <v>78</v>
      </c>
      <c r="G41" s="345"/>
      <c r="H41" s="346" t="str">
        <f t="shared" si="4"/>
        <v>2025-12-31</v>
      </c>
      <c r="I41" s="346" t="str">
        <f t="shared" si="4"/>
        <v>USD</v>
      </c>
      <c r="J41" s="346" t="str">
        <f t="shared" si="4"/>
        <v>DC</v>
      </c>
      <c r="K41" s="346" t="str">
        <f t="shared" si="4"/>
        <v>Mr. Sparks was appointed EVP &amp; CFO on March 8, 2024; he previously served as Chief Legal &amp; Administrative Officer prior to this. 2024 compensation disclosed in the proxy reflects a mix of compensation granted for both roles</v>
      </c>
    </row>
    <row r="42" spans="1:11">
      <c r="A42" s="322" t="str">
        <f t="shared" si="5"/>
        <v>TSX:SSRM_2025_NEO1</v>
      </c>
      <c r="B42" s="322" t="s">
        <v>107</v>
      </c>
      <c r="C42" s="322" t="str">
        <f>C41</f>
        <v>TSX:SSRM</v>
      </c>
      <c r="E42" s="1296" t="str">
        <f t="shared" si="2"/>
        <v>SSR Mining Inc.</v>
      </c>
      <c r="F42" s="335" t="s">
        <v>78</v>
      </c>
      <c r="G42" s="345"/>
      <c r="H42" s="346" t="str">
        <f t="shared" si="4"/>
        <v>2025-12-31</v>
      </c>
      <c r="I42" s="346" t="str">
        <f t="shared" si="4"/>
        <v>USD</v>
      </c>
      <c r="J42" s="346" t="str">
        <f t="shared" si="4"/>
        <v>DC</v>
      </c>
      <c r="K42" s="346" t="str">
        <f t="shared" si="4"/>
        <v>Mr. MacNevin was appointed EVP, Operations and Sustainability January 1, 2023. Compensation for the previous year has not been recorded. Upon appointment, he received a one-time RSU award of $1,050,000; this award has been excluded from the benchmarking.</v>
      </c>
    </row>
    <row r="43" spans="1:11">
      <c r="A43" s="322" t="str">
        <f t="shared" si="5"/>
        <v>TSX:SSRM_2025_NEO2</v>
      </c>
      <c r="B43" s="322" t="s">
        <v>108</v>
      </c>
      <c r="C43" s="322" t="str">
        <f>C42</f>
        <v>TSX:SSRM</v>
      </c>
      <c r="E43" s="1296" t="str">
        <f t="shared" si="2"/>
        <v>SSR Mining Inc.</v>
      </c>
      <c r="F43" s="335" t="s">
        <v>78</v>
      </c>
      <c r="G43" s="345"/>
      <c r="H43" s="346" t="str">
        <f t="shared" si="4"/>
        <v>2025-12-31</v>
      </c>
      <c r="I43" s="346" t="str">
        <f t="shared" si="4"/>
        <v>USD</v>
      </c>
      <c r="J43" s="346" t="str">
        <f t="shared" si="4"/>
        <v>DC</v>
      </c>
      <c r="K43" s="346" t="str">
        <f t="shared" si="4"/>
        <v>Mr. Farid was appointed EVP, Chief Strategy Officer in March 2024, before which he served as EVP, Chief Corporate Officer since 2020. His 2024 actual compensation reflects both roles. Target TDC reflect his new target STIP and LTIP</v>
      </c>
    </row>
    <row r="44" spans="1:11">
      <c r="A44" s="322" t="str">
        <f t="shared" si="5"/>
        <v>TSX:SSRM_2025_NEO3</v>
      </c>
      <c r="B44" s="322" t="s">
        <v>109</v>
      </c>
      <c r="C44" s="322" t="str">
        <f>C43</f>
        <v>TSX:SSRM</v>
      </c>
      <c r="E44" s="1296" t="str">
        <f t="shared" si="2"/>
        <v>SSR Mining Inc.</v>
      </c>
      <c r="F44" s="335" t="s">
        <v>78</v>
      </c>
      <c r="G44" s="345"/>
      <c r="H44" s="346" t="str">
        <f t="shared" si="4"/>
        <v>2025-12-31</v>
      </c>
      <c r="I44" s="346" t="str">
        <f t="shared" si="4"/>
        <v>USD</v>
      </c>
      <c r="J44" s="346" t="str">
        <f t="shared" si="4"/>
        <v>DC</v>
      </c>
      <c r="K44" s="346" t="str">
        <f t="shared" si="4"/>
        <v>-</v>
      </c>
    </row>
    <row r="45" spans="1:11">
      <c r="A45" s="323" t="str">
        <f t="shared" si="5"/>
        <v>TSX:OGC_2025_CEO</v>
      </c>
      <c r="B45" s="323" t="s">
        <v>79</v>
      </c>
      <c r="C45" s="323" t="str">
        <f>'Raw Data'!E12</f>
        <v>TSX:OGC</v>
      </c>
      <c r="E45" s="1295" t="str">
        <f t="shared" si="2"/>
        <v>OceanaGold Corporation</v>
      </c>
      <c r="F45" s="341" t="s">
        <v>78</v>
      </c>
      <c r="G45" s="345"/>
      <c r="H45" s="347" t="str">
        <f t="shared" si="4"/>
        <v>2025-12-31</v>
      </c>
      <c r="I45" s="347" t="str">
        <f t="shared" si="4"/>
        <v>USD</v>
      </c>
      <c r="J45" s="347" t="str">
        <f t="shared" si="4"/>
        <v>n.d.</v>
      </c>
      <c r="K45" s="347" t="str">
        <f t="shared" si="4"/>
        <v>Appointed in April 2022, 2025 STIP allocation was reduced to reflect a correction to pension overpayments in 2024 &amp; 2025, adjustment of 83,298 was netted in 2025 STIP allocation</v>
      </c>
    </row>
    <row r="46" spans="1:11">
      <c r="A46" s="322" t="str">
        <f t="shared" si="5"/>
        <v>TSX:OGC_2025_CFO</v>
      </c>
      <c r="B46" s="322" t="s">
        <v>106</v>
      </c>
      <c r="C46" s="322" t="str">
        <f>C45</f>
        <v>TSX:OGC</v>
      </c>
      <c r="E46" s="1295" t="str">
        <f t="shared" si="2"/>
        <v>OceanaGold Corporation</v>
      </c>
      <c r="F46" s="341" t="s">
        <v>78</v>
      </c>
      <c r="G46" s="345"/>
      <c r="H46" s="347" t="str">
        <f t="shared" si="4"/>
        <v>2025-12-31</v>
      </c>
      <c r="I46" s="347" t="str">
        <f t="shared" si="4"/>
        <v>USD</v>
      </c>
      <c r="J46" s="347" t="str">
        <f t="shared" si="4"/>
        <v>n.d.</v>
      </c>
      <c r="K46" s="347" t="str">
        <f t="shared" si="4"/>
        <v>Appointed as CFO in May 2023</v>
      </c>
    </row>
    <row r="47" spans="1:11">
      <c r="A47" s="322" t="str">
        <f t="shared" si="5"/>
        <v>TSX:OGC_2025_NEO1</v>
      </c>
      <c r="B47" s="322" t="s">
        <v>107</v>
      </c>
      <c r="C47" s="322" t="str">
        <f>C46</f>
        <v>TSX:OGC</v>
      </c>
      <c r="E47" s="1295" t="str">
        <f t="shared" si="2"/>
        <v>OceanaGold Corporation</v>
      </c>
      <c r="F47" s="341" t="s">
        <v>78</v>
      </c>
      <c r="G47" s="345"/>
      <c r="H47" s="347" t="str">
        <f t="shared" si="4"/>
        <v>2025-12-31</v>
      </c>
      <c r="I47" s="347" t="str">
        <f t="shared" si="4"/>
        <v>USD</v>
      </c>
      <c r="J47" s="347" t="str">
        <f t="shared" si="4"/>
        <v>n.d.</v>
      </c>
      <c r="K47" s="347" t="str">
        <f t="shared" si="4"/>
        <v>Appointed as COO in Sep 2025, also retained his previous technical and projects portfolio, 2025 pay is a combination of current and previous position (~4months as COO), annualization removed to prevent over inflation.</v>
      </c>
    </row>
    <row r="48" spans="1:11">
      <c r="A48" s="322" t="str">
        <f t="shared" si="5"/>
        <v>TSX:OGC_2025_NEO2</v>
      </c>
      <c r="B48" s="322" t="s">
        <v>108</v>
      </c>
      <c r="C48" s="322" t="str">
        <f>C47</f>
        <v>TSX:OGC</v>
      </c>
      <c r="E48" s="1295" t="str">
        <f t="shared" si="2"/>
        <v>OceanaGold Corporation</v>
      </c>
      <c r="F48" s="341" t="s">
        <v>78</v>
      </c>
      <c r="G48" s="345"/>
      <c r="H48" s="347" t="str">
        <f t="shared" si="4"/>
        <v>2025-12-31</v>
      </c>
      <c r="I48" s="347" t="str">
        <f t="shared" si="4"/>
        <v>USD</v>
      </c>
      <c r="J48" s="347" t="str">
        <f t="shared" si="4"/>
        <v>n.d.</v>
      </c>
      <c r="K48" s="347" t="str">
        <f t="shared" si="4"/>
        <v>Appointed CPO &amp; CTO in March 2023</v>
      </c>
    </row>
    <row r="49" spans="1:11">
      <c r="A49" s="322" t="str">
        <f t="shared" si="5"/>
        <v>TSX:OGC_2025_NEO3</v>
      </c>
      <c r="B49" s="322" t="s">
        <v>109</v>
      </c>
      <c r="C49" s="322" t="str">
        <f>C48</f>
        <v>TSX:OGC</v>
      </c>
      <c r="E49" s="1295" t="str">
        <f t="shared" si="2"/>
        <v>OceanaGold Corporation</v>
      </c>
      <c r="F49" s="341" t="s">
        <v>78</v>
      </c>
      <c r="G49" s="345"/>
      <c r="H49" s="347" t="str">
        <f t="shared" si="4"/>
        <v>2025-12-31</v>
      </c>
      <c r="I49" s="347" t="str">
        <f t="shared" si="4"/>
        <v>USD</v>
      </c>
      <c r="J49" s="347" t="str">
        <f t="shared" si="4"/>
        <v>n.d.</v>
      </c>
      <c r="K49" s="347" t="str">
        <f t="shared" si="4"/>
        <v>Ms. Tang will conclude her tenure on April 30, 2026</v>
      </c>
    </row>
    <row r="50" spans="1:11">
      <c r="A50" s="323" t="str">
        <f t="shared" si="5"/>
        <v>TSX:ELD_2025_CEO</v>
      </c>
      <c r="B50" s="323" t="s">
        <v>79</v>
      </c>
      <c r="C50" s="323" t="str">
        <f>'Raw Data'!E13</f>
        <v>TSX:ELD</v>
      </c>
      <c r="E50" s="1296" t="str">
        <f t="shared" si="2"/>
        <v>Eldorado Gold Corporation</v>
      </c>
      <c r="F50" s="335" t="s">
        <v>78</v>
      </c>
      <c r="G50" s="345"/>
      <c r="H50" s="346" t="str">
        <f t="shared" si="4"/>
        <v>2025-12-31</v>
      </c>
      <c r="I50" s="346" t="str">
        <f t="shared" si="4"/>
        <v>CAD</v>
      </c>
      <c r="J50" s="346" t="str">
        <f t="shared" si="4"/>
        <v>DC</v>
      </c>
      <c r="K50" s="346" t="str">
        <f t="shared" si="4"/>
        <v>Mr. Burns transitioned to the role of CEO (previously CEO &amp; President) on Sep 12 2025</v>
      </c>
    </row>
    <row r="51" spans="1:11">
      <c r="A51" s="322" t="str">
        <f t="shared" si="5"/>
        <v>TSX:ELD_2025_CFO</v>
      </c>
      <c r="B51" s="322" t="s">
        <v>106</v>
      </c>
      <c r="C51" s="322" t="str">
        <f>C50</f>
        <v>TSX:ELD</v>
      </c>
      <c r="E51" s="1296" t="str">
        <f t="shared" si="2"/>
        <v>Eldorado Gold Corporation</v>
      </c>
      <c r="F51" s="335" t="s">
        <v>78</v>
      </c>
      <c r="G51" s="345"/>
      <c r="H51" s="346" t="str">
        <f t="shared" si="4"/>
        <v>2025-12-31</v>
      </c>
      <c r="I51" s="346" t="str">
        <f t="shared" si="4"/>
        <v>CAD</v>
      </c>
      <c r="J51" s="346" t="str">
        <f t="shared" si="4"/>
        <v>DC</v>
      </c>
      <c r="K51" s="346" t="str">
        <f t="shared" si="4"/>
        <v>-</v>
      </c>
    </row>
    <row r="52" spans="1:11">
      <c r="A52" s="322" t="str">
        <f t="shared" si="5"/>
        <v>TSX:ELD_2025_NEO1</v>
      </c>
      <c r="B52" s="322" t="s">
        <v>107</v>
      </c>
      <c r="C52" s="322" t="str">
        <f>C51</f>
        <v>TSX:ELD</v>
      </c>
      <c r="E52" s="1296" t="str">
        <f t="shared" si="2"/>
        <v>Eldorado Gold Corporation</v>
      </c>
      <c r="F52" s="335" t="s">
        <v>78</v>
      </c>
      <c r="G52" s="345"/>
      <c r="H52" s="346" t="str">
        <f t="shared" si="4"/>
        <v>2025-12-31</v>
      </c>
      <c r="I52" s="346" t="str">
        <f t="shared" si="4"/>
        <v>CAD</v>
      </c>
      <c r="J52" s="346" t="str">
        <f t="shared" si="4"/>
        <v>-</v>
      </c>
      <c r="K52" s="346" t="str">
        <f t="shared" si="4"/>
        <v>Mr. Smith was appointed EVP, Development, Greece effective January 1, 2024. Other compensation reflects his expartriate assignment related perquisite costs which include a relocation allowance, monthly housing allowance, and home flight reimbursement. Mr. Smith also received a make whole equity award in 2024, worth CDN $405,425 which was comprised of PSUs (50%), RSUs (25%) and Options (25%) - this value has been excluded for the purposes of benchmarking.</v>
      </c>
    </row>
    <row r="53" spans="1:11">
      <c r="A53" s="322" t="str">
        <f t="shared" si="5"/>
        <v>TSX:ELD_2025_NEO2</v>
      </c>
      <c r="B53" s="322" t="s">
        <v>108</v>
      </c>
      <c r="C53" s="322" t="str">
        <f>C52</f>
        <v>TSX:ELD</v>
      </c>
      <c r="E53" s="1296" t="str">
        <f t="shared" si="2"/>
        <v>Eldorado Gold Corporation</v>
      </c>
      <c r="F53" s="335" t="s">
        <v>78</v>
      </c>
      <c r="G53" s="345"/>
      <c r="H53" s="346" t="str">
        <f t="shared" si="4"/>
        <v>2025-12-31</v>
      </c>
      <c r="I53" s="346" t="str">
        <f t="shared" si="4"/>
        <v>CAD</v>
      </c>
      <c r="J53" s="346" t="str">
        <f t="shared" si="4"/>
        <v>DC</v>
      </c>
      <c r="K53" s="346" t="str">
        <f t="shared" si="4"/>
        <v>Appointed EVP &amp; COO effective on March 23 2026. 2025 Compensation reflects compensation as EVP, Technical Services &amp; Operations</v>
      </c>
    </row>
    <row r="54" spans="1:11">
      <c r="A54" s="322" t="str">
        <f t="shared" si="5"/>
        <v>TSX:ELD_2025_NEO3</v>
      </c>
      <c r="B54" s="322" t="s">
        <v>109</v>
      </c>
      <c r="C54" s="322" t="str">
        <f>C53</f>
        <v>TSX:ELD</v>
      </c>
      <c r="E54" s="1296" t="str">
        <f t="shared" si="2"/>
        <v>Eldorado Gold Corporation</v>
      </c>
      <c r="F54" s="335" t="s">
        <v>78</v>
      </c>
      <c r="G54" s="345"/>
      <c r="H54" s="346" t="str">
        <f t="shared" si="4"/>
        <v>2025-12-31</v>
      </c>
      <c r="I54" s="346" t="str">
        <f t="shared" si="4"/>
        <v>CAD</v>
      </c>
      <c r="J54" s="346" t="str">
        <f t="shared" si="4"/>
        <v>DC</v>
      </c>
      <c r="K54" s="346">
        <f t="shared" si="4"/>
        <v>0</v>
      </c>
    </row>
    <row r="55" spans="1:11">
      <c r="A55" s="323" t="str">
        <f t="shared" si="5"/>
        <v>TSX:AGI_2025_CEO</v>
      </c>
      <c r="B55" s="323" t="s">
        <v>79</v>
      </c>
      <c r="C55" s="323" t="str">
        <f>'Raw Data'!E14</f>
        <v>TSX:AGI</v>
      </c>
      <c r="E55" s="1295" t="str">
        <f t="shared" si="2"/>
        <v>Alamos Gold Inc.</v>
      </c>
      <c r="F55" s="341" t="s">
        <v>78</v>
      </c>
      <c r="G55" s="345"/>
      <c r="H55" s="347" t="str">
        <f t="shared" si="4"/>
        <v>2025-12-31</v>
      </c>
      <c r="I55" s="347" t="str">
        <f t="shared" si="4"/>
        <v>USD</v>
      </c>
      <c r="J55" s="347" t="str">
        <f t="shared" si="4"/>
        <v>DC</v>
      </c>
      <c r="K55" s="347" t="str">
        <f t="shared" si="4"/>
        <v>Received an one-time award of 575,000CAD, this has been removed from the 2025 STIP portion</v>
      </c>
    </row>
    <row r="56" spans="1:11">
      <c r="A56" s="322" t="str">
        <f t="shared" si="5"/>
        <v>TSX:AGI_2025_CFO</v>
      </c>
      <c r="B56" s="322" t="s">
        <v>106</v>
      </c>
      <c r="C56" s="322" t="str">
        <f>C55</f>
        <v>TSX:AGI</v>
      </c>
      <c r="E56" s="1295" t="str">
        <f t="shared" si="2"/>
        <v>Alamos Gold Inc.</v>
      </c>
      <c r="F56" s="341" t="s">
        <v>78</v>
      </c>
      <c r="G56" s="345"/>
      <c r="H56" s="347" t="str">
        <f t="shared" si="4"/>
        <v>2025-12-31</v>
      </c>
      <c r="I56" s="347" t="str">
        <f t="shared" si="4"/>
        <v>USD</v>
      </c>
      <c r="J56" s="347" t="str">
        <f t="shared" si="4"/>
        <v>DC</v>
      </c>
      <c r="K56" s="347" t="str">
        <f t="shared" si="4"/>
        <v>Gregory Fisher was promoted to CFO on May 1, 2023; prior role was SVP Finance. Actual compensation reflects both roles. Received an award an one-time award of 280,000CAD, which was removed from the STIP portion.</v>
      </c>
    </row>
    <row r="57" spans="1:11">
      <c r="A57" s="322" t="str">
        <f t="shared" si="5"/>
        <v>TSX:AGI_2025_NEO1</v>
      </c>
      <c r="B57" s="322" t="s">
        <v>107</v>
      </c>
      <c r="C57" s="322" t="str">
        <f>C56</f>
        <v>TSX:AGI</v>
      </c>
      <c r="E57" s="1295" t="str">
        <f t="shared" si="2"/>
        <v>Alamos Gold Inc.</v>
      </c>
      <c r="F57" s="341" t="s">
        <v>78</v>
      </c>
      <c r="G57" s="345"/>
      <c r="H57" s="347" t="str">
        <f t="shared" si="4"/>
        <v>2025-12-31</v>
      </c>
      <c r="I57" s="347" t="str">
        <f t="shared" si="4"/>
        <v>USD</v>
      </c>
      <c r="J57" s="347" t="str">
        <f t="shared" si="4"/>
        <v>DC</v>
      </c>
      <c r="K57" s="347" t="str">
        <f t="shared" si="4"/>
        <v>-</v>
      </c>
    </row>
    <row r="58" spans="1:11">
      <c r="A58" s="322" t="str">
        <f t="shared" si="5"/>
        <v>TSX:AGI_2025_NEO2</v>
      </c>
      <c r="B58" s="322" t="s">
        <v>108</v>
      </c>
      <c r="C58" s="322" t="str">
        <f>C57</f>
        <v>TSX:AGI</v>
      </c>
      <c r="E58" s="1295" t="str">
        <f t="shared" si="2"/>
        <v>Alamos Gold Inc.</v>
      </c>
      <c r="F58" s="341" t="s">
        <v>78</v>
      </c>
      <c r="G58" s="345"/>
      <c r="H58" s="347" t="str">
        <f t="shared" si="4"/>
        <v>2025-12-31</v>
      </c>
      <c r="I58" s="347" t="str">
        <f t="shared" si="4"/>
        <v>USD</v>
      </c>
      <c r="J58" s="347" t="str">
        <f t="shared" si="4"/>
        <v>DC</v>
      </c>
      <c r="K58" s="347" t="str">
        <f t="shared" si="4"/>
        <v>Received an one-time award of 139,500CAD, this has been removed from the 2025 STIP portion.</v>
      </c>
    </row>
    <row r="59" spans="1:11">
      <c r="A59" s="322" t="str">
        <f t="shared" si="5"/>
        <v>TSX:AGI_2025_NEO3</v>
      </c>
      <c r="B59" s="322" t="s">
        <v>109</v>
      </c>
      <c r="C59" s="322" t="str">
        <f>C58</f>
        <v>TSX:AGI</v>
      </c>
      <c r="E59" s="1295" t="str">
        <f t="shared" si="2"/>
        <v>Alamos Gold Inc.</v>
      </c>
      <c r="F59" s="341" t="s">
        <v>78</v>
      </c>
      <c r="G59" s="345"/>
      <c r="H59" s="347" t="str">
        <f t="shared" si="4"/>
        <v>2025-12-31</v>
      </c>
      <c r="I59" s="347" t="str">
        <f t="shared" si="4"/>
        <v>USD</v>
      </c>
      <c r="J59" s="347" t="str">
        <f t="shared" si="4"/>
        <v>DC</v>
      </c>
      <c r="K59" s="347" t="str">
        <f t="shared" si="4"/>
        <v>-</v>
      </c>
    </row>
    <row r="60" spans="1:11">
      <c r="A60" s="323" t="str">
        <f t="shared" si="5"/>
        <v>NYSE:HL_2025_CEO</v>
      </c>
      <c r="B60" s="323" t="s">
        <v>79</v>
      </c>
      <c r="C60" s="323" t="str">
        <f>'Raw Data'!E15</f>
        <v>NYSE:HL</v>
      </c>
      <c r="E60" s="1296" t="str">
        <f t="shared" si="2"/>
        <v>Hecla Mining Company</v>
      </c>
      <c r="F60" s="335" t="s">
        <v>78</v>
      </c>
      <c r="G60" s="345"/>
      <c r="H60" s="346" t="str">
        <f t="shared" si="4"/>
        <v>2025-12-31</v>
      </c>
      <c r="I60" s="346" t="str">
        <f t="shared" si="4"/>
        <v>USD</v>
      </c>
      <c r="J60" s="346" t="str">
        <f t="shared" si="4"/>
        <v>-</v>
      </c>
      <c r="K60" s="346" t="str">
        <f t="shared" si="4"/>
        <v>Mr. Krcmarov was appointed President and CEO November 7, 2024. His compensation for the year has been annualized, except for an on-hire grant of $3.195M in RSUs and PSUs which we have excluded. Target TDC reflects annual target STIP and LTIP</v>
      </c>
    </row>
    <row r="61" spans="1:11">
      <c r="A61" s="322" t="str">
        <f t="shared" si="5"/>
        <v>NYSE:HL_2025_CFO</v>
      </c>
      <c r="B61" s="322" t="s">
        <v>106</v>
      </c>
      <c r="C61" s="322" t="str">
        <f>C60</f>
        <v>NYSE:HL</v>
      </c>
      <c r="E61" s="1296" t="str">
        <f t="shared" si="2"/>
        <v>Hecla Mining Company</v>
      </c>
      <c r="F61" s="335" t="s">
        <v>78</v>
      </c>
      <c r="G61" s="345"/>
      <c r="H61" s="346" t="str">
        <f t="shared" si="4"/>
        <v>2025-12-31</v>
      </c>
      <c r="I61" s="346" t="str">
        <f t="shared" si="4"/>
        <v>USD</v>
      </c>
      <c r="J61" s="346" t="str">
        <f t="shared" si="4"/>
        <v>DB</v>
      </c>
      <c r="K61" s="346" t="str">
        <f t="shared" si="4"/>
        <v>-</v>
      </c>
    </row>
    <row r="62" spans="1:11">
      <c r="A62" s="322" t="str">
        <f t="shared" si="5"/>
        <v>NYSE:HL_2025_NEO1</v>
      </c>
      <c r="B62" s="322" t="s">
        <v>107</v>
      </c>
      <c r="C62" s="322" t="str">
        <f>C61</f>
        <v>NYSE:HL</v>
      </c>
      <c r="E62" s="1296" t="str">
        <f t="shared" si="2"/>
        <v>Hecla Mining Company</v>
      </c>
      <c r="F62" s="335" t="s">
        <v>78</v>
      </c>
      <c r="G62" s="345"/>
      <c r="H62" s="346" t="str">
        <f t="shared" si="4"/>
        <v>2025-12-31</v>
      </c>
      <c r="I62" s="346" t="str">
        <f t="shared" si="4"/>
        <v>USD</v>
      </c>
      <c r="J62" s="346" t="str">
        <f t="shared" si="4"/>
        <v>DB</v>
      </c>
      <c r="K62" s="346" t="str">
        <f t="shared" si="4"/>
        <v>Mr Clary is retiring effective Jan 1, 2026. Did not receive STIP/LTIP awards, but received a severance package of 2,100,000 which was reported under other compensation and excluded. He also did not receive a bonus, his actual compensation has been removed from our benchmarking.</v>
      </c>
    </row>
    <row r="63" spans="1:11">
      <c r="A63" s="322" t="str">
        <f t="shared" si="5"/>
        <v>NYSE:HL_2025_NEO2</v>
      </c>
      <c r="B63" s="322" t="s">
        <v>108</v>
      </c>
      <c r="C63" s="322" t="str">
        <f>C62</f>
        <v>NYSE:HL</v>
      </c>
      <c r="E63" s="1296" t="str">
        <f t="shared" si="2"/>
        <v>Hecla Mining Company</v>
      </c>
      <c r="F63" s="335" t="s">
        <v>78</v>
      </c>
      <c r="G63" s="345"/>
      <c r="H63" s="346" t="str">
        <f t="shared" si="4"/>
        <v>2025-12-31</v>
      </c>
      <c r="I63" s="346" t="str">
        <f t="shared" si="4"/>
        <v>USD</v>
      </c>
      <c r="J63" s="346" t="str">
        <f t="shared" si="4"/>
        <v>DB</v>
      </c>
      <c r="K63" s="346" t="str">
        <f t="shared" si="4"/>
        <v>Promoted in November 2024 and received an one time retention award of 200,000 which was excluded</v>
      </c>
    </row>
    <row r="64" spans="1:11">
      <c r="A64" s="322" t="str">
        <f t="shared" si="5"/>
        <v>NYSE:HL_2025_NEO3</v>
      </c>
      <c r="B64" s="322" t="s">
        <v>109</v>
      </c>
      <c r="C64" s="322" t="str">
        <f>C63</f>
        <v>NYSE:HL</v>
      </c>
      <c r="E64" s="1296" t="str">
        <f t="shared" si="2"/>
        <v>Hecla Mining Company</v>
      </c>
      <c r="F64" s="335" t="s">
        <v>78</v>
      </c>
      <c r="G64" s="345"/>
      <c r="H64" s="346" t="str">
        <f t="shared" si="4"/>
        <v>2025-12-31</v>
      </c>
      <c r="I64" s="346" t="str">
        <f t="shared" si="4"/>
        <v>USD</v>
      </c>
      <c r="J64" s="346" t="str">
        <f t="shared" si="4"/>
        <v>DB</v>
      </c>
      <c r="K64" s="346" t="str">
        <f t="shared" si="4"/>
        <v xml:space="preserve">Mr. Sienko was promoted from VP &amp; General Counsel to SVP General Counsel &amp; Corporate Secretary in August 2024. Actual compensation for 2024 reflects both role; Targets reflect his new role. </v>
      </c>
    </row>
    <row r="65" spans="1:11">
      <c r="A65" s="323" t="str">
        <f t="shared" si="5"/>
        <v>TSX:CG_2025_CEO</v>
      </c>
      <c r="B65" s="323" t="s">
        <v>79</v>
      </c>
      <c r="C65" s="323" t="str">
        <f>'Raw Data'!E16</f>
        <v>TSX:CG</v>
      </c>
      <c r="E65" s="1295" t="str">
        <f t="shared" si="2"/>
        <v>Centerra Gold Inc.</v>
      </c>
      <c r="F65" s="341" t="s">
        <v>78</v>
      </c>
      <c r="G65" s="345"/>
      <c r="H65" s="347" t="str">
        <f t="shared" si="4"/>
        <v>2025-12-31</v>
      </c>
      <c r="I65" s="347" t="str">
        <f t="shared" si="4"/>
        <v>CAD</v>
      </c>
      <c r="J65" s="347" t="str">
        <f t="shared" si="4"/>
        <v>-</v>
      </c>
      <c r="K65" s="347" t="str">
        <f t="shared" si="4"/>
        <v>-</v>
      </c>
    </row>
    <row r="66" spans="1:11">
      <c r="A66" s="322" t="str">
        <f t="shared" si="5"/>
        <v>TSX:CG_2025_CFO</v>
      </c>
      <c r="B66" s="322" t="s">
        <v>106</v>
      </c>
      <c r="C66" s="322" t="str">
        <f>C65</f>
        <v>TSX:CG</v>
      </c>
      <c r="E66" s="1295" t="str">
        <f t="shared" si="2"/>
        <v>Centerra Gold Inc.</v>
      </c>
      <c r="F66" s="341" t="s">
        <v>78</v>
      </c>
      <c r="G66" s="345"/>
      <c r="H66" s="347" t="str">
        <f t="shared" si="4"/>
        <v>2025-12-31</v>
      </c>
      <c r="I66" s="347" t="str">
        <f t="shared" si="4"/>
        <v>CAD</v>
      </c>
      <c r="J66" s="347" t="str">
        <f t="shared" si="4"/>
        <v>-</v>
      </c>
      <c r="K66" s="347" t="str">
        <f t="shared" si="4"/>
        <v xml:space="preserve">Mr. Snyder was appointed Executive Vice President, CFO on  April 8, 2024, before which he was VP  Finance. </v>
      </c>
    </row>
    <row r="67" spans="1:11">
      <c r="A67" s="322" t="str">
        <f t="shared" si="5"/>
        <v>TSX:CG_2025_NEO1</v>
      </c>
      <c r="B67" s="322" t="s">
        <v>107</v>
      </c>
      <c r="C67" s="322" t="str">
        <f>C66</f>
        <v>TSX:CG</v>
      </c>
      <c r="E67" s="1295" t="str">
        <f t="shared" si="2"/>
        <v>Centerra Gold Inc.</v>
      </c>
      <c r="F67" s="341" t="s">
        <v>78</v>
      </c>
      <c r="G67" s="345"/>
      <c r="H67" s="347" t="str">
        <f t="shared" si="4"/>
        <v>2025-12-31</v>
      </c>
      <c r="I67" s="347" t="str">
        <f t="shared" si="4"/>
        <v>CAD</v>
      </c>
      <c r="J67" s="347" t="str">
        <f t="shared" si="4"/>
        <v>-</v>
      </c>
      <c r="K67" s="347" t="str">
        <f t="shared" si="4"/>
        <v>Mr. Hendriks received a pro-rated amount of pay in 2025 based on his start date of April 15, 2025.</v>
      </c>
    </row>
    <row r="68" spans="1:11">
      <c r="A68" s="322" t="str">
        <f t="shared" si="5"/>
        <v>TSX:CG_2025_NEO2</v>
      </c>
      <c r="B68" s="322" t="s">
        <v>108</v>
      </c>
      <c r="C68" s="322" t="str">
        <f>C67</f>
        <v>TSX:CG</v>
      </c>
      <c r="E68" s="1295" t="str">
        <f t="shared" si="2"/>
        <v>Centerra Gold Inc.</v>
      </c>
      <c r="F68" s="341" t="s">
        <v>78</v>
      </c>
      <c r="G68" s="345"/>
      <c r="H68" s="347" t="str">
        <f t="shared" si="4"/>
        <v>2025-12-31</v>
      </c>
      <c r="I68" s="347" t="str">
        <f t="shared" si="4"/>
        <v>CAD</v>
      </c>
      <c r="J68" s="347" t="str">
        <f t="shared" si="4"/>
        <v>-</v>
      </c>
      <c r="K68" s="347" t="str">
        <f t="shared" si="4"/>
        <v>-</v>
      </c>
    </row>
    <row r="69" spans="1:11">
      <c r="A69" s="322" t="str">
        <f t="shared" ref="A69:A100" si="6">+C69&amp;"_"&amp;$A$1&amp;"_"&amp;B69</f>
        <v>0_2025_NEO3</v>
      </c>
      <c r="B69" s="322" t="s">
        <v>109</v>
      </c>
      <c r="C69" s="323">
        <f>'Raw Data'!E24</f>
        <v>0</v>
      </c>
      <c r="E69" s="1295" t="str">
        <f t="shared" si="2"/>
        <v>(Invalid Identifier)</v>
      </c>
      <c r="F69" s="341" t="s">
        <v>78</v>
      </c>
      <c r="G69" s="345"/>
      <c r="H69" s="347" t="str">
        <f t="shared" si="4"/>
        <v>2025-12-31</v>
      </c>
      <c r="I69" s="347" t="str">
        <f t="shared" si="4"/>
        <v>CAD</v>
      </c>
      <c r="J69" s="347" t="str">
        <f t="shared" si="4"/>
        <v>-</v>
      </c>
      <c r="K69" s="347" t="str">
        <f t="shared" si="4"/>
        <v>-</v>
      </c>
    </row>
    <row r="70" spans="1:11">
      <c r="A70" s="323" t="str">
        <f t="shared" si="6"/>
        <v>TSX:FM_2025_CEO</v>
      </c>
      <c r="B70" s="323" t="s">
        <v>79</v>
      </c>
      <c r="C70" s="323" t="str">
        <f>'Raw Data'!E17</f>
        <v>TSX:FM</v>
      </c>
      <c r="E70" s="1296" t="str">
        <f t="shared" si="2"/>
        <v>First Quantum Minerals Ltd.</v>
      </c>
      <c r="F70" s="335" t="s">
        <v>78</v>
      </c>
      <c r="G70" s="345"/>
      <c r="H70" s="346" t="str">
        <f t="shared" si="4"/>
        <v>2025-12-31</v>
      </c>
      <c r="I70" s="346" t="str">
        <f t="shared" si="4"/>
        <v>USD</v>
      </c>
      <c r="J70" s="346" t="str">
        <f t="shared" si="4"/>
        <v>DC</v>
      </c>
      <c r="K70" s="346" t="str">
        <f t="shared" si="4"/>
        <v>-</v>
      </c>
    </row>
    <row r="71" spans="1:11">
      <c r="A71" s="322" t="str">
        <f t="shared" si="6"/>
        <v>TSX:FM_2025_CFO</v>
      </c>
      <c r="B71" s="322" t="s">
        <v>106</v>
      </c>
      <c r="C71" s="322" t="str">
        <f>C70</f>
        <v>TSX:FM</v>
      </c>
      <c r="E71" s="1296" t="str">
        <f t="shared" si="2"/>
        <v>First Quantum Minerals Ltd.</v>
      </c>
      <c r="F71" s="335" t="s">
        <v>78</v>
      </c>
      <c r="G71" s="345"/>
      <c r="H71" s="346" t="str">
        <f t="shared" si="4"/>
        <v>2025-12-31</v>
      </c>
      <c r="I71" s="346" t="str">
        <f t="shared" si="4"/>
        <v>USD</v>
      </c>
      <c r="J71" s="346" t="str">
        <f t="shared" si="4"/>
        <v>DC</v>
      </c>
      <c r="K71" s="346" t="str">
        <f t="shared" si="4"/>
        <v>-</v>
      </c>
    </row>
    <row r="72" spans="1:11">
      <c r="A72" s="322" t="str">
        <f t="shared" si="6"/>
        <v>TSX:FM_2025_NEO1</v>
      </c>
      <c r="B72" s="322" t="s">
        <v>107</v>
      </c>
      <c r="C72" s="322" t="str">
        <f>C71</f>
        <v>TSX:FM</v>
      </c>
      <c r="E72" s="1296" t="str">
        <f t="shared" si="2"/>
        <v>First Quantum Minerals Ltd.</v>
      </c>
      <c r="F72" s="335" t="s">
        <v>78</v>
      </c>
      <c r="G72" s="345"/>
      <c r="H72" s="346" t="str">
        <f t="shared" si="4"/>
        <v>2025-12-31</v>
      </c>
      <c r="I72" s="346" t="str">
        <f t="shared" si="4"/>
        <v>USD</v>
      </c>
      <c r="J72" s="346" t="str">
        <f t="shared" si="4"/>
        <v>DC</v>
      </c>
      <c r="K72" s="346" t="str">
        <f t="shared" si="4"/>
        <v>-</v>
      </c>
    </row>
    <row r="73" spans="1:11">
      <c r="A73" s="322" t="str">
        <f t="shared" si="6"/>
        <v>TSX:FM_2025_NEO2</v>
      </c>
      <c r="B73" s="322" t="s">
        <v>108</v>
      </c>
      <c r="C73" s="322" t="str">
        <f>C72</f>
        <v>TSX:FM</v>
      </c>
      <c r="E73" s="1296" t="str">
        <f t="shared" si="2"/>
        <v>First Quantum Minerals Ltd.</v>
      </c>
      <c r="F73" s="335" t="s">
        <v>78</v>
      </c>
      <c r="G73" s="345"/>
      <c r="H73" s="346" t="str">
        <f t="shared" si="4"/>
        <v>2025-12-31</v>
      </c>
      <c r="I73" s="346" t="str">
        <f t="shared" si="4"/>
        <v>USD</v>
      </c>
      <c r="J73" s="346" t="str">
        <f t="shared" si="4"/>
        <v>DC</v>
      </c>
      <c r="K73" s="346" t="str">
        <f t="shared" si="4"/>
        <v>Mr. Z Wozniak retired as a NEO on December 31, 2025 and there was no change to his salary.</v>
      </c>
    </row>
    <row r="74" spans="1:11">
      <c r="A74" s="322" t="str">
        <f t="shared" si="6"/>
        <v>TSX:FM_2025_NEO3</v>
      </c>
      <c r="B74" s="322" t="s">
        <v>109</v>
      </c>
      <c r="C74" s="322" t="str">
        <f>C73</f>
        <v>TSX:FM</v>
      </c>
      <c r="E74" s="1296" t="str">
        <f t="shared" ref="E74:E109" si="7">IFERROR(INDEX(Raw_Data,MATCH($A74,Look_Up,0),MATCH(E$4,Component,0)),"-")</f>
        <v>First Quantum Minerals Ltd.</v>
      </c>
      <c r="F74" s="335" t="s">
        <v>78</v>
      </c>
      <c r="G74" s="345"/>
      <c r="H74" s="346" t="str">
        <f t="shared" si="4"/>
        <v>2025-12-31</v>
      </c>
      <c r="I74" s="346" t="str">
        <f t="shared" si="4"/>
        <v>USD</v>
      </c>
      <c r="J74" s="346" t="str">
        <f t="shared" si="4"/>
        <v>DC</v>
      </c>
      <c r="K74" s="346" t="str">
        <f t="shared" si="4"/>
        <v>-</v>
      </c>
    </row>
    <row r="75" spans="1:11">
      <c r="A75" s="323" t="str">
        <f t="shared" si="6"/>
        <v>TSX:CDE_2025_CEO</v>
      </c>
      <c r="B75" s="323" t="s">
        <v>79</v>
      </c>
      <c r="C75" s="323" t="str">
        <f>'Raw Data'!E18</f>
        <v>TSX:CDE</v>
      </c>
      <c r="E75" s="1295" t="str">
        <f t="shared" si="7"/>
        <v>Coeur Mining, Inc.</v>
      </c>
      <c r="F75" s="341" t="s">
        <v>78</v>
      </c>
      <c r="G75" s="345"/>
      <c r="H75" s="347" t="str">
        <f t="shared" si="4"/>
        <v>2025-12-31</v>
      </c>
      <c r="I75" s="347" t="str">
        <f t="shared" si="4"/>
        <v>USD</v>
      </c>
      <c r="J75" s="347" t="str">
        <f t="shared" si="4"/>
        <v>DC</v>
      </c>
      <c r="K75" s="347" t="str">
        <f t="shared" si="4"/>
        <v>-</v>
      </c>
    </row>
    <row r="76" spans="1:11">
      <c r="A76" s="322" t="str">
        <f t="shared" si="6"/>
        <v>TSX:CDE_2025_CFO</v>
      </c>
      <c r="B76" s="322" t="s">
        <v>106</v>
      </c>
      <c r="C76" s="322" t="str">
        <f>C75</f>
        <v>TSX:CDE</v>
      </c>
      <c r="E76" s="1295" t="str">
        <f t="shared" si="7"/>
        <v>Coeur Mining, Inc.</v>
      </c>
      <c r="F76" s="341" t="s">
        <v>78</v>
      </c>
      <c r="G76" s="345"/>
      <c r="H76" s="347" t="str">
        <f t="shared" si="4"/>
        <v>2025-12-31</v>
      </c>
      <c r="I76" s="347" t="str">
        <f t="shared" si="4"/>
        <v>USD</v>
      </c>
      <c r="J76" s="347" t="str">
        <f t="shared" si="4"/>
        <v>DC</v>
      </c>
      <c r="K76" s="347" t="str">
        <f t="shared" si="4"/>
        <v>-</v>
      </c>
    </row>
    <row r="77" spans="1:11">
      <c r="A77" s="322" t="str">
        <f t="shared" si="6"/>
        <v>TSX:CDE_2025_NEO1</v>
      </c>
      <c r="B77" s="322" t="s">
        <v>107</v>
      </c>
      <c r="C77" s="322" t="str">
        <f>C76</f>
        <v>TSX:CDE</v>
      </c>
      <c r="E77" s="1295" t="str">
        <f t="shared" si="7"/>
        <v>Coeur Mining, Inc.</v>
      </c>
      <c r="F77" s="341" t="s">
        <v>78</v>
      </c>
      <c r="G77" s="345"/>
      <c r="H77" s="347" t="str">
        <f t="shared" si="4"/>
        <v>2025-12-31</v>
      </c>
      <c r="I77" s="347" t="str">
        <f t="shared" si="4"/>
        <v>USD</v>
      </c>
      <c r="J77" s="347" t="str">
        <f t="shared" si="4"/>
        <v>DC</v>
      </c>
      <c r="K77" s="347" t="str">
        <f t="shared" si="4"/>
        <v>-</v>
      </c>
    </row>
    <row r="78" spans="1:11">
      <c r="A78" s="322" t="str">
        <f t="shared" si="6"/>
        <v>TSX:CDE_2025_NEO2</v>
      </c>
      <c r="B78" s="322" t="s">
        <v>108</v>
      </c>
      <c r="C78" s="322" t="str">
        <f>C77</f>
        <v>TSX:CDE</v>
      </c>
      <c r="E78" s="1295" t="str">
        <f t="shared" si="7"/>
        <v>Coeur Mining, Inc.</v>
      </c>
      <c r="F78" s="341" t="s">
        <v>78</v>
      </c>
      <c r="G78" s="345"/>
      <c r="H78" s="347" t="str">
        <f t="shared" si="4"/>
        <v>2025-12-31</v>
      </c>
      <c r="I78" s="347" t="str">
        <f t="shared" si="4"/>
        <v>USD</v>
      </c>
      <c r="J78" s="347" t="str">
        <f t="shared" si="4"/>
        <v>DC</v>
      </c>
      <c r="K78" s="347" t="str">
        <f t="shared" si="4"/>
        <v>-</v>
      </c>
    </row>
    <row r="79" spans="1:11">
      <c r="A79" s="322" t="str">
        <f t="shared" si="6"/>
        <v>TSX:CDE_2025_NEO3</v>
      </c>
      <c r="B79" s="322" t="s">
        <v>109</v>
      </c>
      <c r="C79" s="322" t="str">
        <f>C78</f>
        <v>TSX:CDE</v>
      </c>
      <c r="E79" s="1295" t="str">
        <f t="shared" si="7"/>
        <v>Coeur Mining, Inc.</v>
      </c>
      <c r="F79" s="341" t="s">
        <v>78</v>
      </c>
      <c r="G79" s="345"/>
      <c r="H79" s="347" t="str">
        <f t="shared" si="4"/>
        <v>2025-12-31</v>
      </c>
      <c r="I79" s="347" t="str">
        <f t="shared" si="4"/>
        <v>USD</v>
      </c>
      <c r="J79" s="347" t="str">
        <f t="shared" si="4"/>
        <v>DC</v>
      </c>
      <c r="K79" s="347" t="str">
        <f t="shared" si="4"/>
        <v>-</v>
      </c>
    </row>
    <row r="80" spans="1:11">
      <c r="A80" s="323" t="str">
        <f t="shared" si="6"/>
        <v>TSX:EQX_2025_CEO</v>
      </c>
      <c r="B80" s="323" t="s">
        <v>79</v>
      </c>
      <c r="C80" s="323" t="str">
        <f>'Raw Data'!E19</f>
        <v>TSX:EQX</v>
      </c>
      <c r="E80" s="1296" t="str">
        <f t="shared" si="7"/>
        <v>Equinox Gold Corp.</v>
      </c>
      <c r="F80" s="335" t="s">
        <v>78</v>
      </c>
      <c r="G80" s="345"/>
      <c r="H80" s="346" t="str">
        <f t="shared" si="4"/>
        <v>2025-12-31</v>
      </c>
      <c r="I80" s="346" t="str">
        <f t="shared" si="4"/>
        <v>CAD</v>
      </c>
      <c r="J80" s="346" t="str">
        <f t="shared" si="4"/>
        <v>N/A</v>
      </c>
      <c r="K80" s="346" t="str">
        <f t="shared" si="4"/>
        <v xml:space="preserve"> Mr. Hall was appointed President and COO effective June 17, 2025 and subsequently appointed CEO effective July 21, 2025. Reported compensation is a combination of from the two positions, and annualization has been removed. Mr. Hall received total compensation of $5,212,587 as CEO of Calibre consisting of: (a) $277,343 in salary; (b) $1,024,077 in share-based awards; (c) $518,160 in performance bonus; and (d) $3,393,007 in all other compensation, representing change of control payments from Calibre in connection with the Calibre Transaction and superannuation contributions (which has been excluded from other compensation). Mr. Hall received total compensation of $1,504,397 as an NEO of Equinox consisting of: (a) $310,205 in salary; (b) $1,140,823 in performance bonus; and (c) $53,370 in all other compensation. </v>
      </c>
    </row>
    <row r="81" spans="1:11">
      <c r="A81" s="322" t="str">
        <f t="shared" si="6"/>
        <v>TSX:EQX_2025_CFO</v>
      </c>
      <c r="B81" s="322" t="s">
        <v>106</v>
      </c>
      <c r="C81" s="322" t="str">
        <f>C80</f>
        <v>TSX:EQX</v>
      </c>
      <c r="E81" s="1296" t="str">
        <f t="shared" si="7"/>
        <v>Equinox Gold Corp.</v>
      </c>
      <c r="F81" s="335" t="s">
        <v>78</v>
      </c>
      <c r="G81" s="345"/>
      <c r="H81" s="346" t="str">
        <f t="shared" si="4"/>
        <v>2025-12-31</v>
      </c>
      <c r="I81" s="346" t="str">
        <f t="shared" si="4"/>
        <v>CAD</v>
      </c>
      <c r="J81" s="346" t="str">
        <f t="shared" si="4"/>
        <v>N/A</v>
      </c>
      <c r="K81" s="346" t="str">
        <f t="shared" si="4"/>
        <v xml:space="preserve">The board approved one time payment of 1,738,291 as a part of the calibre transition payments to match the "change in control" payments for Calibre Execs. This has been excluded from "other" section. </v>
      </c>
    </row>
    <row r="82" spans="1:11">
      <c r="A82" s="322" t="str">
        <f t="shared" si="6"/>
        <v>TSX:EQX_2025_NEO1</v>
      </c>
      <c r="B82" s="322" t="s">
        <v>107</v>
      </c>
      <c r="C82" s="322" t="str">
        <f>C81</f>
        <v>TSX:EQX</v>
      </c>
      <c r="E82" s="1296" t="str">
        <f t="shared" si="7"/>
        <v>Equinox Gold Corp.</v>
      </c>
      <c r="F82" s="335" t="s">
        <v>78</v>
      </c>
      <c r="G82" s="345"/>
      <c r="H82" s="346" t="str">
        <f t="shared" si="4"/>
        <v>2025-12-31</v>
      </c>
      <c r="I82" s="346" t="str">
        <f t="shared" si="4"/>
        <v>CAD</v>
      </c>
      <c r="J82" s="346" t="str">
        <f t="shared" si="4"/>
        <v>N/A</v>
      </c>
      <c r="K82" s="346" t="str">
        <f t="shared" si="4"/>
        <v>COO effective July 21, 2025. Mr. Schummer received total compensation of $1,958,399 as COO of Calibre consisting of: (a) $139,985 in salary; (b) $439,328 in share-based awards; (c) $213,337 in performance bonus; and (d) $1,165,749 in all other compensation, representing change of control payments from Calibre in connection (which has been excluded) with the Calibre Transaction and matching contributions to a 401(k) retirement savings plan. Mr. Schummer received total compensation of $691,289 as an NEO consisting of: (a) $268,919 in salary; (b) $409,622 in performance bonus; and (c) $12,748 in all other compensation.</v>
      </c>
    </row>
    <row r="83" spans="1:11">
      <c r="A83" s="322" t="str">
        <f t="shared" si="6"/>
        <v>TSX:EQX_2025_NEO2</v>
      </c>
      <c r="B83" s="322" t="s">
        <v>108</v>
      </c>
      <c r="C83" s="322" t="str">
        <f>C82</f>
        <v>TSX:EQX</v>
      </c>
      <c r="E83" s="1296" t="str">
        <f t="shared" si="7"/>
        <v>Equinox Gold Corp.</v>
      </c>
      <c r="F83" s="335" t="s">
        <v>78</v>
      </c>
      <c r="G83" s="345"/>
      <c r="H83" s="346" t="str">
        <f t="shared" si="4"/>
        <v>2025-12-31</v>
      </c>
      <c r="I83" s="346" t="str">
        <f t="shared" si="4"/>
        <v>CAD</v>
      </c>
      <c r="J83" s="346" t="str">
        <f t="shared" si="4"/>
        <v>N/A</v>
      </c>
      <c r="K83" s="346" t="str">
        <f t="shared" si="4"/>
        <v xml:space="preserve"> </v>
      </c>
    </row>
    <row r="84" spans="1:11">
      <c r="A84" s="322" t="str">
        <f t="shared" si="6"/>
        <v>TSX:EQX_2025_NEO3</v>
      </c>
      <c r="B84" s="322" t="s">
        <v>109</v>
      </c>
      <c r="C84" s="322" t="str">
        <f>C83</f>
        <v>TSX:EQX</v>
      </c>
      <c r="E84" s="1296" t="str">
        <f t="shared" si="7"/>
        <v>Equinox Gold Corp.</v>
      </c>
      <c r="F84" s="335" t="s">
        <v>78</v>
      </c>
      <c r="G84" s="345"/>
      <c r="H84" s="346" t="str">
        <f t="shared" si="4"/>
        <v>2025-12-31</v>
      </c>
      <c r="I84" s="346" t="str">
        <f t="shared" si="4"/>
        <v>CAD</v>
      </c>
      <c r="J84" s="346" t="str">
        <f t="shared" si="4"/>
        <v>N/A</v>
      </c>
      <c r="K84" s="346" t="str">
        <f t="shared" si="4"/>
        <v xml:space="preserve">Susan Toews left her role as General Counsel &amp; Corporate Secretary effective Feb 12 2026. The board approved one time payment of 987,143, to match "change in control" payments to Calibre execs, this has been exlcuded. </v>
      </c>
    </row>
    <row r="85" spans="1:11">
      <c r="A85" s="323" t="str">
        <f t="shared" si="6"/>
        <v>0_2025_CEO</v>
      </c>
      <c r="B85" s="323" t="s">
        <v>79</v>
      </c>
      <c r="C85" s="323">
        <f>'Raw Data'!E20</f>
        <v>0</v>
      </c>
      <c r="E85" s="1295" t="str">
        <f t="shared" si="7"/>
        <v>(Invalid Identifier)</v>
      </c>
      <c r="F85" s="341" t="s">
        <v>78</v>
      </c>
      <c r="G85" s="345"/>
      <c r="H85" s="347" t="str">
        <f t="shared" si="4"/>
        <v>2025-12-31</v>
      </c>
      <c r="I85" s="347" t="str">
        <f t="shared" si="4"/>
        <v>CAD</v>
      </c>
      <c r="J85" s="347" t="str">
        <f t="shared" si="4"/>
        <v>-</v>
      </c>
      <c r="K85" s="347" t="str">
        <f t="shared" si="4"/>
        <v>-</v>
      </c>
    </row>
    <row r="86" spans="1:11">
      <c r="A86" s="322" t="str">
        <f t="shared" si="6"/>
        <v>0_2025_CFO</v>
      </c>
      <c r="B86" s="322" t="s">
        <v>106</v>
      </c>
      <c r="C86" s="322">
        <f>C85</f>
        <v>0</v>
      </c>
      <c r="E86" s="1295" t="str">
        <f t="shared" si="7"/>
        <v>(Invalid Identifier)</v>
      </c>
      <c r="F86" s="341" t="s">
        <v>78</v>
      </c>
      <c r="G86" s="345"/>
      <c r="H86" s="347" t="str">
        <f t="shared" si="4"/>
        <v>2025-12-31</v>
      </c>
      <c r="I86" s="347" t="str">
        <f t="shared" si="4"/>
        <v>CAD</v>
      </c>
      <c r="J86" s="347" t="str">
        <f t="shared" si="4"/>
        <v>-</v>
      </c>
      <c r="K86" s="347" t="str">
        <f t="shared" si="4"/>
        <v>-</v>
      </c>
    </row>
    <row r="87" spans="1:11">
      <c r="A87" s="322" t="str">
        <f t="shared" si="6"/>
        <v>0_2025_NEO1</v>
      </c>
      <c r="B87" s="322" t="s">
        <v>107</v>
      </c>
      <c r="C87" s="322">
        <f>C86</f>
        <v>0</v>
      </c>
      <c r="E87" s="1295" t="str">
        <f t="shared" si="7"/>
        <v>(Invalid Identifier)</v>
      </c>
      <c r="F87" s="341" t="s">
        <v>78</v>
      </c>
      <c r="G87" s="345"/>
      <c r="H87" s="347" t="str">
        <f t="shared" si="4"/>
        <v>2025-12-31</v>
      </c>
      <c r="I87" s="347" t="str">
        <f t="shared" si="4"/>
        <v>CAD</v>
      </c>
      <c r="J87" s="347" t="str">
        <f t="shared" si="4"/>
        <v>-</v>
      </c>
      <c r="K87" s="347" t="str">
        <f t="shared" si="4"/>
        <v>-</v>
      </c>
    </row>
    <row r="88" spans="1:11">
      <c r="A88" s="322" t="str">
        <f t="shared" si="6"/>
        <v>0_2025_NEO2</v>
      </c>
      <c r="B88" s="322" t="s">
        <v>108</v>
      </c>
      <c r="C88" s="322">
        <f>C87</f>
        <v>0</v>
      </c>
      <c r="E88" s="1295" t="str">
        <f t="shared" si="7"/>
        <v>(Invalid Identifier)</v>
      </c>
      <c r="F88" s="341" t="s">
        <v>78</v>
      </c>
      <c r="G88" s="345"/>
      <c r="H88" s="347" t="str">
        <f t="shared" si="4"/>
        <v>2025-12-31</v>
      </c>
      <c r="I88" s="347" t="str">
        <f t="shared" si="4"/>
        <v>CAD</v>
      </c>
      <c r="J88" s="347" t="str">
        <f t="shared" si="4"/>
        <v>-</v>
      </c>
      <c r="K88" s="347" t="str">
        <f t="shared" si="4"/>
        <v>-</v>
      </c>
    </row>
    <row r="89" spans="1:11">
      <c r="A89" s="322" t="str">
        <f t="shared" si="6"/>
        <v>0_2025_NEO3</v>
      </c>
      <c r="B89" s="322" t="s">
        <v>109</v>
      </c>
      <c r="C89" s="322">
        <f>C88</f>
        <v>0</v>
      </c>
      <c r="E89" s="1295" t="str">
        <f t="shared" si="7"/>
        <v>(Invalid Identifier)</v>
      </c>
      <c r="F89" s="341" t="s">
        <v>78</v>
      </c>
      <c r="G89" s="345"/>
      <c r="H89" s="347" t="str">
        <f t="shared" si="4"/>
        <v>2025-12-31</v>
      </c>
      <c r="I89" s="347" t="str">
        <f t="shared" si="4"/>
        <v>CAD</v>
      </c>
      <c r="J89" s="347" t="str">
        <f t="shared" si="4"/>
        <v>-</v>
      </c>
      <c r="K89" s="347" t="str">
        <f t="shared" ref="H89:K109" si="8">IFERROR(INDEX(Raw_Data,MATCH($A89,Look_Up,0),MATCH(K$4,Component,0)),"-")</f>
        <v>-</v>
      </c>
    </row>
    <row r="90" spans="1:11">
      <c r="A90" s="323" t="str">
        <f t="shared" si="6"/>
        <v>0_2025_CEO</v>
      </c>
      <c r="B90" s="323" t="s">
        <v>79</v>
      </c>
      <c r="C90" s="323">
        <f>'Raw Data'!E21</f>
        <v>0</v>
      </c>
      <c r="E90" s="1296" t="str">
        <f t="shared" si="7"/>
        <v>(Invalid Identifier)</v>
      </c>
      <c r="F90" s="335" t="s">
        <v>78</v>
      </c>
      <c r="G90" s="345"/>
      <c r="H90" s="346" t="str">
        <f t="shared" si="8"/>
        <v>2025-12-31</v>
      </c>
      <c r="I90" s="346" t="str">
        <f t="shared" si="8"/>
        <v>CAD</v>
      </c>
      <c r="J90" s="346" t="str">
        <f t="shared" si="8"/>
        <v>-</v>
      </c>
      <c r="K90" s="346" t="str">
        <f t="shared" si="8"/>
        <v>-</v>
      </c>
    </row>
    <row r="91" spans="1:11">
      <c r="A91" s="322" t="str">
        <f t="shared" si="6"/>
        <v>0_2025_CFO</v>
      </c>
      <c r="B91" s="322" t="s">
        <v>106</v>
      </c>
      <c r="C91" s="322">
        <f>C90</f>
        <v>0</v>
      </c>
      <c r="E91" s="1296" t="str">
        <f t="shared" si="7"/>
        <v>(Invalid Identifier)</v>
      </c>
      <c r="F91" s="335" t="s">
        <v>78</v>
      </c>
      <c r="G91" s="345"/>
      <c r="H91" s="346" t="str">
        <f t="shared" si="8"/>
        <v>2025-12-31</v>
      </c>
      <c r="I91" s="346" t="str">
        <f t="shared" si="8"/>
        <v>CAD</v>
      </c>
      <c r="J91" s="346" t="str">
        <f t="shared" si="8"/>
        <v>-</v>
      </c>
      <c r="K91" s="346" t="str">
        <f t="shared" si="8"/>
        <v>-</v>
      </c>
    </row>
    <row r="92" spans="1:11">
      <c r="A92" s="322" t="str">
        <f t="shared" si="6"/>
        <v>0_2025_NEO1</v>
      </c>
      <c r="B92" s="322" t="s">
        <v>107</v>
      </c>
      <c r="C92" s="322">
        <f>C91</f>
        <v>0</v>
      </c>
      <c r="E92" s="1296" t="str">
        <f t="shared" si="7"/>
        <v>(Invalid Identifier)</v>
      </c>
      <c r="F92" s="335" t="s">
        <v>78</v>
      </c>
      <c r="G92" s="345"/>
      <c r="H92" s="346" t="str">
        <f t="shared" si="8"/>
        <v>2025-12-31</v>
      </c>
      <c r="I92" s="346" t="str">
        <f t="shared" si="8"/>
        <v>CAD</v>
      </c>
      <c r="J92" s="346" t="str">
        <f t="shared" si="8"/>
        <v>-</v>
      </c>
      <c r="K92" s="346" t="str">
        <f t="shared" si="8"/>
        <v>-</v>
      </c>
    </row>
    <row r="93" spans="1:11">
      <c r="A93" s="322" t="str">
        <f t="shared" si="6"/>
        <v>0_2025_NEO2</v>
      </c>
      <c r="B93" s="322" t="s">
        <v>108</v>
      </c>
      <c r="C93" s="322">
        <f>C92</f>
        <v>0</v>
      </c>
      <c r="E93" s="1296" t="str">
        <f t="shared" si="7"/>
        <v>(Invalid Identifier)</v>
      </c>
      <c r="F93" s="335" t="s">
        <v>78</v>
      </c>
      <c r="G93" s="345"/>
      <c r="H93" s="346" t="str">
        <f t="shared" si="8"/>
        <v>2025-12-31</v>
      </c>
      <c r="I93" s="346" t="str">
        <f t="shared" si="8"/>
        <v>CAD</v>
      </c>
      <c r="J93" s="346" t="str">
        <f t="shared" si="8"/>
        <v>-</v>
      </c>
      <c r="K93" s="346" t="str">
        <f t="shared" si="8"/>
        <v>-</v>
      </c>
    </row>
    <row r="94" spans="1:11">
      <c r="A94" s="322" t="str">
        <f t="shared" si="6"/>
        <v>0_2025_NEO3</v>
      </c>
      <c r="B94" s="322" t="s">
        <v>109</v>
      </c>
      <c r="C94" s="322">
        <f>C93</f>
        <v>0</v>
      </c>
      <c r="E94" s="1296" t="str">
        <f t="shared" si="7"/>
        <v>(Invalid Identifier)</v>
      </c>
      <c r="F94" s="335" t="s">
        <v>78</v>
      </c>
      <c r="G94" s="345"/>
      <c r="H94" s="346" t="str">
        <f t="shared" si="8"/>
        <v>2025-12-31</v>
      </c>
      <c r="I94" s="346" t="str">
        <f t="shared" si="8"/>
        <v>CAD</v>
      </c>
      <c r="J94" s="346" t="str">
        <f t="shared" si="8"/>
        <v>-</v>
      </c>
      <c r="K94" s="346" t="str">
        <f t="shared" si="8"/>
        <v>-</v>
      </c>
    </row>
    <row r="95" spans="1:11">
      <c r="A95" s="323" t="str">
        <f t="shared" si="6"/>
        <v>0_2025_CEO</v>
      </c>
      <c r="B95" s="323" t="s">
        <v>79</v>
      </c>
      <c r="C95" s="323">
        <f>'Raw Data'!E22</f>
        <v>0</v>
      </c>
      <c r="E95" s="1295" t="str">
        <f t="shared" si="7"/>
        <v>(Invalid Identifier)</v>
      </c>
      <c r="F95" s="341" t="s">
        <v>78</v>
      </c>
      <c r="G95" s="345"/>
      <c r="H95" s="347" t="str">
        <f t="shared" si="8"/>
        <v>2025-12-31</v>
      </c>
      <c r="I95" s="347" t="str">
        <f t="shared" si="8"/>
        <v>CAD</v>
      </c>
      <c r="J95" s="347" t="str">
        <f t="shared" si="8"/>
        <v>-</v>
      </c>
      <c r="K95" s="347" t="str">
        <f t="shared" si="8"/>
        <v>-</v>
      </c>
    </row>
    <row r="96" spans="1:11">
      <c r="A96" s="322" t="str">
        <f t="shared" si="6"/>
        <v>0_2025_CFO</v>
      </c>
      <c r="B96" s="322" t="s">
        <v>106</v>
      </c>
      <c r="C96" s="322">
        <f>C95</f>
        <v>0</v>
      </c>
      <c r="E96" s="1295" t="str">
        <f t="shared" si="7"/>
        <v>(Invalid Identifier)</v>
      </c>
      <c r="F96" s="341" t="s">
        <v>78</v>
      </c>
      <c r="G96" s="345"/>
      <c r="H96" s="347" t="str">
        <f t="shared" si="8"/>
        <v>2025-12-31</v>
      </c>
      <c r="I96" s="347" t="str">
        <f t="shared" si="8"/>
        <v>CAD</v>
      </c>
      <c r="J96" s="347" t="str">
        <f t="shared" si="8"/>
        <v>-</v>
      </c>
      <c r="K96" s="347" t="str">
        <f t="shared" si="8"/>
        <v>-</v>
      </c>
    </row>
    <row r="97" spans="1:11">
      <c r="A97" s="322" t="str">
        <f t="shared" si="6"/>
        <v>0_2025_NEO1</v>
      </c>
      <c r="B97" s="322" t="s">
        <v>107</v>
      </c>
      <c r="C97" s="322">
        <f>C96</f>
        <v>0</v>
      </c>
      <c r="E97" s="1295" t="str">
        <f t="shared" si="7"/>
        <v>(Invalid Identifier)</v>
      </c>
      <c r="F97" s="341" t="s">
        <v>78</v>
      </c>
      <c r="G97" s="345"/>
      <c r="H97" s="347" t="str">
        <f t="shared" si="8"/>
        <v>2025-12-31</v>
      </c>
      <c r="I97" s="347" t="str">
        <f t="shared" si="8"/>
        <v>CAD</v>
      </c>
      <c r="J97" s="347" t="str">
        <f t="shared" si="8"/>
        <v>-</v>
      </c>
      <c r="K97" s="347" t="str">
        <f t="shared" si="8"/>
        <v>-</v>
      </c>
    </row>
    <row r="98" spans="1:11">
      <c r="A98" s="322" t="str">
        <f t="shared" si="6"/>
        <v>0_2025_NEO2</v>
      </c>
      <c r="B98" s="322" t="s">
        <v>108</v>
      </c>
      <c r="C98" s="322">
        <f>C97</f>
        <v>0</v>
      </c>
      <c r="E98" s="1295" t="str">
        <f t="shared" si="7"/>
        <v>(Invalid Identifier)</v>
      </c>
      <c r="F98" s="341" t="s">
        <v>78</v>
      </c>
      <c r="G98" s="345"/>
      <c r="H98" s="347" t="str">
        <f t="shared" si="8"/>
        <v>2025-12-31</v>
      </c>
      <c r="I98" s="347" t="str">
        <f t="shared" si="8"/>
        <v>CAD</v>
      </c>
      <c r="J98" s="347" t="str">
        <f t="shared" si="8"/>
        <v>-</v>
      </c>
      <c r="K98" s="347" t="str">
        <f t="shared" si="8"/>
        <v>-</v>
      </c>
    </row>
    <row r="99" spans="1:11">
      <c r="A99" s="322" t="str">
        <f t="shared" si="6"/>
        <v>0_2025_NEO3</v>
      </c>
      <c r="B99" s="322" t="s">
        <v>109</v>
      </c>
      <c r="C99" s="322">
        <f>C98</f>
        <v>0</v>
      </c>
      <c r="E99" s="1295" t="str">
        <f t="shared" si="7"/>
        <v>(Invalid Identifier)</v>
      </c>
      <c r="F99" s="341" t="s">
        <v>78</v>
      </c>
      <c r="G99" s="345"/>
      <c r="H99" s="347" t="str">
        <f t="shared" si="8"/>
        <v>2025-12-31</v>
      </c>
      <c r="I99" s="347" t="str">
        <f t="shared" si="8"/>
        <v>CAD</v>
      </c>
      <c r="J99" s="347" t="str">
        <f t="shared" si="8"/>
        <v>-</v>
      </c>
      <c r="K99" s="347" t="str">
        <f t="shared" si="8"/>
        <v>-</v>
      </c>
    </row>
    <row r="100" spans="1:11">
      <c r="A100" s="323" t="str">
        <f t="shared" si="6"/>
        <v>0_2025_CEO</v>
      </c>
      <c r="B100" s="323" t="s">
        <v>79</v>
      </c>
      <c r="C100" s="323">
        <f>'Raw Data'!E23</f>
        <v>0</v>
      </c>
      <c r="E100" s="1296" t="str">
        <f t="shared" si="7"/>
        <v>(Invalid Identifier)</v>
      </c>
      <c r="F100" s="335" t="s">
        <v>78</v>
      </c>
      <c r="G100" s="345"/>
      <c r="H100" s="346" t="str">
        <f t="shared" si="8"/>
        <v>2025-12-31</v>
      </c>
      <c r="I100" s="346" t="str">
        <f t="shared" si="8"/>
        <v>CAD</v>
      </c>
      <c r="J100" s="346" t="str">
        <f t="shared" si="8"/>
        <v>-</v>
      </c>
      <c r="K100" s="346" t="str">
        <f t="shared" si="8"/>
        <v>-</v>
      </c>
    </row>
    <row r="101" spans="1:11">
      <c r="A101" s="322" t="str">
        <f t="shared" ref="A101:A109" si="9">+C101&amp;"_"&amp;$A$1&amp;"_"&amp;B101</f>
        <v>0_2025_CFO</v>
      </c>
      <c r="B101" s="322" t="s">
        <v>106</v>
      </c>
      <c r="C101" s="322">
        <f>C100</f>
        <v>0</v>
      </c>
      <c r="E101" s="1296" t="str">
        <f t="shared" si="7"/>
        <v>(Invalid Identifier)</v>
      </c>
      <c r="F101" s="335" t="s">
        <v>78</v>
      </c>
      <c r="G101" s="345"/>
      <c r="H101" s="346" t="str">
        <f t="shared" si="8"/>
        <v>2025-12-31</v>
      </c>
      <c r="I101" s="346" t="str">
        <f t="shared" si="8"/>
        <v>CAD</v>
      </c>
      <c r="J101" s="346" t="str">
        <f t="shared" si="8"/>
        <v>-</v>
      </c>
      <c r="K101" s="346" t="str">
        <f t="shared" si="8"/>
        <v>-</v>
      </c>
    </row>
    <row r="102" spans="1:11">
      <c r="A102" s="322" t="str">
        <f t="shared" si="9"/>
        <v>0_2025_NEO1</v>
      </c>
      <c r="B102" s="322" t="s">
        <v>107</v>
      </c>
      <c r="C102" s="322">
        <f>C101</f>
        <v>0</v>
      </c>
      <c r="E102" s="1296" t="str">
        <f t="shared" si="7"/>
        <v>(Invalid Identifier)</v>
      </c>
      <c r="F102" s="335" t="s">
        <v>78</v>
      </c>
      <c r="G102" s="345"/>
      <c r="H102" s="346" t="str">
        <f t="shared" si="8"/>
        <v>2025-12-31</v>
      </c>
      <c r="I102" s="346" t="str">
        <f t="shared" si="8"/>
        <v>CAD</v>
      </c>
      <c r="J102" s="346" t="str">
        <f t="shared" si="8"/>
        <v>-</v>
      </c>
      <c r="K102" s="346" t="str">
        <f t="shared" si="8"/>
        <v>-</v>
      </c>
    </row>
    <row r="103" spans="1:11">
      <c r="A103" s="322" t="str">
        <f t="shared" si="9"/>
        <v>0_2025_NEO2</v>
      </c>
      <c r="B103" s="322" t="s">
        <v>108</v>
      </c>
      <c r="C103" s="322">
        <f>C102</f>
        <v>0</v>
      </c>
      <c r="E103" s="1296" t="str">
        <f t="shared" si="7"/>
        <v>(Invalid Identifier)</v>
      </c>
      <c r="F103" s="335" t="s">
        <v>78</v>
      </c>
      <c r="G103" s="345"/>
      <c r="H103" s="346" t="str">
        <f t="shared" si="8"/>
        <v>2025-12-31</v>
      </c>
      <c r="I103" s="346" t="str">
        <f t="shared" si="8"/>
        <v>CAD</v>
      </c>
      <c r="J103" s="346" t="str">
        <f t="shared" si="8"/>
        <v>-</v>
      </c>
      <c r="K103" s="346" t="str">
        <f t="shared" si="8"/>
        <v>-</v>
      </c>
    </row>
    <row r="104" spans="1:11">
      <c r="A104" s="322" t="str">
        <f t="shared" si="9"/>
        <v>0_2025_NEO3</v>
      </c>
      <c r="B104" s="322" t="s">
        <v>109</v>
      </c>
      <c r="C104" s="322">
        <f>C103</f>
        <v>0</v>
      </c>
      <c r="E104" s="1296" t="str">
        <f t="shared" si="7"/>
        <v>(Invalid Identifier)</v>
      </c>
      <c r="F104" s="335" t="s">
        <v>78</v>
      </c>
      <c r="G104" s="345"/>
      <c r="H104" s="346" t="str">
        <f t="shared" si="8"/>
        <v>2025-12-31</v>
      </c>
      <c r="I104" s="346" t="str">
        <f t="shared" si="8"/>
        <v>CAD</v>
      </c>
      <c r="J104" s="346" t="str">
        <f t="shared" si="8"/>
        <v>-</v>
      </c>
      <c r="K104" s="346" t="str">
        <f t="shared" si="8"/>
        <v>-</v>
      </c>
    </row>
    <row r="105" spans="1:11">
      <c r="A105" s="323" t="str">
        <f t="shared" si="9"/>
        <v>0_2025_CEO</v>
      </c>
      <c r="B105" s="323" t="s">
        <v>79</v>
      </c>
      <c r="C105" s="323">
        <f>'Raw Data'!E24</f>
        <v>0</v>
      </c>
      <c r="E105" s="1295" t="str">
        <f t="shared" si="7"/>
        <v>(Invalid Identifier)</v>
      </c>
      <c r="F105" s="341" t="s">
        <v>78</v>
      </c>
      <c r="G105" s="345"/>
      <c r="H105" s="347" t="str">
        <f t="shared" si="8"/>
        <v>2025-12-31</v>
      </c>
      <c r="I105" s="347" t="str">
        <f t="shared" si="8"/>
        <v>CAD</v>
      </c>
      <c r="J105" s="347" t="str">
        <f t="shared" si="8"/>
        <v>-</v>
      </c>
      <c r="K105" s="347" t="str">
        <f t="shared" si="8"/>
        <v>-</v>
      </c>
    </row>
    <row r="106" spans="1:11">
      <c r="A106" s="322" t="str">
        <f t="shared" si="9"/>
        <v>0_2025_CFO</v>
      </c>
      <c r="B106" s="322" t="s">
        <v>106</v>
      </c>
      <c r="C106" s="322">
        <f>C105</f>
        <v>0</v>
      </c>
      <c r="E106" s="1295" t="str">
        <f t="shared" si="7"/>
        <v>(Invalid Identifier)</v>
      </c>
      <c r="F106" s="341" t="s">
        <v>78</v>
      </c>
      <c r="G106" s="345"/>
      <c r="H106" s="347" t="str">
        <f t="shared" si="8"/>
        <v>2025-12-31</v>
      </c>
      <c r="I106" s="347" t="str">
        <f t="shared" si="8"/>
        <v>CAD</v>
      </c>
      <c r="J106" s="347" t="str">
        <f t="shared" si="8"/>
        <v>-</v>
      </c>
      <c r="K106" s="347" t="str">
        <f t="shared" si="8"/>
        <v>-</v>
      </c>
    </row>
    <row r="107" spans="1:11">
      <c r="A107" s="322" t="str">
        <f t="shared" si="9"/>
        <v>0_2025_NEO1</v>
      </c>
      <c r="B107" s="322" t="s">
        <v>107</v>
      </c>
      <c r="C107" s="322">
        <f>C106</f>
        <v>0</v>
      </c>
      <c r="E107" s="1295" t="str">
        <f t="shared" si="7"/>
        <v>(Invalid Identifier)</v>
      </c>
      <c r="F107" s="341" t="s">
        <v>78</v>
      </c>
      <c r="G107" s="345"/>
      <c r="H107" s="347" t="str">
        <f t="shared" si="8"/>
        <v>2025-12-31</v>
      </c>
      <c r="I107" s="347" t="str">
        <f t="shared" si="8"/>
        <v>CAD</v>
      </c>
      <c r="J107" s="347" t="str">
        <f t="shared" si="8"/>
        <v>-</v>
      </c>
      <c r="K107" s="347" t="str">
        <f t="shared" si="8"/>
        <v>-</v>
      </c>
    </row>
    <row r="108" spans="1:11">
      <c r="A108" s="322" t="str">
        <f t="shared" si="9"/>
        <v>0_2025_NEO2</v>
      </c>
      <c r="B108" s="322" t="s">
        <v>108</v>
      </c>
      <c r="C108" s="322">
        <f>C107</f>
        <v>0</v>
      </c>
      <c r="E108" s="1295" t="str">
        <f t="shared" si="7"/>
        <v>(Invalid Identifier)</v>
      </c>
      <c r="F108" s="341" t="s">
        <v>78</v>
      </c>
      <c r="G108" s="345"/>
      <c r="H108" s="347" t="str">
        <f t="shared" si="8"/>
        <v>2025-12-31</v>
      </c>
      <c r="I108" s="347" t="str">
        <f t="shared" si="8"/>
        <v>CAD</v>
      </c>
      <c r="J108" s="347" t="str">
        <f t="shared" si="8"/>
        <v>-</v>
      </c>
      <c r="K108" s="347" t="str">
        <f t="shared" si="8"/>
        <v>-</v>
      </c>
    </row>
    <row r="109" spans="1:11">
      <c r="A109" s="322" t="str">
        <f t="shared" si="9"/>
        <v>0_2025_NEO3</v>
      </c>
      <c r="B109" s="322" t="s">
        <v>109</v>
      </c>
      <c r="C109" s="322">
        <f>C108</f>
        <v>0</v>
      </c>
      <c r="E109" s="1295" t="str">
        <f t="shared" si="7"/>
        <v>(Invalid Identifier)</v>
      </c>
      <c r="F109" s="341" t="s">
        <v>78</v>
      </c>
      <c r="G109" s="345"/>
      <c r="H109" s="347" t="str">
        <f t="shared" si="8"/>
        <v>2025-12-31</v>
      </c>
      <c r="I109" s="347" t="str">
        <f t="shared" si="8"/>
        <v>CAD</v>
      </c>
      <c r="J109" s="347" t="str">
        <f t="shared" si="8"/>
        <v>-</v>
      </c>
      <c r="K109" s="347" t="str">
        <f t="shared" si="8"/>
        <v>-</v>
      </c>
    </row>
  </sheetData>
  <mergeCells count="21">
    <mergeCell ref="E95:E99"/>
    <mergeCell ref="E100:E104"/>
    <mergeCell ref="E105:E109"/>
    <mergeCell ref="E65:E69"/>
    <mergeCell ref="E70:E74"/>
    <mergeCell ref="E75:E79"/>
    <mergeCell ref="E80:E84"/>
    <mergeCell ref="E85:E89"/>
    <mergeCell ref="E90:E94"/>
    <mergeCell ref="E5:E9"/>
    <mergeCell ref="E60:E64"/>
    <mergeCell ref="E35:E39"/>
    <mergeCell ref="E40:E44"/>
    <mergeCell ref="E45:E49"/>
    <mergeCell ref="E50:E54"/>
    <mergeCell ref="E55:E59"/>
    <mergeCell ref="E10:E14"/>
    <mergeCell ref="E15:E19"/>
    <mergeCell ref="E20:E24"/>
    <mergeCell ref="E25:E29"/>
    <mergeCell ref="E30:E34"/>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DA50C-F1FF-4B45-8765-297C9AAE2DB6}">
  <sheetPr>
    <tabColor theme="6" tint="0.59999389629810485"/>
  </sheetPr>
  <dimension ref="A3:H32"/>
  <sheetViews>
    <sheetView workbookViewId="0">
      <selection activeCell="B19" sqref="B19"/>
    </sheetView>
  </sheetViews>
  <sheetFormatPr defaultRowHeight="14.5"/>
  <cols>
    <col min="1" max="1" width="10.453125" bestFit="1" customWidth="1"/>
    <col min="2" max="2" width="5" bestFit="1" customWidth="1"/>
    <col min="3" max="3" width="55.453125" bestFit="1" customWidth="1"/>
    <col min="4" max="4" width="13.1796875" bestFit="1" customWidth="1"/>
    <col min="5" max="5" width="27.7265625" bestFit="1" customWidth="1"/>
    <col min="6" max="6" width="18" bestFit="1" customWidth="1"/>
    <col min="7" max="7" width="18.453125" bestFit="1" customWidth="1"/>
    <col min="8" max="8" width="15.54296875" bestFit="1" customWidth="1"/>
  </cols>
  <sheetData>
    <row r="3" spans="1:8" ht="25" customHeight="1">
      <c r="A3" t="s">
        <v>2</v>
      </c>
      <c r="C3" s="592" t="str">
        <f>+C26&amp;" Compensation Peer Group"</f>
        <v>Hudbay Minerals Inc. Compensation Peer Group</v>
      </c>
      <c r="D3" s="593"/>
      <c r="E3" s="594"/>
      <c r="F3" s="594"/>
      <c r="G3" s="594"/>
      <c r="H3" s="595"/>
    </row>
    <row r="4" spans="1:8" ht="20.149999999999999" customHeight="1">
      <c r="A4" s="322" t="str">
        <f>"FY"&amp;'Raw Data'!G9</f>
        <v>FY2025</v>
      </c>
      <c r="C4" s="1302" t="s">
        <v>111</v>
      </c>
      <c r="D4" s="1304" t="s">
        <v>231</v>
      </c>
      <c r="E4" s="1306" t="s">
        <v>232</v>
      </c>
      <c r="F4" s="1306" t="s">
        <v>233</v>
      </c>
      <c r="G4" s="1306" t="s">
        <v>234</v>
      </c>
      <c r="H4" s="1300" t="s">
        <v>235</v>
      </c>
    </row>
    <row r="5" spans="1:8" ht="20.149999999999999" customHeight="1">
      <c r="A5" s="336">
        <v>46196</v>
      </c>
      <c r="C5" s="1303"/>
      <c r="D5" s="1305"/>
      <c r="E5" s="1307"/>
      <c r="F5" s="1307"/>
      <c r="G5" s="1307"/>
      <c r="H5" s="1301"/>
    </row>
    <row r="6" spans="1:8">
      <c r="A6" t="str">
        <f>'Raw Data'!E17</f>
        <v>TSX:FM</v>
      </c>
      <c r="B6">
        <v>1</v>
      </c>
      <c r="C6" s="517" t="str">
        <f>_xll.ciqfunctions.udf.CIQ(A6,"IQ_COMPANY_NAME")</f>
        <v>First Quantum Minerals Ltd.</v>
      </c>
      <c r="D6" s="518" t="str">
        <f>+_xll.ciqfunctions.udf.CIQ(A6,"IQ_COUNTRY_NAME")</f>
        <v>Canada</v>
      </c>
      <c r="E6" s="519">
        <f>_xll.ciqfunctions.udf.CIQ(A6,"IQ_TEV",$A$5,,,,$A$3)</f>
        <v>42160.730309999999</v>
      </c>
      <c r="F6" s="520">
        <f>_xll.ciqfunctions.udf.CIQ(A6,"IQ_MARKETCAP",$A$5,,,,$A$3)</f>
        <v>32324.104889999999</v>
      </c>
      <c r="G6" s="521">
        <f>+_xll.ciqfunctions.udf.CIQ(A6,"IQ_TOTAL_ASSETS",IQ_LTM,$A$5,,,$A$3)</f>
        <v>34916.04204</v>
      </c>
      <c r="H6" s="521">
        <f>+_xll.ciqfunctions.udf.CIQ($A6,"IQ_TOTAL_REV",IQ_LTM,A$5,,,$A$3)</f>
        <v>7608.8328600000004</v>
      </c>
    </row>
    <row r="7" spans="1:8">
      <c r="A7" t="str">
        <f>'Raw Data'!E5</f>
        <v>TSX:K</v>
      </c>
      <c r="B7">
        <v>2</v>
      </c>
      <c r="C7" s="517" t="str">
        <f>_xll.ciqfunctions.udf.CIQ(A7,"IQ_COMPANY_NAME")</f>
        <v>Kinross Gold Corporation</v>
      </c>
      <c r="D7" s="518" t="str">
        <f>+_xll.ciqfunctions.udf.CIQ(A7,"IQ_COUNTRY_NAME")</f>
        <v>Canada</v>
      </c>
      <c r="E7" s="519">
        <f>_xll.ciqfunctions.udf.CIQ(A7,"IQ_TEV",$A$5,,,,$A$3)</f>
        <v>40603.855649999998</v>
      </c>
      <c r="F7" s="520">
        <f>_xll.ciqfunctions.udf.CIQ(A7,"IQ_MARKETCAP",$A$5,,,,$A$3)</f>
        <v>42426.709219999997</v>
      </c>
      <c r="G7" s="521">
        <f>+_xll.ciqfunctions.udf.CIQ(A7,"IQ_TOTAL_ASSETS",IQ_LTM,$A$5,,,$A$3)</f>
        <v>17983.981070000002</v>
      </c>
      <c r="H7" s="521">
        <f>+_xll.ciqfunctions.udf.CIQ($A7,"IQ_TOTAL_REV",IQ_LTM,A$5,,,$A$3)</f>
        <v>11112.86022</v>
      </c>
    </row>
    <row r="8" spans="1:8">
      <c r="A8" t="str">
        <f>'Raw Data'!E6</f>
        <v>TSX:LUN</v>
      </c>
      <c r="B8">
        <v>3</v>
      </c>
      <c r="C8" s="517" t="str">
        <f>_xll.ciqfunctions.udf.CIQ(A8,"IQ_COMPANY_NAME")</f>
        <v>Lundin Mining Corporation</v>
      </c>
      <c r="D8" s="518" t="str">
        <f>+_xll.ciqfunctions.udf.CIQ(A8,"IQ_COUNTRY_NAME")</f>
        <v>Canada</v>
      </c>
      <c r="E8" s="519">
        <f>_xll.ciqfunctions.udf.CIQ(A8,"IQ_TEV",$A$5,,,,$A$3)</f>
        <v>31551.628229999998</v>
      </c>
      <c r="F8" s="520">
        <f>_xll.ciqfunctions.udf.CIQ(A8,"IQ_MARKETCAP",$A$5,,,,$A$3)</f>
        <v>29710.907650000001</v>
      </c>
      <c r="G8" s="521">
        <f>+_xll.ciqfunctions.udf.CIQ(A8,"IQ_TOTAL_ASSETS",IQ_LTM,$A$5,,,$A$3)</f>
        <v>15323.05315</v>
      </c>
      <c r="H8" s="521">
        <f>+_xll.ciqfunctions.udf.CIQ($A8,"IQ_TOTAL_REV",IQ_LTM,A$5,,,$A$3)</f>
        <v>5991.5894600000001</v>
      </c>
    </row>
    <row r="9" spans="1:8">
      <c r="A9" t="str">
        <f>'Raw Data'!E7</f>
        <v>TSX:PAAS</v>
      </c>
      <c r="B9">
        <v>4</v>
      </c>
      <c r="C9" s="517" t="str">
        <f>_xll.ciqfunctions.udf.CIQ(A9,"IQ_COMPANY_NAME")</f>
        <v>Pan American Silver Corp.</v>
      </c>
      <c r="D9" s="518" t="str">
        <f>+_xll.ciqfunctions.udf.CIQ(A9,"IQ_COUNTRY_NAME")</f>
        <v>Canada</v>
      </c>
      <c r="E9" s="519">
        <f>_xll.ciqfunctions.udf.CIQ(A9,"IQ_TEV",$A$5,,,,$A$3)</f>
        <v>26598.034019999999</v>
      </c>
      <c r="F9" s="520">
        <f>_xll.ciqfunctions.udf.CIQ(A9,"IQ_MARKETCAP",$A$5,,,,$A$3)</f>
        <v>27670.054499999998</v>
      </c>
      <c r="G9" s="521">
        <f>+_xll.ciqfunctions.udf.CIQ(A9,"IQ_TOTAL_ASSETS",IQ_LTM,$A$5,,,$A$3)</f>
        <v>14142.853520000001</v>
      </c>
      <c r="H9" s="521">
        <f>+_xll.ciqfunctions.udf.CIQ($A9,"IQ_TOTAL_REV",IQ_LTM,A$5,,,$A$3)</f>
        <v>5583.44</v>
      </c>
    </row>
    <row r="10" spans="1:8">
      <c r="A10" t="str">
        <f>'Raw Data'!E18</f>
        <v>TSX:CDE</v>
      </c>
      <c r="B10">
        <v>5</v>
      </c>
      <c r="C10" s="517" t="str">
        <f>_xll.ciqfunctions.udf.CIQ(A10,"IQ_COMPANY_NAME")</f>
        <v>Coeur Mining, Inc.</v>
      </c>
      <c r="D10" s="518" t="str">
        <f>+_xll.ciqfunctions.udf.CIQ(A10,"IQ_COUNTRY_NAME")</f>
        <v>United States</v>
      </c>
      <c r="E10" s="519">
        <f>_xll.ciqfunctions.udf.CIQ(A10,"IQ_TEV",$A$5,,,,$A$3)</f>
        <v>23871.142639999998</v>
      </c>
      <c r="F10" s="520">
        <f>_xll.ciqfunctions.udf.CIQ(A10,"IQ_MARKETCAP",$A$5,,,,$A$3)</f>
        <v>23970.451990000001</v>
      </c>
      <c r="G10" s="521">
        <f>+_xll.ciqfunctions.udf.CIQ(A10,"IQ_TOTAL_ASSETS",IQ_LTM,$A$5,,,$A$3)</f>
        <v>21302.675910000002</v>
      </c>
      <c r="H10" s="521">
        <f>+_xll.ciqfunctions.udf.CIQ($A10,"IQ_TOTAL_REV",IQ_LTM,A$5,,,$A$3)</f>
        <v>3582.1341000000002</v>
      </c>
    </row>
    <row r="11" spans="1:8">
      <c r="A11" t="str">
        <f>'Raw Data'!E14</f>
        <v>TSX:AGI</v>
      </c>
      <c r="B11">
        <v>6</v>
      </c>
      <c r="C11" s="517" t="str">
        <f>_xll.ciqfunctions.udf.CIQ(A11,"IQ_COMPANY_NAME")</f>
        <v>Alamos Gold Inc.</v>
      </c>
      <c r="D11" s="518" t="str">
        <f>+_xll.ciqfunctions.udf.CIQ(A11,"IQ_COUNTRY_NAME")</f>
        <v>Canada</v>
      </c>
      <c r="E11" s="519">
        <f>_xll.ciqfunctions.udf.CIQ(A11,"IQ_TEV",$A$5,,,,$A$3)</f>
        <v>17748.007170000001</v>
      </c>
      <c r="F11" s="520">
        <f>_xll.ciqfunctions.udf.CIQ(A11,"IQ_MARKETCAP",$A$5,,,,$A$3)</f>
        <v>18423.882580000001</v>
      </c>
      <c r="G11" s="521">
        <f>+_xll.ciqfunctions.udf.CIQ(A11,"IQ_TOTAL_ASSETS",IQ_LTM,$A$5,,,$A$3)</f>
        <v>9123.6201299999993</v>
      </c>
      <c r="H11" s="521">
        <f>+_xll.ciqfunctions.udf.CIQ($A11,"IQ_TOTAL_REV",IQ_LTM,A$5,,,$A$3)</f>
        <v>2892.9198500000002</v>
      </c>
    </row>
    <row r="12" spans="1:8">
      <c r="A12" t="str">
        <f>'Raw Data'!E15</f>
        <v>NYSE:HL</v>
      </c>
      <c r="B12">
        <v>7</v>
      </c>
      <c r="C12" s="517" t="str">
        <f>_xll.ciqfunctions.udf.CIQ(A12,"IQ_COMPANY_NAME")</f>
        <v>Hecla Mining Company</v>
      </c>
      <c r="D12" s="518" t="str">
        <f>+_xll.ciqfunctions.udf.CIQ(A12,"IQ_COUNTRY_NAME")</f>
        <v>United States</v>
      </c>
      <c r="E12" s="519">
        <f>_xll.ciqfunctions.udf.CIQ(A12,"IQ_TEV",$A$5,,,,$A$3)</f>
        <v>13668.51441</v>
      </c>
      <c r="F12" s="520">
        <f>_xll.ciqfunctions.udf.CIQ(A12,"IQ_MARKETCAP",$A$5,,,,$A$3)</f>
        <v>14350.61932</v>
      </c>
      <c r="G12" s="521">
        <f>+_xll.ciqfunctions.udf.CIQ(A12,"IQ_TOTAL_ASSETS",IQ_LTM,$A$5,,,$A$3)</f>
        <v>4712.8323499999997</v>
      </c>
      <c r="H12" s="521">
        <f>+_xll.ciqfunctions.udf.CIQ($A12,"IQ_TOTAL_REV",IQ_LTM,A$5,,,$A$3)</f>
        <v>2274.0206499999999</v>
      </c>
    </row>
    <row r="13" spans="1:8">
      <c r="A13" t="str">
        <f>'Raw Data'!E9</f>
        <v>TSX:IMG</v>
      </c>
      <c r="B13">
        <v>8</v>
      </c>
      <c r="C13" s="517" t="str">
        <f>_xll.ciqfunctions.udf.CIQ(A13,"IQ_COMPANY_NAME")</f>
        <v>IAMGOLD Corporation</v>
      </c>
      <c r="D13" s="518" t="str">
        <f>+_xll.ciqfunctions.udf.CIQ(A13,"IQ_COUNTRY_NAME")</f>
        <v>Canada</v>
      </c>
      <c r="E13" s="519">
        <f>_xll.ciqfunctions.udf.CIQ(A13,"IQ_TEV",$A$5,,,,$A$3)</f>
        <v>13529.92598</v>
      </c>
      <c r="F13" s="520">
        <f>_xll.ciqfunctions.udf.CIQ(A13,"IQ_MARKETCAP",$A$5,,,,$A$3)</f>
        <v>13282.44</v>
      </c>
      <c r="G13" s="521">
        <f>+_xll.ciqfunctions.udf.CIQ(A13,"IQ_TOTAL_ASSETS",IQ_LTM,$A$5,,,$A$3)</f>
        <v>8365.3889799999997</v>
      </c>
      <c r="H13" s="521">
        <f>+_xll.ciqfunctions.udf.CIQ($A13,"IQ_TOTAL_REV",IQ_LTM,A$5,,,$A$3)</f>
        <v>4754.0199899999998</v>
      </c>
    </row>
    <row r="14" spans="1:8">
      <c r="A14" t="str">
        <f>'Raw Data'!E10</f>
        <v>TSX:CS</v>
      </c>
      <c r="B14">
        <v>9</v>
      </c>
      <c r="C14" s="517" t="str">
        <f>_xll.ciqfunctions.udf.CIQ(A14,"IQ_COMPANY_NAME")</f>
        <v>Capstone Copper Corp.</v>
      </c>
      <c r="D14" s="518" t="str">
        <f>+_xll.ciqfunctions.udf.CIQ(A14,"IQ_COUNTRY_NAME")</f>
        <v>Canada</v>
      </c>
      <c r="E14" s="519">
        <f>_xll.ciqfunctions.udf.CIQ(A14,"IQ_TEV",$A$5,,,,$A$3)</f>
        <v>12890.35133</v>
      </c>
      <c r="F14" s="520">
        <f>_xll.ciqfunctions.udf.CIQ(A14,"IQ_MARKETCAP",$A$5,,,,$A$3)</f>
        <v>10503.56194</v>
      </c>
      <c r="G14" s="521">
        <f>+_xll.ciqfunctions.udf.CIQ(A14,"IQ_TOTAL_ASSETS",IQ_LTM,$A$5,,,$A$3)</f>
        <v>10098.85447</v>
      </c>
      <c r="H14" s="521">
        <f>+_xll.ciqfunctions.udf.CIQ($A14,"IQ_TOTAL_REV",IQ_LTM,A$5,,,$A$3)</f>
        <v>3460.4109199999998</v>
      </c>
    </row>
    <row r="15" spans="1:8" ht="15" customHeight="1">
      <c r="A15" t="str">
        <f>'Raw Data'!E13</f>
        <v>TSX:ELD</v>
      </c>
      <c r="B15">
        <v>10</v>
      </c>
      <c r="C15" s="517" t="str">
        <f>_xll.ciqfunctions.udf.CIQ(A15,"IQ_COMPANY_NAME")</f>
        <v>Eldorado Gold Corporation</v>
      </c>
      <c r="D15" s="518" t="str">
        <f>+_xll.ciqfunctions.udf.CIQ(A15,"IQ_COUNTRY_NAME")</f>
        <v>Canada</v>
      </c>
      <c r="E15" s="519">
        <f>_xll.ciqfunctions.udf.CIQ(A15,"IQ_TEV",$A$5,,,,$A$3)</f>
        <v>12472.02052</v>
      </c>
      <c r="F15" s="520">
        <f>_xll.ciqfunctions.udf.CIQ(A15,"IQ_MARKETCAP",$A$5,,,,$A$3)</f>
        <v>11630.323920000001</v>
      </c>
      <c r="G15" s="521">
        <f>+_xll.ciqfunctions.udf.CIQ(A15,"IQ_TOTAL_ASSETS",IQ_LTM,$A$5,,,$A$3)</f>
        <v>9352.3010799999993</v>
      </c>
      <c r="H15" s="521">
        <f>+_xll.ciqfunctions.udf.CIQ($A15,"IQ_TOTAL_REV",IQ_LTM,A$5,,,$A$3)</f>
        <v>2786.1909999999998</v>
      </c>
    </row>
    <row r="16" spans="1:8">
      <c r="A16" t="str">
        <f>'Raw Data'!E19</f>
        <v>TSX:EQX</v>
      </c>
      <c r="B16">
        <v>11</v>
      </c>
      <c r="C16" s="517" t="str">
        <f>_xll.ciqfunctions.udf.CIQ(A16,"IQ_COMPANY_NAME")</f>
        <v>Equinox Gold Corp.</v>
      </c>
      <c r="D16" s="518" t="str">
        <f>+_xll.ciqfunctions.udf.CIQ(A16,"IQ_COUNTRY_NAME")</f>
        <v>Canada</v>
      </c>
      <c r="E16" s="519">
        <f>_xll.ciqfunctions.udf.CIQ(A16,"IQ_TEV",$A$5,,,,$A$3)</f>
        <v>11354.535610000001</v>
      </c>
      <c r="F16" s="520">
        <f>_xll.ciqfunctions.udf.CIQ(A16,"IQ_MARKETCAP",$A$5,,,,$A$3)</f>
        <v>10952.79314</v>
      </c>
      <c r="G16" s="521">
        <f>+_xll.ciqfunctions.udf.CIQ(A16,"IQ_TOTAL_ASSETS",IQ_LTM,$A$5,,,$A$3)</f>
        <v>13478.50093</v>
      </c>
      <c r="H16" s="521">
        <f>+_xll.ciqfunctions.udf.CIQ($A16,"IQ_TOTAL_REV",IQ_LTM,A$5,,,$A$3)</f>
        <v>3368.3246399999998</v>
      </c>
    </row>
    <row r="17" spans="1:8">
      <c r="A17" t="str">
        <f>'Raw Data'!E11</f>
        <v>TSX:SSRM</v>
      </c>
      <c r="B17">
        <v>12</v>
      </c>
      <c r="C17" s="517" t="str">
        <f>_xll.ciqfunctions.udf.CIQ(A17,"IQ_COMPANY_NAME")</f>
        <v>SSR Mining Inc.</v>
      </c>
      <c r="D17" s="518" t="str">
        <f>+_xll.ciqfunctions.udf.CIQ(A17,"IQ_COUNTRY_NAME")</f>
        <v>United States</v>
      </c>
      <c r="E17" s="519">
        <f>_xll.ciqfunctions.udf.CIQ(A17,"IQ_TEV",$A$5,,,,$A$3)</f>
        <v>8897.3382099999999</v>
      </c>
      <c r="F17" s="520">
        <f>_xll.ciqfunctions.udf.CIQ(A17,"IQ_MARKETCAP",$A$5,,,,$A$3)</f>
        <v>8629.5536400000001</v>
      </c>
      <c r="G17" s="521">
        <f>+_xll.ciqfunctions.udf.CIQ(A17,"IQ_TOTAL_ASSETS",IQ_LTM,$A$5,,,$A$3)</f>
        <v>8300.8081199999997</v>
      </c>
      <c r="H17" s="521">
        <f>+_xll.ciqfunctions.udf.CIQ($A17,"IQ_TOTAL_REV",IQ_LTM,A$5,,,$A$3)</f>
        <v>2644.8713400000001</v>
      </c>
    </row>
    <row r="18" spans="1:8">
      <c r="A18" t="str">
        <f>'Raw Data'!E8</f>
        <v>TSX:BTO</v>
      </c>
      <c r="B18">
        <v>13</v>
      </c>
      <c r="C18" s="517" t="str">
        <f>_xll.ciqfunctions.udf.CIQ(A18,"IQ_COMPANY_NAME")</f>
        <v>B2Gold Corp.</v>
      </c>
      <c r="D18" s="518" t="str">
        <f>+_xll.ciqfunctions.udf.CIQ(A18,"IQ_COUNTRY_NAME")</f>
        <v>Canada</v>
      </c>
      <c r="E18" s="519">
        <f>_xll.ciqfunctions.udf.CIQ(A18,"IQ_TEV",$A$5,,,,$A$3)</f>
        <v>7733.6266800000003</v>
      </c>
      <c r="F18" s="520">
        <f>_xll.ciqfunctions.udf.CIQ(A18,"IQ_MARKETCAP",$A$5,,,,$A$3)</f>
        <v>7621.4288500000002</v>
      </c>
      <c r="G18" s="521">
        <f>+_xll.ciqfunctions.udf.CIQ(A18,"IQ_TOTAL_ASSETS",IQ_LTM,$A$5,,,$A$3)</f>
        <v>8325.7884300000005</v>
      </c>
      <c r="H18" s="521">
        <f>+_xll.ciqfunctions.udf.CIQ($A18,"IQ_TOTAL_REV",IQ_LTM,A$5,,,$A$3)</f>
        <v>5147.6329699999997</v>
      </c>
    </row>
    <row r="19" spans="1:8">
      <c r="A19" t="str">
        <f>'Raw Data'!E12</f>
        <v>TSX:OGC</v>
      </c>
      <c r="B19">
        <v>14</v>
      </c>
      <c r="C19" s="517" t="str">
        <f>_xll.ciqfunctions.udf.CIQ(A19,"IQ_COMPANY_NAME")</f>
        <v>OceanaGold Corporation</v>
      </c>
      <c r="D19" s="518" t="str">
        <f>+_xll.ciqfunctions.udf.CIQ(A19,"IQ_COUNTRY_NAME")</f>
        <v>Canada</v>
      </c>
      <c r="E19" s="519">
        <f>_xll.ciqfunctions.udf.CIQ(A19,"IQ_TEV",$A$5,,,,$A$3)</f>
        <v>7301.4202999999998</v>
      </c>
      <c r="F19" s="520">
        <f>_xll.ciqfunctions.udf.CIQ(A19,"IQ_MARKETCAP",$A$5,,,,$A$3)</f>
        <v>7945.8888699999998</v>
      </c>
      <c r="G19" s="521">
        <f>+_xll.ciqfunctions.udf.CIQ(A19,"IQ_TOTAL_ASSETS",IQ_LTM,$A$5,,,$A$3)</f>
        <v>4848.7988800000003</v>
      </c>
      <c r="H19" s="521">
        <f>+_xll.ciqfunctions.udf.CIQ($A19,"IQ_TOTAL_REV",IQ_LTM,A$5,,,$A$3)</f>
        <v>3137.61411</v>
      </c>
    </row>
    <row r="20" spans="1:8">
      <c r="A20" t="str">
        <f>'Raw Data'!E16</f>
        <v>TSX:CG</v>
      </c>
      <c r="B20">
        <v>15</v>
      </c>
      <c r="C20" s="517" t="str">
        <f>_xll.ciqfunctions.udf.CIQ(A20,"IQ_COMPANY_NAME")</f>
        <v>Centerra Gold Inc.</v>
      </c>
      <c r="D20" s="518" t="str">
        <f>+_xll.ciqfunctions.udf.CIQ(A20,"IQ_COUNTRY_NAME")</f>
        <v>Canada</v>
      </c>
      <c r="E20" s="519">
        <f>_xll.ciqfunctions.udf.CIQ(A20,"IQ_TEV",$A$5,,,,$A$3)</f>
        <v>3822.3914199999999</v>
      </c>
      <c r="F20" s="520">
        <f>_xll.ciqfunctions.udf.CIQ(A20,"IQ_MARKETCAP",$A$5,,,,$A$3)</f>
        <v>4531.9391599999999</v>
      </c>
      <c r="G20" s="521">
        <f>+_xll.ciqfunctions.udf.CIQ(A20,"IQ_TOTAL_ASSETS",IQ_LTM,$A$5,,,$A$3)</f>
        <v>4292.5710099999997</v>
      </c>
      <c r="H20" s="521">
        <f>+_xll.ciqfunctions.udf.CIQ($A20,"IQ_TOTAL_REV",IQ_LTM,A$5,,,$A$3)</f>
        <v>2191.1610099999998</v>
      </c>
    </row>
    <row r="21" spans="1:8" ht="15" customHeight="1">
      <c r="C21" s="505" t="s">
        <v>77</v>
      </c>
      <c r="D21" s="506"/>
      <c r="E21" s="507"/>
      <c r="F21" s="507"/>
      <c r="G21" s="507"/>
      <c r="H21" s="508"/>
    </row>
    <row r="22" spans="1:8">
      <c r="B22">
        <v>0.75</v>
      </c>
      <c r="C22" s="522" t="s">
        <v>236</v>
      </c>
      <c r="D22" s="523"/>
      <c r="E22" s="524">
        <f t="shared" ref="E22:H24" si="0">+PERCENTILE(E$6:E$20,$B22)</f>
        <v>25234.588329999999</v>
      </c>
      <c r="F22" s="524">
        <f t="shared" si="0"/>
        <v>25820.253245</v>
      </c>
      <c r="G22" s="524">
        <f t="shared" si="0"/>
        <v>14732.953335</v>
      </c>
      <c r="H22" s="524">
        <f t="shared" si="0"/>
        <v>5365.5364849999996</v>
      </c>
    </row>
    <row r="23" spans="1:8">
      <c r="B23">
        <v>0.5</v>
      </c>
      <c r="C23" s="525" t="s">
        <v>237</v>
      </c>
      <c r="D23" s="526"/>
      <c r="E23" s="527">
        <f t="shared" si="0"/>
        <v>13529.92598</v>
      </c>
      <c r="F23" s="527">
        <f t="shared" si="0"/>
        <v>13282.44</v>
      </c>
      <c r="G23" s="527">
        <f t="shared" si="0"/>
        <v>9352.3010799999993</v>
      </c>
      <c r="H23" s="527">
        <f t="shared" si="0"/>
        <v>3460.4109199999998</v>
      </c>
    </row>
    <row r="24" spans="1:8">
      <c r="B24">
        <v>0.25</v>
      </c>
      <c r="C24" s="522" t="s">
        <v>238</v>
      </c>
      <c r="D24" s="523"/>
      <c r="E24" s="524">
        <f t="shared" si="0"/>
        <v>10125.93691</v>
      </c>
      <c r="F24" s="524">
        <f t="shared" si="0"/>
        <v>9566.5577899999989</v>
      </c>
      <c r="G24" s="524">
        <f t="shared" si="0"/>
        <v>8313.298275000001</v>
      </c>
      <c r="H24" s="524">
        <f t="shared" si="0"/>
        <v>2839.555425</v>
      </c>
    </row>
    <row r="25" spans="1:8">
      <c r="C25" s="528" t="s">
        <v>6</v>
      </c>
      <c r="D25" s="529"/>
      <c r="E25" s="530">
        <f>+AVERAGE(E$6:E$20)</f>
        <v>18280.234831999998</v>
      </c>
      <c r="F25" s="530">
        <f>+AVERAGE(F$6:F$20)</f>
        <v>17598.310644666664</v>
      </c>
      <c r="G25" s="530">
        <f>+AVERAGE(G$6:G$20)</f>
        <v>12304.538004666667</v>
      </c>
      <c r="H25" s="530">
        <f>+AVERAGE(H$6:H$20)</f>
        <v>4435.7348746666667</v>
      </c>
    </row>
    <row r="26" spans="1:8">
      <c r="A26" s="337" t="str">
        <f>'Raw Data'!H6</f>
        <v>TSX:HBM</v>
      </c>
      <c r="C26" s="509" t="str">
        <f>_xll.ciqfunctions.udf.CIQ(A26,"IQ_COMPANY_NAME")</f>
        <v>Hudbay Minerals Inc.</v>
      </c>
      <c r="D26" s="510" t="str">
        <f>+_xll.ciqfunctions.udf.CIQ(A26,"IQ_COUNTRY_NAME")</f>
        <v>Canada</v>
      </c>
      <c r="E26" s="511">
        <f>_xll.ciqfunctions.udf.CIQ(A26,"IQ_TEV",$A$5,,,,$A$3)</f>
        <v>15205.22683</v>
      </c>
      <c r="F26" s="511">
        <f>_xll.ciqfunctions.udf.CIQ(A26,"IQ_MARKETCAP",$A$5,,,,$A$3)</f>
        <v>14317.32028</v>
      </c>
      <c r="G26" s="511">
        <f>+_xll.ciqfunctions.udf.CIQ(A26,"IQ_TOTAL_ASSETS",IQ_LTM,$A$5,,,$A$3)</f>
        <v>9627.1068300000006</v>
      </c>
      <c r="H26" s="512">
        <f>+_xll.ciqfunctions.udf.CIQ($A26,"IQ_TOTAL_REV",IQ_LTM,A$5,,,$A$3)</f>
        <v>3312.9341199999999</v>
      </c>
    </row>
    <row r="27" spans="1:8">
      <c r="C27" s="513" t="s">
        <v>5</v>
      </c>
      <c r="D27" s="514"/>
      <c r="E27" s="515">
        <f>+IF(MAX(E6:E20)&lt;E26,"MAX",IF(MIN(E6:E20)&gt;E26,"MIN",_xlfn.PERCENTRANK.INC(E6:E20,E26)))*100</f>
        <v>59.8</v>
      </c>
      <c r="F27" s="515">
        <f>+IF(MAX(F6:F20)&lt;F26,"MAX",IF(MIN(F6:F20)&gt;F26,"MIN",_xlfn.PERCENTRANK.INC(F6:F20,F26)))*100</f>
        <v>56.899999999999991</v>
      </c>
      <c r="G27" s="515">
        <f>+IF(MAX(G6:G20)&lt;G26,"MAX",IF(MIN(G6:G20)&gt;G26,"MIN",_xlfn.PERCENTRANK.INC(G6:G20,G26)))*100</f>
        <v>52.6</v>
      </c>
      <c r="H27" s="516">
        <f>+IF(MAX(H6:H20)&lt;H26,"MAX",IF(MIN(H6:H20)&gt;H26,"MIN",_xlfn.PERCENTRANK.INC(H6:H20,H26)))*100</f>
        <v>41.099999999999994</v>
      </c>
    </row>
    <row r="28" spans="1:8">
      <c r="C28" s="338" t="str">
        <f>+"All figures as of "&amp;TEXT(A5,"mmm. dd, yyyy")&amp;" in $"&amp;$A$3&amp;". Source: S&amp;P Capital IQ"</f>
        <v>All figures as of Jun. 23, 2026 in $CAD. Source: S&amp;P Capital IQ</v>
      </c>
      <c r="E28" s="339"/>
      <c r="F28" s="340"/>
      <c r="G28" s="339"/>
      <c r="H28" s="339"/>
    </row>
    <row r="29" spans="1:8">
      <c r="C29" s="338"/>
    </row>
    <row r="30" spans="1:8">
      <c r="C30" s="1297" t="s">
        <v>756</v>
      </c>
      <c r="D30" s="1298"/>
      <c r="E30" s="1298"/>
      <c r="F30" s="1298"/>
      <c r="G30" s="1298"/>
      <c r="H30" s="1299"/>
    </row>
    <row r="31" spans="1:8">
      <c r="A31" s="1056" t="s">
        <v>755</v>
      </c>
      <c r="C31" s="517" t="str">
        <f>_xll.ciqfunctions.udf.CIQ(A31,"IQ_COMPANY_NAME")</f>
        <v>Ero Copper Corp.</v>
      </c>
      <c r="D31" s="518" t="str">
        <f>+_xll.ciqfunctions.udf.CIQ(A31,"IQ_COUNTRY_NAME")</f>
        <v>Canada</v>
      </c>
      <c r="E31" s="519">
        <f>_xll.ciqfunctions.udf.CIQ(A31,"IQ_TEV",$A$5,,,,$A$3)</f>
        <v>4828.25317</v>
      </c>
      <c r="F31" s="520">
        <f>_xll.ciqfunctions.udf.CIQ(A31,"IQ_MARKETCAP",$A$5,,,,$A$3)</f>
        <v>4108.5519400000003</v>
      </c>
      <c r="G31" s="521">
        <f>+_xll.ciqfunctions.udf.CIQ(A31,"IQ_TOTAL_ASSETS",IQ_LTM,$A$5,,,$A$3)</f>
        <v>2868.5900099999999</v>
      </c>
      <c r="H31" s="521">
        <f>+_xll.ciqfunctions.udf.CIQ($A31,"IQ_TOTAL_REV",IQ_LTM,A$5,,,$A$3)</f>
        <v>1289.6713500000001</v>
      </c>
    </row>
    <row r="32" spans="1:8">
      <c r="A32" t="s">
        <v>757</v>
      </c>
      <c r="C32" s="1057" t="str">
        <f>_xll.ciqfunctions.udf.CIQ(A32,"IQ_COMPANY_NAME")</f>
        <v>New Gold, Inc.</v>
      </c>
      <c r="D32" s="1058" t="str">
        <f>+_xll.ciqfunctions.udf.CIQ(A32,"IQ_COUNTRY_NAME")</f>
        <v>Canada</v>
      </c>
      <c r="E32" s="1059">
        <f>_xll.ciqfunctions.udf.CIQ(A32,"IQ_TEV",$A$5,,,,$A$3)</f>
        <v>0</v>
      </c>
      <c r="F32" s="1060">
        <f>_xll.ciqfunctions.udf.CIQ(A32,"IQ_MARKETCAP",$A$5,,,,$A$3)</f>
        <v>0</v>
      </c>
      <c r="G32" s="1012">
        <f>+_xll.ciqfunctions.udf.CIQ(A32,"IQ_TOTAL_ASSETS",IQ_LTM,$A$5,,,$A$3)</f>
        <v>475.447</v>
      </c>
      <c r="H32" s="1012">
        <f>+_xll.ciqfunctions.udf.CIQ($A32,"IQ_TOTAL_REV",IQ_LTM,A$5,,,$A$3)</f>
        <v>0</v>
      </c>
    </row>
  </sheetData>
  <sortState xmlns:xlrd2="http://schemas.microsoft.com/office/spreadsheetml/2017/richdata2" ref="A6:H20">
    <sortCondition descending="1" ref="E6:E20"/>
  </sortState>
  <mergeCells count="7">
    <mergeCell ref="C30:H30"/>
    <mergeCell ref="H4:H5"/>
    <mergeCell ref="C4:C5"/>
    <mergeCell ref="D4:D5"/>
    <mergeCell ref="E4:E5"/>
    <mergeCell ref="F4:F5"/>
    <mergeCell ref="G4:G5"/>
  </mergeCells>
  <conditionalFormatting sqref="C6:H20">
    <cfRule type="expression" dxfId="2" priority="2">
      <formula>MOD(ROW(),2)=0</formula>
    </cfRule>
  </conditionalFormatting>
  <conditionalFormatting sqref="C31:H32">
    <cfRule type="expression" dxfId="1" priority="1">
      <formula>MOD(ROW(),2)=0</formula>
    </cfRule>
  </conditionalFormatting>
  <pageMargins left="0.7" right="0.7" top="0.75" bottom="0.75" header="0.3" footer="0.3"/>
  <pageSetup scale="73"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9F9E-4480-48E6-B071-253EC956D72A}">
  <dimension ref="A1"/>
  <sheetViews>
    <sheetView workbookViewId="0"/>
  </sheetViews>
  <sheetFormatPr defaultRowHeight="14.5"/>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9"/>
  <dimension ref="A1:K29"/>
  <sheetViews>
    <sheetView workbookViewId="0"/>
  </sheetViews>
  <sheetFormatPr defaultRowHeight="14.5" outlineLevelCol="1"/>
  <cols>
    <col min="3" max="3" width="44" bestFit="1" customWidth="1"/>
    <col min="4" max="8" width="20.7265625" customWidth="1"/>
    <col min="9" max="10" width="9.1796875" hidden="1" customWidth="1" outlineLevel="1"/>
    <col min="11" max="11" width="9.1796875" collapsed="1"/>
  </cols>
  <sheetData>
    <row r="1" spans="1:10">
      <c r="C1" s="49" t="s">
        <v>24</v>
      </c>
      <c r="D1" s="53"/>
    </row>
    <row r="2" spans="1:10">
      <c r="C2" s="49" t="s">
        <v>23</v>
      </c>
      <c r="D2" s="53">
        <v>2018</v>
      </c>
    </row>
    <row r="4" spans="1:10" ht="35.15" customHeight="1">
      <c r="C4" s="1308" t="s">
        <v>22</v>
      </c>
      <c r="D4" s="147" t="s">
        <v>33</v>
      </c>
      <c r="E4" s="147" t="s">
        <v>34</v>
      </c>
      <c r="F4" s="147" t="s">
        <v>35</v>
      </c>
      <c r="G4" s="147" t="s">
        <v>44</v>
      </c>
      <c r="H4" s="148" t="s">
        <v>43</v>
      </c>
      <c r="I4" s="81" t="s">
        <v>61</v>
      </c>
    </row>
    <row r="5" spans="1:10" ht="22.5" customHeight="1">
      <c r="A5" s="82" t="s">
        <v>71</v>
      </c>
      <c r="B5" s="82" t="s">
        <v>25</v>
      </c>
      <c r="C5" s="1308"/>
      <c r="D5" s="152" t="s">
        <v>70</v>
      </c>
      <c r="E5" s="152" t="s">
        <v>70</v>
      </c>
      <c r="F5" s="152" t="s">
        <v>70</v>
      </c>
      <c r="G5" s="152" t="s">
        <v>70</v>
      </c>
      <c r="H5" s="153" t="s">
        <v>70</v>
      </c>
      <c r="I5" s="81"/>
    </row>
    <row r="6" spans="1:10">
      <c r="A6" t="str">
        <f>$B6&amp;"_"&amp;$D$2&amp;"_"&amp;$D$1</f>
        <v>TSX:A_2018_</v>
      </c>
      <c r="B6" s="10" t="s">
        <v>83</v>
      </c>
      <c r="C6" s="149" t="str">
        <f>IFERROR(INDEX('Raw Data'!$B$53:$BA$1048576,MATCH('Master - LTI Review'!$A6,'Raw Data'!$B$53:$B$1048576,0),MATCH('Master - LTI Review'!C$4,'Raw Data'!$D$31:$BA$31,0)+1),"N/A")</f>
        <v>N/A</v>
      </c>
      <c r="D6" s="150" t="str">
        <f>IFERROR(INDEX('Raw Data'!$B$53:$BA$1048576,MATCH('Master - LTI Review'!$A6,'Raw Data'!$B$53:$B$1048576,0),MATCH('Master - LTI Review'!D$4,'Raw Data'!$D$31:$BA$31,0)+1)/$I6,"N/A")</f>
        <v>N/A</v>
      </c>
      <c r="E6" s="150" t="str">
        <f>IFERROR(INDEX('Raw Data'!$B$53:$BA$1048576,MATCH('Master - LTI Review'!$A6,'Raw Data'!$B$53:$B$1048576,0),MATCH('Master - LTI Review'!E$4,'Raw Data'!$D$31:$BA$31,0)+1)/$I6,"N/A")</f>
        <v>N/A</v>
      </c>
      <c r="F6" s="150" t="str">
        <f>IFERROR(INDEX('Raw Data'!$B$53:$BA$1048576,MATCH('Master - LTI Review'!$A6,'Raw Data'!$B$53:$B$1048576,0),MATCH('Master - LTI Review'!F$4,'Raw Data'!$D$31:$BA$31,0)+1)/$I6,"N/A")</f>
        <v>N/A</v>
      </c>
      <c r="G6" s="150" t="str">
        <f>IFERROR(INDEX('Raw Data'!$B$53:$BA$1048576,MATCH('Master - LTI Review'!$A6,'Raw Data'!$B$53:$B$1048576,0),MATCH('Master - LTI Review'!G$4,'Raw Data'!$D$31:$BA$31,0)+1)/$I6,"N/A")</f>
        <v>N/A</v>
      </c>
      <c r="H6" s="151" t="str">
        <f>IFERROR(INDEX('Raw Data'!$B$53:$BA$1048576,MATCH('Master - LTI Review'!$A6,'Raw Data'!$B$53:$B$1048576,0),MATCH('Master - LTI Review'!H$4,'Raw Data'!$D$31:$BA$31,0)+1)/$I6,"N/A")</f>
        <v>N/A</v>
      </c>
      <c r="I6" t="str">
        <f>IFERROR(INDEX('Raw Data'!$B$53:$BA$1048576,MATCH('Master - LTI Review'!$A6,'Raw Data'!$B$53:$B$1048576,0),MATCH('Master - LTI Review'!I$4,'Raw Data'!$D$31:$BA$31,0)+1),"N/A")</f>
        <v>N/A</v>
      </c>
      <c r="J6" s="80">
        <f>SUM(D6:H6)</f>
        <v>0</v>
      </c>
    </row>
    <row r="7" spans="1:10">
      <c r="A7" t="str">
        <f t="shared" ref="A7:A25" si="0">$B7&amp;"_"&amp;$D$2&amp;"_"&amp;$D$1</f>
        <v>TSX:B_2018_</v>
      </c>
      <c r="B7" s="10" t="s">
        <v>84</v>
      </c>
      <c r="C7" s="149" t="str">
        <f>IFERROR(INDEX('Raw Data'!$B$53:$BA$1048576,MATCH('Master - LTI Review'!$A7,'Raw Data'!$B$53:$B$1048576,0),MATCH('Master - LTI Review'!C$4,'Raw Data'!$D$31:$BA$31,0)+1),"N/A")</f>
        <v>N/A</v>
      </c>
      <c r="D7" s="150" t="str">
        <f>IFERROR(INDEX('Raw Data'!$B$53:$BA$1048576,MATCH('Master - LTI Review'!$A7,'Raw Data'!$B$53:$B$1048576,0),MATCH('Master - LTI Review'!D$4,'Raw Data'!$D$31:$BA$31,0)+1)/$I7,"N/A")</f>
        <v>N/A</v>
      </c>
      <c r="E7" s="150" t="str">
        <f>IFERROR(INDEX('Raw Data'!$B$53:$BA$1048576,MATCH('Master - LTI Review'!$A7,'Raw Data'!$B$53:$B$1048576,0),MATCH('Master - LTI Review'!E$4,'Raw Data'!$D$31:$BA$31,0)+1)/$I7,"N/A")</f>
        <v>N/A</v>
      </c>
      <c r="F7" s="150" t="str">
        <f>IFERROR(INDEX('Raw Data'!$B$53:$BA$1048576,MATCH('Master - LTI Review'!$A7,'Raw Data'!$B$53:$B$1048576,0),MATCH('Master - LTI Review'!F$4,'Raw Data'!$D$31:$BA$31,0)+1)/$I7,"N/A")</f>
        <v>N/A</v>
      </c>
      <c r="G7" s="150" t="str">
        <f>IFERROR(INDEX('Raw Data'!$B$53:$BA$1048576,MATCH('Master - LTI Review'!$A7,'Raw Data'!$B$53:$B$1048576,0),MATCH('Master - LTI Review'!G$4,'Raw Data'!$D$31:$BA$31,0)+1)/$I7,"N/A")</f>
        <v>N/A</v>
      </c>
      <c r="H7" s="151" t="str">
        <f>IFERROR(INDEX('Raw Data'!$B$53:$BA$1048576,MATCH('Master - LTI Review'!$A7,'Raw Data'!$B$53:$B$1048576,0),MATCH('Master - LTI Review'!H$4,'Raw Data'!$D$31:$BA$31,0)+1)/$I7,"N/A")</f>
        <v>N/A</v>
      </c>
      <c r="I7" t="str">
        <f>IFERROR(INDEX('Raw Data'!$B$53:$BA$1048576,MATCH('Master - LTI Review'!$A7,'Raw Data'!$B$53:$B$1048576,0),MATCH('Master - LTI Review'!I$4,'Raw Data'!$D$31:$BA$31,0)+1),"N/A")</f>
        <v>N/A</v>
      </c>
      <c r="J7" s="80">
        <f t="shared" ref="J7:J25" si="1">SUM(D7:H7)</f>
        <v>0</v>
      </c>
    </row>
    <row r="8" spans="1:10">
      <c r="A8" t="str">
        <f t="shared" si="0"/>
        <v>TSX:C_2018_</v>
      </c>
      <c r="B8" s="10" t="s">
        <v>85</v>
      </c>
      <c r="C8" s="149" t="str">
        <f>IFERROR(INDEX('Raw Data'!$B$53:$BA$1048576,MATCH('Master - LTI Review'!$A8,'Raw Data'!$B$53:$B$1048576,0),MATCH('Master - LTI Review'!C$4,'Raw Data'!$D$31:$BA$31,0)+1),"N/A")</f>
        <v>N/A</v>
      </c>
      <c r="D8" s="150" t="str">
        <f>IFERROR(INDEX('Raw Data'!$B$53:$BA$1048576,MATCH('Master - LTI Review'!$A8,'Raw Data'!$B$53:$B$1048576,0),MATCH('Master - LTI Review'!D$4,'Raw Data'!$D$31:$BA$31,0)+1)/$I8,"N/A")</f>
        <v>N/A</v>
      </c>
      <c r="E8" s="150" t="str">
        <f>IFERROR(INDEX('Raw Data'!$B$53:$BA$1048576,MATCH('Master - LTI Review'!$A8,'Raw Data'!$B$53:$B$1048576,0),MATCH('Master - LTI Review'!E$4,'Raw Data'!$D$31:$BA$31,0)+1)/$I8,"N/A")</f>
        <v>N/A</v>
      </c>
      <c r="F8" s="150" t="str">
        <f>IFERROR(INDEX('Raw Data'!$B$53:$BA$1048576,MATCH('Master - LTI Review'!$A8,'Raw Data'!$B$53:$B$1048576,0),MATCH('Master - LTI Review'!F$4,'Raw Data'!$D$31:$BA$31,0)+1)/$I8,"N/A")</f>
        <v>N/A</v>
      </c>
      <c r="G8" s="150" t="str">
        <f>IFERROR(INDEX('Raw Data'!$B$53:$BA$1048576,MATCH('Master - LTI Review'!$A8,'Raw Data'!$B$53:$B$1048576,0),MATCH('Master - LTI Review'!G$4,'Raw Data'!$D$31:$BA$31,0)+1)/$I8,"N/A")</f>
        <v>N/A</v>
      </c>
      <c r="H8" s="151" t="str">
        <f>IFERROR(INDEX('Raw Data'!$B$53:$BA$1048576,MATCH('Master - LTI Review'!$A8,'Raw Data'!$B$53:$B$1048576,0),MATCH('Master - LTI Review'!H$4,'Raw Data'!$D$31:$BA$31,0)+1)/$I8,"N/A")</f>
        <v>N/A</v>
      </c>
      <c r="I8" t="str">
        <f>IFERROR(INDEX('Raw Data'!$B$53:$BA$1048576,MATCH('Master - LTI Review'!$A8,'Raw Data'!$B$53:$B$1048576,0),MATCH('Master - LTI Review'!I$4,'Raw Data'!$D$31:$BA$31,0)+1),"N/A")</f>
        <v>N/A</v>
      </c>
      <c r="J8" s="80">
        <f t="shared" si="1"/>
        <v>0</v>
      </c>
    </row>
    <row r="9" spans="1:10">
      <c r="A9" t="str">
        <f t="shared" si="0"/>
        <v>TSX:D_2018_</v>
      </c>
      <c r="B9" s="10" t="s">
        <v>86</v>
      </c>
      <c r="C9" s="149" t="str">
        <f>IFERROR(INDEX('Raw Data'!$B$53:$BA$1048576,MATCH('Master - LTI Review'!$A9,'Raw Data'!$B$53:$B$1048576,0),MATCH('Master - LTI Review'!C$4,'Raw Data'!$D$31:$BA$31,0)+1),"N/A")</f>
        <v>N/A</v>
      </c>
      <c r="D9" s="150" t="str">
        <f>IFERROR(INDEX('Raw Data'!$B$53:$BA$1048576,MATCH('Master - LTI Review'!$A9,'Raw Data'!$B$53:$B$1048576,0),MATCH('Master - LTI Review'!D$4,'Raw Data'!$D$31:$BA$31,0)+1)/$I9,"N/A")</f>
        <v>N/A</v>
      </c>
      <c r="E9" s="150" t="str">
        <f>IFERROR(INDEX('Raw Data'!$B$53:$BA$1048576,MATCH('Master - LTI Review'!$A9,'Raw Data'!$B$53:$B$1048576,0),MATCH('Master - LTI Review'!E$4,'Raw Data'!$D$31:$BA$31,0)+1)/$I9,"N/A")</f>
        <v>N/A</v>
      </c>
      <c r="F9" s="150" t="str">
        <f>IFERROR(INDEX('Raw Data'!$B$53:$BA$1048576,MATCH('Master - LTI Review'!$A9,'Raw Data'!$B$53:$B$1048576,0),MATCH('Master - LTI Review'!F$4,'Raw Data'!$D$31:$BA$31,0)+1)/$I9,"N/A")</f>
        <v>N/A</v>
      </c>
      <c r="G9" s="150" t="str">
        <f>IFERROR(INDEX('Raw Data'!$B$53:$BA$1048576,MATCH('Master - LTI Review'!$A9,'Raw Data'!$B$53:$B$1048576,0),MATCH('Master - LTI Review'!G$4,'Raw Data'!$D$31:$BA$31,0)+1)/$I9,"N/A")</f>
        <v>N/A</v>
      </c>
      <c r="H9" s="151" t="str">
        <f>IFERROR(INDEX('Raw Data'!$B$53:$BA$1048576,MATCH('Master - LTI Review'!$A9,'Raw Data'!$B$53:$B$1048576,0),MATCH('Master - LTI Review'!H$4,'Raw Data'!$D$31:$BA$31,0)+1)/$I9,"N/A")</f>
        <v>N/A</v>
      </c>
      <c r="I9" t="str">
        <f>IFERROR(INDEX('Raw Data'!$B$53:$BA$1048576,MATCH('Master - LTI Review'!$A9,'Raw Data'!$B$53:$B$1048576,0),MATCH('Master - LTI Review'!I$4,'Raw Data'!$D$31:$BA$31,0)+1),"N/A")</f>
        <v>N/A</v>
      </c>
      <c r="J9" s="80">
        <f t="shared" si="1"/>
        <v>0</v>
      </c>
    </row>
    <row r="10" spans="1:10">
      <c r="A10" t="str">
        <f t="shared" si="0"/>
        <v>TSX:E_2018_</v>
      </c>
      <c r="B10" s="10" t="s">
        <v>87</v>
      </c>
      <c r="C10" s="149" t="str">
        <f>IFERROR(INDEX('Raw Data'!$B$53:$BA$1048576,MATCH('Master - LTI Review'!$A10,'Raw Data'!$B$53:$B$1048576,0),MATCH('Master - LTI Review'!C$4,'Raw Data'!$D$31:$BA$31,0)+1),"N/A")</f>
        <v>N/A</v>
      </c>
      <c r="D10" s="150" t="str">
        <f>IFERROR(INDEX('Raw Data'!$B$53:$BA$1048576,MATCH('Master - LTI Review'!$A10,'Raw Data'!$B$53:$B$1048576,0),MATCH('Master - LTI Review'!D$4,'Raw Data'!$D$31:$BA$31,0)+1)/$I10,"N/A")</f>
        <v>N/A</v>
      </c>
      <c r="E10" s="150" t="str">
        <f>IFERROR(INDEX('Raw Data'!$B$53:$BA$1048576,MATCH('Master - LTI Review'!$A10,'Raw Data'!$B$53:$B$1048576,0),MATCH('Master - LTI Review'!E$4,'Raw Data'!$D$31:$BA$31,0)+1)/$I10,"N/A")</f>
        <v>N/A</v>
      </c>
      <c r="F10" s="150" t="str">
        <f>IFERROR(INDEX('Raw Data'!$B$53:$BA$1048576,MATCH('Master - LTI Review'!$A10,'Raw Data'!$B$53:$B$1048576,0),MATCH('Master - LTI Review'!F$4,'Raw Data'!$D$31:$BA$31,0)+1)/$I10,"N/A")</f>
        <v>N/A</v>
      </c>
      <c r="G10" s="150" t="str">
        <f>IFERROR(INDEX('Raw Data'!$B$53:$BA$1048576,MATCH('Master - LTI Review'!$A10,'Raw Data'!$B$53:$B$1048576,0),MATCH('Master - LTI Review'!G$4,'Raw Data'!$D$31:$BA$31,0)+1)/$I10,"N/A")</f>
        <v>N/A</v>
      </c>
      <c r="H10" s="151" t="str">
        <f>IFERROR(INDEX('Raw Data'!$B$53:$BA$1048576,MATCH('Master - LTI Review'!$A10,'Raw Data'!$B$53:$B$1048576,0),MATCH('Master - LTI Review'!H$4,'Raw Data'!$D$31:$BA$31,0)+1)/$I10,"N/A")</f>
        <v>N/A</v>
      </c>
      <c r="I10" t="str">
        <f>IFERROR(INDEX('Raw Data'!$B$53:$BA$1048576,MATCH('Master - LTI Review'!$A10,'Raw Data'!$B$53:$B$1048576,0),MATCH('Master - LTI Review'!I$4,'Raw Data'!$D$31:$BA$31,0)+1),"N/A")</f>
        <v>N/A</v>
      </c>
      <c r="J10" s="80">
        <f t="shared" si="1"/>
        <v>0</v>
      </c>
    </row>
    <row r="11" spans="1:10">
      <c r="A11" t="str">
        <f t="shared" si="0"/>
        <v>TSX:F_2018_</v>
      </c>
      <c r="B11" s="10" t="s">
        <v>88</v>
      </c>
      <c r="C11" s="149" t="str">
        <f>IFERROR(INDEX('Raw Data'!$B$53:$BA$1048576,MATCH('Master - LTI Review'!$A11,'Raw Data'!$B$53:$B$1048576,0),MATCH('Master - LTI Review'!C$4,'Raw Data'!$D$31:$BA$31,0)+1),"N/A")</f>
        <v>N/A</v>
      </c>
      <c r="D11" s="150" t="str">
        <f>IFERROR(INDEX('Raw Data'!$B$53:$BA$1048576,MATCH('Master - LTI Review'!$A11,'Raw Data'!$B$53:$B$1048576,0),MATCH('Master - LTI Review'!D$4,'Raw Data'!$D$31:$BA$31,0)+1)/$I11,"N/A")</f>
        <v>N/A</v>
      </c>
      <c r="E11" s="150" t="str">
        <f>IFERROR(INDEX('Raw Data'!$B$53:$BA$1048576,MATCH('Master - LTI Review'!$A11,'Raw Data'!$B$53:$B$1048576,0),MATCH('Master - LTI Review'!E$4,'Raw Data'!$D$31:$BA$31,0)+1)/$I11,"N/A")</f>
        <v>N/A</v>
      </c>
      <c r="F11" s="150" t="str">
        <f>IFERROR(INDEX('Raw Data'!$B$53:$BA$1048576,MATCH('Master - LTI Review'!$A11,'Raw Data'!$B$53:$B$1048576,0),MATCH('Master - LTI Review'!F$4,'Raw Data'!$D$31:$BA$31,0)+1)/$I11,"N/A")</f>
        <v>N/A</v>
      </c>
      <c r="G11" s="150" t="str">
        <f>IFERROR(INDEX('Raw Data'!$B$53:$BA$1048576,MATCH('Master - LTI Review'!$A11,'Raw Data'!$B$53:$B$1048576,0),MATCH('Master - LTI Review'!G$4,'Raw Data'!$D$31:$BA$31,0)+1)/$I11,"N/A")</f>
        <v>N/A</v>
      </c>
      <c r="H11" s="151" t="str">
        <f>IFERROR(INDEX('Raw Data'!$B$53:$BA$1048576,MATCH('Master - LTI Review'!$A11,'Raw Data'!$B$53:$B$1048576,0),MATCH('Master - LTI Review'!H$4,'Raw Data'!$D$31:$BA$31,0)+1)/$I11,"N/A")</f>
        <v>N/A</v>
      </c>
      <c r="I11" t="str">
        <f>IFERROR(INDEX('Raw Data'!$B$53:$BA$1048576,MATCH('Master - LTI Review'!$A11,'Raw Data'!$B$53:$B$1048576,0),MATCH('Master - LTI Review'!I$4,'Raw Data'!$D$31:$BA$31,0)+1),"N/A")</f>
        <v>N/A</v>
      </c>
      <c r="J11" s="80">
        <f t="shared" si="1"/>
        <v>0</v>
      </c>
    </row>
    <row r="12" spans="1:10">
      <c r="A12" t="str">
        <f t="shared" si="0"/>
        <v>TSX:G_2018_</v>
      </c>
      <c r="B12" s="10" t="s">
        <v>89</v>
      </c>
      <c r="C12" s="149" t="str">
        <f>IFERROR(INDEX('Raw Data'!$B$53:$BA$1048576,MATCH('Master - LTI Review'!$A12,'Raw Data'!$B$53:$B$1048576,0),MATCH('Master - LTI Review'!C$4,'Raw Data'!$D$31:$BA$31,0)+1),"N/A")</f>
        <v>N/A</v>
      </c>
      <c r="D12" s="150" t="str">
        <f>IFERROR(INDEX('Raw Data'!$B$53:$BA$1048576,MATCH('Master - LTI Review'!$A12,'Raw Data'!$B$53:$B$1048576,0),MATCH('Master - LTI Review'!D$4,'Raw Data'!$D$31:$BA$31,0)+1)/$I12,"N/A")</f>
        <v>N/A</v>
      </c>
      <c r="E12" s="150" t="str">
        <f>IFERROR(INDEX('Raw Data'!$B$53:$BA$1048576,MATCH('Master - LTI Review'!$A12,'Raw Data'!$B$53:$B$1048576,0),MATCH('Master - LTI Review'!E$4,'Raw Data'!$D$31:$BA$31,0)+1)/$I12,"N/A")</f>
        <v>N/A</v>
      </c>
      <c r="F12" s="150" t="str">
        <f>IFERROR(INDEX('Raw Data'!$B$53:$BA$1048576,MATCH('Master - LTI Review'!$A12,'Raw Data'!$B$53:$B$1048576,0),MATCH('Master - LTI Review'!F$4,'Raw Data'!$D$31:$BA$31,0)+1)/$I12,"N/A")</f>
        <v>N/A</v>
      </c>
      <c r="G12" s="150" t="str">
        <f>IFERROR(INDEX('Raw Data'!$B$53:$BA$1048576,MATCH('Master - LTI Review'!$A12,'Raw Data'!$B$53:$B$1048576,0),MATCH('Master - LTI Review'!G$4,'Raw Data'!$D$31:$BA$31,0)+1)/$I12,"N/A")</f>
        <v>N/A</v>
      </c>
      <c r="H12" s="151" t="str">
        <f>IFERROR(INDEX('Raw Data'!$B$53:$BA$1048576,MATCH('Master - LTI Review'!$A12,'Raw Data'!$B$53:$B$1048576,0),MATCH('Master - LTI Review'!H$4,'Raw Data'!$D$31:$BA$31,0)+1)/$I12,"N/A")</f>
        <v>N/A</v>
      </c>
      <c r="I12" t="str">
        <f>IFERROR(INDEX('Raw Data'!$B$53:$BA$1048576,MATCH('Master - LTI Review'!$A12,'Raw Data'!$B$53:$B$1048576,0),MATCH('Master - LTI Review'!I$4,'Raw Data'!$D$31:$BA$31,0)+1),"N/A")</f>
        <v>N/A</v>
      </c>
      <c r="J12" s="80">
        <f t="shared" si="1"/>
        <v>0</v>
      </c>
    </row>
    <row r="13" spans="1:10">
      <c r="A13" t="str">
        <f t="shared" si="0"/>
        <v>TSX:H_2018_</v>
      </c>
      <c r="B13" s="10" t="s">
        <v>90</v>
      </c>
      <c r="C13" s="149" t="str">
        <f>IFERROR(INDEX('Raw Data'!$B$53:$BA$1048576,MATCH('Master - LTI Review'!$A13,'Raw Data'!$B$53:$B$1048576,0),MATCH('Master - LTI Review'!C$4,'Raw Data'!$D$31:$BA$31,0)+1),"N/A")</f>
        <v>N/A</v>
      </c>
      <c r="D13" s="150" t="str">
        <f>IFERROR(INDEX('Raw Data'!$B$53:$BA$1048576,MATCH('Master - LTI Review'!$A13,'Raw Data'!$B$53:$B$1048576,0),MATCH('Master - LTI Review'!D$4,'Raw Data'!$D$31:$BA$31,0)+1)/$I13,"N/A")</f>
        <v>N/A</v>
      </c>
      <c r="E13" s="150" t="str">
        <f>IFERROR(INDEX('Raw Data'!$B$53:$BA$1048576,MATCH('Master - LTI Review'!$A13,'Raw Data'!$B$53:$B$1048576,0),MATCH('Master - LTI Review'!E$4,'Raw Data'!$D$31:$BA$31,0)+1)/$I13,"N/A")</f>
        <v>N/A</v>
      </c>
      <c r="F13" s="150" t="str">
        <f>IFERROR(INDEX('Raw Data'!$B$53:$BA$1048576,MATCH('Master - LTI Review'!$A13,'Raw Data'!$B$53:$B$1048576,0),MATCH('Master - LTI Review'!F$4,'Raw Data'!$D$31:$BA$31,0)+1)/$I13,"N/A")</f>
        <v>N/A</v>
      </c>
      <c r="G13" s="150" t="str">
        <f>IFERROR(INDEX('Raw Data'!$B$53:$BA$1048576,MATCH('Master - LTI Review'!$A13,'Raw Data'!$B$53:$B$1048576,0),MATCH('Master - LTI Review'!G$4,'Raw Data'!$D$31:$BA$31,0)+1)/$I13,"N/A")</f>
        <v>N/A</v>
      </c>
      <c r="H13" s="151" t="str">
        <f>IFERROR(INDEX('Raw Data'!$B$53:$BA$1048576,MATCH('Master - LTI Review'!$A13,'Raw Data'!$B$53:$B$1048576,0),MATCH('Master - LTI Review'!H$4,'Raw Data'!$D$31:$BA$31,0)+1)/$I13,"N/A")</f>
        <v>N/A</v>
      </c>
      <c r="I13" t="str">
        <f>IFERROR(INDEX('Raw Data'!$B$53:$BA$1048576,MATCH('Master - LTI Review'!$A13,'Raw Data'!$B$53:$B$1048576,0),MATCH('Master - LTI Review'!I$4,'Raw Data'!$D$31:$BA$31,0)+1),"N/A")</f>
        <v>N/A</v>
      </c>
      <c r="J13" s="80">
        <f t="shared" si="1"/>
        <v>0</v>
      </c>
    </row>
    <row r="14" spans="1:10">
      <c r="A14" t="str">
        <f t="shared" si="0"/>
        <v>TSX:I_2018_</v>
      </c>
      <c r="B14" s="10" t="s">
        <v>91</v>
      </c>
      <c r="C14" s="149" t="str">
        <f>IFERROR(INDEX('Raw Data'!$B$53:$BA$1048576,MATCH('Master - LTI Review'!$A14,'Raw Data'!$B$53:$B$1048576,0),MATCH('Master - LTI Review'!C$4,'Raw Data'!$D$31:$BA$31,0)+1),"N/A")</f>
        <v>N/A</v>
      </c>
      <c r="D14" s="150" t="str">
        <f>IFERROR(INDEX('Raw Data'!$B$53:$BA$1048576,MATCH('Master - LTI Review'!$A14,'Raw Data'!$B$53:$B$1048576,0),MATCH('Master - LTI Review'!D$4,'Raw Data'!$D$31:$BA$31,0)+1)/$I14,"N/A")</f>
        <v>N/A</v>
      </c>
      <c r="E14" s="150" t="str">
        <f>IFERROR(INDEX('Raw Data'!$B$53:$BA$1048576,MATCH('Master - LTI Review'!$A14,'Raw Data'!$B$53:$B$1048576,0),MATCH('Master - LTI Review'!E$4,'Raw Data'!$D$31:$BA$31,0)+1)/$I14,"N/A")</f>
        <v>N/A</v>
      </c>
      <c r="F14" s="150" t="str">
        <f>IFERROR(INDEX('Raw Data'!$B$53:$BA$1048576,MATCH('Master - LTI Review'!$A14,'Raw Data'!$B$53:$B$1048576,0),MATCH('Master - LTI Review'!F$4,'Raw Data'!$D$31:$BA$31,0)+1)/$I14,"N/A")</f>
        <v>N/A</v>
      </c>
      <c r="G14" s="150" t="str">
        <f>IFERROR(INDEX('Raw Data'!$B$53:$BA$1048576,MATCH('Master - LTI Review'!$A14,'Raw Data'!$B$53:$B$1048576,0),MATCH('Master - LTI Review'!G$4,'Raw Data'!$D$31:$BA$31,0)+1)/$I14,"N/A")</f>
        <v>N/A</v>
      </c>
      <c r="H14" s="151" t="str">
        <f>IFERROR(INDEX('Raw Data'!$B$53:$BA$1048576,MATCH('Master - LTI Review'!$A14,'Raw Data'!$B$53:$B$1048576,0),MATCH('Master - LTI Review'!H$4,'Raw Data'!$D$31:$BA$31,0)+1)/$I14,"N/A")</f>
        <v>N/A</v>
      </c>
      <c r="I14" t="str">
        <f>IFERROR(INDEX('Raw Data'!$B$53:$BA$1048576,MATCH('Master - LTI Review'!$A14,'Raw Data'!$B$53:$B$1048576,0),MATCH('Master - LTI Review'!I$4,'Raw Data'!$D$31:$BA$31,0)+1),"N/A")</f>
        <v>N/A</v>
      </c>
      <c r="J14" s="80">
        <f t="shared" si="1"/>
        <v>0</v>
      </c>
    </row>
    <row r="15" spans="1:10">
      <c r="A15" t="str">
        <f t="shared" si="0"/>
        <v>TSX:J_2018_</v>
      </c>
      <c r="B15" s="10" t="s">
        <v>92</v>
      </c>
      <c r="C15" s="149" t="str">
        <f>IFERROR(INDEX('Raw Data'!$B$53:$BA$1048576,MATCH('Master - LTI Review'!$A15,'Raw Data'!$B$53:$B$1048576,0),MATCH('Master - LTI Review'!C$4,'Raw Data'!$D$31:$BA$31,0)+1),"N/A")</f>
        <v>N/A</v>
      </c>
      <c r="D15" s="150" t="str">
        <f>IFERROR(INDEX('Raw Data'!$B$53:$BA$1048576,MATCH('Master - LTI Review'!$A15,'Raw Data'!$B$53:$B$1048576,0),MATCH('Master - LTI Review'!D$4,'Raw Data'!$D$31:$BA$31,0)+1)/$I15,"N/A")</f>
        <v>N/A</v>
      </c>
      <c r="E15" s="150" t="str">
        <f>IFERROR(INDEX('Raw Data'!$B$53:$BA$1048576,MATCH('Master - LTI Review'!$A15,'Raw Data'!$B$53:$B$1048576,0),MATCH('Master - LTI Review'!E$4,'Raw Data'!$D$31:$BA$31,0)+1)/$I15,"N/A")</f>
        <v>N/A</v>
      </c>
      <c r="F15" s="150" t="str">
        <f>IFERROR(INDEX('Raw Data'!$B$53:$BA$1048576,MATCH('Master - LTI Review'!$A15,'Raw Data'!$B$53:$B$1048576,0),MATCH('Master - LTI Review'!F$4,'Raw Data'!$D$31:$BA$31,0)+1)/$I15,"N/A")</f>
        <v>N/A</v>
      </c>
      <c r="G15" s="150" t="str">
        <f>IFERROR(INDEX('Raw Data'!$B$53:$BA$1048576,MATCH('Master - LTI Review'!$A15,'Raw Data'!$B$53:$B$1048576,0),MATCH('Master - LTI Review'!G$4,'Raw Data'!$D$31:$BA$31,0)+1)/$I15,"N/A")</f>
        <v>N/A</v>
      </c>
      <c r="H15" s="151" t="str">
        <f>IFERROR(INDEX('Raw Data'!$B$53:$BA$1048576,MATCH('Master - LTI Review'!$A15,'Raw Data'!$B$53:$B$1048576,0),MATCH('Master - LTI Review'!H$4,'Raw Data'!$D$31:$BA$31,0)+1)/$I15,"N/A")</f>
        <v>N/A</v>
      </c>
      <c r="I15" t="str">
        <f>IFERROR(INDEX('Raw Data'!$B$53:$BA$1048576,MATCH('Master - LTI Review'!$A15,'Raw Data'!$B$53:$B$1048576,0),MATCH('Master - LTI Review'!I$4,'Raw Data'!$D$31:$BA$31,0)+1),"N/A")</f>
        <v>N/A</v>
      </c>
      <c r="J15" s="80">
        <f t="shared" si="1"/>
        <v>0</v>
      </c>
    </row>
    <row r="16" spans="1:10">
      <c r="A16" t="str">
        <f t="shared" si="0"/>
        <v>TSX:K_2018_</v>
      </c>
      <c r="B16" s="10" t="s">
        <v>93</v>
      </c>
      <c r="C16" s="149" t="str">
        <f>IFERROR(INDEX('Raw Data'!$B$53:$BA$1048576,MATCH('Master - LTI Review'!$A16,'Raw Data'!$B$53:$B$1048576,0),MATCH('Master - LTI Review'!C$4,'Raw Data'!$D$31:$BA$31,0)+1),"N/A")</f>
        <v>N/A</v>
      </c>
      <c r="D16" s="150" t="str">
        <f>IFERROR(INDEX('Raw Data'!$B$53:$BA$1048576,MATCH('Master - LTI Review'!$A16,'Raw Data'!$B$53:$B$1048576,0),MATCH('Master - LTI Review'!D$4,'Raw Data'!$D$31:$BA$31,0)+1)/$I16,"N/A")</f>
        <v>N/A</v>
      </c>
      <c r="E16" s="150" t="str">
        <f>IFERROR(INDEX('Raw Data'!$B$53:$BA$1048576,MATCH('Master - LTI Review'!$A16,'Raw Data'!$B$53:$B$1048576,0),MATCH('Master - LTI Review'!E$4,'Raw Data'!$D$31:$BA$31,0)+1)/$I16,"N/A")</f>
        <v>N/A</v>
      </c>
      <c r="F16" s="150" t="str">
        <f>IFERROR(INDEX('Raw Data'!$B$53:$BA$1048576,MATCH('Master - LTI Review'!$A16,'Raw Data'!$B$53:$B$1048576,0),MATCH('Master - LTI Review'!F$4,'Raw Data'!$D$31:$BA$31,0)+1)/$I16,"N/A")</f>
        <v>N/A</v>
      </c>
      <c r="G16" s="150" t="str">
        <f>IFERROR(INDEX('Raw Data'!$B$53:$BA$1048576,MATCH('Master - LTI Review'!$A16,'Raw Data'!$B$53:$B$1048576,0),MATCH('Master - LTI Review'!G$4,'Raw Data'!$D$31:$BA$31,0)+1)/$I16,"N/A")</f>
        <v>N/A</v>
      </c>
      <c r="H16" s="151" t="str">
        <f>IFERROR(INDEX('Raw Data'!$B$53:$BA$1048576,MATCH('Master - LTI Review'!$A16,'Raw Data'!$B$53:$B$1048576,0),MATCH('Master - LTI Review'!H$4,'Raw Data'!$D$31:$BA$31,0)+1)/$I16,"N/A")</f>
        <v>N/A</v>
      </c>
      <c r="I16" t="str">
        <f>IFERROR(INDEX('Raw Data'!$B$53:$BA$1048576,MATCH('Master - LTI Review'!$A16,'Raw Data'!$B$53:$B$1048576,0),MATCH('Master - LTI Review'!I$4,'Raw Data'!$D$31:$BA$31,0)+1),"N/A")</f>
        <v>N/A</v>
      </c>
      <c r="J16" s="80">
        <f t="shared" si="1"/>
        <v>0</v>
      </c>
    </row>
    <row r="17" spans="1:10">
      <c r="A17" t="str">
        <f t="shared" si="0"/>
        <v>TSX:L_2018_</v>
      </c>
      <c r="B17" s="10" t="s">
        <v>94</v>
      </c>
      <c r="C17" s="149" t="str">
        <f>IFERROR(INDEX('Raw Data'!$B$53:$BA$1048576,MATCH('Master - LTI Review'!$A17,'Raw Data'!$B$53:$B$1048576,0),MATCH('Master - LTI Review'!C$4,'Raw Data'!$D$31:$BA$31,0)+1),"N/A")</f>
        <v>N/A</v>
      </c>
      <c r="D17" s="150" t="str">
        <f>IFERROR(INDEX('Raw Data'!$B$53:$BA$1048576,MATCH('Master - LTI Review'!$A17,'Raw Data'!$B$53:$B$1048576,0),MATCH('Master - LTI Review'!D$4,'Raw Data'!$D$31:$BA$31,0)+1)/$I17,"N/A")</f>
        <v>N/A</v>
      </c>
      <c r="E17" s="150" t="str">
        <f>IFERROR(INDEX('Raw Data'!$B$53:$BA$1048576,MATCH('Master - LTI Review'!$A17,'Raw Data'!$B$53:$B$1048576,0),MATCH('Master - LTI Review'!E$4,'Raw Data'!$D$31:$BA$31,0)+1)/$I17,"N/A")</f>
        <v>N/A</v>
      </c>
      <c r="F17" s="150" t="str">
        <f>IFERROR(INDEX('Raw Data'!$B$53:$BA$1048576,MATCH('Master - LTI Review'!$A17,'Raw Data'!$B$53:$B$1048576,0),MATCH('Master - LTI Review'!F$4,'Raw Data'!$D$31:$BA$31,0)+1)/$I17,"N/A")</f>
        <v>N/A</v>
      </c>
      <c r="G17" s="150" t="str">
        <f>IFERROR(INDEX('Raw Data'!$B$53:$BA$1048576,MATCH('Master - LTI Review'!$A17,'Raw Data'!$B$53:$B$1048576,0),MATCH('Master - LTI Review'!G$4,'Raw Data'!$D$31:$BA$31,0)+1)/$I17,"N/A")</f>
        <v>N/A</v>
      </c>
      <c r="H17" s="151" t="str">
        <f>IFERROR(INDEX('Raw Data'!$B$53:$BA$1048576,MATCH('Master - LTI Review'!$A17,'Raw Data'!$B$53:$B$1048576,0),MATCH('Master - LTI Review'!H$4,'Raw Data'!$D$31:$BA$31,0)+1)/$I17,"N/A")</f>
        <v>N/A</v>
      </c>
      <c r="I17" t="str">
        <f>IFERROR(INDEX('Raw Data'!$B$53:$BA$1048576,MATCH('Master - LTI Review'!$A17,'Raw Data'!$B$53:$B$1048576,0),MATCH('Master - LTI Review'!I$4,'Raw Data'!$D$31:$BA$31,0)+1),"N/A")</f>
        <v>N/A</v>
      </c>
      <c r="J17" s="80">
        <f t="shared" si="1"/>
        <v>0</v>
      </c>
    </row>
    <row r="18" spans="1:10">
      <c r="A18" t="str">
        <f t="shared" si="0"/>
        <v>TSX:M_2018_</v>
      </c>
      <c r="B18" s="10" t="s">
        <v>95</v>
      </c>
      <c r="C18" s="149" t="str">
        <f>IFERROR(INDEX('Raw Data'!$B$53:$BA$1048576,MATCH('Master - LTI Review'!$A18,'Raw Data'!$B$53:$B$1048576,0),MATCH('Master - LTI Review'!C$4,'Raw Data'!$D$31:$BA$31,0)+1),"N/A")</f>
        <v>N/A</v>
      </c>
      <c r="D18" s="150" t="str">
        <f>IFERROR(INDEX('Raw Data'!$B$53:$BA$1048576,MATCH('Master - LTI Review'!$A18,'Raw Data'!$B$53:$B$1048576,0),MATCH('Master - LTI Review'!D$4,'Raw Data'!$D$31:$BA$31,0)+1)/$I18,"N/A")</f>
        <v>N/A</v>
      </c>
      <c r="E18" s="150" t="str">
        <f>IFERROR(INDEX('Raw Data'!$B$53:$BA$1048576,MATCH('Master - LTI Review'!$A18,'Raw Data'!$B$53:$B$1048576,0),MATCH('Master - LTI Review'!E$4,'Raw Data'!$D$31:$BA$31,0)+1)/$I18,"N/A")</f>
        <v>N/A</v>
      </c>
      <c r="F18" s="150" t="str">
        <f>IFERROR(INDEX('Raw Data'!$B$53:$BA$1048576,MATCH('Master - LTI Review'!$A18,'Raw Data'!$B$53:$B$1048576,0),MATCH('Master - LTI Review'!F$4,'Raw Data'!$D$31:$BA$31,0)+1)/$I18,"N/A")</f>
        <v>N/A</v>
      </c>
      <c r="G18" s="150" t="str">
        <f>IFERROR(INDEX('Raw Data'!$B$53:$BA$1048576,MATCH('Master - LTI Review'!$A18,'Raw Data'!$B$53:$B$1048576,0),MATCH('Master - LTI Review'!G$4,'Raw Data'!$D$31:$BA$31,0)+1)/$I18,"N/A")</f>
        <v>N/A</v>
      </c>
      <c r="H18" s="151" t="str">
        <f>IFERROR(INDEX('Raw Data'!$B$53:$BA$1048576,MATCH('Master - LTI Review'!$A18,'Raw Data'!$B$53:$B$1048576,0),MATCH('Master - LTI Review'!H$4,'Raw Data'!$D$31:$BA$31,0)+1)/$I18,"N/A")</f>
        <v>N/A</v>
      </c>
      <c r="I18" t="str">
        <f>IFERROR(INDEX('Raw Data'!$B$53:$BA$1048576,MATCH('Master - LTI Review'!$A18,'Raw Data'!$B$53:$B$1048576,0),MATCH('Master - LTI Review'!I$4,'Raw Data'!$D$31:$BA$31,0)+1),"N/A")</f>
        <v>N/A</v>
      </c>
      <c r="J18" s="80">
        <f t="shared" si="1"/>
        <v>0</v>
      </c>
    </row>
    <row r="19" spans="1:10">
      <c r="A19" t="str">
        <f t="shared" si="0"/>
        <v>TSX:N_2018_</v>
      </c>
      <c r="B19" s="10" t="s">
        <v>96</v>
      </c>
      <c r="C19" s="149" t="str">
        <f>IFERROR(INDEX('Raw Data'!$B$53:$BA$1048576,MATCH('Master - LTI Review'!$A19,'Raw Data'!$B$53:$B$1048576,0),MATCH('Master - LTI Review'!C$4,'Raw Data'!$D$31:$BA$31,0)+1),"N/A")</f>
        <v>N/A</v>
      </c>
      <c r="D19" s="150" t="str">
        <f>IFERROR(INDEX('Raw Data'!$B$53:$BA$1048576,MATCH('Master - LTI Review'!$A19,'Raw Data'!$B$53:$B$1048576,0),MATCH('Master - LTI Review'!D$4,'Raw Data'!$D$31:$BA$31,0)+1)/$I19,"N/A")</f>
        <v>N/A</v>
      </c>
      <c r="E19" s="150" t="str">
        <f>IFERROR(INDEX('Raw Data'!$B$53:$BA$1048576,MATCH('Master - LTI Review'!$A19,'Raw Data'!$B$53:$B$1048576,0),MATCH('Master - LTI Review'!E$4,'Raw Data'!$D$31:$BA$31,0)+1)/$I19,"N/A")</f>
        <v>N/A</v>
      </c>
      <c r="F19" s="150" t="str">
        <f>IFERROR(INDEX('Raw Data'!$B$53:$BA$1048576,MATCH('Master - LTI Review'!$A19,'Raw Data'!$B$53:$B$1048576,0),MATCH('Master - LTI Review'!F$4,'Raw Data'!$D$31:$BA$31,0)+1)/$I19,"N/A")</f>
        <v>N/A</v>
      </c>
      <c r="G19" s="150" t="str">
        <f>IFERROR(INDEX('Raw Data'!$B$53:$BA$1048576,MATCH('Master - LTI Review'!$A19,'Raw Data'!$B$53:$B$1048576,0),MATCH('Master - LTI Review'!G$4,'Raw Data'!$D$31:$BA$31,0)+1)/$I19,"N/A")</f>
        <v>N/A</v>
      </c>
      <c r="H19" s="151" t="str">
        <f>IFERROR(INDEX('Raw Data'!$B$53:$BA$1048576,MATCH('Master - LTI Review'!$A19,'Raw Data'!$B$53:$B$1048576,0),MATCH('Master - LTI Review'!H$4,'Raw Data'!$D$31:$BA$31,0)+1)/$I19,"N/A")</f>
        <v>N/A</v>
      </c>
      <c r="I19" t="str">
        <f>IFERROR(INDEX('Raw Data'!$B$53:$BA$1048576,MATCH('Master - LTI Review'!$A19,'Raw Data'!$B$53:$B$1048576,0),MATCH('Master - LTI Review'!I$4,'Raw Data'!$D$31:$BA$31,0)+1),"N/A")</f>
        <v>N/A</v>
      </c>
      <c r="J19" s="80">
        <f t="shared" si="1"/>
        <v>0</v>
      </c>
    </row>
    <row r="20" spans="1:10">
      <c r="A20" t="str">
        <f t="shared" si="0"/>
        <v>TSX:O_2018_</v>
      </c>
      <c r="B20" s="10" t="s">
        <v>97</v>
      </c>
      <c r="C20" s="149" t="str">
        <f>IFERROR(INDEX('Raw Data'!$B$53:$BA$1048576,MATCH('Master - LTI Review'!$A20,'Raw Data'!$B$53:$B$1048576,0),MATCH('Master - LTI Review'!C$4,'Raw Data'!$D$31:$BA$31,0)+1),"N/A")</f>
        <v>N/A</v>
      </c>
      <c r="D20" s="150" t="str">
        <f>IFERROR(INDEX('Raw Data'!$B$53:$BA$1048576,MATCH('Master - LTI Review'!$A20,'Raw Data'!$B$53:$B$1048576,0),MATCH('Master - LTI Review'!D$4,'Raw Data'!$D$31:$BA$31,0)+1)/$I20,"N/A")</f>
        <v>N/A</v>
      </c>
      <c r="E20" s="150" t="str">
        <f>IFERROR(INDEX('Raw Data'!$B$53:$BA$1048576,MATCH('Master - LTI Review'!$A20,'Raw Data'!$B$53:$B$1048576,0),MATCH('Master - LTI Review'!E$4,'Raw Data'!$D$31:$BA$31,0)+1)/$I20,"N/A")</f>
        <v>N/A</v>
      </c>
      <c r="F20" s="150" t="str">
        <f>IFERROR(INDEX('Raw Data'!$B$53:$BA$1048576,MATCH('Master - LTI Review'!$A20,'Raw Data'!$B$53:$B$1048576,0),MATCH('Master - LTI Review'!F$4,'Raw Data'!$D$31:$BA$31,0)+1)/$I20,"N/A")</f>
        <v>N/A</v>
      </c>
      <c r="G20" s="150" t="str">
        <f>IFERROR(INDEX('Raw Data'!$B$53:$BA$1048576,MATCH('Master - LTI Review'!$A20,'Raw Data'!$B$53:$B$1048576,0),MATCH('Master - LTI Review'!G$4,'Raw Data'!$D$31:$BA$31,0)+1)/$I20,"N/A")</f>
        <v>N/A</v>
      </c>
      <c r="H20" s="151" t="str">
        <f>IFERROR(INDEX('Raw Data'!$B$53:$BA$1048576,MATCH('Master - LTI Review'!$A20,'Raw Data'!$B$53:$B$1048576,0),MATCH('Master - LTI Review'!H$4,'Raw Data'!$D$31:$BA$31,0)+1)/$I20,"N/A")</f>
        <v>N/A</v>
      </c>
      <c r="I20" t="str">
        <f>IFERROR(INDEX('Raw Data'!$B$53:$BA$1048576,MATCH('Master - LTI Review'!$A20,'Raw Data'!$B$53:$B$1048576,0),MATCH('Master - LTI Review'!I$4,'Raw Data'!$D$31:$BA$31,0)+1),"N/A")</f>
        <v>N/A</v>
      </c>
      <c r="J20" s="80">
        <f t="shared" si="1"/>
        <v>0</v>
      </c>
    </row>
    <row r="21" spans="1:10">
      <c r="A21" t="str">
        <f t="shared" si="0"/>
        <v>TSX:P_2018_</v>
      </c>
      <c r="B21" s="10" t="s">
        <v>98</v>
      </c>
      <c r="C21" s="149" t="str">
        <f>IFERROR(INDEX('Raw Data'!$B$53:$BA$1048576,MATCH('Master - LTI Review'!$A21,'Raw Data'!$B$53:$B$1048576,0),MATCH('Master - LTI Review'!C$4,'Raw Data'!$D$31:$BA$31,0)+1),"N/A")</f>
        <v>N/A</v>
      </c>
      <c r="D21" s="150" t="str">
        <f>IFERROR(INDEX('Raw Data'!$B$53:$BA$1048576,MATCH('Master - LTI Review'!$A21,'Raw Data'!$B$53:$B$1048576,0),MATCH('Master - LTI Review'!D$4,'Raw Data'!$D$31:$BA$31,0)+1)/$I21,"N/A")</f>
        <v>N/A</v>
      </c>
      <c r="E21" s="150" t="str">
        <f>IFERROR(INDEX('Raw Data'!$B$53:$BA$1048576,MATCH('Master - LTI Review'!$A21,'Raw Data'!$B$53:$B$1048576,0),MATCH('Master - LTI Review'!E$4,'Raw Data'!$D$31:$BA$31,0)+1)/$I21,"N/A")</f>
        <v>N/A</v>
      </c>
      <c r="F21" s="150" t="str">
        <f>IFERROR(INDEX('Raw Data'!$B$53:$BA$1048576,MATCH('Master - LTI Review'!$A21,'Raw Data'!$B$53:$B$1048576,0),MATCH('Master - LTI Review'!F$4,'Raw Data'!$D$31:$BA$31,0)+1)/$I21,"N/A")</f>
        <v>N/A</v>
      </c>
      <c r="G21" s="150" t="str">
        <f>IFERROR(INDEX('Raw Data'!$B$53:$BA$1048576,MATCH('Master - LTI Review'!$A21,'Raw Data'!$B$53:$B$1048576,0),MATCH('Master - LTI Review'!G$4,'Raw Data'!$D$31:$BA$31,0)+1)/$I21,"N/A")</f>
        <v>N/A</v>
      </c>
      <c r="H21" s="151" t="str">
        <f>IFERROR(INDEX('Raw Data'!$B$53:$BA$1048576,MATCH('Master - LTI Review'!$A21,'Raw Data'!$B$53:$B$1048576,0),MATCH('Master - LTI Review'!H$4,'Raw Data'!$D$31:$BA$31,0)+1)/$I21,"N/A")</f>
        <v>N/A</v>
      </c>
      <c r="I21" t="str">
        <f>IFERROR(INDEX('Raw Data'!$B$53:$BA$1048576,MATCH('Master - LTI Review'!$A21,'Raw Data'!$B$53:$B$1048576,0),MATCH('Master - LTI Review'!I$4,'Raw Data'!$D$31:$BA$31,0)+1),"N/A")</f>
        <v>N/A</v>
      </c>
      <c r="J21" s="80">
        <f t="shared" si="1"/>
        <v>0</v>
      </c>
    </row>
    <row r="22" spans="1:10">
      <c r="A22" t="str">
        <f t="shared" si="0"/>
        <v>TSX:Q_2018_</v>
      </c>
      <c r="B22" s="10" t="s">
        <v>99</v>
      </c>
      <c r="C22" s="149" t="str">
        <f>IFERROR(INDEX('Raw Data'!$B$53:$BA$1048576,MATCH('Master - LTI Review'!$A22,'Raw Data'!$B$53:$B$1048576,0),MATCH('Master - LTI Review'!C$4,'Raw Data'!$D$31:$BA$31,0)+1),"N/A")</f>
        <v>N/A</v>
      </c>
      <c r="D22" s="150" t="str">
        <f>IFERROR(INDEX('Raw Data'!$B$53:$BA$1048576,MATCH('Master - LTI Review'!$A22,'Raw Data'!$B$53:$B$1048576,0),MATCH('Master - LTI Review'!D$4,'Raw Data'!$D$31:$BA$31,0)+1)/$I22,"N/A")</f>
        <v>N/A</v>
      </c>
      <c r="E22" s="150" t="str">
        <f>IFERROR(INDEX('Raw Data'!$B$53:$BA$1048576,MATCH('Master - LTI Review'!$A22,'Raw Data'!$B$53:$B$1048576,0),MATCH('Master - LTI Review'!E$4,'Raw Data'!$D$31:$BA$31,0)+1)/$I22,"N/A")</f>
        <v>N/A</v>
      </c>
      <c r="F22" s="150" t="str">
        <f>IFERROR(INDEX('Raw Data'!$B$53:$BA$1048576,MATCH('Master - LTI Review'!$A22,'Raw Data'!$B$53:$B$1048576,0),MATCH('Master - LTI Review'!F$4,'Raw Data'!$D$31:$BA$31,0)+1)/$I22,"N/A")</f>
        <v>N/A</v>
      </c>
      <c r="G22" s="150" t="str">
        <f>IFERROR(INDEX('Raw Data'!$B$53:$BA$1048576,MATCH('Master - LTI Review'!$A22,'Raw Data'!$B$53:$B$1048576,0),MATCH('Master - LTI Review'!G$4,'Raw Data'!$D$31:$BA$31,0)+1)/$I22,"N/A")</f>
        <v>N/A</v>
      </c>
      <c r="H22" s="151" t="str">
        <f>IFERROR(INDEX('Raw Data'!$B$53:$BA$1048576,MATCH('Master - LTI Review'!$A22,'Raw Data'!$B$53:$B$1048576,0),MATCH('Master - LTI Review'!H$4,'Raw Data'!$D$31:$BA$31,0)+1)/$I22,"N/A")</f>
        <v>N/A</v>
      </c>
      <c r="I22" t="str">
        <f>IFERROR(INDEX('Raw Data'!$B$53:$BA$1048576,MATCH('Master - LTI Review'!$A22,'Raw Data'!$B$53:$B$1048576,0),MATCH('Master - LTI Review'!I$4,'Raw Data'!$D$31:$BA$31,0)+1),"N/A")</f>
        <v>N/A</v>
      </c>
      <c r="J22" s="80">
        <f t="shared" si="1"/>
        <v>0</v>
      </c>
    </row>
    <row r="23" spans="1:10">
      <c r="A23" t="str">
        <f t="shared" si="0"/>
        <v>TSX:R_2018_</v>
      </c>
      <c r="B23" s="10" t="s">
        <v>100</v>
      </c>
      <c r="C23" s="149" t="str">
        <f>IFERROR(INDEX('Raw Data'!$B$53:$BA$1048576,MATCH('Master - LTI Review'!$A23,'Raw Data'!$B$53:$B$1048576,0),MATCH('Master - LTI Review'!C$4,'Raw Data'!$D$31:$BA$31,0)+1),"N/A")</f>
        <v>N/A</v>
      </c>
      <c r="D23" s="150" t="str">
        <f>IFERROR(INDEX('Raw Data'!$B$53:$BA$1048576,MATCH('Master - LTI Review'!$A23,'Raw Data'!$B$53:$B$1048576,0),MATCH('Master - LTI Review'!D$4,'Raw Data'!$D$31:$BA$31,0)+1)/$I23,"N/A")</f>
        <v>N/A</v>
      </c>
      <c r="E23" s="150" t="str">
        <f>IFERROR(INDEX('Raw Data'!$B$53:$BA$1048576,MATCH('Master - LTI Review'!$A23,'Raw Data'!$B$53:$B$1048576,0),MATCH('Master - LTI Review'!E$4,'Raw Data'!$D$31:$BA$31,0)+1)/$I23,"N/A")</f>
        <v>N/A</v>
      </c>
      <c r="F23" s="150" t="str">
        <f>IFERROR(INDEX('Raw Data'!$B$53:$BA$1048576,MATCH('Master - LTI Review'!$A23,'Raw Data'!$B$53:$B$1048576,0),MATCH('Master - LTI Review'!F$4,'Raw Data'!$D$31:$BA$31,0)+1)/$I23,"N/A")</f>
        <v>N/A</v>
      </c>
      <c r="G23" s="150" t="str">
        <f>IFERROR(INDEX('Raw Data'!$B$53:$BA$1048576,MATCH('Master - LTI Review'!$A23,'Raw Data'!$B$53:$B$1048576,0),MATCH('Master - LTI Review'!G$4,'Raw Data'!$D$31:$BA$31,0)+1)/$I23,"N/A")</f>
        <v>N/A</v>
      </c>
      <c r="H23" s="151" t="str">
        <f>IFERROR(INDEX('Raw Data'!$B$53:$BA$1048576,MATCH('Master - LTI Review'!$A23,'Raw Data'!$B$53:$B$1048576,0),MATCH('Master - LTI Review'!H$4,'Raw Data'!$D$31:$BA$31,0)+1)/$I23,"N/A")</f>
        <v>N/A</v>
      </c>
      <c r="I23" t="str">
        <f>IFERROR(INDEX('Raw Data'!$B$53:$BA$1048576,MATCH('Master - LTI Review'!$A23,'Raw Data'!$B$53:$B$1048576,0),MATCH('Master - LTI Review'!I$4,'Raw Data'!$D$31:$BA$31,0)+1),"N/A")</f>
        <v>N/A</v>
      </c>
      <c r="J23" s="80">
        <f t="shared" si="1"/>
        <v>0</v>
      </c>
    </row>
    <row r="24" spans="1:10">
      <c r="A24" t="str">
        <f t="shared" si="0"/>
        <v>TSX:S_2018_</v>
      </c>
      <c r="B24" s="10" t="s">
        <v>101</v>
      </c>
      <c r="C24" s="149" t="str">
        <f>IFERROR(INDEX('Raw Data'!$B$53:$BA$1048576,MATCH('Master - LTI Review'!$A24,'Raw Data'!$B$53:$B$1048576,0),MATCH('Master - LTI Review'!C$4,'Raw Data'!$D$31:$BA$31,0)+1),"N/A")</f>
        <v>N/A</v>
      </c>
      <c r="D24" s="150" t="str">
        <f>IFERROR(INDEX('Raw Data'!$B$53:$BA$1048576,MATCH('Master - LTI Review'!$A24,'Raw Data'!$B$53:$B$1048576,0),MATCH('Master - LTI Review'!D$4,'Raw Data'!$D$31:$BA$31,0)+1)/$I24,"N/A")</f>
        <v>N/A</v>
      </c>
      <c r="E24" s="150" t="str">
        <f>IFERROR(INDEX('Raw Data'!$B$53:$BA$1048576,MATCH('Master - LTI Review'!$A24,'Raw Data'!$B$53:$B$1048576,0),MATCH('Master - LTI Review'!E$4,'Raw Data'!$D$31:$BA$31,0)+1)/$I24,"N/A")</f>
        <v>N/A</v>
      </c>
      <c r="F24" s="150" t="str">
        <f>IFERROR(INDEX('Raw Data'!$B$53:$BA$1048576,MATCH('Master - LTI Review'!$A24,'Raw Data'!$B$53:$B$1048576,0),MATCH('Master - LTI Review'!F$4,'Raw Data'!$D$31:$BA$31,0)+1)/$I24,"N/A")</f>
        <v>N/A</v>
      </c>
      <c r="G24" s="150" t="str">
        <f>IFERROR(INDEX('Raw Data'!$B$53:$BA$1048576,MATCH('Master - LTI Review'!$A24,'Raw Data'!$B$53:$B$1048576,0),MATCH('Master - LTI Review'!G$4,'Raw Data'!$D$31:$BA$31,0)+1)/$I24,"N/A")</f>
        <v>N/A</v>
      </c>
      <c r="H24" s="151" t="str">
        <f>IFERROR(INDEX('Raw Data'!$B$53:$BA$1048576,MATCH('Master - LTI Review'!$A24,'Raw Data'!$B$53:$B$1048576,0),MATCH('Master - LTI Review'!H$4,'Raw Data'!$D$31:$BA$31,0)+1)/$I24,"N/A")</f>
        <v>N/A</v>
      </c>
      <c r="I24" t="str">
        <f>IFERROR(INDEX('Raw Data'!$B$53:$BA$1048576,MATCH('Master - LTI Review'!$A24,'Raw Data'!$B$53:$B$1048576,0),MATCH('Master - LTI Review'!I$4,'Raw Data'!$D$31:$BA$31,0)+1),"N/A")</f>
        <v>N/A</v>
      </c>
      <c r="J24" s="80">
        <f t="shared" si="1"/>
        <v>0</v>
      </c>
    </row>
    <row r="25" spans="1:10">
      <c r="A25" t="str">
        <f t="shared" si="0"/>
        <v>TSX:T_2018_</v>
      </c>
      <c r="B25" s="10" t="s">
        <v>102</v>
      </c>
      <c r="C25" s="149" t="str">
        <f>IFERROR(INDEX('Raw Data'!$B$53:$BA$1048576,MATCH('Master - LTI Review'!$A25,'Raw Data'!$B$53:$B$1048576,0),MATCH('Master - LTI Review'!C$4,'Raw Data'!$D$31:$BA$31,0)+1),"N/A")</f>
        <v>N/A</v>
      </c>
      <c r="D25" s="150" t="str">
        <f>IFERROR(INDEX('Raw Data'!$B$53:$BA$1048576,MATCH('Master - LTI Review'!$A25,'Raw Data'!$B$53:$B$1048576,0),MATCH('Master - LTI Review'!D$4,'Raw Data'!$D$31:$BA$31,0)+1)/$I25,"N/A")</f>
        <v>N/A</v>
      </c>
      <c r="E25" s="150" t="str">
        <f>IFERROR(INDEX('Raw Data'!$B$53:$BA$1048576,MATCH('Master - LTI Review'!$A25,'Raw Data'!$B$53:$B$1048576,0),MATCH('Master - LTI Review'!E$4,'Raw Data'!$D$31:$BA$31,0)+1)/$I25,"N/A")</f>
        <v>N/A</v>
      </c>
      <c r="F25" s="150" t="str">
        <f>IFERROR(INDEX('Raw Data'!$B$53:$BA$1048576,MATCH('Master - LTI Review'!$A25,'Raw Data'!$B$53:$B$1048576,0),MATCH('Master - LTI Review'!F$4,'Raw Data'!$D$31:$BA$31,0)+1)/$I25,"N/A")</f>
        <v>N/A</v>
      </c>
      <c r="G25" s="150" t="str">
        <f>IFERROR(INDEX('Raw Data'!$B$53:$BA$1048576,MATCH('Master - LTI Review'!$A25,'Raw Data'!$B$53:$B$1048576,0),MATCH('Master - LTI Review'!G$4,'Raw Data'!$D$31:$BA$31,0)+1)/$I25,"N/A")</f>
        <v>N/A</v>
      </c>
      <c r="H25" s="151" t="str">
        <f>IFERROR(INDEX('Raw Data'!$B$53:$BA$1048576,MATCH('Master - LTI Review'!$A25,'Raw Data'!$B$53:$B$1048576,0),MATCH('Master - LTI Review'!H$4,'Raw Data'!$D$31:$BA$31,0)+1)/$I25,"N/A")</f>
        <v>N/A</v>
      </c>
      <c r="I25" t="str">
        <f>IFERROR(INDEX('Raw Data'!$B$53:$BA$1048576,MATCH('Master - LTI Review'!$A25,'Raw Data'!$B$53:$B$1048576,0),MATCH('Master - LTI Review'!I$4,'Raw Data'!$D$31:$BA$31,0)+1),"N/A")</f>
        <v>N/A</v>
      </c>
      <c r="J25" s="80">
        <f t="shared" si="1"/>
        <v>0</v>
      </c>
    </row>
    <row r="26" spans="1:10" ht="8.15" customHeight="1">
      <c r="D26" s="87"/>
      <c r="E26" s="87"/>
      <c r="F26" s="87"/>
      <c r="G26" s="87"/>
      <c r="H26" s="87"/>
      <c r="J26" s="80"/>
    </row>
    <row r="27" spans="1:10">
      <c r="C27" s="112" t="s">
        <v>69</v>
      </c>
      <c r="D27" s="113">
        <f>+COUNTIF(D6:D25,"&gt;0")</f>
        <v>0</v>
      </c>
      <c r="E27" s="113">
        <f>+COUNTIF(E6:E25,"&gt;0")</f>
        <v>0</v>
      </c>
      <c r="F27" s="113">
        <f>+COUNTIF(F6:F25,"&gt;0")</f>
        <v>0</v>
      </c>
      <c r="G27" s="113">
        <f>+COUNTIF(G6:G25,"&gt;0")</f>
        <v>0</v>
      </c>
      <c r="H27" s="113">
        <f>+COUNTIF(H6:H25,"&gt;0")</f>
        <v>0</v>
      </c>
    </row>
    <row r="28" spans="1:10" ht="8.15" customHeight="1"/>
    <row r="29" spans="1:10">
      <c r="A29" t="str">
        <f>$B29&amp;"_"&amp;$D$2&amp;"_"&amp;$D$1</f>
        <v>TSX:RY_2018_</v>
      </c>
      <c r="B29" t="s">
        <v>103</v>
      </c>
      <c r="C29" s="154" t="str">
        <f>IFERROR(INDEX('Raw Data'!$B$53:$BA$1048576,MATCH('Master - LTI Review'!$A29,'Raw Data'!$B$53:$B$1048576,0),MATCH('Master - LTI Review'!C$4,'Raw Data'!$D$31:$BA$31,0)+1),"N/A")</f>
        <v>N/A</v>
      </c>
      <c r="D29" s="155" t="str">
        <f>IFERROR(INDEX('Raw Data'!$B$53:$BA$1048576,MATCH('Master - LTI Review'!$A29,'Raw Data'!$B$53:$B$1048576,0),MATCH('Master - LTI Review'!D$4,'Raw Data'!$D$31:$BA$31,0)+1)/$I29,"N/A")</f>
        <v>N/A</v>
      </c>
      <c r="E29" s="155" t="str">
        <f>IFERROR(INDEX('Raw Data'!$B$53:$BA$1048576,MATCH('Master - LTI Review'!$A29,'Raw Data'!$B$53:$B$1048576,0),MATCH('Master - LTI Review'!E$4,'Raw Data'!$D$31:$BA$31,0)+1)/$I29,"N/A")</f>
        <v>N/A</v>
      </c>
      <c r="F29" s="155" t="str">
        <f>IFERROR(INDEX('Raw Data'!$B$53:$BA$1048576,MATCH('Master - LTI Review'!$A29,'Raw Data'!$B$53:$B$1048576,0),MATCH('Master - LTI Review'!F$4,'Raw Data'!$D$31:$BA$31,0)+1)/$I29,"N/A")</f>
        <v>N/A</v>
      </c>
      <c r="G29" s="155" t="str">
        <f>IFERROR(INDEX('Raw Data'!$B$53:$BA$1048576,MATCH('Master - LTI Review'!$A29,'Raw Data'!$B$53:$B$1048576,0),MATCH('Master - LTI Review'!G$4,'Raw Data'!$D$31:$BA$31,0)+1)/$I29,"N/A")</f>
        <v>N/A</v>
      </c>
      <c r="H29" s="156" t="str">
        <f>IFERROR(INDEX('Raw Data'!$B$53:$BA$1048576,MATCH('Master - LTI Review'!$A29,'Raw Data'!$B$53:$B$1048576,0),MATCH('Master - LTI Review'!H$4,'Raw Data'!$D$31:$BA$31,0)+1)/$I29,"N/A")</f>
        <v>N/A</v>
      </c>
      <c r="I29" t="str">
        <f>IFERROR(INDEX('Raw Data'!$B$53:$BA$1048576,MATCH('Master - LTI Review'!$A29,'Raw Data'!$B$53:$B$1048576,0),MATCH('Master - LTI Review'!I$4,'Raw Data'!$D$31:$BA$31,0)+1),"N/A")</f>
        <v>N/A</v>
      </c>
      <c r="J29">
        <f>SUM(D29:H29)</f>
        <v>0</v>
      </c>
    </row>
  </sheetData>
  <mergeCells count="1">
    <mergeCell ref="C4:C5"/>
  </mergeCells>
  <conditionalFormatting sqref="C6:H26">
    <cfRule type="expression" dxfId="0" priority="1">
      <formula>MOD(ROW(),2)=1</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dimension ref="B2:B4"/>
  <sheetViews>
    <sheetView workbookViewId="0"/>
  </sheetViews>
  <sheetFormatPr defaultRowHeight="14.5"/>
  <sheetData>
    <row r="2" spans="2:2">
      <c r="B2" t="s">
        <v>72</v>
      </c>
    </row>
    <row r="3" spans="2:2">
      <c r="B3" t="s">
        <v>73</v>
      </c>
    </row>
    <row r="4" spans="2:2">
      <c r="B4"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17</vt:i4>
      </vt:variant>
    </vt:vector>
  </HeadingPairs>
  <TitlesOfParts>
    <vt:vector size="54" baseType="lpstr">
      <vt:lpstr>Instructions</vt:lpstr>
      <vt:lpstr>Import 2024 Data</vt:lpstr>
      <vt:lpstr>Raw Data</vt:lpstr>
      <vt:lpstr>Master - Summary</vt:lpstr>
      <vt:lpstr>Master - Charts</vt:lpstr>
      <vt:lpstr>TC Chart</vt:lpstr>
      <vt:lpstr>CEO</vt:lpstr>
      <vt:lpstr>CFO</vt:lpstr>
      <vt:lpstr>NEO3</vt:lpstr>
      <vt:lpstr>NEO4</vt:lpstr>
      <vt:lpstr>NEO5</vt:lpstr>
      <vt:lpstr>Legal</vt:lpstr>
      <vt:lpstr>COO</vt:lpstr>
      <vt:lpstr>Tech</vt:lpstr>
      <vt:lpstr>Region</vt:lpstr>
      <vt:lpstr>2nd Highest</vt:lpstr>
      <vt:lpstr>CEO - YoY</vt:lpstr>
      <vt:lpstr>CFO - YoY</vt:lpstr>
      <vt:lpstr>COO - YoY</vt:lpstr>
      <vt:lpstr>Legal+NEO5 - YoY</vt:lpstr>
      <vt:lpstr>SVP US</vt:lpstr>
      <vt:lpstr>SVP-Explo.</vt:lpstr>
      <vt:lpstr>CIQ_LinkingNames</vt:lpstr>
      <vt:lpstr>SVP Canada</vt:lpstr>
      <vt:lpstr>NEO4&amp;Regional - Charts</vt:lpstr>
      <vt:lpstr>NEO5&amp;Tech - Charts</vt:lpstr>
      <vt:lpstr>Cash vs Equity</vt:lpstr>
      <vt:lpstr>NEO5 - Charts</vt:lpstr>
      <vt:lpstr>CEO - Charts</vt:lpstr>
      <vt:lpstr>CFO - Charts</vt:lpstr>
      <vt:lpstr>COO - Charts</vt:lpstr>
      <vt:lpstr>CLO - Charts</vt:lpstr>
      <vt:lpstr>Footnotes</vt:lpstr>
      <vt:lpstr>Peer Group</vt:lpstr>
      <vt:lpstr>Sheet2</vt:lpstr>
      <vt:lpstr>Master - LTI Review</vt:lpstr>
      <vt:lpstr>Tab-Sort</vt:lpstr>
      <vt:lpstr>Instructions!_Hlk3298152</vt:lpstr>
      <vt:lpstr>Component</vt:lpstr>
      <vt:lpstr>Look_Up</vt:lpstr>
      <vt:lpstr>Look_Up2</vt:lpstr>
      <vt:lpstr>Look_Up3</vt:lpstr>
      <vt:lpstr>'2nd Highest'!Print_Area</vt:lpstr>
      <vt:lpstr>CEO!Print_Area</vt:lpstr>
      <vt:lpstr>CFO!Print_Area</vt:lpstr>
      <vt:lpstr>COO!Print_Area</vt:lpstr>
      <vt:lpstr>Legal!Print_Area</vt:lpstr>
      <vt:lpstr>'Master - Summary'!Print_Area</vt:lpstr>
      <vt:lpstr>'NEO3'!Print_Area</vt:lpstr>
      <vt:lpstr>'NEO4'!Print_Area</vt:lpstr>
      <vt:lpstr>'NEO5'!Print_Area</vt:lpstr>
      <vt:lpstr>Region!Print_Area</vt:lpstr>
      <vt:lpstr>Tech!Print_Area</vt:lpstr>
      <vt:lpstr>Raw_Data</vt:lpstr>
    </vt:vector>
  </TitlesOfParts>
  <Company>Toshiba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Guillaume Williams</dc:creator>
  <cp:lastModifiedBy>Jamie White</cp:lastModifiedBy>
  <dcterms:created xsi:type="dcterms:W3CDTF">2014-07-18T15:33:41Z</dcterms:created>
  <dcterms:modified xsi:type="dcterms:W3CDTF">2026-07-01T16:18:13Z</dcterms:modified>
</cp:coreProperties>
</file>