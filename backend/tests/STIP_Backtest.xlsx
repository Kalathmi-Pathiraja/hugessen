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Results" sheetId="1" r:id="rId1"/>
    <sheet name="Verify in Excel" sheetId="2" r:id="rId2"/>
    <sheet name="How the Math Works" sheetId="3" r:id="rId3"/>
  </sheets>
  <calcPr calcId="124519" fullCalcOnLoad="1"/>
</workbook>
</file>

<file path=xl/sharedStrings.xml><?xml version="1.0" encoding="utf-8"?>
<sst xmlns="http://schemas.openxmlformats.org/spreadsheetml/2006/main" count="100" uniqueCount="83">
  <si>
    <t>STIP Piecewise Multiplier — Deterministic Backtest</t>
  </si>
  <si>
    <t>This sheet tests the engine at six exact, hand-verifiable performance levels. No Monte Carlo is used — results are deterministic and should match the Excel formula column exactly.</t>
  </si>
  <si>
    <t>Plan Design Parameters</t>
  </si>
  <si>
    <t>Base Salary</t>
  </si>
  <si>
    <t>$400,000</t>
  </si>
  <si>
    <t>Target STIP %</t>
  </si>
  <si>
    <t>60%</t>
  </si>
  <si>
    <t>Target Opportunity</t>
  </si>
  <si>
    <t>$240,000</t>
  </si>
  <si>
    <t>Threshold Performance</t>
  </si>
  <si>
    <t>80%</t>
  </si>
  <si>
    <t>Threshold Payout</t>
  </si>
  <si>
    <t>50%</t>
  </si>
  <si>
    <t>Target Performance</t>
  </si>
  <si>
    <t>100%  (hardlocked)</t>
  </si>
  <si>
    <t>Target Payout</t>
  </si>
  <si>
    <t>Maximum Performance</t>
  </si>
  <si>
    <t>120%</t>
  </si>
  <si>
    <t>Maximum Payout</t>
  </si>
  <si>
    <t>200%</t>
  </si>
  <si>
    <t>Test Case</t>
  </si>
  <si>
    <t>Performance %</t>
  </si>
  <si>
    <t>Expected Multiplier</t>
  </si>
  <si>
    <t>Engine Result</t>
  </si>
  <si>
    <t>Status</t>
  </si>
  <si>
    <t>Dollar Payout ($)</t>
  </si>
  <si>
    <t>% of Target</t>
  </si>
  <si>
    <t>Deep Bear</t>
  </si>
  <si>
    <t>PASS ✓</t>
  </si>
  <si>
    <t>At Threshold</t>
  </si>
  <si>
    <t>Mid-Ramp (T→Tgt)</t>
  </si>
  <si>
    <t>At Target</t>
  </si>
  <si>
    <t>At Maximum Cap</t>
  </si>
  <si>
    <t>Above Cap</t>
  </si>
  <si>
    <t>Independent Excel Verification — Piecewise Multiplier Formula</t>
  </si>
  <si>
    <t>Column C contains the Excel nested-IF formula that independently computes the multiplier. Column D runs the formula live. Column E shows whether D matches the engine (Column 'Engine Result'). You can verify this without any Python — just check that C and D agree for every row.</t>
  </si>
  <si>
    <t>Named Parameters (for formula reference)</t>
  </si>
  <si>
    <t>Threshold_Perf</t>
  </si>
  <si>
    <t>Threshold_Payout</t>
  </si>
  <si>
    <t>Target_Perf</t>
  </si>
  <si>
    <t>Target_Payout</t>
  </si>
  <si>
    <t>Max_Perf</t>
  </si>
  <si>
    <t>Max_Payout</t>
  </si>
  <si>
    <t>Performance (decimal)</t>
  </si>
  <si>
    <t>Excel Nested-IF Formula</t>
  </si>
  <si>
    <t>Formula Result (live)</t>
  </si>
  <si>
    <t>Engine Match?</t>
  </si>
  <si>
    <t>THE PIECEWISE CURVE</t>
  </si>
  <si>
    <t>─────────────────────────────────────────────────────────────────────</t>
  </si>
  <si>
    <t>The curve has three segments, defined by three anchor points:</t>
  </si>
  <si>
    <t xml:space="preserve">  • Threshold  →  (threshold_perf,  threshold_payout)   e.g. (80%, 50%)</t>
  </si>
  <si>
    <t xml:space="preserve">  • Target     →  (100%,            100%)               hardlocked</t>
  </si>
  <si>
    <t xml:space="preserve">  • Maximum    →  (max_perf,        max_payout)          e.g. (120%, 200%)</t>
  </si>
  <si>
    <t>SEGMENT RULES</t>
  </si>
  <si>
    <t xml:space="preserve">  Performance &lt; threshold_perf:            multiplier = 0   (zero-pay floor)</t>
  </si>
  <si>
    <t xml:space="preserve">  threshold_perf ≤ Performance ≤ 100%:     linear interpolation</t>
  </si>
  <si>
    <t xml:space="preserve">    multiplier = threshold_payout</t>
  </si>
  <si>
    <t xml:space="preserve">               + (performance − threshold_perf)</t>
  </si>
  <si>
    <t xml:space="preserve">                 ÷ (100% − threshold_perf)</t>
  </si>
  <si>
    <t xml:space="preserve">                 × (100% − threshold_payout)</t>
  </si>
  <si>
    <t xml:space="preserve">  100% &lt; Performance ≤ max_perf:           linear interpolation</t>
  </si>
  <si>
    <t xml:space="preserve">    multiplier = 100%</t>
  </si>
  <si>
    <t xml:space="preserve">               + (performance − 100%)</t>
  </si>
  <si>
    <t xml:space="preserve">                 ÷ (max_perf − 100%)</t>
  </si>
  <si>
    <t xml:space="preserve">                 × (max_payout − 100%)</t>
  </si>
  <si>
    <t xml:space="preserve">  Performance &gt; max_perf:                  multiplier = max_payout  (cap)</t>
  </si>
  <si>
    <t>WORKED EXAMPLE (Mid-Ramp case — 90% performance)</t>
  </si>
  <si>
    <t xml:space="preserve">  threshold_perf = 80%, threshold_payout = 50%, target = 100% / 100%</t>
  </si>
  <si>
    <t xml:space="preserve">  90% falls in segment 1 (threshold → target):</t>
  </si>
  <si>
    <t xml:space="preserve">    multiplier = 50%</t>
  </si>
  <si>
    <t xml:space="preserve">               + (90% − 80%) ÷ (100% − 80%) × (100% − 50%)</t>
  </si>
  <si>
    <t xml:space="preserve">               = 50% + (10% ÷ 20%) × 50%</t>
  </si>
  <si>
    <t xml:space="preserve">               = 50% + 0.5 × 50%</t>
  </si>
  <si>
    <t xml:space="preserve">               = 50% + 25%</t>
  </si>
  <si>
    <t xml:space="preserve">               = 75%  ← matches engine ✓</t>
  </si>
  <si>
    <t xml:space="preserve">  Dollar payout = 75% × $240,000 = $180,000</t>
  </si>
  <si>
    <t>WHAT THE MONTE CARLO ADDS</t>
  </si>
  <si>
    <t xml:space="preserve">  The backtest above tests the piecewise function deterministically.</t>
  </si>
  <si>
    <t xml:space="preserve">  The Monte Carlo wraps this function in 10,000 draws from a correlated</t>
  </si>
  <si>
    <t xml:space="preserve">  log-normal distribution (mean achievement = 100% of budget, spread = σ).</t>
  </si>
  <si>
    <t xml:space="preserve">  The Bear/Base/Bull percentiles are the P10/P50/P90 of those 10,000 outputs.</t>
  </si>
  <si>
    <t xml:space="preserve">  Changing the budget does not change the % distribution — it scales the</t>
  </si>
  <si>
    <t xml:space="preserve">  raw simulated metric values only (shown in the 'Simulated Outcomes' table).</t>
  </si>
</sst>
</file>

<file path=xl/styles.xml><?xml version="1.0" encoding="utf-8"?>
<styleSheet xmlns="http://schemas.openxmlformats.org/spreadsheetml/2006/main">
  <numFmts count="5">
    <numFmt numFmtId="164" formatCode="0&quot;%&quot;"/>
    <numFmt numFmtId="165" formatCode="0.0000"/>
    <numFmt numFmtId="166" formatCode="&quot;$&quot;#,##0"/>
    <numFmt numFmtId="167" formatCode="0.0&quot;%&quot;"/>
    <numFmt numFmtId="168" formatCode="0.00"/>
  </numFmts>
  <fonts count="7">
    <font>
      <sz val="11"/>
      <color theme="1"/>
      <name val="Calibri"/>
      <family val="2"/>
      <scheme val="minor"/>
    </font>
    <font>
      <b/>
      <sz val="16"/>
      <color rgb="FF0A192F"/>
      <name val="Calibri"/>
      <family val="2"/>
      <scheme val="minor"/>
    </font>
    <font>
      <i/>
      <sz val="10"/>
      <color rgb="FF64748B"/>
      <name val="Calibri"/>
      <family val="2"/>
      <scheme val="minor"/>
    </font>
    <font>
      <b/>
      <sz val="11"/>
      <color rgb="FF0A192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6A34A"/>
      <name val="Calibri"/>
      <family val="2"/>
      <scheme val="minor"/>
    </font>
    <font>
      <sz val="9"/>
      <color rgb="FF64748B"/>
      <name val="Courier New"/>
      <family val="2"/>
    </font>
  </fonts>
  <fills count="7">
    <fill>
      <patternFill patternType="none"/>
    </fill>
    <fill>
      <patternFill patternType="gray125"/>
    </fill>
    <fill>
      <patternFill patternType="solid">
        <fgColor rgb="FF0A192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6B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F6B00"/>
      </bottom>
      <diagonal/>
    </border>
    <border>
      <left/>
      <right/>
      <top style="medium">
        <color rgb="FFFF6B00"/>
      </top>
      <bottom style="thin">
        <color rgb="FFE2E8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wrapText="1"/>
    </xf>
    <xf numFmtId="0" fontId="3" fillId="0" borderId="2" xfId="0" applyFont="1" applyBorder="1"/>
    <xf numFmtId="0" fontId="3" fillId="0" borderId="0" xfId="0" applyFont="1" applyAlignment="1">
      <alignment horizontal="left"/>
    </xf>
    <xf numFmtId="0" fontId="4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/>
    <xf numFmtId="164" fontId="0" fillId="3" borderId="3" xfId="0" applyNumberFormat="1" applyFill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166" fontId="0" fillId="3" borderId="3" xfId="0" applyNumberFormat="1" applyFill="1" applyBorder="1" applyAlignment="1">
      <alignment horizontal="right"/>
    </xf>
    <xf numFmtId="167" fontId="0" fillId="3" borderId="3" xfId="0" applyNumberFormat="1" applyFill="1" applyBorder="1" applyAlignment="1">
      <alignment horizontal="center"/>
    </xf>
    <xf numFmtId="0" fontId="3" fillId="5" borderId="3" xfId="0" applyFont="1" applyFill="1" applyBorder="1"/>
    <xf numFmtId="164" fontId="0" fillId="5" borderId="3" xfId="0" applyNumberFormat="1" applyFill="1" applyBorder="1" applyAlignment="1">
      <alignment horizontal="center"/>
    </xf>
    <xf numFmtId="165" fontId="0" fillId="5" borderId="3" xfId="0" applyNumberFormat="1" applyFill="1" applyBorder="1" applyAlignment="1">
      <alignment horizontal="center"/>
    </xf>
    <xf numFmtId="166" fontId="0" fillId="5" borderId="3" xfId="0" applyNumberFormat="1" applyFill="1" applyBorder="1" applyAlignment="1">
      <alignment horizontal="right"/>
    </xf>
    <xf numFmtId="167" fontId="0" fillId="5" borderId="3" xfId="0" applyNumberFormat="1" applyFill="1" applyBorder="1" applyAlignment="1">
      <alignment horizontal="center"/>
    </xf>
    <xf numFmtId="168" fontId="0" fillId="0" borderId="0" xfId="0" applyNumberFormat="1" applyAlignment="1">
      <alignment horizontal="right"/>
    </xf>
    <xf numFmtId="0" fontId="4" fillId="6" borderId="3" xfId="0" applyFont="1" applyFill="1" applyBorder="1" applyAlignment="1">
      <alignment horizontal="center" vertical="center"/>
    </xf>
    <xf numFmtId="168" fontId="0" fillId="3" borderId="3" xfId="0" applyNumberFormat="1" applyFill="1" applyBorder="1" applyAlignment="1">
      <alignment horizontal="center"/>
    </xf>
    <xf numFmtId="0" fontId="6" fillId="5" borderId="3" xfId="0" applyFont="1" applyFill="1" applyBorder="1" applyAlignment="1">
      <alignment vertical="center" wrapText="1"/>
    </xf>
    <xf numFmtId="168" fontId="0" fillId="5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cols>
    <col min="1" max="1" width="24.7109375" customWidth="1"/>
    <col min="2" max="2" width="14.7109375" customWidth="1"/>
    <col min="3" max="4" width="16.7109375" customWidth="1"/>
    <col min="5" max="5" width="12.7109375" customWidth="1"/>
    <col min="6" max="6" width="18.7109375" customWidth="1"/>
    <col min="7" max="7" width="16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 ht="36" customHeight="1">
      <c r="A2" s="2" t="s">
        <v>1</v>
      </c>
      <c r="B2" s="2"/>
      <c r="C2" s="2"/>
      <c r="D2" s="2"/>
      <c r="E2" s="2"/>
      <c r="F2" s="2"/>
      <c r="G2" s="2"/>
    </row>
    <row r="4" spans="1:7">
      <c r="A4" s="3" t="s">
        <v>2</v>
      </c>
      <c r="B4" s="3"/>
      <c r="C4" s="3"/>
      <c r="D4" s="3"/>
      <c r="E4" s="3"/>
      <c r="F4" s="3"/>
      <c r="G4" s="3"/>
    </row>
    <row r="5" spans="1:7">
      <c r="A5" s="4" t="s">
        <v>3</v>
      </c>
      <c r="B5" t="s">
        <v>4</v>
      </c>
    </row>
    <row r="6" spans="1:7">
      <c r="A6" s="4" t="s">
        <v>5</v>
      </c>
      <c r="B6" t="s">
        <v>6</v>
      </c>
    </row>
    <row r="7" spans="1:7">
      <c r="A7" s="4" t="s">
        <v>7</v>
      </c>
      <c r="B7" t="s">
        <v>8</v>
      </c>
    </row>
    <row r="8" spans="1:7">
      <c r="A8" s="4" t="s">
        <v>9</v>
      </c>
      <c r="B8" t="s">
        <v>10</v>
      </c>
    </row>
    <row r="9" spans="1:7">
      <c r="A9" s="4" t="s">
        <v>11</v>
      </c>
      <c r="B9" t="s">
        <v>12</v>
      </c>
    </row>
    <row r="10" spans="1:7">
      <c r="A10" s="4" t="s">
        <v>13</v>
      </c>
      <c r="B10" t="s">
        <v>14</v>
      </c>
    </row>
    <row r="11" spans="1:7">
      <c r="A11" s="4" t="s">
        <v>15</v>
      </c>
      <c r="B11" t="s">
        <v>14</v>
      </c>
    </row>
    <row r="12" spans="1:7">
      <c r="A12" s="4" t="s">
        <v>16</v>
      </c>
      <c r="B12" t="s">
        <v>17</v>
      </c>
    </row>
    <row r="13" spans="1:7">
      <c r="A13" s="4" t="s">
        <v>18</v>
      </c>
      <c r="B13" t="s">
        <v>19</v>
      </c>
    </row>
    <row r="15" spans="1:7" ht="30" customHeight="1">
      <c r="A15" s="5" t="s">
        <v>20</v>
      </c>
      <c r="B15" s="5" t="s">
        <v>21</v>
      </c>
      <c r="C15" s="5" t="s">
        <v>22</v>
      </c>
      <c r="D15" s="5" t="s">
        <v>23</v>
      </c>
      <c r="E15" s="5" t="s">
        <v>24</v>
      </c>
      <c r="F15" s="5" t="s">
        <v>25</v>
      </c>
      <c r="G15" s="5" t="s">
        <v>26</v>
      </c>
    </row>
    <row r="16" spans="1:7">
      <c r="A16" s="6" t="s">
        <v>27</v>
      </c>
      <c r="B16" s="7">
        <v>50</v>
      </c>
      <c r="C16" s="8">
        <v>0</v>
      </c>
      <c r="D16" s="8">
        <v>0</v>
      </c>
      <c r="E16" s="9" t="s">
        <v>28</v>
      </c>
      <c r="F16" s="10">
        <v>0</v>
      </c>
      <c r="G16" s="11">
        <v>0</v>
      </c>
    </row>
    <row r="17" spans="1:7">
      <c r="A17" s="12" t="s">
        <v>29</v>
      </c>
      <c r="B17" s="13">
        <v>80</v>
      </c>
      <c r="C17" s="14">
        <v>0.5</v>
      </c>
      <c r="D17" s="14">
        <v>0.5</v>
      </c>
      <c r="E17" s="9" t="s">
        <v>28</v>
      </c>
      <c r="F17" s="15">
        <v>120000</v>
      </c>
      <c r="G17" s="16">
        <v>50</v>
      </c>
    </row>
    <row r="18" spans="1:7">
      <c r="A18" s="6" t="s">
        <v>30</v>
      </c>
      <c r="B18" s="7">
        <v>90</v>
      </c>
      <c r="C18" s="8">
        <v>0.75</v>
      </c>
      <c r="D18" s="8">
        <v>0.75</v>
      </c>
      <c r="E18" s="9" t="s">
        <v>28</v>
      </c>
      <c r="F18" s="10">
        <v>180000</v>
      </c>
      <c r="G18" s="11">
        <v>75</v>
      </c>
    </row>
    <row r="19" spans="1:7">
      <c r="A19" s="12" t="s">
        <v>31</v>
      </c>
      <c r="B19" s="13">
        <v>100</v>
      </c>
      <c r="C19" s="14">
        <v>1</v>
      </c>
      <c r="D19" s="14">
        <v>1</v>
      </c>
      <c r="E19" s="9" t="s">
        <v>28</v>
      </c>
      <c r="F19" s="15">
        <v>240000</v>
      </c>
      <c r="G19" s="16">
        <v>100</v>
      </c>
    </row>
    <row r="20" spans="1:7">
      <c r="A20" s="6" t="s">
        <v>32</v>
      </c>
      <c r="B20" s="7">
        <v>120</v>
      </c>
      <c r="C20" s="8">
        <v>2</v>
      </c>
      <c r="D20" s="8">
        <v>2</v>
      </c>
      <c r="E20" s="9" t="s">
        <v>28</v>
      </c>
      <c r="F20" s="10">
        <v>480000</v>
      </c>
      <c r="G20" s="11">
        <v>200</v>
      </c>
    </row>
    <row r="21" spans="1:7">
      <c r="A21" s="12" t="s">
        <v>33</v>
      </c>
      <c r="B21" s="13">
        <v>150</v>
      </c>
      <c r="C21" s="14">
        <v>2</v>
      </c>
      <c r="D21" s="14">
        <v>2</v>
      </c>
      <c r="E21" s="9" t="s">
        <v>28</v>
      </c>
      <c r="F21" s="15">
        <v>480000</v>
      </c>
      <c r="G21" s="16">
        <v>200</v>
      </c>
    </row>
  </sheetData>
  <mergeCells count="12">
    <mergeCell ref="A1:G1"/>
    <mergeCell ref="A2:G2"/>
    <mergeCell ref="B4:G4"/>
    <mergeCell ref="B5:C5"/>
    <mergeCell ref="B6:C6"/>
    <mergeCell ref="B7:C7"/>
    <mergeCell ref="B8:C8"/>
    <mergeCell ref="B9:C9"/>
    <mergeCell ref="B10:C10"/>
    <mergeCell ref="B11:C11"/>
    <mergeCell ref="B12:C12"/>
    <mergeCell ref="B13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24.7109375" customWidth="1"/>
    <col min="2" max="2" width="14.7109375" customWidth="1"/>
    <col min="3" max="3" width="30.7109375" customWidth="1"/>
    <col min="4" max="4" width="22.7109375" customWidth="1"/>
    <col min="5" max="5" width="12.7109375" customWidth="1"/>
    <col min="6" max="6" width="20.7109375" customWidth="1"/>
  </cols>
  <sheetData>
    <row r="1" spans="1:6">
      <c r="A1" s="1" t="s">
        <v>34</v>
      </c>
      <c r="B1" s="1"/>
      <c r="C1" s="1"/>
      <c r="D1" s="1"/>
      <c r="E1" s="1"/>
      <c r="F1" s="1"/>
    </row>
    <row r="2" spans="1:6" ht="54" customHeight="1">
      <c r="A2" s="2" t="s">
        <v>35</v>
      </c>
      <c r="B2" s="2"/>
      <c r="C2" s="2"/>
      <c r="D2" s="2"/>
      <c r="E2" s="2"/>
      <c r="F2" s="2"/>
    </row>
    <row r="4" spans="1:6">
      <c r="A4" s="3" t="s">
        <v>36</v>
      </c>
      <c r="B4" s="3"/>
      <c r="C4" s="3"/>
      <c r="D4" s="3"/>
      <c r="E4" s="3"/>
      <c r="F4" s="3"/>
    </row>
    <row r="5" spans="1:6">
      <c r="A5" s="4" t="s">
        <v>37</v>
      </c>
      <c r="B5" s="17">
        <v>0.8</v>
      </c>
    </row>
    <row r="6" spans="1:6">
      <c r="A6" s="4" t="s">
        <v>38</v>
      </c>
      <c r="B6" s="17">
        <v>0.5</v>
      </c>
    </row>
    <row r="7" spans="1:6">
      <c r="A7" s="4" t="s">
        <v>39</v>
      </c>
      <c r="B7" s="17">
        <v>1</v>
      </c>
    </row>
    <row r="8" spans="1:6">
      <c r="A8" s="4" t="s">
        <v>40</v>
      </c>
      <c r="B8" s="17">
        <v>1</v>
      </c>
    </row>
    <row r="9" spans="1:6">
      <c r="A9" s="4" t="s">
        <v>41</v>
      </c>
      <c r="B9" s="17">
        <v>1.2</v>
      </c>
    </row>
    <row r="10" spans="1:6">
      <c r="A10" s="4" t="s">
        <v>42</v>
      </c>
      <c r="B10" s="17">
        <v>2</v>
      </c>
    </row>
    <row r="12" spans="1:6" ht="30" customHeight="1">
      <c r="A12" s="18" t="s">
        <v>20</v>
      </c>
      <c r="B12" s="18" t="s">
        <v>43</v>
      </c>
      <c r="C12" s="18" t="s">
        <v>44</v>
      </c>
      <c r="D12" s="18" t="s">
        <v>45</v>
      </c>
      <c r="E12" s="18" t="s">
        <v>46</v>
      </c>
      <c r="F12" s="18" t="s">
        <v>25</v>
      </c>
    </row>
    <row r="13" spans="1:6">
      <c r="A13" s="6" t="s">
        <v>27</v>
      </c>
      <c r="B13" s="19">
        <v>0.5</v>
      </c>
      <c r="C13" s="20">
        <f>IF(B13&lt;$B$5,0,IF(B13&lt;=$B$7,$B$6+(B13-$B$5)/($B$7-$B$5)*($B$8-$B$6),IF(B13&lt;=$B$9,$B$8+(B13-$B$7)/($B$9-$B$7)*($B$10-$B$8),$B$10)))</f>
        <v>0</v>
      </c>
      <c r="D13" s="8">
        <f>IF(B13&lt;$B$5,0,IF(B13&lt;=$B$7,$B$6+(B13-$B$5)/($B$7-$B$5)*($B$8-$B$6),IF(B13&lt;=$B$9,$B$8+(B13-$B$7)/($B$9-$B$7)*($B$10-$B$8),$B$10)))</f>
        <v>0</v>
      </c>
      <c r="E13" s="9">
        <f>IF(ABS(D13-0.0)&lt;0.00001,"MATCH ✓","MISMATCH ✗")</f>
        <v>0</v>
      </c>
      <c r="F13" s="10">
        <f>D13*240000.0</f>
        <v>0</v>
      </c>
    </row>
    <row r="14" spans="1:6">
      <c r="A14" s="12" t="s">
        <v>29</v>
      </c>
      <c r="B14" s="21">
        <v>0.8</v>
      </c>
      <c r="C14" s="20">
        <f>IF(B14&lt;$B$5,0,IF(B14&lt;=$B$7,$B$6+(B14-$B$5)/($B$7-$B$5)*($B$8-$B$6),IF(B14&lt;=$B$9,$B$8+(B14-$B$7)/($B$9-$B$7)*($B$10-$B$8),$B$10)))</f>
        <v>0</v>
      </c>
      <c r="D14" s="14">
        <f>IF(B14&lt;$B$5,0,IF(B14&lt;=$B$7,$B$6+(B14-$B$5)/($B$7-$B$5)*($B$8-$B$6),IF(B14&lt;=$B$9,$B$8+(B14-$B$7)/($B$9-$B$7)*($B$10-$B$8),$B$10)))</f>
        <v>0</v>
      </c>
      <c r="E14" s="9">
        <f>IF(ABS(D14-0.5)&lt;0.00001,"MATCH ✓","MISMATCH ✗")</f>
        <v>0</v>
      </c>
      <c r="F14" s="15">
        <f>D14*240000.0</f>
        <v>0</v>
      </c>
    </row>
    <row r="15" spans="1:6">
      <c r="A15" s="6" t="s">
        <v>30</v>
      </c>
      <c r="B15" s="19">
        <v>0.9</v>
      </c>
      <c r="C15" s="20">
        <f>IF(B15&lt;$B$5,0,IF(B15&lt;=$B$7,$B$6+(B15-$B$5)/($B$7-$B$5)*($B$8-$B$6),IF(B15&lt;=$B$9,$B$8+(B15-$B$7)/($B$9-$B$7)*($B$10-$B$8),$B$10)))</f>
        <v>0</v>
      </c>
      <c r="D15" s="8">
        <f>IF(B15&lt;$B$5,0,IF(B15&lt;=$B$7,$B$6+(B15-$B$5)/($B$7-$B$5)*($B$8-$B$6),IF(B15&lt;=$B$9,$B$8+(B15-$B$7)/($B$9-$B$7)*($B$10-$B$8),$B$10)))</f>
        <v>0</v>
      </c>
      <c r="E15" s="9">
        <f>IF(ABS(D15-0.75)&lt;0.00001,"MATCH ✓","MISMATCH ✗")</f>
        <v>0</v>
      </c>
      <c r="F15" s="10">
        <f>D15*240000.0</f>
        <v>0</v>
      </c>
    </row>
    <row r="16" spans="1:6">
      <c r="A16" s="12" t="s">
        <v>31</v>
      </c>
      <c r="B16" s="21">
        <v>1</v>
      </c>
      <c r="C16" s="20">
        <f>IF(B16&lt;$B$5,0,IF(B16&lt;=$B$7,$B$6+(B16-$B$5)/($B$7-$B$5)*($B$8-$B$6),IF(B16&lt;=$B$9,$B$8+(B16-$B$7)/($B$9-$B$7)*($B$10-$B$8),$B$10)))</f>
        <v>0</v>
      </c>
      <c r="D16" s="14">
        <f>IF(B16&lt;$B$5,0,IF(B16&lt;=$B$7,$B$6+(B16-$B$5)/($B$7-$B$5)*($B$8-$B$6),IF(B16&lt;=$B$9,$B$8+(B16-$B$7)/($B$9-$B$7)*($B$10-$B$8),$B$10)))</f>
        <v>0</v>
      </c>
      <c r="E16" s="9">
        <f>IF(ABS(D16-1.0)&lt;0.00001,"MATCH ✓","MISMATCH ✗")</f>
        <v>0</v>
      </c>
      <c r="F16" s="15">
        <f>D16*240000.0</f>
        <v>0</v>
      </c>
    </row>
    <row r="17" spans="1:6">
      <c r="A17" s="6" t="s">
        <v>32</v>
      </c>
      <c r="B17" s="19">
        <v>1.2</v>
      </c>
      <c r="C17" s="20">
        <f>IF(B17&lt;$B$5,0,IF(B17&lt;=$B$7,$B$6+(B17-$B$5)/($B$7-$B$5)*($B$8-$B$6),IF(B17&lt;=$B$9,$B$8+(B17-$B$7)/($B$9-$B$7)*($B$10-$B$8),$B$10)))</f>
        <v>0</v>
      </c>
      <c r="D17" s="8">
        <f>IF(B17&lt;$B$5,0,IF(B17&lt;=$B$7,$B$6+(B17-$B$5)/($B$7-$B$5)*($B$8-$B$6),IF(B17&lt;=$B$9,$B$8+(B17-$B$7)/($B$9-$B$7)*($B$10-$B$8),$B$10)))</f>
        <v>0</v>
      </c>
      <c r="E17" s="9">
        <f>IF(ABS(D17-2.0)&lt;0.00001,"MATCH ✓","MISMATCH ✗")</f>
        <v>0</v>
      </c>
      <c r="F17" s="10">
        <f>D17*240000.0</f>
        <v>0</v>
      </c>
    </row>
    <row r="18" spans="1:6">
      <c r="A18" s="12" t="s">
        <v>33</v>
      </c>
      <c r="B18" s="21">
        <v>1.5</v>
      </c>
      <c r="C18" s="20">
        <f>IF(B18&lt;$B$5,0,IF(B18&lt;=$B$7,$B$6+(B18-$B$5)/($B$7-$B$5)*($B$8-$B$6),IF(B18&lt;=$B$9,$B$8+(B18-$B$7)/($B$9-$B$7)*($B$10-$B$8),$B$10)))</f>
        <v>0</v>
      </c>
      <c r="D18" s="14">
        <f>IF(B18&lt;$B$5,0,IF(B18&lt;=$B$7,$B$6+(B18-$B$5)/($B$7-$B$5)*($B$8-$B$6),IF(B18&lt;=$B$9,$B$8+(B18-$B$7)/($B$9-$B$7)*($B$10-$B$8),$B$10)))</f>
        <v>0</v>
      </c>
      <c r="E18" s="9">
        <f>IF(ABS(D18-2.0)&lt;0.00001,"MATCH ✓","MISMATCH ✗")</f>
        <v>0</v>
      </c>
      <c r="F18" s="15">
        <f>D18*240000.0</f>
        <v>0</v>
      </c>
    </row>
  </sheetData>
  <mergeCells count="3">
    <mergeCell ref="A1:F1"/>
    <mergeCell ref="A2:F2"/>
    <mergeCell ref="B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1"/>
  <sheetViews>
    <sheetView workbookViewId="0"/>
  </sheetViews>
  <sheetFormatPr defaultRowHeight="15"/>
  <cols>
    <col min="1" max="1" width="70.7109375" customWidth="1"/>
  </cols>
  <sheetData>
    <row r="1" spans="1:1" ht="28" customHeight="1"/>
    <row r="2" spans="1:1">
      <c r="A2" s="2"/>
    </row>
    <row r="3" spans="1:1" ht="22" customHeight="1">
      <c r="A3" s="3" t="s">
        <v>47</v>
      </c>
    </row>
    <row r="4" spans="1:1">
      <c r="A4" s="2" t="s">
        <v>48</v>
      </c>
    </row>
    <row r="5" spans="1:1">
      <c r="A5" s="2" t="s">
        <v>49</v>
      </c>
    </row>
    <row r="6" spans="1:1">
      <c r="A6" s="2"/>
    </row>
    <row r="7" spans="1:1">
      <c r="A7" s="2" t="s">
        <v>50</v>
      </c>
    </row>
    <row r="8" spans="1:1">
      <c r="A8" s="2" t="s">
        <v>51</v>
      </c>
    </row>
    <row r="9" spans="1:1">
      <c r="A9" s="2" t="s">
        <v>52</v>
      </c>
    </row>
    <row r="10" spans="1:1">
      <c r="A10" s="2"/>
    </row>
    <row r="11" spans="1:1" ht="22" customHeight="1">
      <c r="A11" s="3" t="s">
        <v>53</v>
      </c>
    </row>
    <row r="12" spans="1:1">
      <c r="A12" s="2" t="s">
        <v>48</v>
      </c>
    </row>
    <row r="13" spans="1:1">
      <c r="A13" s="2"/>
    </row>
    <row r="14" spans="1:1">
      <c r="A14" s="2" t="s">
        <v>54</v>
      </c>
    </row>
    <row r="15" spans="1:1">
      <c r="A15" s="2"/>
    </row>
    <row r="16" spans="1:1">
      <c r="A16" s="2" t="s">
        <v>55</v>
      </c>
    </row>
    <row r="17" spans="1:1">
      <c r="A17" s="2" t="s">
        <v>56</v>
      </c>
    </row>
    <row r="18" spans="1:1">
      <c r="A18" s="2" t="s">
        <v>57</v>
      </c>
    </row>
    <row r="19" spans="1:1">
      <c r="A19" s="2" t="s">
        <v>58</v>
      </c>
    </row>
    <row r="20" spans="1:1">
      <c r="A20" s="2" t="s">
        <v>59</v>
      </c>
    </row>
    <row r="21" spans="1:1">
      <c r="A21" s="2"/>
    </row>
    <row r="22" spans="1:1">
      <c r="A22" s="2" t="s">
        <v>60</v>
      </c>
    </row>
    <row r="23" spans="1:1">
      <c r="A23" s="2" t="s">
        <v>61</v>
      </c>
    </row>
    <row r="24" spans="1:1">
      <c r="A24" s="2" t="s">
        <v>62</v>
      </c>
    </row>
    <row r="25" spans="1:1">
      <c r="A25" s="2" t="s">
        <v>63</v>
      </c>
    </row>
    <row r="26" spans="1:1">
      <c r="A26" s="2" t="s">
        <v>64</v>
      </c>
    </row>
    <row r="27" spans="1:1">
      <c r="A27" s="2"/>
    </row>
    <row r="28" spans="1:1">
      <c r="A28" s="2" t="s">
        <v>65</v>
      </c>
    </row>
    <row r="29" spans="1:1">
      <c r="A29" s="2"/>
    </row>
    <row r="30" spans="1:1">
      <c r="A30" s="2" t="s">
        <v>66</v>
      </c>
    </row>
    <row r="31" spans="1:1">
      <c r="A31" s="2" t="s">
        <v>48</v>
      </c>
    </row>
    <row r="32" spans="1:1">
      <c r="A32" s="2" t="s">
        <v>67</v>
      </c>
    </row>
    <row r="33" spans="1:1">
      <c r="A33" s="2"/>
    </row>
    <row r="34" spans="1:1">
      <c r="A34" s="2" t="s">
        <v>68</v>
      </c>
    </row>
    <row r="35" spans="1:1">
      <c r="A35" s="2" t="s">
        <v>69</v>
      </c>
    </row>
    <row r="36" spans="1:1">
      <c r="A36" s="2" t="s">
        <v>70</v>
      </c>
    </row>
    <row r="37" spans="1:1">
      <c r="A37" s="2" t="s">
        <v>71</v>
      </c>
    </row>
    <row r="38" spans="1:1">
      <c r="A38" s="2" t="s">
        <v>72</v>
      </c>
    </row>
    <row r="39" spans="1:1">
      <c r="A39" s="2" t="s">
        <v>73</v>
      </c>
    </row>
    <row r="40" spans="1:1">
      <c r="A40" s="2" t="s">
        <v>74</v>
      </c>
    </row>
    <row r="41" spans="1:1">
      <c r="A41" s="2"/>
    </row>
    <row r="42" spans="1:1">
      <c r="A42" s="2" t="s">
        <v>75</v>
      </c>
    </row>
    <row r="43" spans="1:1">
      <c r="A43" s="2"/>
    </row>
    <row r="44" spans="1:1" ht="22" customHeight="1">
      <c r="A44" s="3" t="s">
        <v>76</v>
      </c>
    </row>
    <row r="45" spans="1:1">
      <c r="A45" s="2" t="s">
        <v>48</v>
      </c>
    </row>
    <row r="46" spans="1:1">
      <c r="A46" s="2" t="s">
        <v>77</v>
      </c>
    </row>
    <row r="47" spans="1:1">
      <c r="A47" s="2" t="s">
        <v>78</v>
      </c>
    </row>
    <row r="48" spans="1:1">
      <c r="A48" s="2" t="s">
        <v>79</v>
      </c>
    </row>
    <row r="49" spans="1:1">
      <c r="A49" s="2" t="s">
        <v>80</v>
      </c>
    </row>
    <row r="50" spans="1:1">
      <c r="A50" s="2" t="s">
        <v>81</v>
      </c>
    </row>
    <row r="51" spans="1:1">
      <c r="A51" s="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Results</vt:lpstr>
      <vt:lpstr>Verify in Excel</vt:lpstr>
      <vt:lpstr>How the Math Works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2026-05-22T04:30:13Z</dcterms:created>
  <dcterms:modified xsi:type="dcterms:W3CDTF">2026-05-22T04:30:13Z</dcterms:modified>
</cp:coreProperties>
</file>